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Lookup Tables" sheetId="2" r:id="rId2"/>
    <sheet name="Cleaned Data" sheetId="3" r:id="rId3"/>
    <sheet name="Year Summary" sheetId="4" r:id="rId4"/>
    <sheet name="HSN Summary" sheetId="5" r:id="rId5"/>
    <sheet name="Model Summary" sheetId="6" r:id="rId6"/>
    <sheet name="Supplier Summary" sheetId="7" r:id="rId7"/>
    <sheet name="Notes" sheetId="8" r:id="rId8"/>
  </sheets>
  <calcPr calcId="124519" fullCalcOnLoad="1"/>
</workbook>
</file>

<file path=xl/sharedStrings.xml><?xml version="1.0" encoding="utf-8"?>
<sst xmlns="http://schemas.openxmlformats.org/spreadsheetml/2006/main" count="8402" uniqueCount="2792">
  <si>
    <t>PORT CODE</t>
  </si>
  <si>
    <t>DATE</t>
  </si>
  <si>
    <t>IEC</t>
  </si>
  <si>
    <t>HS CODE</t>
  </si>
  <si>
    <t>GOODS DESCRIPTION</t>
  </si>
  <si>
    <t>Master category</t>
  </si>
  <si>
    <t>Model Name</t>
  </si>
  <si>
    <t>Model Number</t>
  </si>
  <si>
    <t>Capacity</t>
  </si>
  <si>
    <t>Qty</t>
  </si>
  <si>
    <t>Unit of measure</t>
  </si>
  <si>
    <t>Price</t>
  </si>
  <si>
    <t>Unit of measure.1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</si>
  <si>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</si>
  <si>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</si>
  <si>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</si>
  <si>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</si>
  <si>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</si>
  <si>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</si>
  <si>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</si>
  <si>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INNSA1</t>
  </si>
  <si>
    <t>INTMX6</t>
  </si>
  <si>
    <t>2025-10-28</t>
  </si>
  <si>
    <t>2025-10-23</t>
  </si>
  <si>
    <t>2025-10-13</t>
  </si>
  <si>
    <t>2025-10-08</t>
  </si>
  <si>
    <t>2025-10-06</t>
  </si>
  <si>
    <t>2025-10-01</t>
  </si>
  <si>
    <t>2025-09-27</t>
  </si>
  <si>
    <t>2025-09-24</t>
  </si>
  <si>
    <t>2025-09-23</t>
  </si>
  <si>
    <t>2025-09-20</t>
  </si>
  <si>
    <t>2025-09-10</t>
  </si>
  <si>
    <t>2025-09-09</t>
  </si>
  <si>
    <t>2025-09-05</t>
  </si>
  <si>
    <t>2025-09-02</t>
  </si>
  <si>
    <t>2025-08-30</t>
  </si>
  <si>
    <t>2025-08-29</t>
  </si>
  <si>
    <t>2025-08-23</t>
  </si>
  <si>
    <t>2025-08-20</t>
  </si>
  <si>
    <t>2025-08-16</t>
  </si>
  <si>
    <t>2025-08-07</t>
  </si>
  <si>
    <t>2025-08-01</t>
  </si>
  <si>
    <t>2025-07-29</t>
  </si>
  <si>
    <t>2025-07-28</t>
  </si>
  <si>
    <t>2025-07-23</t>
  </si>
  <si>
    <t>2025-07-22</t>
  </si>
  <si>
    <t>2025-07-17</t>
  </si>
  <si>
    <t>2025-07-16</t>
  </si>
  <si>
    <t>2025-07-15</t>
  </si>
  <si>
    <t>2025-07-10</t>
  </si>
  <si>
    <t>2025-07-02</t>
  </si>
  <si>
    <t>2025-06-28</t>
  </si>
  <si>
    <t>2025-06-27</t>
  </si>
  <si>
    <t>2025-06-25</t>
  </si>
  <si>
    <t>2025-06-23</t>
  </si>
  <si>
    <t>2025-06-10</t>
  </si>
  <si>
    <t>2025-06-05</t>
  </si>
  <si>
    <t>2025-06-03</t>
  </si>
  <si>
    <t>2025-05-27</t>
  </si>
  <si>
    <t>2025-05-26</t>
  </si>
  <si>
    <t>2025-05-23</t>
  </si>
  <si>
    <t>2025-05-20</t>
  </si>
  <si>
    <t>2025-05-12</t>
  </si>
  <si>
    <t>2025-05-09</t>
  </si>
  <si>
    <t>2025-05-06</t>
  </si>
  <si>
    <t>2025-05-05</t>
  </si>
  <si>
    <t>2025-05-04</t>
  </si>
  <si>
    <t>2025-05-01</t>
  </si>
  <si>
    <t>2025-04-26</t>
  </si>
  <si>
    <t>2025-04-22</t>
  </si>
  <si>
    <t>2025-04-21</t>
  </si>
  <si>
    <t>2025-04-18</t>
  </si>
  <si>
    <t>2025-04-15</t>
  </si>
  <si>
    <t>2025-04-05</t>
  </si>
  <si>
    <t>2025-04-04</t>
  </si>
  <si>
    <t>2025-03-29</t>
  </si>
  <si>
    <t>2025-03-28</t>
  </si>
  <si>
    <t>2025-03-27</t>
  </si>
  <si>
    <t>2025-03-12</t>
  </si>
  <si>
    <t>2025-03-10</t>
  </si>
  <si>
    <t>2025-03-07</t>
  </si>
  <si>
    <t>2025-02-12</t>
  </si>
  <si>
    <t>2025-02-10</t>
  </si>
  <si>
    <t>2025-02-06</t>
  </si>
  <si>
    <t>2025-02-03</t>
  </si>
  <si>
    <t>2025-01-29</t>
  </si>
  <si>
    <t>2025-01-28</t>
  </si>
  <si>
    <t>2025-01-27</t>
  </si>
  <si>
    <t>2025-01-25</t>
  </si>
  <si>
    <t>2025-01-18</t>
  </si>
  <si>
    <t>2025-01-17</t>
  </si>
  <si>
    <t>2025-01-15</t>
  </si>
  <si>
    <t>2025-01-14</t>
  </si>
  <si>
    <t>2025-01-13</t>
  </si>
  <si>
    <t>2025-01-09</t>
  </si>
  <si>
    <t>2025-01-08</t>
  </si>
  <si>
    <t>2025-01-04</t>
  </si>
  <si>
    <t>2025-01-03</t>
  </si>
  <si>
    <t>2025-01-02</t>
  </si>
  <si>
    <t>2024-12-20</t>
  </si>
  <si>
    <t>2024-12-04</t>
  </si>
  <si>
    <t>2024-11-30</t>
  </si>
  <si>
    <t>2024-11-27</t>
  </si>
  <si>
    <t>2024-11-19</t>
  </si>
  <si>
    <t>2024-11-12</t>
  </si>
  <si>
    <t>2024-11-05</t>
  </si>
  <si>
    <t>2024-10-30</t>
  </si>
  <si>
    <t>2024-10-22</t>
  </si>
  <si>
    <t>2024-10-18</t>
  </si>
  <si>
    <t>2024-10-16</t>
  </si>
  <si>
    <t>2024-10-14</t>
  </si>
  <si>
    <t>2024-10-13</t>
  </si>
  <si>
    <t>2024-10-08</t>
  </si>
  <si>
    <t>2024-10-05</t>
  </si>
  <si>
    <t>2024-10-01</t>
  </si>
  <si>
    <t>2024-09-28</t>
  </si>
  <si>
    <t>2024-09-25</t>
  </si>
  <si>
    <t>2024-09-11</t>
  </si>
  <si>
    <t>2024-09-06</t>
  </si>
  <si>
    <t>2024-09-05</t>
  </si>
  <si>
    <t>2024-09-03</t>
  </si>
  <si>
    <t>2024-08-29</t>
  </si>
  <si>
    <t>2024-08-26</t>
  </si>
  <si>
    <t>2024-08-24</t>
  </si>
  <si>
    <t>2024-08-20</t>
  </si>
  <si>
    <t>2024-08-16</t>
  </si>
  <si>
    <t>2024-08-13</t>
  </si>
  <si>
    <t>2024-08-12</t>
  </si>
  <si>
    <t>2024-08-10</t>
  </si>
  <si>
    <t>2024-08-05</t>
  </si>
  <si>
    <t>2024-08-02</t>
  </si>
  <si>
    <t>2024-07-30</t>
  </si>
  <si>
    <t>2024-07-26</t>
  </si>
  <si>
    <t>2024-07-19</t>
  </si>
  <si>
    <t>2024-07-18</t>
  </si>
  <si>
    <t>2024-07-15</t>
  </si>
  <si>
    <t>2024-07-07</t>
  </si>
  <si>
    <t>2024-07-02</t>
  </si>
  <si>
    <t>2024-06-29</t>
  </si>
  <si>
    <t>2024-06-27</t>
  </si>
  <si>
    <t>2024-06-24</t>
  </si>
  <si>
    <t>2024-06-22</t>
  </si>
  <si>
    <t>2024-06-21</t>
  </si>
  <si>
    <t>2024-06-20</t>
  </si>
  <si>
    <t>2024-06-17</t>
  </si>
  <si>
    <t>2024-06-15</t>
  </si>
  <si>
    <t>2024-06-11</t>
  </si>
  <si>
    <t>2024-06-06</t>
  </si>
  <si>
    <t>2024-06-04</t>
  </si>
  <si>
    <t>2024-06-01</t>
  </si>
  <si>
    <t>2024-05-31</t>
  </si>
  <si>
    <t>2024-05-28</t>
  </si>
  <si>
    <t>2024-05-24</t>
  </si>
  <si>
    <t>2024-05-23</t>
  </si>
  <si>
    <t>2024-05-22</t>
  </si>
  <si>
    <t>2024-05-19</t>
  </si>
  <si>
    <t>2024-05-17</t>
  </si>
  <si>
    <t>2024-05-15</t>
  </si>
  <si>
    <t>2024-05-07</t>
  </si>
  <si>
    <t>2024-05-06</t>
  </si>
  <si>
    <t>2024-05-04</t>
  </si>
  <si>
    <t>2024-04-30</t>
  </si>
  <si>
    <t>2024-04-27</t>
  </si>
  <si>
    <t>2024-04-20</t>
  </si>
  <si>
    <t>2024-04-17</t>
  </si>
  <si>
    <t>2024-04-13</t>
  </si>
  <si>
    <t>2024-04-12</t>
  </si>
  <si>
    <t>2024-04-11</t>
  </si>
  <si>
    <t>2024-04-06</t>
  </si>
  <si>
    <t>2024-04-03</t>
  </si>
  <si>
    <t>2024-03-23</t>
  </si>
  <si>
    <t>2024-03-21</t>
  </si>
  <si>
    <t>2024-03-20</t>
  </si>
  <si>
    <t>2024-02-27</t>
  </si>
  <si>
    <t>2024-02-26</t>
  </si>
  <si>
    <t>2024-02-23</t>
  </si>
  <si>
    <t>2024-02-20</t>
  </si>
  <si>
    <t>2024-02-17</t>
  </si>
  <si>
    <t>2024-02-15</t>
  </si>
  <si>
    <t>2024-02-12</t>
  </si>
  <si>
    <t>2024-02-10</t>
  </si>
  <si>
    <t>2024-02-08</t>
  </si>
  <si>
    <t>2024-02-07</t>
  </si>
  <si>
    <t>2024-02-06</t>
  </si>
  <si>
    <t>2024-02-04</t>
  </si>
  <si>
    <t>2024-02-03</t>
  </si>
  <si>
    <t>2024-02-02</t>
  </si>
  <si>
    <t>2024-01-29</t>
  </si>
  <si>
    <t>2024-01-27</t>
  </si>
  <si>
    <t>2024-01-20</t>
  </si>
  <si>
    <t>2024-01-19</t>
  </si>
  <si>
    <t>2024-01-18</t>
  </si>
  <si>
    <t>2024-01-17</t>
  </si>
  <si>
    <t>2024-01-12</t>
  </si>
  <si>
    <t>2024-01-09</t>
  </si>
  <si>
    <t>2024-01-08</t>
  </si>
  <si>
    <t>2024-01-04</t>
  </si>
  <si>
    <t>2024-01-02</t>
  </si>
  <si>
    <t>2023-12-30</t>
  </si>
  <si>
    <t>2023-12-27</t>
  </si>
  <si>
    <t>2023-12-23</t>
  </si>
  <si>
    <t>2023-12-21</t>
  </si>
  <si>
    <t>2023-12-12</t>
  </si>
  <si>
    <t>2023-12-11</t>
  </si>
  <si>
    <t>2023-12-09</t>
  </si>
  <si>
    <t>2023-12-07</t>
  </si>
  <si>
    <t>2023-12-06</t>
  </si>
  <si>
    <t>2023-12-05</t>
  </si>
  <si>
    <t>2023-12-01</t>
  </si>
  <si>
    <t>2023-11-30</t>
  </si>
  <si>
    <t>2023-11-29</t>
  </si>
  <si>
    <t>2023-11-23</t>
  </si>
  <si>
    <t>2023-11-22</t>
  </si>
  <si>
    <t>2023-11-21</t>
  </si>
  <si>
    <t>2023-11-17</t>
  </si>
  <si>
    <t>2023-11-13</t>
  </si>
  <si>
    <t>2023-11-11</t>
  </si>
  <si>
    <t>2023-11-07</t>
  </si>
  <si>
    <t>2023-10-28</t>
  </si>
  <si>
    <t>2023-10-26</t>
  </si>
  <si>
    <t>2023-10-24</t>
  </si>
  <si>
    <t>2023-10-17</t>
  </si>
  <si>
    <t>2023-10-16</t>
  </si>
  <si>
    <t>2023-10-14</t>
  </si>
  <si>
    <t>2023-10-13</t>
  </si>
  <si>
    <t>2023-10-08</t>
  </si>
  <si>
    <t>2023-10-06</t>
  </si>
  <si>
    <t>2023-10-05</t>
  </si>
  <si>
    <t>2023-10-03</t>
  </si>
  <si>
    <t>2023-09-29</t>
  </si>
  <si>
    <t>2023-09-27</t>
  </si>
  <si>
    <t>2023-09-26</t>
  </si>
  <si>
    <t>2023-09-25</t>
  </si>
  <si>
    <t>2023-09-23</t>
  </si>
  <si>
    <t>2023-09-20</t>
  </si>
  <si>
    <t>2023-09-18</t>
  </si>
  <si>
    <t>2023-09-16</t>
  </si>
  <si>
    <t>2023-09-13</t>
  </si>
  <si>
    <t>2023-09-12</t>
  </si>
  <si>
    <t>2023-09-11</t>
  </si>
  <si>
    <t>2023-09-08</t>
  </si>
  <si>
    <t>2023-09-07</t>
  </si>
  <si>
    <t>2023-09-04</t>
  </si>
  <si>
    <t>2023-09-02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</si>
  <si>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</si>
  <si>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</si>
  <si>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</si>
  <si>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</si>
  <si>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</si>
  <si>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</si>
  <si>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</si>
  <si>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2023-08-21</t>
  </si>
  <si>
    <t>2023-08-17</t>
  </si>
  <si>
    <t>2023-08-16</t>
  </si>
  <si>
    <t>2023-08-11</t>
  </si>
  <si>
    <t>2023-08-08</t>
  </si>
  <si>
    <t>2023-08-07</t>
  </si>
  <si>
    <t>2023-08-05</t>
  </si>
  <si>
    <t>2023-08-02</t>
  </si>
  <si>
    <t>2023-07-31</t>
  </si>
  <si>
    <t>2023-07-29</t>
  </si>
  <si>
    <t>2023-07-24</t>
  </si>
  <si>
    <t>2023-07-20</t>
  </si>
  <si>
    <t>2023-07-19</t>
  </si>
  <si>
    <t>2023-07-18</t>
  </si>
  <si>
    <t>2023-07-17</t>
  </si>
  <si>
    <t>2023-07-13</t>
  </si>
  <si>
    <t>2023-07-07</t>
  </si>
  <si>
    <t>2023-07-06</t>
  </si>
  <si>
    <t>2023-07-04</t>
  </si>
  <si>
    <t>2023-07-03</t>
  </si>
  <si>
    <t>2023-06-30</t>
  </si>
  <si>
    <t>2023-06-29</t>
  </si>
  <si>
    <t>2023-06-27</t>
  </si>
  <si>
    <t>2023-06-21</t>
  </si>
  <si>
    <t>2023-06-20</t>
  </si>
  <si>
    <t>2023-06-17</t>
  </si>
  <si>
    <t>2023-06-14</t>
  </si>
  <si>
    <t>2023-06-13</t>
  </si>
  <si>
    <t>2023-06-12</t>
  </si>
  <si>
    <t>2023-06-09</t>
  </si>
  <si>
    <t>2023-06-06</t>
  </si>
  <si>
    <t>2023-06-02</t>
  </si>
  <si>
    <t>2023-06-01</t>
  </si>
  <si>
    <t>2023-05-29</t>
  </si>
  <si>
    <t>2023-05-20</t>
  </si>
  <si>
    <t>2023-05-19</t>
  </si>
  <si>
    <t>2023-05-15</t>
  </si>
  <si>
    <t>2023-05-10</t>
  </si>
  <si>
    <t>2023-05-04</t>
  </si>
  <si>
    <t>2023-04-28</t>
  </si>
  <si>
    <t>2023-04-27</t>
  </si>
  <si>
    <t>2023-04-26</t>
  </si>
  <si>
    <t>2023-04-24</t>
  </si>
  <si>
    <t>2023-04-22</t>
  </si>
  <si>
    <t>2023-04-21</t>
  </si>
  <si>
    <t>2023-04-19</t>
  </si>
  <si>
    <t>2023-04-15</t>
  </si>
  <si>
    <t>2023-04-14</t>
  </si>
  <si>
    <t>2023-04-11</t>
  </si>
  <si>
    <t>2023-04-08</t>
  </si>
  <si>
    <t>2023-04-07</t>
  </si>
  <si>
    <t>2023-04-06</t>
  </si>
  <si>
    <t>2023-04-03</t>
  </si>
  <si>
    <t>2023-03-21</t>
  </si>
  <si>
    <t>2023-03-17</t>
  </si>
  <si>
    <t>2023-03-15</t>
  </si>
  <si>
    <t>2023-03-14</t>
  </si>
  <si>
    <t>2023-03-11</t>
  </si>
  <si>
    <t>2023-03-04</t>
  </si>
  <si>
    <t>2023-03-01</t>
  </si>
  <si>
    <t>2023-02-10</t>
  </si>
  <si>
    <t>2023-02-02</t>
  </si>
  <si>
    <t>2023-01-31</t>
  </si>
  <si>
    <t>2023-01-24</t>
  </si>
  <si>
    <t>2023-01-20</t>
  </si>
  <si>
    <t>2023-01-18</t>
  </si>
  <si>
    <t>2023-01-09</t>
  </si>
  <si>
    <t>2023-01-07</t>
  </si>
  <si>
    <t>2022-12-31</t>
  </si>
  <si>
    <t>2022-12-27</t>
  </si>
  <si>
    <t>2022-12-22</t>
  </si>
  <si>
    <t>2022-12-21</t>
  </si>
  <si>
    <t>2022-12-20</t>
  </si>
  <si>
    <t>2022-12-19</t>
  </si>
  <si>
    <t>2022-12-15</t>
  </si>
  <si>
    <t>2022-12-09</t>
  </si>
  <si>
    <t>2022-12-08</t>
  </si>
  <si>
    <t>2022-12-01</t>
  </si>
  <si>
    <t>2022-11-26</t>
  </si>
  <si>
    <t>2022-11-25</t>
  </si>
  <si>
    <t>2022-11-18</t>
  </si>
  <si>
    <t>2022-11-16</t>
  </si>
  <si>
    <t>2022-11-15</t>
  </si>
  <si>
    <t>2022-11-10</t>
  </si>
  <si>
    <t>2022-11-05</t>
  </si>
  <si>
    <t>2022-11-04</t>
  </si>
  <si>
    <t>2022-11-03</t>
  </si>
  <si>
    <t>2022-11-01</t>
  </si>
  <si>
    <t>2022-10-29</t>
  </si>
  <si>
    <t>2022-10-18</t>
  </si>
  <si>
    <t>2022-10-12</t>
  </si>
  <si>
    <t>2022-10-11</t>
  </si>
  <si>
    <t>2022-10-07</t>
  </si>
  <si>
    <t>2022-10-06</t>
  </si>
  <si>
    <t>2022-09-24</t>
  </si>
  <si>
    <t>2022-09-22</t>
  </si>
  <si>
    <t>2022-09-19</t>
  </si>
  <si>
    <t>2022-09-17</t>
  </si>
  <si>
    <t>2022-09-12</t>
  </si>
  <si>
    <t>2022-09-08</t>
  </si>
  <si>
    <t>2022-09-03</t>
  </si>
  <si>
    <t>2022-08-30</t>
  </si>
  <si>
    <t>2022-08-23</t>
  </si>
  <si>
    <t>2022-08-22</t>
  </si>
  <si>
    <t>2022-08-20</t>
  </si>
  <si>
    <t>2022-08-18</t>
  </si>
  <si>
    <t>2022-08-16</t>
  </si>
  <si>
    <t>2022-08-12</t>
  </si>
  <si>
    <t>2022-08-10</t>
  </si>
  <si>
    <t>2022-08-08</t>
  </si>
  <si>
    <t>2022-08-06</t>
  </si>
  <si>
    <t>2022-08-02</t>
  </si>
  <si>
    <t>2022-07-30</t>
  </si>
  <si>
    <t>2022-07-28</t>
  </si>
  <si>
    <t>2022-07-25</t>
  </si>
  <si>
    <t>2022-07-23</t>
  </si>
  <si>
    <t>2022-07-19</t>
  </si>
  <si>
    <t>2022-07-18</t>
  </si>
  <si>
    <t>2022-07-12</t>
  </si>
  <si>
    <t>2022-07-04</t>
  </si>
  <si>
    <t>2022-06-29</t>
  </si>
  <si>
    <t>2022-06-24</t>
  </si>
  <si>
    <t>2022-06-19</t>
  </si>
  <si>
    <t>2022-06-16</t>
  </si>
  <si>
    <t>2022-06-14</t>
  </si>
  <si>
    <t>2022-06-06</t>
  </si>
  <si>
    <t>2022-06-01</t>
  </si>
  <si>
    <t>2022-05-30</t>
  </si>
  <si>
    <t>2022-05-27</t>
  </si>
  <si>
    <t>2022-05-26</t>
  </si>
  <si>
    <t>2022-05-18</t>
  </si>
  <si>
    <t>2022-05-14</t>
  </si>
  <si>
    <t>2022-05-13</t>
  </si>
  <si>
    <t>2022-05-11</t>
  </si>
  <si>
    <t>2022-05-07</t>
  </si>
  <si>
    <t>2022-05-05</t>
  </si>
  <si>
    <t>2022-05-04</t>
  </si>
  <si>
    <t>2022-05-02</t>
  </si>
  <si>
    <t>2022-04-25</t>
  </si>
  <si>
    <t>2022-04-22</t>
  </si>
  <si>
    <t>2022-04-21</t>
  </si>
  <si>
    <t>2022-04-20</t>
  </si>
  <si>
    <t>2022-04-06</t>
  </si>
  <si>
    <t>2022-03-31</t>
  </si>
  <si>
    <t>2022-03-29</t>
  </si>
  <si>
    <t>2022-03-28</t>
  </si>
  <si>
    <t>2022-03-22</t>
  </si>
  <si>
    <t>2022-03-09</t>
  </si>
  <si>
    <t>2022-02-26</t>
  </si>
  <si>
    <t>2022-02-11</t>
  </si>
  <si>
    <t>2022-02-09</t>
  </si>
  <si>
    <t>2022-02-08</t>
  </si>
  <si>
    <t>2022-02-04</t>
  </si>
  <si>
    <t>2022-02-03</t>
  </si>
  <si>
    <t>2022-01-22</t>
  </si>
  <si>
    <t>2022-01-19</t>
  </si>
  <si>
    <t>2022-01-18</t>
  </si>
  <si>
    <t>2022-01-07</t>
  </si>
  <si>
    <t>2021-12-29</t>
  </si>
  <si>
    <t>2021-12-28</t>
  </si>
  <si>
    <t>2021-12-23</t>
  </si>
  <si>
    <t>2021-12-14</t>
  </si>
  <si>
    <t>2021-12-08</t>
  </si>
  <si>
    <t>2021-12-07</t>
  </si>
  <si>
    <t>2021-12-04</t>
  </si>
  <si>
    <t>2021-11-28</t>
  </si>
  <si>
    <t>2021-11-27</t>
  </si>
  <si>
    <t>2021-11-23</t>
  </si>
  <si>
    <t>2021-11-20</t>
  </si>
  <si>
    <t>2021-11-08</t>
  </si>
  <si>
    <t>2021-11-01</t>
  </si>
  <si>
    <t>2021-10-28</t>
  </si>
  <si>
    <t>2021-10-26</t>
  </si>
  <si>
    <t>2021-10-20</t>
  </si>
  <si>
    <t>2021-10-19</t>
  </si>
  <si>
    <t>2021-09-21</t>
  </si>
  <si>
    <t>2021-09-16</t>
  </si>
  <si>
    <t>2021-09-11</t>
  </si>
  <si>
    <t>2021-09-10</t>
  </si>
  <si>
    <t>2021-08-27</t>
  </si>
  <si>
    <t>2021-08-23</t>
  </si>
  <si>
    <t>2021-08-03</t>
  </si>
  <si>
    <t>2021-07-26</t>
  </si>
  <si>
    <t>2021-07-22</t>
  </si>
  <si>
    <t>2021-07-21</t>
  </si>
  <si>
    <t>2021-07-19</t>
  </si>
  <si>
    <t>2021-07-12</t>
  </si>
  <si>
    <t>2021-07-09</t>
  </si>
  <si>
    <t>2021-07-07</t>
  </si>
  <si>
    <t>2021-06-29</t>
  </si>
  <si>
    <t>2021-06-28</t>
  </si>
  <si>
    <t>2021-06-23</t>
  </si>
  <si>
    <t>2021-06-18</t>
  </si>
  <si>
    <t>2021-06-16</t>
  </si>
  <si>
    <t>2021-06-15</t>
  </si>
  <si>
    <t>2021-06-14</t>
  </si>
  <si>
    <t>2021-06-12</t>
  </si>
  <si>
    <t>2021-06-10</t>
  </si>
  <si>
    <t>2021-06-09</t>
  </si>
  <si>
    <t>2021-06-05</t>
  </si>
  <si>
    <t>2021-06-02</t>
  </si>
  <si>
    <t>2021-05-31</t>
  </si>
  <si>
    <t>2021-05-28</t>
  </si>
  <si>
    <t>2021-05-27</t>
  </si>
  <si>
    <t>2021-05-25</t>
  </si>
  <si>
    <t>2021-05-22</t>
  </si>
  <si>
    <t>2021-05-15</t>
  </si>
  <si>
    <t>2021-05-14</t>
  </si>
  <si>
    <t>2021-05-12</t>
  </si>
  <si>
    <t>2021-05-07</t>
  </si>
  <si>
    <t>2021-05-06</t>
  </si>
  <si>
    <t>2021-05-04</t>
  </si>
  <si>
    <t>2021-05-01</t>
  </si>
  <si>
    <t>2021-04-28</t>
  </si>
  <si>
    <t>2021-04-27</t>
  </si>
  <si>
    <t>2021-04-25</t>
  </si>
  <si>
    <t>2021-04-22</t>
  </si>
  <si>
    <t>2021-04-21</t>
  </si>
  <si>
    <t>2021-04-10</t>
  </si>
  <si>
    <t>2021-04-09</t>
  </si>
  <si>
    <t>2021-04-01</t>
  </si>
  <si>
    <t>2021-03-27</t>
  </si>
  <si>
    <t>2021-03-26</t>
  </si>
  <si>
    <t>2021-03-25</t>
  </si>
  <si>
    <t>2021-03-23</t>
  </si>
  <si>
    <t>2021-03-16</t>
  </si>
  <si>
    <t>2021-03-03</t>
  </si>
  <si>
    <t>2021-02-20</t>
  </si>
  <si>
    <t>2021-02-17</t>
  </si>
  <si>
    <t>2021-02-16</t>
  </si>
  <si>
    <t>2021-02-10</t>
  </si>
  <si>
    <t>2021-02-08</t>
  </si>
  <si>
    <t>2021-02-06</t>
  </si>
  <si>
    <t>2021-02-04</t>
  </si>
  <si>
    <t>2021-01-29</t>
  </si>
  <si>
    <t>2021-01-14</t>
  </si>
  <si>
    <t>2021-01-13</t>
  </si>
  <si>
    <t>2021-01-12</t>
  </si>
  <si>
    <t>2021-01-08</t>
  </si>
  <si>
    <t>2020-12-31</t>
  </si>
  <si>
    <t>2020-12-28</t>
  </si>
  <si>
    <t>2020-12-17</t>
  </si>
  <si>
    <t>2020-12-11</t>
  </si>
  <si>
    <t>2020-12-08</t>
  </si>
  <si>
    <t>2020-11-30</t>
  </si>
  <si>
    <t>2020-11-27</t>
  </si>
  <si>
    <t>2020-11-21</t>
  </si>
  <si>
    <t>2020-11-12</t>
  </si>
  <si>
    <t>2020-11-11</t>
  </si>
  <si>
    <t>2020-11-03</t>
  </si>
  <si>
    <t>2020-11-02</t>
  </si>
  <si>
    <t>2020-10-17</t>
  </si>
  <si>
    <t>2020-10-16</t>
  </si>
  <si>
    <t>2020-10-15</t>
  </si>
  <si>
    <t>2020-10-07</t>
  </si>
  <si>
    <t>2020-10-03</t>
  </si>
  <si>
    <t>2020-09-23</t>
  </si>
  <si>
    <t>2020-09-12</t>
  </si>
  <si>
    <t>2020-09-10</t>
  </si>
  <si>
    <t>2020-08-29</t>
  </si>
  <si>
    <t>2020-08-28</t>
  </si>
  <si>
    <t>2020-08-27</t>
  </si>
  <si>
    <t>2020-08-15</t>
  </si>
  <si>
    <t>2020-07-29</t>
  </si>
  <si>
    <t>2020-07-27</t>
  </si>
  <si>
    <t>2020-07-22</t>
  </si>
  <si>
    <t>2020-07-21</t>
  </si>
  <si>
    <t>2020-07-20</t>
  </si>
  <si>
    <t>2020-07-10</t>
  </si>
  <si>
    <t>2020-07-06</t>
  </si>
  <si>
    <t>2020-07-04</t>
  </si>
  <si>
    <t>2020-06-29</t>
  </si>
  <si>
    <t>2020-06-24</t>
  </si>
  <si>
    <t>2020-06-18</t>
  </si>
  <si>
    <t>2020-06-05</t>
  </si>
  <si>
    <t>2020-06-03</t>
  </si>
  <si>
    <t>2020-05-29</t>
  </si>
  <si>
    <t>2020-05-23</t>
  </si>
  <si>
    <t>2020-05-15</t>
  </si>
  <si>
    <t>2020-05-14</t>
  </si>
  <si>
    <t>2020-05-09</t>
  </si>
  <si>
    <t>2020-05-07</t>
  </si>
  <si>
    <t>2020-05-06</t>
  </si>
  <si>
    <t>2020-05-03</t>
  </si>
  <si>
    <t>2020-05-01</t>
  </si>
  <si>
    <t>2020-04-27</t>
  </si>
  <si>
    <t>2020-04-25</t>
  </si>
  <si>
    <t>2020-04-24</t>
  </si>
  <si>
    <t>2020-04-17</t>
  </si>
  <si>
    <t>2020-04-11</t>
  </si>
  <si>
    <t>2020-04-04</t>
  </si>
  <si>
    <t>2020-03-31</t>
  </si>
  <si>
    <t>2020-03-20</t>
  </si>
  <si>
    <t>2020-02-05</t>
  </si>
  <si>
    <t>2020-01-31</t>
  </si>
  <si>
    <t>2020-01-30</t>
  </si>
  <si>
    <t>2020-01-29</t>
  </si>
  <si>
    <t>2020-01-22</t>
  </si>
  <si>
    <t>2020-01-21</t>
  </si>
  <si>
    <t>2020-01-17</t>
  </si>
  <si>
    <t>2020-01-16</t>
  </si>
  <si>
    <t>2020-01-15</t>
  </si>
  <si>
    <t>2020-01-09</t>
  </si>
  <si>
    <t>2020-01-07</t>
  </si>
  <si>
    <t>2020-01-06</t>
  </si>
  <si>
    <t>2019-12-30</t>
  </si>
  <si>
    <t>2019-12-26</t>
  </si>
  <si>
    <t>2019-12-24</t>
  </si>
  <si>
    <t>2019-12-23</t>
  </si>
  <si>
    <t>2019-12-21</t>
  </si>
  <si>
    <t>2019-12-18</t>
  </si>
  <si>
    <t>2019-12-09</t>
  </si>
  <si>
    <t>2019-11-26</t>
  </si>
  <si>
    <t>2019-11-13</t>
  </si>
  <si>
    <t>2019-11-05</t>
  </si>
  <si>
    <t>2019-10-15</t>
  </si>
  <si>
    <t>2019-10-09</t>
  </si>
  <si>
    <t>2019-10-07</t>
  </si>
  <si>
    <t>2019-09-24</t>
  </si>
  <si>
    <t>2019-09-23</t>
  </si>
  <si>
    <t>2019-09-18</t>
  </si>
  <si>
    <t>2019-09-17</t>
  </si>
  <si>
    <t>2019-09-10</t>
  </si>
  <si>
    <t>2019-08-31</t>
  </si>
  <si>
    <t>2019-08-29</t>
  </si>
  <si>
    <t>2019-08-24</t>
  </si>
  <si>
    <t>2019-08-19</t>
  </si>
  <si>
    <t>2019-08-13</t>
  </si>
  <si>
    <t>2019-08-12</t>
  </si>
  <si>
    <t>2019-08-10</t>
  </si>
  <si>
    <t>2019-08-05</t>
  </si>
  <si>
    <t>2019-08-03</t>
  </si>
  <si>
    <t>2019-07-30</t>
  </si>
  <si>
    <t>2019-07-24</t>
  </si>
  <si>
    <t>2019-07-23</t>
  </si>
  <si>
    <t>2019-07-18</t>
  </si>
  <si>
    <t>2019-07-15</t>
  </si>
  <si>
    <t>2019-07-10</t>
  </si>
  <si>
    <t>2019-07-05</t>
  </si>
  <si>
    <t>2019-07-04</t>
  </si>
  <si>
    <t>2019-07-03</t>
  </si>
  <si>
    <t>2019-06-25</t>
  </si>
  <si>
    <t>2019-06-24</t>
  </si>
  <si>
    <t>2019-06-19</t>
  </si>
  <si>
    <t>2019-06-18</t>
  </si>
  <si>
    <t>2019-06-14</t>
  </si>
  <si>
    <t>2019-06-12</t>
  </si>
  <si>
    <t>2019-06-11</t>
  </si>
  <si>
    <t>2019-06-10</t>
  </si>
  <si>
    <t>2019-06-03</t>
  </si>
  <si>
    <t>2019-06-01</t>
  </si>
  <si>
    <t>2019-05-28</t>
  </si>
  <si>
    <t>2019-05-22</t>
  </si>
  <si>
    <t>2019-05-21</t>
  </si>
  <si>
    <t>2019-05-15</t>
  </si>
  <si>
    <t>2019-05-14</t>
  </si>
  <si>
    <t>2019-05-04</t>
  </si>
  <si>
    <t>2019-05-02</t>
  </si>
  <si>
    <t>2019-04-30</t>
  </si>
  <si>
    <t>2019-04-24</t>
  </si>
  <si>
    <t>2019-04-23</t>
  </si>
  <si>
    <t>2019-04-20</t>
  </si>
  <si>
    <t>2019-04-15</t>
  </si>
  <si>
    <t>2019-04-11</t>
  </si>
  <si>
    <t>2019-04-10</t>
  </si>
  <si>
    <t>2019-04-09</t>
  </si>
  <si>
    <t>2019-04-08</t>
  </si>
  <si>
    <t>2019-04-05</t>
  </si>
  <si>
    <t>2019-04-03</t>
  </si>
  <si>
    <t>2019-04-02</t>
  </si>
  <si>
    <t>2019-04-01</t>
  </si>
  <si>
    <t>2019-03-29</t>
  </si>
  <si>
    <t>2019-03-26</t>
  </si>
  <si>
    <t>2019-03-13</t>
  </si>
  <si>
    <t>2019-02-26</t>
  </si>
  <si>
    <t>2019-02-20</t>
  </si>
  <si>
    <t>2019-02-19</t>
  </si>
  <si>
    <t>2019-02-12</t>
  </si>
  <si>
    <t>2019-02-11</t>
  </si>
  <si>
    <t>2019-02-06</t>
  </si>
  <si>
    <t>2019-02-05</t>
  </si>
  <si>
    <t>2019-01-29</t>
  </si>
  <si>
    <t>2019-01-28</t>
  </si>
  <si>
    <t>2019-01-22</t>
  </si>
  <si>
    <t>2019-01-21</t>
  </si>
  <si>
    <t>2019-01-19</t>
  </si>
  <si>
    <t>2019-01-15</t>
  </si>
  <si>
    <t>2019-01-14</t>
  </si>
  <si>
    <t>2019-01-12</t>
  </si>
  <si>
    <t>2019-01-11</t>
  </si>
  <si>
    <t>2019-01-08</t>
  </si>
  <si>
    <t>2019-01-07</t>
  </si>
  <si>
    <t>2019-01-02</t>
  </si>
  <si>
    <t>2018-12-31</t>
  </si>
  <si>
    <t>2018-12-29</t>
  </si>
  <si>
    <t>2018-12-25</t>
  </si>
  <si>
    <t>2018-12-22</t>
  </si>
  <si>
    <t>2018-12-15</t>
  </si>
  <si>
    <t>2018-12-11</t>
  </si>
  <si>
    <t>2018-12-10</t>
  </si>
  <si>
    <t>2018-12-08</t>
  </si>
  <si>
    <t>2018-12-07</t>
  </si>
  <si>
    <t>2018-12-04</t>
  </si>
  <si>
    <t>2018-12-03</t>
  </si>
  <si>
    <t>2018-11-24</t>
  </si>
  <si>
    <t>2018-11-19</t>
  </si>
  <si>
    <t>2018-11-17</t>
  </si>
  <si>
    <t>2018-11-15</t>
  </si>
  <si>
    <t>2018-11-06</t>
  </si>
  <si>
    <t>2018-11-05</t>
  </si>
  <si>
    <t>2018-11-03</t>
  </si>
  <si>
    <t>2018-10-31</t>
  </si>
  <si>
    <t>2018-10-26</t>
  </si>
  <si>
    <t>2018-10-15</t>
  </si>
  <si>
    <t>2018-10-13</t>
  </si>
  <si>
    <t>2018-10-10</t>
  </si>
  <si>
    <t>2018-10-08</t>
  </si>
  <si>
    <t>2018-10-03</t>
  </si>
  <si>
    <t>2018-10-01</t>
  </si>
  <si>
    <t>2018-09-26</t>
  </si>
  <si>
    <t>2018-09-25</t>
  </si>
  <si>
    <t>2018-09-24</t>
  </si>
  <si>
    <t>2018-09-18</t>
  </si>
  <si>
    <t>2018-09-17</t>
  </si>
  <si>
    <t>2018-09-10</t>
  </si>
  <si>
    <t>2018-09-08</t>
  </si>
  <si>
    <t>2018-09-03</t>
  </si>
  <si>
    <t>2018-08-30</t>
  </si>
  <si>
    <t>2018-08-29</t>
  </si>
  <si>
    <t>2018-08-28</t>
  </si>
  <si>
    <t>2018-08-27</t>
  </si>
  <si>
    <t>2018-08-20</t>
  </si>
  <si>
    <t>2018-08-16</t>
  </si>
  <si>
    <t>2018-08-14</t>
  </si>
  <si>
    <t>2018-08-13</t>
  </si>
  <si>
    <t>2018-08-07</t>
  </si>
  <si>
    <t>2018-08-06</t>
  </si>
  <si>
    <t>2018-08-01</t>
  </si>
  <si>
    <t>2018-07-28</t>
  </si>
  <si>
    <t>2018-07-24</t>
  </si>
  <si>
    <t>2018-07-23</t>
  </si>
  <si>
    <t>2018-07-17</t>
  </si>
  <si>
    <t>2018-07-16</t>
  </si>
  <si>
    <t>2018-07-13</t>
  </si>
  <si>
    <t>2018-07-05</t>
  </si>
  <si>
    <t>2018-07-03</t>
  </si>
  <si>
    <t>2018-06-25</t>
  </si>
  <si>
    <t>2018-06-18</t>
  </si>
  <si>
    <t>2018-06-13</t>
  </si>
  <si>
    <t>2018-06-12</t>
  </si>
  <si>
    <t>2018-06-05</t>
  </si>
  <si>
    <t>2018-06-04</t>
  </si>
  <si>
    <t>2018-05-31</t>
  </si>
  <si>
    <t>2018-05-29</t>
  </si>
  <si>
    <t>2018-05-28</t>
  </si>
  <si>
    <t>2018-05-21</t>
  </si>
  <si>
    <t>2018-05-14</t>
  </si>
  <si>
    <t>2018-05-11</t>
  </si>
  <si>
    <t>2018-05-08</t>
  </si>
  <si>
    <t>2018-05-01</t>
  </si>
  <si>
    <t>2018-04-30</t>
  </si>
  <si>
    <t>2018-04-27</t>
  </si>
  <si>
    <t>2018-04-24</t>
  </si>
  <si>
    <t>2018-04-18</t>
  </si>
  <si>
    <t>2018-04-17</t>
  </si>
  <si>
    <t>2018-04-10</t>
  </si>
  <si>
    <t>2018-04-07</t>
  </si>
  <si>
    <t>2018-04-03</t>
  </si>
  <si>
    <t>2018-03-22</t>
  </si>
  <si>
    <t>2018-03-07</t>
  </si>
  <si>
    <t>2018-02-21</t>
  </si>
  <si>
    <t>2018-02-20</t>
  </si>
  <si>
    <t>2018-02-19</t>
  </si>
  <si>
    <t>2018-02-14</t>
  </si>
  <si>
    <t>2018-02-07</t>
  </si>
  <si>
    <t>2018-02-03</t>
  </si>
  <si>
    <t>2018-01-23</t>
  </si>
  <si>
    <t>2018-01-22</t>
  </si>
  <si>
    <t>2018-01-16</t>
  </si>
  <si>
    <t>2018-01-08</t>
  </si>
  <si>
    <t>2018-01-02</t>
  </si>
  <si>
    <t>2017-12-11</t>
  </si>
  <si>
    <t>2017-12-07</t>
  </si>
  <si>
    <t>2017-12-01</t>
  </si>
  <si>
    <t>2017-11-27</t>
  </si>
  <si>
    <t>2017-11-20</t>
  </si>
  <si>
    <t>2017-11-16</t>
  </si>
  <si>
    <t>2017-11-14</t>
  </si>
  <si>
    <t>2017-11-07</t>
  </si>
  <si>
    <t>2017-11-03</t>
  </si>
  <si>
    <t>2017-10-26</t>
  </si>
  <si>
    <t>2017-10-14</t>
  </si>
  <si>
    <t>2017-10-10</t>
  </si>
  <si>
    <t>2017-10-05</t>
  </si>
  <si>
    <t>2017-09-22</t>
  </si>
  <si>
    <t>2017-09-21</t>
  </si>
  <si>
    <t>2017-09-20</t>
  </si>
  <si>
    <t>2017-09-14</t>
  </si>
  <si>
    <t>2017-09-08</t>
  </si>
  <si>
    <t>2017-08-31</t>
  </si>
  <si>
    <t>2017-08-25</t>
  </si>
  <si>
    <t>2017-08-22</t>
  </si>
  <si>
    <t>2017-08-21</t>
  </si>
  <si>
    <t>2017-08-19</t>
  </si>
  <si>
    <t>2017-08-14</t>
  </si>
  <si>
    <t>2017-08-03</t>
  </si>
  <si>
    <t>2017-08-02</t>
  </si>
  <si>
    <t>2017-07-29</t>
  </si>
  <si>
    <t>2017-07-28</t>
  </si>
  <si>
    <t>2017-07-27</t>
  </si>
  <si>
    <t>2017-07-20</t>
  </si>
  <si>
    <t>2017-07-13</t>
  </si>
  <si>
    <t>2017-07-12</t>
  </si>
  <si>
    <t>2017-07-06</t>
  </si>
  <si>
    <t>2017-07-05</t>
  </si>
  <si>
    <t>2017-07-03</t>
  </si>
  <si>
    <t>2017-06-23</t>
  </si>
  <si>
    <t>2017-06-15</t>
  </si>
  <si>
    <t>2017-06-14</t>
  </si>
  <si>
    <t>2017-06-12</t>
  </si>
  <si>
    <t>2017-06-06</t>
  </si>
  <si>
    <t>2017-05-30</t>
  </si>
  <si>
    <t>2017-05-29</t>
  </si>
  <si>
    <t>2017-05-24</t>
  </si>
  <si>
    <t>2017-05-20</t>
  </si>
  <si>
    <t>2017-05-19</t>
  </si>
  <si>
    <t>2017-05-17</t>
  </si>
  <si>
    <t>2017-05-12</t>
  </si>
  <si>
    <t>2017-05-08</t>
  </si>
  <si>
    <t>2017-05-04</t>
  </si>
  <si>
    <t>2017-04-29</t>
  </si>
  <si>
    <t>2017-04-26</t>
  </si>
  <si>
    <t>2017-04-20</t>
  </si>
  <si>
    <t>2017-04-07</t>
  </si>
  <si>
    <t>2017-03-24</t>
  </si>
  <si>
    <t>2017-03-15</t>
  </si>
  <si>
    <t>2017-02-10</t>
  </si>
  <si>
    <t>2017-02-04</t>
  </si>
  <si>
    <t>2017-02-03</t>
  </si>
  <si>
    <t>2017-01-27</t>
  </si>
  <si>
    <t>2017-01-25</t>
  </si>
  <si>
    <t>2017-01-21</t>
  </si>
  <si>
    <t>2017-01-14</t>
  </si>
  <si>
    <t>2017-01-13</t>
  </si>
  <si>
    <t>TH5170 STEEL CUTLERY HOLDER (QTY:600 PCS/USD 2.03 PER PCS) TH5170 STEEL CUTLERY HOLDER (QTY:600 PCS/USD 2.03 PER PCS)</t>
  </si>
  <si>
    <t>8001-2 STEEL SCRUBBER 2PCS SET (QTY: 336000 SETS/USD 0.139 PER SETS)8001-2 STEEL SCRUBBER 2PCS SET (QTY: 336000 SETS/USD 0.139 P</t>
  </si>
  <si>
    <t>MILD STEEL MULTI FUNCTION CLOTH STAND (RYX-02-020) (QTY: 1,232 PCS/CNY:101 PER PCS)MILD STEEL MULTI FUNCTION CLOTH STAND (RYX-02-020) (QTY: 1,2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</si>
  <si>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</si>
  <si>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</si>
  <si>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STEEL HANGER WITH HOOK (SL-89) (QTY:70056 PCS/CNY:7.45 PER PCS)STEEL HANGER WITH HOOK (SL-89) (QTY:70056 PCS/:7.45</t>
  </si>
  <si>
    <t>STEEL HANGER 10PCS SET (AM-969) (QTY: 480 SET/USD 0.819 PERSET)STEEL HANGER 10PCS SET (AM-969) (QTY: 480 SET/USD 0.819 PER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</si>
  <si>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</si>
  <si>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</si>
  <si>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</si>
  <si>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</si>
  <si>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</si>
  <si>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</si>
  <si>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</si>
  <si>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</si>
  <si>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</si>
  <si>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</si>
  <si>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</si>
  <si>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</si>
  <si>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</si>
  <si>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</si>
  <si>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</si>
  <si>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HOUSEHOLD STEEL HOOK 3PCS SET (3888) (QTY:153600 SET/USD:0.24 PER SET)HOUSEHOLD STEEL HOOK 3PCS SET (3888) (QTY:153600 SET/USD:0.2</t>
  </si>
  <si>
    <t>MILD STEEL MULTI FUNCTION CLOTH STAND (RYX-02-020) (QTY:1,232 PCS/CNY:101.00 PER PCS)MILD STEEL MULTI FUNCTION CLOTH STAND (RYX-02-020) (QTY:1,23</t>
  </si>
  <si>
    <t>STEEL BASKET BIG (SY-845-4) (QTY:800 PCS/USD:0.9710 PER PCS) STEEL BASKET BIG (SY-845-4) (QTY:800 PCS/USD:0.9710 PER PCS)</t>
  </si>
  <si>
    <t>MILD STEEL MULTI FUNCTION CLOTH STAND (RYX-02-026-3S) (QTY:1696 PCS/CNY: 81.50 PER PCS)MILD STEEL MULTI FUNCTION CLOTH STAND (RYX-02-026-3S) (QTY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</si>
  <si>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</si>
  <si>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</si>
  <si>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</si>
  <si>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</si>
  <si>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STEEL SALT BOTTLE (NP-19) (QTY: 36180 PC/USD 0.446 PER PC) STEEL SALT BOTTLE (NP-19) (QTY: 36180 PC/USD 0.446 PER PC)</t>
  </si>
  <si>
    <t>STEEL SCRUBBER 6PCS SET (OKS-4156) (QTY:98,400 SET/USD:0.228PER SET)STEEL SCRUBBER 6PCS SET (OKS-4156) (QTY:98,400 SET/USD:0.228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</si>
  <si>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</si>
  <si>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</si>
  <si>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</si>
  <si>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</si>
  <si>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STEEL BASKET SQUARE (SY-845-6) (QTY: 4400 PCS/USD 0.702 PERPCS)STEEL BASKET SQUARE (SY-845-6) (QTY: 4400 PCS/USD 0.702 PER</t>
  </si>
  <si>
    <t>STEEL SCRUBBER 2 PCS SET (8001-2) (QTY:336000 SET/USD:0.139PER SET)STEEL SCRUBBER 2 PCS SET (8001-2) (QTY:336000 SET/USD:0.139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</si>
  <si>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</si>
  <si>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</si>
  <si>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STEEL BASKET SQUARE (SY-845-6) (QTY: 82,800 PCS/USD:0.7012 PCS)STEEL BASKET SQUARE (SY-845-6) (QTY: 82,800 PCS/USD:0.7012 P</t>
  </si>
  <si>
    <t>STEEL CUTLERY HOLDER (H2740) (QTY: 24960 NOS/USD 1.55 PER NOS)STEEL CUTLERY HOLDER (H2740) (QTY: 24960 NOS/USD 1.55 PER NO</t>
  </si>
  <si>
    <t>STEEL SCRUBBER 2 PCS SET (8001-2) (QTY:168000 SETS/USD:0.139PER PCS)STEEL SCRUBBER 2 PCS SET (8001-2) (QTY:168000 SETS/USD:0.139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</si>
  <si>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</si>
  <si>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</si>
  <si>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</si>
  <si>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STEEL FILTER BALL WITH CHAIN (SR-10) (QTY: 540 PCS/USD 0.258PER PCS)STEEL FILTER BALL WITH CHAIN (SR-10) (QTY: 540 PCS/USD 0.25</t>
  </si>
  <si>
    <t>STEEL HANGER WITH HOOK (SL-89) (QTY: 70056 PCS/CNY 7.45 PERPCS)STEEL HANGER WITH HOOK (SL-89) (QTY: 70056 PCS/CNY 7.45 PER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</si>
  <si>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</si>
  <si>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</si>
  <si>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SB-12 STEEL TEA STRAINER BIG (QTY:44226 PCS/USD 0.975 PER PCS)SB-12 STEEL TEA STRAINER BIG (QTY:44226 PCS/USD 0.975 PER PC</t>
  </si>
  <si>
    <t>STEEL SCRUBBER 6PCS SET (OKS-4156) (QTY:98,400 PCS/USD:0.228PER PCS)STEEL SCRUBBER 6PCS SET (OKS-4156) (QTY:98,400 PCS/USD:0.228</t>
  </si>
  <si>
    <t>STEEL SCRUBBER 2PCS SET (8001-2) (QTY: 168000 SET/USD 0.142PER SET)STEEL SCRUBBER 2PCS SET (8001-2) (QTY: 168000 SET/USD 0.142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</si>
  <si>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</si>
  <si>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</si>
  <si>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</si>
  <si>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</si>
  <si>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</si>
  <si>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</si>
  <si>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</si>
  <si>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</si>
  <si>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STEEL SCRUBBER 6PCS SET (OKS-4156) (QTY:98400 PCS/USD:0.238PER PCS)STEEL SCRUBBER 6PCS SET (OKS-4156) (QTY:98400 PCS/USD:0.238</t>
  </si>
  <si>
    <t>MILD STEEL MULTI FUNCTION CLOTH STAND (RYX-02-020) (QTY: 2464 NOS/USD 101 PER CNY)MILD STEEL MULTI FUNCTION CLOTH STAND (RYX-02-020) (QTY: 246</t>
  </si>
  <si>
    <t>MILD STEEL MULTI FUNCTION CLOTH STAND (RYX-02-026-3S) (QTY:848 NOS/CNY 81.50 PER NOS)MILD STEEL MULTI FUNCTION CLOTH STAND (RYX-02-026-3S) (QTY: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</si>
  <si>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</si>
  <si>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</si>
  <si>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</si>
  <si>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</si>
  <si>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STEEL SCRUBBER (8001-12) (QTY:276048 PCS/USD:0.08 PER PCS) STEEL SCRUBBER (8001-12) (QTY:276048 PCS/USD:0.08 PER PCS)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</si>
  <si>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</si>
  <si>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</si>
  <si>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SS SCRUBBER 3PCS SET (SS410) (QTY:120720 SETS/USD:0.16 PER SET)SS SCRUBBER 3PCS SET (SS410) (QTY:120720 SETS/USD:0.16 PER S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</si>
  <si>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</si>
  <si>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</si>
  <si>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HOUSEHOLD STEEL HOOK 3PCS SET (2628) (QTY: 167940 SET/USD 0.37 PER SET)HOUSEHOLD STEEL HOOK 3PCS SET (2628) (QTY: 167940 SET/USD 0.</t>
  </si>
  <si>
    <t>STEEL BASKET BIG (SY-845-4) (QTY: 5232 PC/USD 1.004 PER PC) STEEL BASKET BIG (SY-845-4) (QTY: 5232 PC/USD 1.004 PER PC)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</si>
  <si>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</si>
  <si>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</si>
  <si>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RYX-02-026-3S MILD STEEL MULTI FUNCTION CLOTH STAND (QTY :848 NUM/CNY 81.50 PER NUM)RYX-02-026-3S MILD STEEL MULTI FUNCTION CLOTH STAND (QTY :84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</si>
  <si>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</si>
  <si>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</si>
  <si>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STEEL SCRUBBER 2PCS SET (8001-2) (QTY:168000 SETS/USD:0.142PER PCS)STEEL SCRUBBER 2PCS SET (8001-2) (QTY:168000 SETS/USD:0.142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</si>
  <si>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</si>
  <si>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</si>
  <si>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</si>
  <si>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</si>
  <si>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</si>
  <si>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STEEL HANGER WITH HOOK (SL-89) (QTY:70056 PCS/CNY:7.45 PER PCS)STEEL HANGER WITH HOOK (SL-89) (QTY:70056 PCS/CNY:7.45 PER P</t>
  </si>
  <si>
    <t>STEEL SCRUBBER 6PCS SET (OKS-4156) (QTY: 98400 SET/USD 0.238PER SET)STEEL SCRUBBER 6PCS SET (OKS-4156) (QTY: 98400 SET/USD 0.238</t>
  </si>
  <si>
    <t>RYX-02-026-3S MILD STEEL MULTI FUNCTION CLOTH STAND (QTY :1696 NUM/CNY 81.50 PER NUM)RYX-02-026-3S MILD STEEL MULTI FUNCTION CLOTH STAND (QTY :16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</si>
  <si>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</si>
  <si>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</si>
  <si>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</si>
  <si>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</si>
  <si>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</si>
  <si>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STEEL SCRUBBER 2 PCS SET (8001-2) (QTY:168000 SETS/USD:0.142PER SETS)STEEL SCRUBBER 2 PCS SET (8001-2) (QTY:168000 SETS/USD:0.142</t>
  </si>
  <si>
    <t>STEEL ROUND CONTAINER (6856) (QTY: 51768 PCS/USD 0.55 PER SET)STEEL ROUND CONTAINER (6856) (QTY: 51768 PCS/USD 0.55 PER SE</t>
  </si>
  <si>
    <t>SS SCRUBBER 3PCS SET (SS410) (QTY: 120240 SET/USD 0.16 PER SET)SS SCRUBBER 3PCS SET (SS410) (QTY: 120240 SET/USD 0.16 PER S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</si>
  <si>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</si>
  <si>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</si>
  <si>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</si>
  <si>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</si>
  <si>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</si>
  <si>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</si>
  <si>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</si>
  <si>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</si>
  <si>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</si>
  <si>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HOUSEHOLD STEEL HOOK 3PCS SET (2628) (QTY: 164808 SET/USD 0.370 PER SET)HOUSEHOLD STEEL HOOK 3PCS SET (2628) (QTY: 164808 SET/USD 0.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</si>
  <si>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</si>
  <si>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</si>
  <si>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</si>
  <si>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</si>
  <si>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</si>
  <si>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</si>
  <si>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STEEL SCRUBBER (8001-12) (QTY: 269568 NOS/USD: 0.078 PER NOS)STEEL SCRUBBER (8001-12) (QTY: 269568 NOS/USD: 0.078 PER NOS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</si>
  <si>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</si>
  <si>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</si>
  <si>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</si>
  <si>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</si>
  <si>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</si>
  <si>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</si>
  <si>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</si>
  <si>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</si>
  <si>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</si>
  <si>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</si>
  <si>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</si>
  <si>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</si>
  <si>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STEEL HANGER WITH HOOK (SL-89) (QTY:70056 PCS/ CNY:7.45 PERPCS)STEEL HANGER WITH HOOK (SL-89) (QTY:70056 PCS/ CNY:7.45 PER</t>
  </si>
  <si>
    <t>STEEL SALT BOTTLE (NP-19) (QTY: 2916 PCS/USD 0.438 PER PCS) STEEL SALT BOTTLE (NP-19) (QTY: 2916 PCS/USD 0.438 PER PCS)</t>
  </si>
  <si>
    <t>STEEL SCRUBBER 6 PCS SET (OKS-4156) (QTY: 98400 SET/USD: 0.238 PER SET)STEEL SCRUBBER 6 PCS SET (OKS-4156) (QTY: 98400 SET/USD: 0.2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</si>
  <si>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</si>
  <si>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</si>
  <si>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</si>
  <si>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</si>
  <si>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</si>
  <si>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</si>
  <si>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</si>
  <si>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</si>
  <si>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</si>
  <si>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</si>
  <si>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</si>
  <si>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</si>
  <si>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</si>
  <si>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</si>
  <si>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RYX-02-020 MILD STEEL MULTI FUNCTION CLOTH STAND (QTY :1232NUM/CNY 101.00 PER NUM)</t>
  </si>
  <si>
    <t>GS-47 STEEL GIFT BOX HEART SHAPE (QTY:44280 PCS/USD 0.212 PER PCS)</t>
  </si>
  <si>
    <t>GS-47 STEEL GIFT BOX HEART SHAPE (QTY:6120 PCS/UDS 0.211 PERPCS)</t>
  </si>
  <si>
    <t>SS SCRUBBER 3PCS SET (SS410) (QTY: 119160 SET/USD 0.16 PER SET)</t>
  </si>
  <si>
    <t>STEEL SCRUBBER (8001-12) (QTY: 278640 NOS/USD 0.084 PER NOS)</t>
  </si>
  <si>
    <t>STEEL SCRUBBER 2 PCS SET (8001-2) (QTY:168000 SETS/USD:0.148PER SET)</t>
  </si>
  <si>
    <t>HOUSEHOLD STEEL HOOK 3PCS SET (3888) (QTY: 181872 PCS / USD0.260 PER PCS)</t>
  </si>
  <si>
    <t>STEEL SCRUBBER 6PCS SET (OKS-4156) (QTY: 98400 NOS /USD 0.238 PER NOS)</t>
  </si>
  <si>
    <t>MILD STEEL MULTI FUNCTION CLOTH STAND (RYX-02-020) (QTY: 1232 NOS/CNY 101 PER NOS)</t>
  </si>
  <si>
    <t>MILD STEEL MULTI FUNCTION CLOTH STAND (RYX-02-021A) (QTY: 3888 NOS/CNY 61.50 PER NOS)</t>
  </si>
  <si>
    <t>HOUSEHOLD STEEL HOOK 3PCS SET (3888) (QTY: 30288 SET/USD 0.26PER SET)</t>
  </si>
  <si>
    <t>STEEL SCRUBBER 2PCS SET (8001-2) (QTY: 168000 NOS /USD 0.148PER NOS)</t>
  </si>
  <si>
    <t>STEEL SCRUBBER 6PCS SET (OKS-4156) (QTY: 98400 SET/USD 0.238PER SET)</t>
  </si>
  <si>
    <t>MILD STEEL MULTI FUNCTION CLOTH STAND (RYX-02-020) (QTY:1232NOS / CNY 101.00 PER NOS)</t>
  </si>
  <si>
    <t>HOUSEHOLD STEEL HOOK 2PCS SET (2758) (QTY: 2400 SET/USD 0.265 PER SET)</t>
  </si>
  <si>
    <t>STEEL SCRUBBER 6PCS SET (OKS-4156) (QTY: 89160 SET/USD 0.238PER SET)</t>
  </si>
  <si>
    <t>RYX-02-026-3S MILD STEEL MULTI FUNCTION CLOTH STAND (QTY :848 NUM/CNY 82.00 PER NUM)</t>
  </si>
  <si>
    <t>RYX-02-021A MILD STEEL MULTI FUNCTION CLOTH STAND (QTY :3888NUM/CNY 61.50 PER NUM)</t>
  </si>
  <si>
    <t>STEEL WIRE CLEANING CLOTH 3PCS SET (AM-793) (QTY: 1250 SET /USD 0.184 PER SET)</t>
  </si>
  <si>
    <t>RYX-02-020 MILD STEEL MULTI FUNCTION CLOTH STAND (QTY :2464NUM/CNY 101.00 PER NUM)</t>
  </si>
  <si>
    <t>SS SCRUBBER 3PCS SET (SS410) (QTY: 118680 SET/USD 0.16 PER SET)</t>
  </si>
  <si>
    <t>STEEL SCRUBBER 6PCS SET (OKS-4156) (QTY: 98400 SET/USD 0.238 PER SET)</t>
  </si>
  <si>
    <t>AM-625 STEEL HANGER (QTY:10500 PCS/USD 0.5610 PER PCS)</t>
  </si>
  <si>
    <t>HOUSEHOLD STEEL HOOK 3PCS SET (2628) (QTY: 167040 NOS/USD 0.375 PER NOS)</t>
  </si>
  <si>
    <t>STEEL SCRUBBER 2PCS SET (8001-2) (QTY: 168000 SET/USD 0.148PER SET)</t>
  </si>
  <si>
    <t>STEEL SPRINKLER (AM-430) (QTY: 38496 PC/ USD 0.572 PER PC)</t>
  </si>
  <si>
    <t>STEEL SCRUBBER 6PCS SET (OKS-4156) (QTY:98400 PCS/USD:0.238PER PCS)</t>
  </si>
  <si>
    <t>HOUSEHOLD STEEL HOOK 3PCS SET (3888) (QTY:3168 SET/USD 0.265PER SET)</t>
  </si>
  <si>
    <t>STEEL CUTLERY HOLDER (H2740) (QTY: 960 NOS/USD 1.95 PER NOS)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</si>
  <si>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</si>
  <si>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</si>
  <si>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</si>
  <si>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SY604A-4 STEEL HOOK 4PCS SET(QTY :25200 SET/USD 0.5207 PERSET)</t>
  </si>
  <si>
    <t>HOUSEHOLD STEEL HOOK 3PCS SET (2628) (QTY: 167040 SET/USD 0.375 PER SET)</t>
  </si>
  <si>
    <t>STEEL SCRUBBER 2PCS SET (8001-2) (QTY: 166320 SET/USD 0.151PER SET)</t>
  </si>
  <si>
    <t>STEEL SCRUBBER 2PCS SET (8001-2) (QTY: 166920 SET/USD 0.151PER SET)</t>
  </si>
  <si>
    <t>STEEL HANGER WITH HOOK (SL-89) (QTY: 70056 PCS/CNY 7.45 PERPCS)</t>
  </si>
  <si>
    <t>STEEL HANGER 10PCS SET (SY772-42) (QTY: 10080 SET/USD 1.2326PER SET)</t>
  </si>
  <si>
    <t>MILD STEEL MULTI FUNCTION CLOTH STAND (RYX-02-020) (QTY: 1232 NOS / CNY 101.00 PER NOS)</t>
  </si>
  <si>
    <t>STEEL SCRUBBER 2PCS SET (8001-2) (QTY: 167880 SET/USD 0.151PER SET)</t>
  </si>
  <si>
    <t>STEEL HANGER 10PCS SET (SY772-42) (QTY: 5040 SET/USD 1.2517PER SET)</t>
  </si>
  <si>
    <t>STEEL GIFT BOX HEART SHAPE (GS-47) (QTY: 1008 PCS/USD 0.222PER PCS)</t>
  </si>
  <si>
    <t>STEEL GIFT BOX SQUARE SHAPE (GS-48) (QTY: 480 PCS/USD 0.776PER PCS)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</si>
  <si>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</si>
  <si>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</si>
  <si>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</si>
  <si>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SS SCRUBBER 3PCS SET (SS410) (QTY: 120360 SET/USD 0.16 PER SET)</t>
  </si>
  <si>
    <t>STEEL SCRUBBER 6PCS SET (OKS-4156) (QTY: 98400 SET/USD 0.239PER SET)</t>
  </si>
  <si>
    <t>STEEL SCRUBBER (8001-2) (QTY: 168000 SET/0.151 PER SET)</t>
  </si>
  <si>
    <t>STEEL HOOK 4PCS SET (SY604A-4) (QTY: 10200 SET/USD 0.5285 PER SET)</t>
  </si>
  <si>
    <t>STEEL SPRINKLER (AM-430) (QTY: 30120 PCS/ USD 0.5744 PER PCS)</t>
  </si>
  <si>
    <t>STEEL ROUND CONTAINER (6857) (QTY: 30936 NOS/USD 0.718 PER NOS)</t>
  </si>
  <si>
    <t>STEEL ROUND CONTAINER MEDIUM (6581) (QTY: 79752 NOS/USD 0.875 PER NOS)</t>
  </si>
  <si>
    <t>STAINLESS STEEL GRATER WITH HANDLE (KL324H-9S) (QTY: 59040 NOS/USD 0.62 PER NOS)</t>
  </si>
  <si>
    <t>SS SCRUBBER 3PCS SET (SS410) (QTY: 118560 SET/USD 0.16 PER SET)</t>
  </si>
  <si>
    <t>MILD STEEL MULTI FUNCTION CLOTH STAND (RYX-02-021A) (QTY: 6480 NOS/CNY 61.50 PER NOS)</t>
  </si>
  <si>
    <t>MILD STEEL MULTI FUNCTION CLOTH STAND (RYX-02-020) (QTY: 1232 NOS/CNY 100 PER CNY)</t>
  </si>
  <si>
    <t>HOUSEHOLD STEEL HOOK 3PCS SET (3888) (QTY: 208992 SET/USD 0.265 PER SET)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</si>
  <si>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</si>
  <si>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</si>
  <si>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</si>
  <si>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</si>
  <si>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</si>
  <si>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</si>
  <si>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</si>
  <si>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</si>
  <si>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</si>
  <si>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</si>
  <si>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</si>
  <si>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</si>
  <si>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</si>
  <si>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</si>
  <si>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</si>
  <si>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</si>
  <si>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</si>
  <si>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STEEL SALT BOTTLE (NP-19) (QTY: 23976 PCS/USD 0.4450 PER PCS</t>
  </si>
  <si>
    <t>STEEL SPRINKLER (AM-430) (QTY: 71592PCS/USD 0.5744 PER PCS)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</si>
  <si>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</si>
  <si>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</si>
  <si>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</si>
  <si>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</si>
  <si>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</si>
  <si>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</si>
  <si>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</si>
  <si>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STEEL SCRUBBER 2PCS SET (8001-2) (QTY: 168960 SET/USD 0.151PER SET)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</si>
  <si>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</si>
  <si>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</si>
  <si>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</si>
  <si>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</si>
  <si>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</si>
  <si>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HOUSEHOLD STEEL HOOK 3PCS SET (3888) (QTY:215808 PCS/USD 0.265 PER PCS)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</si>
  <si>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</si>
  <si>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</si>
  <si>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</si>
  <si>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MILD STEEL MULTI FUNCTION CLOTH STAND (RYX-02-020) (QTY:1232NOS/ CNY 100.00 PER NOS)</t>
  </si>
  <si>
    <t>STEEL SALT BOTTLE (NP-19) (QTY: 36720 PCS/USD 0.4444 PER PCS)</t>
  </si>
  <si>
    <t>MILD STEEL MULTI FUNCTION CLOTH STAND (RYX-02-021A) (QTY: 6480 NOS/ CNY 61.50 PER NOS)</t>
  </si>
  <si>
    <t>STEEL SCRUBBER 2PCS SET (8001-2) (QTY: 168000 NOS / USD 0.151 PER NOS)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</si>
  <si>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</si>
  <si>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</si>
  <si>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</si>
  <si>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</si>
  <si>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STEEL SALT BOTTLE (NP-19) (QTY:13932 PCS/USD 0.4450 PER PCS)</t>
  </si>
  <si>
    <t>STEEL LUNCH BOX (6561) (QTY: 19524 PCS/CNY 2.350 PER PCS)</t>
  </si>
  <si>
    <t>STEEL LUNCH BOX (6717) (QTY: 204 PCS/ USD 2.960 PER PCS)</t>
  </si>
  <si>
    <t>STEEL LUNCH BOX (6728) (QTY: 2268 PCS/ USD 1.930 PER PCS)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</si>
  <si>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</si>
  <si>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</si>
  <si>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</si>
  <si>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</si>
  <si>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</si>
  <si>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</si>
  <si>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</si>
  <si>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</si>
  <si>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</si>
  <si>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</si>
  <si>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</si>
  <si>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</si>
  <si>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</si>
  <si>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</si>
  <si>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</si>
  <si>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</si>
  <si>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</si>
  <si>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MILD STEEL MULTI FUNCTION CLOTH STAND (RYX-02-021A) (QTY:6480 NOS/ CNY 61.50 PER NOS)</t>
  </si>
  <si>
    <t>MILD STEEL MULTI FUNCTION CLOTH STAND (RYX-02-026-3S) (QTY:848 NOS/ CNY 82.00 PER NOS)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</si>
  <si>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</si>
  <si>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</si>
  <si>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</si>
  <si>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</si>
  <si>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</si>
  <si>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</si>
  <si>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</si>
  <si>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</si>
  <si>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</si>
  <si>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</si>
  <si>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</si>
  <si>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SS SCRUBBER 3PCS SET (SS410) (QTY:120000 SETS/USD 0.16 PER SET)</t>
  </si>
  <si>
    <t>MILD STEEL MULTI FUNCTION CLOTH STAND (RYX-02-020) (QTY:1232PCS/CNY 100.00 PER PCS)</t>
  </si>
  <si>
    <t>RYX-02-020 MILD STEEL MULTI FUNCTION CLOTH STAND (QTY :1232NUM/CNY 100.00 PER NUM)</t>
  </si>
  <si>
    <t>STEEL SCRUBBER (8001-12) (QTY: 290016 NOS / USD 0.073 PER NOS)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</si>
  <si>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</si>
  <si>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</si>
  <si>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</si>
  <si>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</si>
  <si>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</si>
  <si>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</si>
  <si>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</si>
  <si>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</si>
  <si>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</si>
  <si>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</si>
  <si>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</si>
  <si>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</si>
  <si>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</si>
  <si>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HOUSEHOLD STEEL HOOK 3PCS SET (2628) (QTY: 2628 NOS/ USD 0.380 PER NOS)</t>
  </si>
  <si>
    <t>STEEL SCRUBBER 6PCS SET (OKS-4156) (QTY: 98400 NOS / USD 0.239 PER NOS)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</si>
  <si>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</si>
  <si>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</si>
  <si>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</si>
  <si>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</si>
  <si>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</si>
  <si>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</si>
  <si>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</si>
  <si>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</si>
  <si>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</si>
  <si>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</si>
  <si>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</si>
  <si>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HOUSEHOLD STEEL HOOK 3PCS SET (2628) (QTY: 160740 NOS/USD 0.38 PER NOS)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</si>
  <si>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</si>
  <si>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</si>
  <si>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</si>
  <si>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</si>
  <si>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MILD STEEL MULTI FUNCTION CLOTH STAND (RYX-02-026-3S) (QTY:848 NOS/ CNY 82 PER NOS)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</si>
  <si>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</si>
  <si>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</si>
  <si>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</si>
  <si>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AM-430 STEEL SPRINKLER (QTY:55272 PCS /USD 0.5849 PER PCS)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</si>
  <si>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</si>
  <si>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</si>
  <si>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</si>
  <si>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</si>
  <si>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STEEL TEA STRAINER BIG (SB-12) (QTY: 44388 PCS/ USD 1.0434 PER PCS)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</si>
  <si>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</si>
  <si>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</si>
  <si>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</si>
  <si>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</si>
  <si>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</si>
  <si>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</si>
  <si>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</si>
  <si>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</si>
  <si>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</si>
  <si>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</si>
  <si>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</si>
  <si>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</si>
  <si>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</si>
  <si>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</si>
  <si>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</si>
  <si>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</si>
  <si>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STEEL HANGER WITH HOOK (SL-89) (QTY: 70056 PCS/ USD 7.45 PERPCS)</t>
  </si>
  <si>
    <t>HOUSEHOLD STEEL HOOK 3PCS SET (2628) (QTY: 167076 PKT/USD 0.38 PER PKT)</t>
  </si>
  <si>
    <t>AM-430 STEEL SPRINKLER (QTY: 32208 PCS/USD 0.5816 PER PCS)</t>
  </si>
  <si>
    <t>MILD STEEL MULTI FUNCTION CLOTH STAND (RYX-02-026-3S) (QTY:848 NOS/ CNY: 82.00 PER NOS)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</si>
  <si>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</si>
  <si>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</si>
  <si>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</si>
  <si>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</si>
  <si>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</si>
  <si>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</si>
  <si>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</si>
  <si>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</si>
  <si>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</si>
  <si>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</si>
  <si>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</si>
  <si>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</si>
  <si>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</si>
  <si>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</si>
  <si>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STEEL LUNCH BOX 2 LAYER (8504) (QTY: 22080 NOS/ USD 2.32 PERNOS)</t>
  </si>
  <si>
    <t>STEEL LUNCH BOX (6527) (QTY: 25680 NOS/ USD 1.86 PER NOS)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</si>
  <si>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</si>
  <si>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</si>
  <si>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</si>
  <si>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</si>
  <si>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</si>
  <si>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</si>
  <si>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</si>
  <si>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</si>
  <si>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</si>
  <si>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</si>
  <si>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</si>
  <si>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</si>
  <si>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</si>
  <si>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</si>
  <si>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</si>
  <si>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</si>
  <si>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</si>
  <si>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</si>
  <si>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</si>
  <si>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</si>
  <si>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</si>
  <si>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</si>
  <si>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</si>
  <si>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</si>
  <si>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AM-515 STEEL LUNCH BOX MEDIUM (QTY:360 PCS/USD 2.206 PER PCS)</t>
  </si>
  <si>
    <t>AM-514 STEEL LUNCH BOX SMALL (QTY:480 PCS/USD 1.698 PER PCS)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</si>
  <si>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</si>
  <si>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</si>
  <si>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</si>
  <si>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</si>
  <si>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</si>
  <si>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</si>
  <si>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</si>
  <si>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</si>
  <si>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</si>
  <si>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</si>
  <si>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</si>
  <si>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</si>
  <si>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</si>
  <si>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</si>
  <si>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</si>
  <si>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</si>
  <si>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</si>
  <si>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</si>
  <si>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</si>
  <si>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</si>
  <si>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</si>
  <si>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</si>
  <si>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</si>
  <si>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</si>
  <si>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</si>
  <si>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</si>
  <si>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</si>
  <si>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</si>
  <si>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</si>
  <si>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</si>
  <si>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</si>
  <si>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</si>
  <si>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</si>
  <si>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</si>
  <si>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SS OIL POT 900ML (KWP-1000B) (QTY: 27000 PCS/USD 1.38 PER PCS)</t>
  </si>
  <si>
    <t>STAINLESS STEEL SPORTS BOTTLE (KWB-600F) (QTY: 50400 PCS/USD0.88 PER PCS)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</si>
  <si>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</si>
  <si>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</si>
  <si>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</si>
  <si>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</si>
  <si>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</si>
  <si>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</si>
  <si>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</si>
  <si>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</si>
  <si>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SS OIL POT 900ML (KWP-1000B) (QTY: 27000 PCS/USD 1.40 PER PCS)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</si>
  <si>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</si>
  <si>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</si>
  <si>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</si>
  <si>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</si>
  <si>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</si>
  <si>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</si>
  <si>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</si>
  <si>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</si>
  <si>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</si>
  <si>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</si>
  <si>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</si>
  <si>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</si>
  <si>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</si>
  <si>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</si>
  <si>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</si>
  <si>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</si>
  <si>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</si>
  <si>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</si>
  <si>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</si>
  <si>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</si>
  <si>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</si>
  <si>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</si>
  <si>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HOUSEHOLD STEEL HOOK 3PCS SET (2628) (QTY: 167580 NOS/USD 0.407 PER NOS)</t>
  </si>
  <si>
    <t>8001-2 STEEL SCRUBBER 2 PCS SET (QTY- 168000 SETS/USD 0.156PER SETS)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</si>
  <si>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</si>
  <si>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</si>
  <si>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</si>
  <si>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</si>
  <si>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</si>
  <si>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</si>
  <si>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</si>
  <si>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</si>
  <si>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</si>
  <si>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</si>
  <si>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STEEL SPRINKLER (AM-430) (QTY: 38688 PCS/USD 0.5673 PER PCS)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</si>
  <si>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</si>
  <si>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</si>
  <si>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</si>
  <si>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</si>
  <si>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</si>
  <si>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</si>
  <si>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</si>
  <si>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</si>
  <si>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</si>
  <si>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</si>
  <si>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</si>
  <si>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STEEL SPRINKLER (AM-430) (QTY: 36480 PCS/USD 0.5688 PER PCS)</t>
  </si>
  <si>
    <t>NON STICK CAKE MOULD (AN-04) (QTY: 360 SET/USD 1.033 PER SET)</t>
  </si>
  <si>
    <t>SS SCRUBBER 3PCS SET (SS410) (QTY: 121680 SETS/USD 0.165 PERSETS)</t>
  </si>
  <si>
    <t>STAINLESS STEELSPORTS BOTTLE 750ML (AM-460) (QTY: 43416 NOS/USD 1.160 PER NOS)</t>
  </si>
  <si>
    <t>STAINLESS STEELSPORTS BOTTLE 650ML S115 (NP-21) (QTY: 3240 NOS/USD 1.008 PER NOS)</t>
  </si>
  <si>
    <t>RYX-02-021A MILD STEEL MULTI FUNCTION CLOTH STAND (QTY :1296NUM/CNY 63.00 PER NUM)</t>
  </si>
  <si>
    <t>STEEL LUNCH BOX (6717) (QTY: 1200 NOS/USD 3.15 PER NOS)</t>
  </si>
  <si>
    <t>STEEL FOOD CONTAINER (6571) (QTY: 192 NOS/USD 3.90 PER NOS)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</si>
  <si>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</si>
  <si>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</si>
  <si>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</si>
  <si>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</si>
  <si>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HOUSEHOLD STEEL HOOK 3PCS SET (QTY: 720 NOS/USD 0.407 PER NOS)</t>
  </si>
  <si>
    <t>HOUSEHOLD STEEL HOOK 3PCS SET (2628) (QTY: 167364 NOS/USD 0.407 PER NOS)</t>
  </si>
  <si>
    <t>STAINLESS STEEL SPORT BOTTLE (KWB-600F) (QTY: 49716 PCS/USD0.94 PER PCS)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</si>
  <si>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</si>
  <si>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</si>
  <si>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</si>
  <si>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</si>
  <si>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SS OIL POT 900ML (KWP-1000B) (QTY: 26424 PCS/USD: 1.47 PER PCS)</t>
  </si>
  <si>
    <t>STEEL SCRUBBER 6PCS SET (OKS-4156) (QTY: 99000 NOS/USD: 0.248 PER NOS)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</si>
  <si>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</si>
  <si>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</si>
  <si>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</si>
  <si>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</si>
  <si>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</si>
  <si>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</si>
  <si>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</si>
  <si>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</si>
  <si>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STEEL SPRINKLER (AM-430) (QTY: 10824 PCS/USD 0.5724 PER PCS)</t>
  </si>
  <si>
    <t>MILD STEEL MULTI FUNCTION CLOTH STAND (RYX-02-021A) (QTY: 1296 NOS /CNY: 63.00 PER NOS)</t>
  </si>
  <si>
    <t>8001-2 STEEL SCRUBBER 2 PCS SET (QTY- 167160 SETS/USD 0.158PER SETS)</t>
  </si>
  <si>
    <t>STEEL HANGER WITH HOOK (SL-89) (QTY: 70056 NOS/CNY: 7.48 PERNOS)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</si>
  <si>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</si>
  <si>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</si>
  <si>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</si>
  <si>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</si>
  <si>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</si>
  <si>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</si>
  <si>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</si>
  <si>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RYX-02-026-3S MILD STEEL MULTI FUNCTION CLOTH STAND (QTY :848 NUM/CNY 84.00 PER NUM)</t>
  </si>
  <si>
    <t>STEEL SPRINKLER (AM-430) (QTY: 15624 PCS / USD: 0.572 PER PCS)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</si>
  <si>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</si>
  <si>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</si>
  <si>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</si>
  <si>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</si>
  <si>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</si>
  <si>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</si>
  <si>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</si>
  <si>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</si>
  <si>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</si>
  <si>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</si>
  <si>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</si>
  <si>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</si>
  <si>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</si>
  <si>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</si>
  <si>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</si>
  <si>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</si>
  <si>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</si>
  <si>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</si>
  <si>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</si>
  <si>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</si>
  <si>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</si>
  <si>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</si>
  <si>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</si>
  <si>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</si>
  <si>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</si>
  <si>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NP-19 STEEL SALT BOTTLE (QTY:45720 PCS/USD 0.4507 PER PCS)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</si>
  <si>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</si>
  <si>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</si>
  <si>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</si>
  <si>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</si>
  <si>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</si>
  <si>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STEEL LUNCH BOX (6561) (QTY: 20940 NOS/USD: 2.45 PER NOS)</t>
  </si>
  <si>
    <t>STEEL ROUND CONTAINER (6857) (QTY: 70380 NOS/USD: 0.74 PER NOS)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</si>
  <si>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</si>
  <si>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</si>
  <si>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</si>
  <si>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HOUSEHOLD STEEL HOOK 3PCS SET (3888) (QTY: 2400 NOS/USD 0.3PER NOS)</t>
  </si>
  <si>
    <t>SS OIL POT 900ML (KWP-1000B) (QTY: 27000 PCS/USD: 1.47 PER PCS)</t>
  </si>
  <si>
    <t>STEEL HANGER WITH HOOK (SM1168) (QTY:57792 PCS/1.27 USD PERPCS)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</si>
  <si>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</si>
  <si>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</si>
  <si>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</si>
  <si>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</si>
  <si>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STEEL TEA STRAINER BIG (SB-12) (QTY: 35100 PCS/USD: 1.0518 PER PCS)</t>
  </si>
  <si>
    <t>STEEL TEA STRAINER (NP-55) (QTY: 100800 PCS/USD: 0.2847 PERPCS)</t>
  </si>
  <si>
    <t>STAINLESS STEEL GRATER WITH HANDLE (KL324H-9S) (QTY: 59040 NOS /USD 0.64 PER NOS)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</si>
  <si>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</si>
  <si>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</si>
  <si>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</si>
  <si>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</si>
  <si>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</si>
  <si>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8001-2 STEEL SCRUBBER 2 PCS SET (QTY- 167760 SETS/USD 0.158PER SETS)</t>
  </si>
  <si>
    <t>STAINLESS STEEL SPORTS BOTTLE 750ML S-308-C6 (NP-20) (QTY:39600 PCS/USD 1.02 PER PCS)</t>
  </si>
  <si>
    <t>STAINLESS STEEL SPORTS BOTTLE 750ML S-308-C6 (NP-20) (QTY: 8784 NOS /USD 1.020 PER NOS)</t>
  </si>
  <si>
    <t>STAINLESS STEELSPORTS BOTTLE 650ML S115 (NP-21) (QTY: 33984NOS /USD 1.033 PER NOS)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</si>
  <si>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</si>
  <si>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</si>
  <si>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</si>
  <si>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</si>
  <si>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</si>
  <si>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</si>
  <si>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</si>
  <si>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</si>
  <si>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STEEL SCRUBBER 6PCS SET (OKS-4156) (QTY:95520 SET/USD:0.248PER SET)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</si>
  <si>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</si>
  <si>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</si>
  <si>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</si>
  <si>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</si>
  <si>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</si>
  <si>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</si>
  <si>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</si>
  <si>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</si>
  <si>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</si>
  <si>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</si>
  <si>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NP-19 STEEL SALT BOTTLE (QTY:38400 PCS/USD 0.4494 PER PCS)</t>
  </si>
  <si>
    <t>AM-06 STAINLESS STEEL BOTTLE 750ML SG805 (QTY:42804 NUM/USD1.039 PER NUM)</t>
  </si>
  <si>
    <t>NP-20 STAINLESS STEEL SPORTS BOTTLE 750ML S-308-C6 (QTY:2844NUM/USD 1.025 PER NUM)</t>
  </si>
  <si>
    <t>STAINLESS STEEL COLA BOTTLE 750ML SK750 (SL-01) (QTY:6720 PCS /USD 1.18 PER PCS)</t>
  </si>
  <si>
    <t>STAINLESS STEEL SPORTS BOTTLE 750ML S-308-C6 (NP-20) (QTY:32856 PCS /USD 1.04 PER PCS)</t>
  </si>
  <si>
    <t>STEEL TEA STRAINER (NP-55) (QTY: 100800 PCS / USD 0.2881 PERPCS)</t>
  </si>
  <si>
    <t>STEEL TEA STRAINER BIG (SB-12) (QTY: 35100 PCS / USD 1.0593PER PCS)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</si>
  <si>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</si>
  <si>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</si>
  <si>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</si>
  <si>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</si>
  <si>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STAINLESS STEEL GRATER WITH HANDLE (KL324H-9S) (QTY: 59040 NOS /USD 0.640 PER NOS)</t>
  </si>
  <si>
    <t>STAINLESS STEEL GRATER WITH HANDLE (KL326D-9S) (QTY: 37560 NOS /USD 0.935 PER NOS)</t>
  </si>
  <si>
    <t>SS OIL POT 900ML (KWP-1000B) (QTY: 27000 PCS / USD 1.47 PERPCS)</t>
  </si>
  <si>
    <t>RYX-02-020 MILD STEEL MULTI FUNCTION CLOTH STAND (QTY :2464NUM/CNY 103.00 PER NUM)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</si>
  <si>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</si>
  <si>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</si>
  <si>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</si>
  <si>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</si>
  <si>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</si>
  <si>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</si>
  <si>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</si>
  <si>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STAINLESS STEELSPORTS BOTTLE 650ML S115 (NP-21) (QTY: 20340PCS / USD 1.040 PER PCS)</t>
  </si>
  <si>
    <t>STAINLESS STEEL COLA BOTTLE 750ML SK750 (SL-01) (QTY: 21216PCS / USD 1.195 PER PCS)</t>
  </si>
  <si>
    <t>STEEL SCRUBBER 2PCS SET (ITEM NO: 8001-2) (QTY: 168120 SETS&amp; 0.16 USD PER SET)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</si>
  <si>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</si>
  <si>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</si>
  <si>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</si>
  <si>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</si>
  <si>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</si>
  <si>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</si>
  <si>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</si>
  <si>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</si>
  <si>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</si>
  <si>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</si>
  <si>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</si>
  <si>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STEEL SCRUBBER 6PCS SET (OKS-4156) (QTY:99000 SET /USD:0.255PER SET)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</si>
  <si>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</si>
  <si>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</si>
  <si>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</si>
  <si>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</si>
  <si>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</si>
  <si>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</si>
  <si>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</si>
  <si>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</si>
  <si>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</si>
  <si>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</si>
  <si>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</si>
  <si>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</si>
  <si>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</si>
  <si>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</si>
  <si>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</si>
  <si>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</si>
  <si>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</si>
  <si>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</si>
  <si>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</si>
  <si>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</si>
  <si>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</si>
  <si>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</si>
  <si>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</si>
  <si>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</si>
  <si>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</si>
  <si>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</si>
  <si>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</si>
  <si>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STAINLESS STEEL GRATER WITH HANDLE (DS-25) (QTY: 51300 PCS/ USD : 0.215 PER PCS)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</si>
  <si>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</si>
  <si>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</si>
  <si>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</si>
  <si>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</si>
  <si>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STEEL SALT BOTTLE (NP-19) (QTY: 13728 PCS / USD : 0.4678 PERPCS)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</si>
  <si>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</si>
  <si>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</si>
  <si>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</si>
  <si>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</si>
  <si>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</si>
  <si>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</si>
  <si>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2628 HOUSEHOLD STEEL HOOK 3 PCS SET (QTY : 648 NUM/USD 0.421PER NUM)</t>
  </si>
  <si>
    <t>2628 HOUSEHOLD STEEL HOOK 3 PCS SET (QTY : 167832 NUM/USD 0.421 PER NUM)</t>
  </si>
  <si>
    <t>STEEL SCRUBBER 2PCS SET ITEM NO: 8001-2) (168360 PCS &amp; 0.16USD PER PIECE)</t>
  </si>
  <si>
    <t>STEEL MUFFIN PAN 6 PCS SET (AM-286) (QTY : 960 SET / USD : 0.526 PER SET )</t>
  </si>
  <si>
    <t>STEEL LEMON SQUEEZER (AM-217) (QTY :5040 PCS /USD:1.976 PERPCS)</t>
  </si>
  <si>
    <t>STEEL HANGER WITH HOOK (SL-89) (QTY:70056 PCS/1.11 USD PER PCS)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</si>
  <si>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</si>
  <si>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</si>
  <si>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</si>
  <si>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</si>
  <si>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</si>
  <si>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</si>
  <si>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</si>
  <si>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</si>
  <si>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</si>
  <si>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STAINLESS STEEL BOTTLE 750ML SG805 (ITEM NO. AM-06)</t>
  </si>
  <si>
    <t>STAINLESS STEEL BOTTLE 750ML SD0900 (ITEM NO. AM-295)</t>
  </si>
  <si>
    <t>STAINLESS STEEL BOTTLE 750ML SG2318 (ITEM NO. AM-296)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</si>
  <si>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</si>
  <si>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</si>
  <si>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</si>
  <si>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SS410 SS SCRUBBER 3 PCS SET (QTY- 120720 SETS/USD 0.167 PERSETS)</t>
  </si>
  <si>
    <t>STEEL KITCHEN TURNER (AM-253) ( QTY :20160 PCS/USD:0.550 PERPCS)</t>
  </si>
  <si>
    <t>STEEL SCRUBBER 6PCS SET (OKS-4156) (QTY:99,000 SET /USD:0.255 PER SET)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</si>
  <si>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</si>
  <si>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</si>
  <si>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</si>
  <si>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</si>
  <si>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</si>
  <si>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</si>
  <si>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</si>
  <si>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</si>
  <si>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</si>
  <si>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</si>
  <si>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</si>
  <si>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</si>
  <si>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</si>
  <si>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</si>
  <si>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</si>
  <si>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KWP-600B SS OIL POT 600 ML (QTY :39000 PCS/USD:1.21 PER PCS)</t>
  </si>
  <si>
    <t>STEEL SALT BOTTLE (NP-19) (QTY:42432 PCS/USD 0.4670 PER PCS)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</si>
  <si>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</si>
  <si>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</si>
  <si>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</si>
  <si>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</si>
  <si>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</si>
  <si>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</si>
  <si>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</si>
  <si>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RYX-02-020 MILD STEEL MULTI FUNCTION CLOTH STAND (QTY :2464NUM /CNY 103.0 PER NUM)</t>
  </si>
  <si>
    <t>KL326D-9S STAINLESS STEEL GRATER WITH HANDLE (MILD STEEL) (QTY - 37560 NUM/USD 0.95 PER NUM)</t>
  </si>
  <si>
    <t>SS410 SS SCRUBBER 3 PCS SET (QTY- 118680 SET/ USD 0.167 PERSET)</t>
  </si>
  <si>
    <t>KWB-600F STAINLESS STEEL SPORTS BOTTLE (QTY.50400 PCS/USD 0.94 PER PCS)</t>
  </si>
  <si>
    <t>KL324H-9S STAINLESS STEEL GRATER WITH HANDLE (QTY 59040 PCS/USD 0.655 PER PCS)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</si>
  <si>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</si>
  <si>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</si>
  <si>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</si>
  <si>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</si>
  <si>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</si>
  <si>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</si>
  <si>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</si>
  <si>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</si>
  <si>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</si>
  <si>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</si>
  <si>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NP-55 STEEL TEA STRAINER (QTY:151200 PCS/USD 0.2973 PER PCS)</t>
  </si>
  <si>
    <t>SB-12 STEEL TEA STRAINER BIG (QTY:2256 PCS/USD 1.0930 PER PCS)</t>
  </si>
  <si>
    <t>SB-12 STEEL TEA STRAINER BIG (QTY:48144 PCS USD 1.097 PER PCS)</t>
  </si>
  <si>
    <t>KWB-600F STAINLESS STEEL SPORTS BOTTLE (QTY.50400 PCS/USD 0.96 PER PCS)</t>
  </si>
  <si>
    <t>DS-25 STAINLESS STEEL GRATER WITH HANDLE-(QTY:75000 PCS USD0.213PER PCS)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</si>
  <si>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</si>
  <si>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</si>
  <si>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</si>
  <si>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</si>
  <si>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</si>
  <si>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</si>
  <si>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</si>
  <si>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6561 STEEL LUNCH BOX (QTY:21600 PCS USD2.50 PER PCS)</t>
  </si>
  <si>
    <t>STEEL LUNCH BOX 2 LAYER (ITEM NO-8504)</t>
  </si>
  <si>
    <t>STEEL LUNCH BOX 3 LAYER ( ITEM N0-8505)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</si>
  <si>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</si>
  <si>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</si>
  <si>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</si>
  <si>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</si>
  <si>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</si>
  <si>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</si>
  <si>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</si>
  <si>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</si>
  <si>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</si>
  <si>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</si>
  <si>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SS410 SS SCRUBBER 3 PCS SET (QTY- 119280 SET/ USD 0.185 PERSET)</t>
  </si>
  <si>
    <t>OKS-4156 -STEEL SCRUBBER 6PCS SET (QTY 99600 SET / USD 0.26SET)</t>
  </si>
  <si>
    <t>KWP-1000B SS OIL POT 900ML(QTY: 27000 PCS/USD 1.55 PER PCS)</t>
  </si>
  <si>
    <t>2628 HOUSEHOLD STEEL HOOK 3 PCS SET (QTY :168480 SET/USD 0.421 PER SET)</t>
  </si>
  <si>
    <t>6561 STEEL LUNCH BOX (QTY:21600 PCS USD 2.50 PER PCS)</t>
  </si>
  <si>
    <t>NP-55 STEEL TEA STRAINER (QTY:100800 PCS USD0.297 PER PCS)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</si>
  <si>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</si>
  <si>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</si>
  <si>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</si>
  <si>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</si>
  <si>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</si>
  <si>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</si>
  <si>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8504 STEEL LUNCH BOX 2 LAYER (QTY 22080 PCS / USD 2.48 PER PCS)</t>
  </si>
  <si>
    <t>6527 STEEL LUNCH BOX (QTY:25680 PCS/USD1.90 PER PCS)</t>
  </si>
  <si>
    <t>NP-21 STAINLESS STEEL SPORTS BOTTLE 650ML S115 (QTY:35496 NUM USD1.05 PER NUM)</t>
  </si>
  <si>
    <t>SB-01 STAINLESS STEEL SPORTS BOTTLE 750ML SG-702 (QTY: 8604NUM USD 1.11 PER NUM)</t>
  </si>
  <si>
    <t>NP-19 STEEL SALT BOTTLE (QTY:25920 PCS USD 0.4430 PER PCS)</t>
  </si>
  <si>
    <t>KL32D-9S STAINLESS STEEL GRATER WITH HANDLE (QTY:37560 PCS USD 0.99 PER PCS)</t>
  </si>
  <si>
    <t>KL324H-9S STAINLESS STEEL GRATER WITH HANDLE (QTY - 59040 PCS/USD 0.68 PER PCS)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</si>
  <si>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</si>
  <si>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</si>
  <si>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</si>
  <si>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</si>
  <si>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</si>
  <si>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</si>
  <si>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</si>
  <si>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STAINLESS STEEL GRATER WITH HANDLE DS-25 (QTY:51000 PCS /USD0.2252 PER PCS)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</si>
  <si>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</si>
  <si>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</si>
  <si>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</si>
  <si>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</si>
  <si>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</si>
  <si>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</si>
  <si>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</si>
  <si>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</si>
  <si>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</si>
  <si>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</si>
  <si>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</si>
  <si>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SL-01 -STAINLESS STEEL COLA BOTTLE 750ML SK750 (QTY: 16776NUM USD 1.24 PER NUM)</t>
  </si>
  <si>
    <t>SB-01-STAINLESS STEEL SPORTS BOTTLE 750ML SG-702 (QTY: 27036 NUM USD 1.16 PER NUM)</t>
  </si>
  <si>
    <t>OKS-4156 -STEEL SCRUBBER 6PCS SET (QTY99600 SET / USD 0.26 SET)</t>
  </si>
  <si>
    <t>AM-06 STAINLESS STEEL BOTTLE 750ML SG805(QTY:46692 PCS/USD 1.095 PER PCS)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</si>
  <si>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</si>
  <si>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</si>
  <si>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</si>
  <si>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</si>
  <si>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STILL SCRUBBER 2 PCS SET (8001-2) (QTY:166200 SET/USD:0.164PER SET)</t>
  </si>
  <si>
    <t>NP-55 STEEL TEA STRAINER (QTY:151200 PCS / USD 0.3014 PER PCS)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</si>
  <si>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</si>
  <si>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</si>
  <si>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</si>
  <si>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</si>
  <si>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</si>
  <si>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</si>
  <si>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</si>
  <si>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</si>
  <si>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</si>
  <si>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</si>
  <si>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</si>
  <si>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</si>
  <si>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</si>
  <si>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</si>
  <si>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</si>
  <si>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</si>
  <si>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</si>
  <si>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STAINLESS STEEL SPORTS BOTTLE (KWB-600F) (QTY:50400 PCS/USD:1. PER PCS)</t>
  </si>
  <si>
    <t>STEEL HANGER WITH HOOK (ITEM NO. SL-89) (QTY 70056 PCS / USD1.14 PER PCS)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</si>
  <si>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</si>
  <si>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</si>
  <si>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</si>
  <si>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</si>
  <si>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</si>
  <si>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</si>
  <si>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</si>
  <si>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HOUSEHOLD STEEL HOOK 3PCS SET (ITEM NO. 2628) (QTY 170208NOS/ USD 0.436PER NOS)</t>
  </si>
  <si>
    <t>KWP-600B SS OIL POT 600ML(QTY:39000 PCS/USD 1.25 PER PCS)</t>
  </si>
  <si>
    <t>STEEL TEA STRAINER BIG (SB-12) (QTY:5256 PCS/USD 1.155 PER PCS)</t>
  </si>
  <si>
    <t>RYX-02-020 MILD STEEL MULTI FUNCTION CLOTH STAND(QTY:1232 PCS/USD 15.30 PER PCS)</t>
  </si>
  <si>
    <t>NP-55 STEEL TEA STRAINER (QTY:50400 PCS/USD 0.3099 PER PCS)</t>
  </si>
  <si>
    <t>SB-12 STEEL TEA STRAINER BIG - (QTY:21216 PCS/USD 1.1549 PERPCS)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</si>
  <si>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</si>
  <si>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</si>
  <si>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</si>
  <si>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SS410 SS SCRUBBER 3PCS SET(QTY:120120 SET/USD 0.20 PER SET)</t>
  </si>
  <si>
    <t>STEEL HANGER WITH HOOK (SM1168) (QTY:57792 PCS / USD 1.30 PER PCS)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</si>
  <si>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</si>
  <si>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</si>
  <si>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</si>
  <si>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</si>
  <si>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</si>
  <si>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</si>
  <si>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</si>
  <si>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</si>
  <si>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</si>
  <si>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</si>
  <si>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</si>
  <si>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NP-19 STEEL SALT BOTTLE (QTY:56112 PCS/ USD 0.496 PER PCS)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</si>
  <si>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</si>
  <si>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</si>
  <si>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</si>
  <si>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</si>
  <si>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</si>
  <si>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</si>
  <si>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</si>
  <si>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KL324H-9S STAINLESS STEEL GRATER WITH HANDLE (QTY: 59040 PCS/USD 0.70 PER PCS)</t>
  </si>
  <si>
    <t>OKS-4156 STEEL SCRUBBER 6PCS SET (QTY: 99600 SET / USD 0.275 PER SET)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</si>
  <si>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</si>
  <si>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</si>
  <si>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</si>
  <si>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KL326D-9S STAINLESS STEEL GRATER WITH HANDLE (QTY:37560PCS/USD 1.02 PER PCS)</t>
  </si>
  <si>
    <t>KL324H-9S STAINLESS STEEL GRATER WITH HANDLE (QTY:59040 PCS/USD 0.70 PER PCS)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</si>
  <si>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</si>
  <si>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</si>
  <si>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</si>
  <si>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</si>
  <si>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</si>
  <si>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</si>
  <si>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SL-89 STEEL HANGER WITH HOOK (QTY:70056 PACKS/USD 1.18 PER PACKS)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</si>
  <si>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</si>
  <si>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</si>
  <si>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</si>
  <si>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</si>
  <si>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</si>
  <si>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</si>
  <si>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</si>
  <si>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</si>
  <si>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SS OIL POT 900ML-KWP-1000B(QTY: 27000PCS/USD 1.64 PER PCS)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</si>
  <si>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</si>
  <si>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</si>
  <si>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</si>
  <si>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</si>
  <si>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</si>
  <si>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OKS-4156 STEEL SCRUBBER 6 PCS SET (QTY- 99600 SET/USD 0.275PER SET)</t>
  </si>
  <si>
    <t>MILD STEEL MULTI FUNCTION CLOTH STAND - RYX-02-020 (QTY :1232 NUM USD 15.30 PER NUM)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</si>
  <si>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</si>
  <si>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</si>
  <si>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</si>
  <si>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</si>
  <si>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</si>
  <si>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</si>
  <si>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</si>
  <si>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</si>
  <si>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</si>
  <si>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</si>
  <si>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</si>
  <si>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</si>
  <si>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</si>
  <si>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</si>
  <si>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</si>
  <si>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</si>
  <si>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</si>
  <si>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</si>
  <si>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</si>
  <si>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</si>
  <si>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</si>
  <si>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</si>
  <si>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</si>
  <si>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</si>
  <si>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</si>
  <si>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</si>
  <si>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SS410 SS SCRUBBER 3 PCS SET(QTY- 122640 SET/USD 0.195 PER SET)</t>
  </si>
  <si>
    <t>2628 HOUSEHOLD STEEL HOOK 3 PCS SET(QTY : 163080 SET/USD 0.445 PER SET)</t>
  </si>
  <si>
    <t>KWB-600F STAINLESS STEEL SPORTS BOTTLE(QTY:31200 PCS / USD:1.01 PER PCS)</t>
  </si>
  <si>
    <t>KWP-1000B SS OIL POT 900ML (QTY: 9960 PCS/USD 1.64 PER PCS)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</si>
  <si>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</si>
  <si>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</si>
  <si>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</si>
  <si>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</si>
  <si>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</si>
  <si>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</si>
  <si>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</si>
  <si>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</si>
  <si>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</si>
  <si>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AM-06 - STAINLESS STEEL BOTTLE 750ML SG805 (QTY:29016 PCS/USD 1.14 PER PCS)</t>
  </si>
  <si>
    <t>NP-21 STAINLESS STEEL SPORTS BOTTLE 650ML S115(QTY:14976PCSUSD 1.14PER PCS)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</si>
  <si>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</si>
  <si>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</si>
  <si>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</si>
  <si>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</si>
  <si>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</si>
  <si>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</si>
  <si>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SS410 SS SCRUBBER 3 PCS SET(QTY- 108360SET/USD 0.195PER SET)</t>
  </si>
  <si>
    <t>NP-20 STAINLESS STEEL SPORTS BOTTLE 750 ML S-308-C6 (QTY:32904 PCS USD 1.113 PER PCS)</t>
  </si>
  <si>
    <t>NP-21 - STAINLESS STEEL SPORTS BOTTLE 650ML S115 (QTY:8532 PCS/USD 1.140 PER PCS)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</si>
  <si>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</si>
  <si>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</si>
  <si>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</si>
  <si>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</si>
  <si>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</si>
  <si>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</si>
  <si>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</si>
  <si>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</si>
  <si>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KL326D-9S STAINLESS STEEL GRATER WITH HANDLE(MILD STEEL) (QTY -10008PCS/USD 1.05 PER PCS)</t>
  </si>
  <si>
    <t>KL324H-9S STAINLESS STEEL GRATER WITH HANDLE(MILD STEEL) (QTY - 43344 PCS/USD 0.72 PER PCS)</t>
  </si>
  <si>
    <t>RS-02 STEEL HAND BLENDER (QTY:200PCS USD 0.465 PER PCS)</t>
  </si>
  <si>
    <t>NP-19 STEEL SALT BOTTLE (QTY:33600 PCS USD 0.526 PER PCS)</t>
  </si>
  <si>
    <t>8001-2 STEEL SCRUBBER 2 PCS SET (QTY 164880/USD 0.168 PER PCS)</t>
  </si>
  <si>
    <t>6561 STEEL LUNCH BOX (QTY:21240 PCS/USD 2.75 PER PCS)</t>
  </si>
  <si>
    <t>8505 STEEL LUNCH BOX 3LAYER (QTY:16800 PCS/USD 3.75 PER PCS)</t>
  </si>
  <si>
    <t>RYX-02-021A MILD STEEL MULTI FUNCTION CLOTH STAND - (QTY 5184 NUM USD 9.40 PER NUM)</t>
  </si>
  <si>
    <t>RYX-02-020 MILD STEEL MULTI FUNCTION CLOTH STAND - (QTY 2464 NUM USD 15.30 PER NUM)</t>
  </si>
  <si>
    <t>STAINLESS STEEL GRATER WITH HANDLE - KL324H-9S (MILD STEEL)(QTY - 59040 PCS/USD 0.72 PER PCS)</t>
  </si>
  <si>
    <t>STEEL HANGER WITH HOOK SL-89 (QTY 70056 PCS / USD 1.15 PER PCS)</t>
  </si>
  <si>
    <t>6901 STEEL RECTANGLE CONTAINER (QTY:54720 PCS / USD 1.06 PERPCS)</t>
  </si>
  <si>
    <t>8504 STEEL LUNCH BOX 2 LAYER (QTY 22080 PCS / USD 2.75 PER PCS)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</si>
  <si>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</si>
  <si>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</si>
  <si>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</si>
  <si>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</si>
  <si>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</si>
  <si>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</si>
  <si>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</si>
  <si>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</si>
  <si>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</si>
  <si>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</si>
  <si>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</si>
  <si>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</si>
  <si>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</si>
  <si>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</si>
  <si>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</si>
  <si>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</si>
  <si>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</si>
  <si>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KWP-1000B SS OIL POT 900ML(QTY: 27000 PCS/USD 1.65 PER PCS)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</si>
  <si>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</si>
  <si>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</si>
  <si>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</si>
  <si>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</si>
  <si>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</si>
  <si>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</si>
  <si>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</si>
  <si>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</si>
  <si>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</si>
  <si>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</si>
  <si>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</si>
  <si>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2628 HOUSEHOLD STEEL HOOK 3PCS SET (QTY:167400 PCS/USD 0.445PRE PCS)</t>
  </si>
  <si>
    <t>NP-20 STAINLESS STEEL SPORTS BOTTLE 750 ML S-308-C6 (QTY:4068 NUM/USD 1.113 PER NUM)</t>
  </si>
  <si>
    <t>SB-01 STAINLESS STEEL SPORTS BOTTLE 750ML SG-702 (QTY:42192NUM/USD 1.205 PER NUM)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</si>
  <si>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</si>
  <si>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</si>
  <si>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</si>
  <si>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</si>
  <si>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</si>
  <si>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</si>
  <si>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</si>
  <si>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RYX-02-021A MILD STEEL MULTI FUNCTION CLOTH STAND (QTY:3888NUS/USD 9.40 PER NUM)</t>
  </si>
  <si>
    <t>RYX-02-020 MILD STEEL MULTI FUNCTION CLOTH STAND (QTY:2464 NUM/USD 15.30 PER NUM)</t>
  </si>
  <si>
    <t>AM-253 STEEL KITCHEN TURNER (QTY:25236 SET/USD 0.6082 PER SET)</t>
  </si>
  <si>
    <t>SS410 SS SCRUBBER 3 PCS SET (QTY:123600 SET/USD 0.195 PER SET)</t>
  </si>
  <si>
    <t>8001-2 STEEL SCRUBBER 2 PCS SET (QTY:165360 SET/USD 0.168 PER SET)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</si>
  <si>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</si>
  <si>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</si>
  <si>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</si>
  <si>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</si>
  <si>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</si>
  <si>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2628 HOUSEHOLD STEEL HOOK 3PCS SET(QTY:166464 PKT /USD 0.445PER PKT)</t>
  </si>
  <si>
    <t>DS-25 - STAINLESS STEEL GRATER WITH HANDLE (QTY: 100200 PCSUSD 0.2389 PER PCS)</t>
  </si>
  <si>
    <t>STEEL HAND BLENDER RS-02 (QTY.50000 PCS/USD 0.4591 PER PCS)</t>
  </si>
  <si>
    <t>STEEL TEA STRAINER NP-55 (QTY:75600 PCS/ USD 0.3270 PER PCS)</t>
  </si>
  <si>
    <t>KWP-1000B SS OIL POT 900ML (QTY:27000 PCS UNIT PRICE 1.65 USD PER PCS)</t>
  </si>
  <si>
    <t>STAINLESS STEEL GRATER WITH HANDLE - KL324H-9S (QTY - 59040 PCS/USD 0.74 PER PCS)</t>
  </si>
  <si>
    <t>STEEL KITCHEN TURNER ITEM NO-AM-253 (QTY:40644 PCS/ USD 0.595 PER PCS)</t>
  </si>
  <si>
    <t>STEEL ROUND CONTAINER MEDIUM - 6581 (QTY 2064 PCS /USD 0.92 PER PCS)</t>
  </si>
  <si>
    <t>STEEL LUNCH BOX 2 LAYER - 8504 (QTY 19260 PCS /USD 2.49 PER PCS)</t>
  </si>
  <si>
    <t>STAINLESS STEEL SPORTS BOTTLE - KWB-600F (QTY 50400 PCS / USD 0.99 PER PCS)</t>
  </si>
  <si>
    <t>SS SCRUBBER 3 PCS SET - SS410 (QTY- 120000 SET/USD 0.19 PER SET)</t>
  </si>
  <si>
    <t>STEEL TEA STRAINER BIG -SB-12 (QTY:600 PCS USD 1.207 PER PCS)</t>
  </si>
  <si>
    <t>STAINLESS STEEL GRATER WITH HANDLE DS-25 (QTY:100200 PCS USD 0.2274 PER PCS)</t>
  </si>
  <si>
    <t>STEEL TEA STRAINER BIG SB-12 (QTY:24384 PCS USD 1.207 PER PCS)</t>
  </si>
  <si>
    <t>STEEL HANGER WITH HOOK SL-89 (QTY 70056 PCS / USD 1.12 PER PCS)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</si>
  <si>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</si>
  <si>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</si>
  <si>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</si>
  <si>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</si>
  <si>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</si>
  <si>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SS SCRUBBER 3 PCS SET - SS410 (QTY- 120120 SET/USD 0.19 PER SET)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</si>
  <si>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</si>
  <si>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</si>
  <si>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</si>
  <si>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</si>
  <si>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</si>
  <si>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</si>
  <si>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</si>
  <si>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</si>
  <si>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</si>
  <si>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</si>
  <si>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</si>
  <si>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</si>
  <si>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</si>
  <si>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KWP-1000B SS OIL POT 900ML(QTY: 27000 PCS/USD 1.42 PER PCS)</t>
  </si>
  <si>
    <t>STEEL SCRUBBER 6PCS SET - OKS-4156 (QTY 98000 SET / USD 0.275 SET)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</si>
  <si>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</si>
  <si>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</si>
  <si>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</si>
  <si>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</si>
  <si>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</si>
  <si>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</si>
  <si>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</si>
  <si>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</si>
  <si>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</si>
  <si>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</si>
  <si>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</si>
  <si>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</si>
  <si>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</si>
  <si>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STEEL SALT BOTTLE ITEM NO-NP-19(QTY:31680 PCS USD 0.498 PER PCS)</t>
  </si>
  <si>
    <t>HOUSEHOLD STEEL HOOK 3 PCS SET -2628 (QTY : 19584 SET/USD 0.445 PER SET)</t>
  </si>
  <si>
    <t>MILD STEEL MULTI FUNCTION CLOTH STAND RYX-02-020 (QTY 2464 PCS / USD 14.20 PER PCS)</t>
  </si>
  <si>
    <t>STEEL ZHARA - NP-003 (QTY:60000 PCS USD 0.4606 PER PCS)</t>
  </si>
  <si>
    <t>MILD STEEL MULTI FUNCTION CLOTH STAND RYX-02-021A (QTY 6480 PCS / USD 8.85 PER PCS)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</si>
  <si>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</si>
  <si>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</si>
  <si>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</si>
  <si>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</si>
  <si>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</si>
  <si>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</si>
  <si>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</si>
  <si>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</si>
  <si>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</si>
  <si>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</si>
  <si>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</si>
  <si>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</si>
  <si>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</si>
  <si>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</si>
  <si>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</si>
  <si>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</si>
  <si>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</si>
  <si>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</si>
  <si>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</si>
  <si>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STEEL SCRUBBER 2 PCS SET - 8001-2 (QTY- 165840 SET/USD 0.168 PER SET)</t>
  </si>
  <si>
    <t>HOUSEHOLD STEEL HOOK 3 PCS SET -2628 (QTY : 147600 SET/USD 0.445 PER SET)</t>
  </si>
  <si>
    <t>FAMILY CLOTH RACK 3 LAYERS 03-027I (MADE UP OF MILD STEEL)(QTY:3648 PCS/ RMB 80.10 PER PCS)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</si>
  <si>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</si>
  <si>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</si>
  <si>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</si>
  <si>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</si>
  <si>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</si>
  <si>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</si>
  <si>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FAMILY CLOTH RACK 3 LAYERS 03-027I (MADE UP OF MILD STEEL)(QTY:1824 PCS/ RMB 80.10 PER PCS)</t>
  </si>
  <si>
    <t>SS SCRUBBER 3 PCS SET - SS410 (QTY- 123480 SET/USD 0.193 PER SET)</t>
  </si>
  <si>
    <t>SS OIL POT 600ML - KWP-600B (QTY: 16200 PCS/USD 1.20 PER PCS)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</si>
  <si>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</si>
  <si>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</si>
  <si>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</si>
  <si>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</si>
  <si>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</si>
  <si>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</si>
  <si>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</si>
  <si>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MILD STEEL MULTI FUNCTION CLOTH STAND - RYX-02-021A(QTY :10368 NUM USD 8.85 PER NUM)</t>
  </si>
  <si>
    <t>MILD STEEL MULTI FUNCTION CLOTH STAND - RYX-02-020 (QTY :3696 NUM /USD 14.20 PER NUM)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</si>
  <si>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</si>
  <si>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</si>
  <si>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</si>
  <si>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</si>
  <si>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</si>
  <si>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</si>
  <si>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</si>
  <si>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</si>
  <si>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NP-55 STEEL TEA STRAINER (QTY:20160 PCS USD 0.3224 PER PCS)</t>
  </si>
  <si>
    <t>RS-02 STEEL HAND BLENDER (QTY:9360 PCS USD 0.4527 PER PCS)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</si>
  <si>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</si>
  <si>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</si>
  <si>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</si>
  <si>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</si>
  <si>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</si>
  <si>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</si>
  <si>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</si>
  <si>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</si>
  <si>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</si>
  <si>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</si>
  <si>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</si>
  <si>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</si>
  <si>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</si>
  <si>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STEEL SCRUBBER 6 PCS SET - OKS-4156 (QTY- 98000 PCS/USD 0.275 PER PCS)</t>
  </si>
  <si>
    <t>FAMILY CLOTH RACK 3 LAYERS 03-027I (MADE UP OF MILD STEEL)(QTY:1824 PCS RMB 79.00 PER PCS)</t>
  </si>
  <si>
    <t>MILD STEEL MULTI FUNCTION CLOTH STAND - RYX-02-020 (QTY :1232 NUM USD 14.20 PER NUM)</t>
  </si>
  <si>
    <t>STEEL TEA STRAINER NP-55 (QTY:50400 PCS USD 0.3195 PER PCS)</t>
  </si>
  <si>
    <t>SS SCRUBBER 3 PCS SET - SS410 (QTY- 124560 SET/USD 0.182 PER SET)</t>
  </si>
  <si>
    <t>FAMILY CLOTH RACK 3 LAYERS 03-027I (MADE UP OF MILD STEEL)(QTY:1824 PCS/ CNY 79.00 PER PCS)</t>
  </si>
  <si>
    <t>STEEL SALT BOTTLE - NP-19 (QTY- 24144 PCS/USD 0.4938 PER PCS)</t>
  </si>
  <si>
    <t>STEEL ZHARA - NP-003 (QTY: 36000 PCS/USD 0.4520 PER PCS)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</si>
  <si>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</si>
  <si>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</si>
  <si>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</si>
  <si>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</si>
  <si>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STAINLESS STEEL GRATER WITH HANDLE HEXA - KL326D-9S (MILD STEEL) (QTY - 37680 PCS/USD 0.96 PER PCS)</t>
  </si>
  <si>
    <t>8505 STEEL LUNCH BOX 3LAYER ( 16800 NOS) (MILD STEEL)</t>
  </si>
  <si>
    <t>FAMILY CLOTH RACK 3LAYERS [MADE UP OF MILD STEEL] - 03-027I (QTY : 1824 PCS / CNY 79.00 PER PCS)</t>
  </si>
  <si>
    <t>MILD STEEL MULTI FUNCTION CLOTH STAND - RYX-02-020 (QTY : 3696 NUM / USD 14.20 PER NUM)</t>
  </si>
  <si>
    <t>STEEL SALT BOTTLE NP-19 (QTY:10080 PCS USD 0.4976 PER PCS)</t>
  </si>
  <si>
    <t>STEEL TEA STRAINER BIG SB-12 (QTY:20376 USD 1.2052 PER PCS)</t>
  </si>
  <si>
    <t>MILD STEEL MULTI FUNCTION CLOTH STAND - RYX-02-021A (QTY : 3888 NUM/ USD 8.85 PER NUM)</t>
  </si>
  <si>
    <t>KW-830 STAINLESS STEEL SPORT BOTTLE 1000ML (QTY 34164 PCS / USD 0.90 PER PCS)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</si>
  <si>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</si>
  <si>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</si>
  <si>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</si>
  <si>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</si>
  <si>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</si>
  <si>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</si>
  <si>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</si>
  <si>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</si>
  <si>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</si>
  <si>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</si>
  <si>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</si>
  <si>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</si>
  <si>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</si>
  <si>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</si>
  <si>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STEEL SCRUBBER 2 PCS SET -8001-2 (QTY- 165000 SET/USD 0.151 PER SET)</t>
  </si>
  <si>
    <t>KWP-1000B SS OIL POT 900ML (QTY- 27000 PCS/USD 1.42 PER PCS)</t>
  </si>
  <si>
    <t>HOUSEHOLD STEEL HOOK 3 PCS SET - 2628 (QTY : 167184 SET/USD 0.445 PER SET)</t>
  </si>
  <si>
    <t>MILD STEEL MULTI FUNCTION CLOTH STAND - RYX-02-020 (QTY : 2464 NUM/ USD 13.80 PER NUM)</t>
  </si>
  <si>
    <t>MILD STEEL MULTI FUNCTION CLOTH STAND - RYX-02-021A (QTY : 2592 NUM/ USD 8.85 PER NUM)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</si>
  <si>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</si>
  <si>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</si>
  <si>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</si>
  <si>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</si>
  <si>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</si>
  <si>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</si>
  <si>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</si>
  <si>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</si>
  <si>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</si>
  <si>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</si>
  <si>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</si>
  <si>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STAINLESS STEEL SPORTS BOTTLE 650ML S115 - NP-21 (QTY-19800 PCS/USD 1.070 PER PCS)</t>
  </si>
  <si>
    <t>STAINLESS STEEL SPORTS BOTTLE 750ML S-308-C6 - NP-20 (QTY-14400 PCS/USD 1.022 PER PCS)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</si>
  <si>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</si>
  <si>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</si>
  <si>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</si>
  <si>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</si>
  <si>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SS SCRUBBER 3 PCS SET - (ITEM NO-SS410) (QTY- 120000 SET/USD 0.162 PER SET)</t>
  </si>
  <si>
    <t>STAINLESS STEEL GRATER WITH HANDLE HEXA - KL326D-9S (MILD STEEL) (QTY - 35016 PCS/USD 0.96 PER PCS)</t>
  </si>
  <si>
    <t>STAINLESS STEEL GRATER WITH HANDLE - KL3241-8S (MILD STEEL) (QTY - 7920 PCS/USD 0.59 PER PCS)</t>
  </si>
  <si>
    <t>HOUSEHOLD STEEL HOOK 3 PCS SET -2628 (QTY : 36216 SET/USD 0.445 PER SET)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</si>
  <si>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</si>
  <si>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</si>
  <si>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</si>
  <si>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</si>
  <si>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</si>
  <si>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KWP-1000B SS OIL POT 900ML (QTY: 12732 PCS/USD 1.42 PER PCS)</t>
  </si>
  <si>
    <t>KWB-600F STAINLESS STEEL SPORTS BOTTLE (QTY: 25296 PCS/USD 0.99 PER PCS)</t>
  </si>
  <si>
    <t>MILD STEEL MULTI FUNCTION CLOTH STAND - RYX-02-021A (QTY : 3888 NUM/ USD 8.60 PER NUM)</t>
  </si>
  <si>
    <t>STEEL ZHARA - NP-003 (QTY- 50400 PCS/USD 0.446 PER PCS)</t>
  </si>
  <si>
    <t>STEEL SALT BOTTLE - NP-19 (QTY- 30000 PCS/USD 0.487 PER PCS)</t>
  </si>
  <si>
    <t>HOUSEHOLD STEEL HOOK 3 PCS SET (ITEM NO-2628 )(24120 SET)</t>
  </si>
  <si>
    <t>SS SCRUBBER 3 PCS SET - (ITEM NO-SS410) (QTY- 121200 SET/USD 0.169 PER SET)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</si>
  <si>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</si>
  <si>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</si>
  <si>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</si>
  <si>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STEEL SCRUBBER 2PCS SET - 8001-2 (QTY-166800 SETS/USD 0.151 PER SET)</t>
  </si>
  <si>
    <t>KWB-600F STAINLESS STEEL SPORTS BOTTLE (QTY 24240 PCS/USD 0.99 PER PCS)</t>
  </si>
  <si>
    <t>KWP-1000B SS OIL POT 900ML (QTY 14304 PCS/USD 1.42 PER PCS)</t>
  </si>
  <si>
    <t>STEEL HANGER WITH HOOK ITEM NO. SM1168 (QTY: 25440 NUM / USD1.160 PER NUM</t>
  </si>
  <si>
    <t>STEEL TEA STRAINER BIG - SB-12 (QTY- 10080 PCS/USD 1.1619 PER PCS)</t>
  </si>
  <si>
    <t>STEEL ZHARA - NP-003 (QTY- 60120 PCS/USD 0.4392 PER PCS)</t>
  </si>
  <si>
    <t>STEEL TEA STRAINER - NP-55 (QTY- 61200 PCS/USD 0.3118 PER PCS)</t>
  </si>
  <si>
    <t>STEEL ZHARA-NP-(ITEM NO-NP-003)(TOTAL 47880 PCS)</t>
  </si>
  <si>
    <t>STEEL LEMON SQUEEZER (ITEM NO-AM-217) (TOTAL 480 PCS)</t>
  </si>
  <si>
    <t>STEEL HAND BLENDER-(ITEM NO-RS-02) (TOTAL 50000 PCS)</t>
  </si>
  <si>
    <t>STEEL SCRUBBER 6 PCS SET - OKS-4156 (QTY- 98000 SETS/USD 0.256 PER SET)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</si>
  <si>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</si>
  <si>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</si>
  <si>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</si>
  <si>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</si>
  <si>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STAINLESS STEEL GRATER WITH HANDLE HEXA - KL326D-9S (MILD STEEL) (TOTAL -24000 PCS)</t>
  </si>
  <si>
    <t>STAINLESS STEEL GRATER WITH HANDLE - KL3241-8S (MILD STEEL) (TOTAL - 39528 PCS)</t>
  </si>
  <si>
    <t>STEEL SCRUBBER 2 PCS SET - 8001-2 (QTY- 166800 SETS/USD 0.151 PER SET)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</si>
  <si>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</si>
  <si>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</si>
  <si>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</si>
  <si>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</si>
  <si>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</si>
  <si>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</si>
  <si>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RYX-02-020 MILD STEEL MULTI FUNCTION CLOTH STAND (1232 NOS)(OTHER ARTICLES OF HOUSEHOLD OF IRON &amp; STEEL)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</si>
  <si>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</si>
  <si>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</si>
  <si>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</si>
  <si>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</si>
  <si>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STAINLESS STEEL SPORTS BOTTLE - KWB-600F (QTY-50400 PCS/USD 1.00 PER PCS) (NOT VACUUM BOTTLE) (MILD STEEL)</t>
  </si>
  <si>
    <t>STEEL HAND BLENDER RS-02 (QTY-30000 PCS/USD 0.4304 PER PCS)</t>
  </si>
  <si>
    <t>STEEL ZHARA NP-003 (QTY-48000 PCS/USD 0.4232 PER PCS)</t>
  </si>
  <si>
    <t>STEEL ZHARA - NP-003 (TOTAL 36000 PCS)</t>
  </si>
  <si>
    <t>STEEL TEA STRAINER - NP-55 (TOTAL 68328 PCS)</t>
  </si>
  <si>
    <t>STAINLESS STEEL BOTTLE 750ML SG805-AM-06 (TOTAL 15480 PCS)(NOT VACUUM BOTTLE)(MILD STEEL)</t>
  </si>
  <si>
    <t>STAINLESS STEEL SPORTS BOTTLE 650ML S115 NP-21 (TOTAL PCS 27720) (NOT VACUUM BOTTLE) (MILD STEEL)</t>
  </si>
  <si>
    <t>STEEL SPOON HOLDER ROUND MP-96 (TOTAL 216 PCS)</t>
  </si>
  <si>
    <t>STEEL ZHARA-NP-003 (TOTAL 36000 PCS)</t>
  </si>
  <si>
    <t>KWP-1000B SS OIL POT 1000ML (QTY- 27000 PCS/USD 1.45 PER PCS)</t>
  </si>
  <si>
    <t>STEEL SPOON HOLDER ROUND MP-96</t>
  </si>
  <si>
    <t>STEEL ZHARA-NP-003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</si>
  <si>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</si>
  <si>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</si>
  <si>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</si>
  <si>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</si>
  <si>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</si>
  <si>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</si>
  <si>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</si>
  <si>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STEEL LUNCH BOX (ITEM NO. 6527) (QTY 25800 PCS) (MILD STEEL)</t>
  </si>
  <si>
    <t>MILD STEEL MUTLI FUNCTION CLOTH STAND (RYX-02-020) (OTHER ARTICLES OF HOUSEHOLD OF IRON &amp; STEEL)(1232 NOS)</t>
  </si>
  <si>
    <t>STEEL ZHARA -NP-003 (TOTAL 76800 PCS) (MILD STEEL)</t>
  </si>
  <si>
    <t>STEEL SPOON HOLDER ROUND -MP-96 ( TOTAL 25200 PCS) (MILD STEEL)</t>
  </si>
  <si>
    <t>STEEL TEA STRAINER -NP-55 (TOTAL 54072 PCS) (MIL D STEEL)</t>
  </si>
  <si>
    <t>RYX-02-021A MILD STEEL MULTI FUNCTION CLOTH STAND (6480 NOS)(OTHER ARTICLES OF HOUSEHOLD OF IRON &amp; STEEL)</t>
  </si>
  <si>
    <t>KW-830 STAINLESS STEEL SPORT BOTTLE 1000ML (QTY 35280 PCS / USD 0.98 PER PCS)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</si>
  <si>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</si>
  <si>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</si>
  <si>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</si>
  <si>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</si>
  <si>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</si>
  <si>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</si>
  <si>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</si>
  <si>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HOUSEHOLD STEEL HOOK 3 PCS SET(TOTAL 68760 SET) (MILD STEEL)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</si>
  <si>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</si>
  <si>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</si>
  <si>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</si>
  <si>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</si>
  <si>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STEEL SCRUBBER 2PCS SET - 8001-2 (QTY- 158040 SETS/USD 0.156 PER SET)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</si>
  <si>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</si>
  <si>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</si>
  <si>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</si>
  <si>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</si>
  <si>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</si>
  <si>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</si>
  <si>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</si>
  <si>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</si>
  <si>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</si>
  <si>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RYX-02-021A MILD STEEL MULTI FUNCTION CLOTH STAND (9072 NOS)(OTHER ARTICLES OF HOUSEHOLD OF IRON &amp; STEEL)</t>
  </si>
  <si>
    <t>KWP-1000B SS OIL POT 1000ML (QTY:27000 PCS/USD 1.45 PER PCS)</t>
  </si>
  <si>
    <t>KWP-600P SS OIL POT 600ML (QTY:38760 PCS/USD 1.20 PER PCS)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</si>
  <si>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</si>
  <si>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</si>
  <si>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</si>
  <si>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</si>
  <si>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</si>
  <si>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</si>
  <si>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</si>
  <si>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</si>
  <si>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</si>
  <si>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03-027I FAMILY CLOTH RACK 3LAYERS (1824 PCS) (OTHER ARTICLESOF HOUSEHOLD OF IRON &amp; STEEL) (MADE UP OF MILD STEEL)</t>
  </si>
  <si>
    <t>2628 HOUSEHOLD STEEL HOOK 3PCS SET (QTY 96984 SET / USD 0.445 PER PCS)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</si>
  <si>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</si>
  <si>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</si>
  <si>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</si>
  <si>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</si>
  <si>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</si>
  <si>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</si>
  <si>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RYX-02-021A MILD STEEL MULTI FUNCTION CLOTH STAND (3888 NOS)(OTHER ARTICLES OF HOUSEHOLD OF IRON &amp; STEEL)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</si>
  <si>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</si>
  <si>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</si>
  <si>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</si>
  <si>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</si>
  <si>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</si>
  <si>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</si>
  <si>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</si>
  <si>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STEEL LUNCH BOX-6527 (MILD STEEL) (TOTAL 25800 PCS)</t>
  </si>
  <si>
    <t>STEEL LUNCH BOX-6561 (TOTAL 21240 PCS) (MILD STEEL)</t>
  </si>
  <si>
    <t>RYX-02-021A MILD STEEL MULTI FUNCTION CLOTH STAND (5184 NOS)(OTHER ARTICLES OF HOUSEHOLD OF IRON &amp; STEEL)</t>
  </si>
  <si>
    <t>STAINLESS STEEL SPORT BOTTLE 1000ML (ITEM NO: KW-830) (QTY 32220 PCS)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</si>
  <si>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</si>
  <si>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</si>
  <si>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</si>
  <si>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</si>
  <si>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</si>
  <si>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STEEL HANGER WITH HOOK-SL-89 (MILD STEEL)(TOTAL 70056 PCS)(HOUSEHOLD)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</si>
  <si>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</si>
  <si>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</si>
  <si>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</si>
  <si>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</si>
  <si>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</si>
  <si>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</si>
  <si>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</si>
  <si>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</si>
  <si>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</si>
  <si>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</si>
  <si>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</si>
  <si>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</si>
  <si>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</si>
  <si>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</si>
  <si>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</si>
  <si>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</si>
  <si>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</si>
  <si>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</si>
  <si>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</si>
  <si>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</si>
  <si>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</si>
  <si>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</si>
  <si>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</si>
  <si>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</si>
  <si>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KW-830 STAINLESS STEEL SPORT BOTTLE 1000ML (QTY- 34920 PCS/USD 0.98 PER PCS)</t>
  </si>
  <si>
    <t>STEEL SCRUBBER 6PCS SET - OKS-4156 (QTY- 98000 PCS/USD 0.268 PER PCS)</t>
  </si>
  <si>
    <t>STAINLESS STEEL GRATER WITH HANDLE-DS-25 (TOTAL 102000 PCS)(MILD STEEL)</t>
  </si>
  <si>
    <t>STEEL HAND BLENDER-RS-02 (TOTAL 20400 PCS) (MILD STEEL)</t>
  </si>
  <si>
    <t>SS SCRUBBER 3PCS SET-SS410 (TOTAL 124200 SET)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</si>
  <si>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</si>
  <si>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</si>
  <si>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</si>
  <si>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</si>
  <si>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</si>
  <si>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</si>
  <si>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</si>
  <si>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</si>
  <si>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</si>
  <si>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</si>
  <si>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STAINLESS STEEL SPORTS BOTTLE KOOU 750ML-MP-202 (TOTAL 10800PCS)(NOT VACUUM BOTTLE)(MILD STEEL)</t>
  </si>
  <si>
    <t>STAINLESS STEEL COLA BOTTLE 750ML SK750-SL-01(TOTAL 10800 PCS)(NOT VACUUM BOTTLE)(MILD STEEL)</t>
  </si>
  <si>
    <t>STAINLESS STEEL SPORTS BOTTLE 650ML S115 -NP-21(TOTAL 8640 PCS)(NOT VACUUM BOTTLE)(MILD STEEL)</t>
  </si>
  <si>
    <t>STAINLESS STEEL SPORT BOTTLE 750ML ( ITEM NO. KW-820) ( QTY47160 PCS)</t>
  </si>
  <si>
    <t>STEEL LEMON SQUEEZER-AM-217 (TOTAL 120 PCS) (MILD STEEL)</t>
  </si>
  <si>
    <t>STEEL TEA STRAINER-NP-55(TOTAL 61200 PCS) (MILD STEEL)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</si>
  <si>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</si>
  <si>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</si>
  <si>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</si>
  <si>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</si>
  <si>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STAINLESS STEEL SPORT BOTTLE 1000 ML ( ITEM NO. KW-830) ( QTY 34920 PCS)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</si>
  <si>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</si>
  <si>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</si>
  <si>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</si>
  <si>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</si>
  <si>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</si>
  <si>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</si>
  <si>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</si>
  <si>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STEEL LUNCH BOX-6900(MILD STEEL)(TOTAL 86400 PCS)</t>
  </si>
  <si>
    <t>STEEL ROUND CONTAINER-6857 (TOTAL 72000 PCS)(MILD STEEL)</t>
  </si>
  <si>
    <t>STEEL ROUND CONTAINER-6856 (MILD STEEL) (TOTAL 127392 PCS)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</si>
  <si>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</si>
  <si>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</si>
  <si>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</si>
  <si>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</si>
  <si>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STEEL MULTI GRATER AND SLICER -RS-04 (TOTAL 5856 PCS) (MILDSTEEL)</t>
  </si>
  <si>
    <t>STEEL TEA STRAINER-NP-55 (TOTAL 86040 PCS) (MILD STEEL)</t>
  </si>
  <si>
    <t>STEEL RECTANGLE CONTAINER LARGE-6862 (MILD STEEL) (TOTAL 20400 PCS)</t>
  </si>
  <si>
    <t>STEEL RECTANGLE CONTAINER- 6901(MILD STEEL) (TOTAL 54000 PCS)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</si>
  <si>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</si>
  <si>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</si>
  <si>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</si>
  <si>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</si>
  <si>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</si>
  <si>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</si>
  <si>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</si>
  <si>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</si>
  <si>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SS OIL POT 1000ML ( ITEM NO. KWP-1000B) ( QTY 24840 PCS)</t>
  </si>
  <si>
    <t>HOUSEHOLD STEEL HOOK 3 PCS SET-2628(TOTAL 68760 SET) (MILD STEEL)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</si>
  <si>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</si>
  <si>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</si>
  <si>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</si>
  <si>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</si>
  <si>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STAINLESS STEEL SPORTS BOTTLE ( ITEM NO. KWB-600F) (QTY 50400 PCS)</t>
  </si>
  <si>
    <t>STEEL ZHARA -NP-003 (MILD STEEL) (TOTAL 60000 PCS)</t>
  </si>
  <si>
    <t>STEEL PIZZA CUTTER-RJ-388 (TOTAL 12600 PCS) (MILD STEEL)</t>
  </si>
  <si>
    <t>STEEL TEA STRAINER -NP-55 (MILD STEEL) (TOTAL 45360 PCS)</t>
  </si>
  <si>
    <t>STEEL SALT BOTTLE -NP-19 (MILD STEEL) (TOTAL 9600 PCS)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</si>
  <si>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</si>
  <si>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</si>
  <si>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</si>
  <si>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</si>
  <si>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</si>
  <si>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</si>
  <si>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</si>
  <si>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</si>
  <si>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</si>
  <si>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SS OIL POT 1000ML ( ITEM NO. KWP-1000B) (QTY 27000 PCS)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</si>
  <si>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</si>
  <si>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</si>
  <si>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</si>
  <si>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</si>
  <si>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</si>
  <si>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</si>
  <si>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</si>
  <si>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</si>
  <si>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</si>
  <si>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</si>
  <si>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</si>
  <si>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</si>
  <si>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</si>
  <si>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</si>
  <si>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</si>
  <si>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</si>
  <si>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STEEL ZHARA-AM-60 (TOTAL 1440 PCS) (MILD SEEL)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</si>
  <si>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</si>
  <si>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</si>
  <si>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</si>
  <si>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</si>
  <si>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</si>
  <si>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SS SCOURER 3 PCS SET (MADE OF STEEL) ( QTY 106800 NOS)</t>
  </si>
  <si>
    <t>STEEL LUNCH BOX-6527 (TOTAL 26112 PCS) (MILD STEEL)DPD CLIENT</t>
  </si>
  <si>
    <t>STEEL ZHARA-NP-003 (TOTAL 71880 PCS) (MILD STEEL)</t>
  </si>
  <si>
    <t>STEEL SCRUBBER 2PCS SET (ITEM NO. 8001-2) ( QTY 167400 SETS)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</si>
  <si>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</si>
  <si>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</si>
  <si>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</si>
  <si>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</si>
  <si>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</si>
  <si>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</si>
  <si>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</si>
  <si>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</si>
  <si>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</si>
  <si>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</si>
  <si>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</si>
  <si>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</si>
  <si>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</si>
  <si>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</si>
  <si>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</si>
  <si>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</si>
  <si>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</si>
  <si>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</si>
  <si>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RYX-02-021A MILD STEEL MULTI FUNCTION CLOTH STAND (OTHER ART - ICLES OF HOUSEHOLD OF IRON &amp; STEEL) (5184 NOS)</t>
  </si>
  <si>
    <t>STEEL MULTI PEELER-RS-01 (TOTAL 1920 PCS) (MILD STEEL) -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</si>
  <si>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</si>
  <si>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</si>
  <si>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</si>
  <si>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</si>
  <si>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</si>
  <si>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STEEL ZHARA -NP-003 (MILD STEEL) (TOTAL 60000 PCS) -</t>
  </si>
  <si>
    <t>HOUSE HOLD STEEL HOOK 6 PCS SET -GN-09 (TOTAL 5000 SET) -</t>
  </si>
  <si>
    <t>STEEL SALT BOTTLE-NP-19 (MILD STEEL) (TOTAL 1008 PCS) -</t>
  </si>
  <si>
    <t>STEEL GLASS CANISTER 3PCS SET-NP-20 (MILD STEEL)(TOTAL 18 SE - T)-DPD CLIENT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</si>
  <si>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</si>
  <si>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</si>
  <si>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</si>
  <si>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</si>
  <si>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STEEL TEA STRAINER -NP-55 (MILD STEEL) (TOTAL 27648 PCS) -</t>
  </si>
  <si>
    <t>STEEL TEA STRAINER -NP-55 (MILD STEEL) (TOTAL 22752 PCS) -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</si>
  <si>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</si>
  <si>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</si>
  <si>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</si>
  <si>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</si>
  <si>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</si>
  <si>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</si>
  <si>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</si>
  <si>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</si>
  <si>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</si>
  <si>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STAINLESS STEEL SPORTS BOTTLE 650ML ( ITEM NO.KW-868) (5209 - 2 PCS)</t>
  </si>
  <si>
    <t>STAINLESS STEEL SPORT BOTTLE 1000ML ( ITEM NO. KW-830) (349 - 20 PCS)</t>
  </si>
  <si>
    <t>KWB-600F STAINLESS STEEL SPORTS BOTTLE. (QTY :50400 PCS / US - D 1.06 PER PCS)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</si>
  <si>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</si>
  <si>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</si>
  <si>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</si>
  <si>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STEEL SCRUBBER 3PCS SET-DR-2(TOTAL 133000 SET) (MILD STEEL)- - DPD CLIENT</t>
  </si>
  <si>
    <t>STEEL TEA STRAINER -NP-55(MILD STEEL) (TOTAL 50400 PCS) -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</si>
  <si>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</si>
  <si>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</si>
  <si>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</si>
  <si>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</si>
  <si>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RYX-02-020 MILD STEEL MULTI FUNCTION CLOTH STAND (OTHER ARTI - CLES OF HOUSEHOLD OF IRON &amp; STEEL) (1232 NOS)</t>
  </si>
  <si>
    <t>STEEL SPOON HOLDER ROUND -MP-96 (MILD STEEL) (TOTAL 324 PCS - )</t>
  </si>
  <si>
    <t>03-027I FAMILY CLOTH RACK 3LAYERS (1824 PCS) (OTHER ARTICLES - OF HOUSEHOLD OF IRON &amp; STEEL) (MADE UP OF MILD STEEL)</t>
  </si>
  <si>
    <t>STAINLESS STEEL SPORT BOTTLE 750ML (ITEM NO. KW-820) (47160 - PCS)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</si>
  <si>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</si>
  <si>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</si>
  <si>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STEEL SPOON HOLDER ROUND -MP-96 (MILD STEEL) (TOTAL 7992 PCS - )</t>
  </si>
  <si>
    <t>STEEL ZHARA-NP-003(MILD STEEL) (TOTAL 47760 PCS) (DPD CLIENT - )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</si>
  <si>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</si>
  <si>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</si>
  <si>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</si>
  <si>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</si>
  <si>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</si>
  <si>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STAINLESS STEEL SPORT BOTTLE 1000ML (ITEM NO. KW-830) (34920 - PCS)</t>
  </si>
  <si>
    <t>STEEL ZHARA-NP-003 (MILD STEEL) (TOTAL 36720 PCS) DPD CLIENT -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</si>
  <si>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</si>
  <si>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</si>
  <si>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</si>
  <si>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</si>
  <si>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</si>
  <si>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</si>
  <si>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</si>
  <si>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</si>
  <si>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</si>
  <si>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</si>
  <si>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KWB-600F STAINLESS STEEL SPORTS BOTTLE ( 50400 PCS ) -</t>
  </si>
  <si>
    <t>03-027I FAMILY CLOTH RACK 3LAYERS (3648 PCS) (OTHER ARTICLES - OF HOUSEHOLD OF IRON &amp; STEEL) (MADE UP OF MILD STEEL)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</si>
  <si>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</si>
  <si>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</si>
  <si>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</si>
  <si>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</si>
  <si>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</si>
  <si>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</si>
  <si>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</si>
  <si>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</si>
  <si>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</si>
  <si>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</si>
  <si>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</si>
  <si>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</si>
  <si>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</si>
  <si>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KW-830 STAINLESS STEEL SPORTS BOTTLE 1000ML -</t>
  </si>
  <si>
    <t>03-027I FAMILY CLOTH RACK 3LAYERS (3648 PCS) (HOUSEHOLD ARTI - CLES) (MADE UP OF MILD STEEL)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</si>
  <si>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</si>
  <si>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</si>
  <si>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</si>
  <si>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</si>
  <si>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STEEL LUNCH BOX -6900(TOTAL 4632 PCS) (MILD STEEL)DPD CLIENT -</t>
  </si>
  <si>
    <t>STEEL LUNCH BOX-6527 (TOTAL 24504 PCS) (MILD STEEL) -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</si>
  <si>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</si>
  <si>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</si>
  <si>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RYX-02-021A MILD STEEL MULTI FUNCTION CLOTH STAND (OTHER ART - ICLES OF HOUSEHOLD OF IRON &amp; STEEL) (3888 NOS)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</si>
  <si>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</si>
  <si>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</si>
  <si>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</si>
  <si>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</si>
  <si>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</si>
  <si>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</si>
  <si>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</si>
  <si>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STEEL SCRUBBER-SS430 (TOTAL 273456 PCS)(MILD STEEL) DPD CLIE - NT</t>
  </si>
  <si>
    <t>STEEL SCRUBBER 2 PCS SET-8001-2 -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</si>
  <si>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</si>
  <si>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</si>
  <si>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</si>
  <si>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</si>
  <si>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</si>
  <si>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</si>
  <si>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</si>
  <si>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</si>
  <si>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</si>
  <si>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</si>
  <si>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</si>
  <si>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</si>
  <si>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</si>
  <si>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STEEL SCRUBBER-DR-1 (TOTAL NET WT. 4951.80KGS) (MILD STEEL) - DPD CLIENT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</si>
  <si>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</si>
  <si>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</si>
  <si>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</si>
  <si>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</si>
  <si>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</si>
  <si>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</si>
  <si>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KWP-600B-SS OIL POT 600ML -</t>
  </si>
  <si>
    <t>KWP-1000B-SS OIL POT 1000ML -</t>
  </si>
  <si>
    <t>STEEL SCRUBBER 3PCS SET-DR-2(TOTAL NET WT.630.00 KGS) (MILD - STEEL)</t>
  </si>
  <si>
    <t>SM1168 STEEL HOOK WITH HANGER -</t>
  </si>
  <si>
    <t>STEEL WALL HANGER HOOK-SL-89 (TOTAL NET WT.2709.50 KGS)(MILD - STEEL)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</si>
  <si>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</si>
  <si>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</si>
  <si>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</si>
  <si>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</si>
  <si>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</si>
  <si>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</si>
  <si>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</si>
  <si>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</si>
  <si>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STEEL TEA STRAINER -NP-55 (TOTAL NET WT.2368.80 KGS) (MILD S - TEEL)</t>
  </si>
  <si>
    <t>RYX-02-021A MILD STEEL MULTI FUNCTION CLOTH STAND (OTHER ART - ICLES OF HOUSEHOLD OF IRON &amp; STEEL)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</si>
  <si>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</si>
  <si>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</si>
  <si>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</si>
  <si>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</si>
  <si>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</si>
  <si>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</si>
  <si>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STEEL ZHARA-NP-003 (TOTAL NET WT.6925.80 KGS) (MILD TEEL) -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</si>
  <si>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</si>
  <si>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</si>
  <si>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</si>
  <si>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</si>
  <si>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</si>
  <si>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</si>
  <si>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</si>
  <si>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</si>
  <si>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</si>
  <si>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</si>
  <si>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</si>
  <si>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</si>
  <si>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</si>
  <si>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STEEL SCRUBBER -ANG-537 (TOTAL NET WT.6045KGS)(MILD STEEL) (DPD CLIENT)</t>
  </si>
  <si>
    <t>KWS-750B- STAINLESS STEEL SPORTS BOTTLE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</si>
  <si>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</si>
  <si>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</si>
  <si>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</si>
  <si>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</si>
  <si>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</si>
  <si>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</si>
  <si>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STAINLESS STEEL SPORTS BOTTLE (ITEM NO: KWB-600F) (50400 PCS)</t>
  </si>
  <si>
    <t>STEEL SCRUBBER -ANG-537 (TOTAL NET WT.5905.50 KGS)(MILD STEEL) (DPD CLIENT)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</si>
  <si>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</si>
  <si>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</si>
  <si>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</si>
  <si>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</si>
  <si>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8001-1PCS - STEEL SCRUBBER (MADE UP MILD STEEL) (NET WEIGHT:1245 KGS)</t>
  </si>
  <si>
    <t>STEEL ROUND CONTAINER -6856(TOTAL NET WT.4400 KGS) (MILD STEEL) (DPD CLIENT)</t>
  </si>
  <si>
    <t>RYX-02-021A MILD STEEL MULTI FUNCTION CLOTH STAND (OTHER ARTICLES OF HOUSEHOLD OF IRON &amp; STEEL)</t>
  </si>
  <si>
    <t>STEEL TEA STRAINER-NP-55(TOTAL 2268 KGS) (MILD STEEL)</t>
  </si>
  <si>
    <t>STEEL STRAW 3PCS SET -SB-9 (TOTAL 34.00 KGS) (MILD STEEL)</t>
  </si>
  <si>
    <t>STEEL ZHARA-NP-003 (TOTAL NET WT.2823.48 KGS) (MILD STEEL)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</si>
  <si>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</si>
  <si>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</si>
  <si>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</si>
  <si>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</si>
  <si>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STEEL LUNCH BOX-SB-13 (TOTAL NET WT.83.92 KGS) (MILD STEEL)</t>
  </si>
  <si>
    <t>STEEL LUNCH BOX 2 LAYER-SB-14 (TOTAL NET WT.90.29 KGS) (MILDSTEEL)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</si>
  <si>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</si>
  <si>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</si>
  <si>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</si>
  <si>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</si>
  <si>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</si>
  <si>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</si>
  <si>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</si>
  <si>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</si>
  <si>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</si>
  <si>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</si>
  <si>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</si>
  <si>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</si>
  <si>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</si>
  <si>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</si>
  <si>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</si>
  <si>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STEEL HOOK 3 PCS SET-2628(TOTAL 68760 SET) (MILD STEEL)-DPD - CLIENT</t>
  </si>
  <si>
    <t>STEEL ZHARA WAN -MP-263 (TOTAL NET WT.4645.20 KGS) (MILD STE - EL)</t>
  </si>
  <si>
    <t>STEEL PEELER-MP-196 (TOTAL NET WT.2414.88 KGS) (MILD STEEL) -</t>
  </si>
  <si>
    <t>STAINLESS STEEL SPORTS BOTTLE 600ML S115-NP-21 (TOTAL NET WT - .6326.64 KGS)(NOT VACUUM BOTTLE)(MILD STEEL)</t>
  </si>
  <si>
    <t>STEEL PEELER -MP-196 (TOTAL NET WT.580.32 KGS) (MILD STEEL) -</t>
  </si>
  <si>
    <t>RYX-02-020 MILD STEEL MULTI FUNCTION CLOTH STAND (OTHER ARTI - CLES OF HOUSEHOLD OF IRON &amp; STEEL)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</si>
  <si>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</si>
  <si>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</si>
  <si>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</si>
  <si>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</si>
  <si>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</si>
  <si>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STEEL ZHARA- NP-003 (MILD STEEL) (TOTAL NET WT.2566.80 KGS)</t>
  </si>
  <si>
    <t>STEEL TEA STRAINER-NP-55 (TOTAL NET WT.2318.40 KGS) (MILD ST - EEL)</t>
  </si>
  <si>
    <t>STEEL WALL HANGER HOOK-SL-89 (TOTAL NET WT.9390.60 KGS) (MIL - D STEEL)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</si>
  <si>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</si>
  <si>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</si>
  <si>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</si>
  <si>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</si>
  <si>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STEEL LUNCH BOX 2LAYER-8504 (TOTAL NET.WT.10532.90KGS) (MILDSTEEL)-DPD CLIENT</t>
  </si>
  <si>
    <t>STEEL LUNCH BOX 3LAYER-8505 (TOTAL NET WT.9608.30 KGS) (MILDSTEEL)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</si>
  <si>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</si>
  <si>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</si>
  <si>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</si>
  <si>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</si>
  <si>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</si>
  <si>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</si>
  <si>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</si>
  <si>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</si>
  <si>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</si>
  <si>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STEEL SPOON HOLDER ROUND -MP-96 (TOTAL NET WT.1034.21 KGS) (MILD STEEL)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</si>
  <si>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</si>
  <si>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</si>
  <si>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</si>
  <si>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</si>
  <si>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</si>
  <si>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RYX-02-020 MILD STEEL MULTI FUNCTION CLOTH STAND (OTHER ARTICLES OF HOUSEHOLD OF IRON &amp; STEEL)</t>
  </si>
  <si>
    <t>KWB-600F STAINLESS STEEL SPORTS BOTTLE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</si>
  <si>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</si>
  <si>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</si>
  <si>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</si>
  <si>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</si>
  <si>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</si>
  <si>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</si>
  <si>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</si>
  <si>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KIDS STEEL BOWL-HLG00020-2 (MILD STEEL) (TOTAL NET WT.158.40KGS)</t>
  </si>
  <si>
    <t>KIDS STEEL BOWL -HLG0001-2 (MILD STEEL) (TOTAL NET WT.264.96 KGS)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</si>
  <si>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</si>
  <si>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</si>
  <si>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</si>
  <si>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</si>
  <si>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</si>
  <si>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8001-1PCS - STEEL SCRUBBER (MADE UP MILD STEEL) (NET WEIGHT:4581 KGS)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</si>
  <si>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</si>
  <si>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</si>
  <si>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</si>
  <si>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STEEL PIZZA CUTTER-RJ-388 (TOTAL NET WT.531.36 KGS) (MILD STEEL)</t>
  </si>
  <si>
    <t>STEEL WALL HANGER HOOK -SL-89 (TOTAL NET WT.2986.20 KGS) (MILD STEEL)</t>
  </si>
  <si>
    <t>KWP-600B-SS OIL POT 600ML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</si>
  <si>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</si>
  <si>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</si>
  <si>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</si>
  <si>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</si>
  <si>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KWP-1000B-SS OIL POT 1000ML</t>
  </si>
  <si>
    <t>8001-1PCS - STEEL SCRUBBER</t>
  </si>
  <si>
    <t>STEEL SCRUBBER -ANG537 (TOTAL NET WT.5719.50KGS)(MILD STEEL)(DPD CLIENT)</t>
  </si>
  <si>
    <t>8001-2 PCS - STEEL SCRUBBER 2PCS SET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</si>
  <si>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</si>
  <si>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</si>
  <si>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</si>
  <si>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</si>
  <si>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STEEL LUNCH BOX 2LAYER-8504 (TOTAL NET.WT.10532.9 KGS) (MILDSTEEL)-DPD CLIENT</t>
  </si>
  <si>
    <t>STEEL WALL HANGER HOOK-SL-89 (TOTAL NET WT.3855.60 KGS) (MILD STEEL)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</si>
  <si>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</si>
  <si>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</si>
  <si>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</si>
  <si>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</si>
  <si>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</si>
  <si>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</si>
  <si>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</si>
  <si>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STEEL SPOON HOLDER ROUND-MP-96 (TOTAL NET WT. 585.32 KGS) (D - PD CLIENT)</t>
  </si>
  <si>
    <t>STEEL ZHARA-NP-003-NP-003 (TOTAL NET WT.3948 KGS) (MILD STEE - L)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</si>
  <si>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</si>
  <si>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</si>
  <si>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</si>
  <si>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STEEL PEELER-MP-196(TOTAL NET WT.179.28 KGS) (MILD STEEL) -</t>
  </si>
  <si>
    <t>STEEL CONTAINER ROUND-6856(TOTAL NET WT.3964.00KGS) (MILD ST - EEL) (DPD CLIENT)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</si>
  <si>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</si>
  <si>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</si>
  <si>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</si>
  <si>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</si>
  <si>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</si>
  <si>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</si>
  <si>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</si>
  <si>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8001- STEEL SCRUBBER 2PCS SET -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</si>
  <si>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</si>
  <si>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</si>
  <si>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</si>
  <si>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</si>
  <si>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STEEL HOOK -LF-35 (TOTAL NET WT.45.79 KGS) (MILD STEEL) -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</si>
  <si>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</si>
  <si>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</si>
  <si>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</si>
  <si>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</si>
  <si>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</si>
  <si>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</si>
  <si>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STEEL WALL HANGER HOOK-SL-89 (TOTAL NET WT.2088.00 KGS) (MIL - D STEEL)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</si>
  <si>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</si>
  <si>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</si>
  <si>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</si>
  <si>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STAINLESS STEEL SPORTS BOTTLE 600ML S115-NP-21 (TOTAL NET WT - .991.872 KGS)(MILD STEEL)</t>
  </si>
  <si>
    <t>STAINLESS STEEL SPORTS BOTTLE 750ML S-308-C6 -NP-20 (TOTAL N - ET WT.6053.616 KGS)(MILD STEEL)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</si>
  <si>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</si>
  <si>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</si>
  <si>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</si>
  <si>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</si>
  <si>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</si>
  <si>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</si>
  <si>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03-027I FAMILY CLOTH RACK 3LAYERS (3600 PCS) (HOUSEHOLD ARTI - CLES) (MADE UP OF MILD STEEL)</t>
  </si>
  <si>
    <t>03-027I FAMILY CLOTH RACK 3LAYERS (1800 PCS) (HOUSEHOLD ARTI - CLES) (MADE UP OF MILD STEEL)</t>
  </si>
  <si>
    <t>STAINLESS STEEL SPORTS BOTTLE 600ML S115-NP-21 (TOTAL NET WT - .2298.24 KGS)(MILD STEEL)</t>
  </si>
  <si>
    <t>STAINLESS STEEL SPORTS BOTTLE 750ML S-308-C6 -NP-20 (TOTAL N - ET WT.2242.08 KGS)(MILD STEEL)</t>
  </si>
  <si>
    <t>STEEL TEA STRAINER-NP-55 (TOTAL NET WT.1878.12 KGS) (MILD ST - EEL)</t>
  </si>
  <si>
    <t>STEEL ZHARA-NP-003(TOTAL NET WT.2280 KGS) (MILD STEEL) -</t>
  </si>
  <si>
    <t>03-0271 FAMILY CLOTH RACK 3LAYERS (1800 PCS) (HOUSEHOLD ARTI - CLES) (MADE UP OF MILD STEEL)</t>
  </si>
  <si>
    <t>STEEL TEA STRAINER -NP-55(TOTAL NET WT.1878.12 KGS) (MILD STEEL)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</si>
  <si>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</si>
  <si>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</si>
  <si>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</si>
  <si>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</si>
  <si>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</si>
  <si>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</si>
  <si>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</si>
  <si>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</si>
  <si>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STAINLESS STEEL SPORTS BOTTLE 750ML S-308-C6 -NP-20 (TOTAL NET WT. 2837.92KGS)(MILD STEEL) (DPD CLIENT)</t>
  </si>
  <si>
    <t>STEEL SCRUBBER -ANG537 (TOTAL NET WT.8549.20 KGS)(MILD STEEL) (DPD CLIENT)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</si>
  <si>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</si>
  <si>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</si>
  <si>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</si>
  <si>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</si>
  <si>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</si>
  <si>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</si>
  <si>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</si>
  <si>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STEEL HOOK 3PCS-RJ-409 (TOTAL 1257.984 KGS) (MILD STEEL)</t>
  </si>
  <si>
    <t>STEEL WALL HANGER HOOK -SL-89 (TOTAL NET WT. 1274.40KGS) (MILD STEEL)</t>
  </si>
  <si>
    <t>STEEL HOOK 3PCS -RJ-409 (TOTAL NET WT.63.50 KGS) (MILD STEEL) (DPD CLIENT)</t>
  </si>
  <si>
    <t>RYX-02-021A MULTI FUNCTION CLOTH STAND</t>
  </si>
  <si>
    <t>RYX-02-020 MULTI FUNCTION CLOTH STAND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</si>
  <si>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</si>
  <si>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</si>
  <si>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</si>
  <si>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</si>
  <si>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</si>
  <si>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</si>
  <si>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</si>
  <si>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</si>
  <si>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</si>
  <si>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</si>
  <si>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 xml:space="preserve">STEEL TEA STRAINER -NP-55 (TOTAL NET WT.1192.32 KGS) (MILD S - TEEL) </t>
  </si>
  <si>
    <t xml:space="preserve">STEEL PIZZA CUTTER-RJ-388(TOTAL NET WT.1935.36 KGS) (MILD ST - EEL) 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</si>
  <si>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</si>
  <si>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</si>
  <si>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</si>
  <si>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 xml:space="preserve">KWP-1000B SS OIL POT 1000ML - </t>
  </si>
  <si>
    <t xml:space="preserve">KWP-600B SS OIL POT 600ML - 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</si>
  <si>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</si>
  <si>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</si>
  <si>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</si>
  <si>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</si>
  <si>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</si>
  <si>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</si>
  <si>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</si>
  <si>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</si>
  <si>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</si>
  <si>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</si>
  <si>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</si>
  <si>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</si>
  <si>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</si>
  <si>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STEEL SCRUBBER 3PCS SET-ANGW11 (TOTAL NET WT.7146KGS)(MILD STEEL) (DPD CLIENT)</t>
  </si>
  <si>
    <t>STEEL WALL HANGER HOOK-SL-89 (TOTAL NET WT.86.76 KGS) (MILDSTEEL)</t>
  </si>
  <si>
    <t>STEEL ZHARA -NP-03 (TOTAL NET WT.2256 KGS) (MILD STEEL)</t>
  </si>
  <si>
    <t>STEEL SCRUBBER -ANG537 (TOTAL NET WT.8696.60 KGS)(MILD STEEL) (DPD CLIENT)</t>
  </si>
  <si>
    <t>STAINLESS STEEL COLA BOTTLE 750ML SK750-SL-01 (TOTAL NET WT.1298.70 KGS)(MILD STEEL)</t>
  </si>
  <si>
    <t>STAINLESS STEEL SPORTS BOTTLE 750ML S-308-C6- NP-21 (TOTAL NET WT.857.844 KGS) (MILD STEEL)</t>
  </si>
  <si>
    <t>KWP-600B -SS OIL POT 600ML</t>
  </si>
  <si>
    <t>KWP-1000B -SS OIL POT 1000ML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</si>
  <si>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</si>
  <si>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</si>
  <si>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</si>
  <si>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STEEL ZHARA-NP-03(TOTAL NET WT.5640 KGS) (MILD STEEL)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</si>
  <si>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</si>
  <si>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</si>
  <si>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</si>
  <si>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</si>
  <si>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MULTI FUNCTION CLOTH STAND-RYX-02-021A(MADE OF MI LD STEEL) (DPD CLIENT)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</si>
  <si>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</si>
  <si>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</si>
  <si>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</si>
  <si>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</si>
  <si>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STEEL HOOK 3PCS-RJ-409 (TOTAL NET WT.619.92KGS) (MILD STEEL)</t>
  </si>
  <si>
    <t>STEEL JAR - SALT &amp; PEPPER -MP-009 (TOTAL NET WT.1296 KGS) (MILD STEEL)</t>
  </si>
  <si>
    <t>STEEL SCRUBBER 3PCS SET-ANGW11 (TOTAL NET WT.7152 KGS)(MILDSTEEL) (DPD CLIENT)</t>
  </si>
  <si>
    <t>STEEL CORNER STAND -MP-103 (TOTAL NET WT.2764.20 KGS) (MILD - STEEL)</t>
  </si>
  <si>
    <t>STAINLESS STEEL SPORTS BOTTLE 750ML S-308-C6 -NP-20 (TOTAL 3150.29 KGS)(MILD STEEL) (DPD CLIENT)</t>
  </si>
  <si>
    <t>STAINLESS STEEL SPORTS BOTTLE 600ML S115-NP-21 (TOTAL 3985.92 KGS)(MILD STEEL)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</si>
  <si>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</si>
  <si>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</si>
  <si>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</si>
  <si>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</si>
  <si>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</si>
  <si>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STEEL WOOL SCRUBBER -PR-12 (TOTAL NET WT.153 KGS) (MILD STEEL)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</si>
  <si>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</si>
  <si>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</si>
  <si>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</si>
  <si>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</si>
  <si>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</si>
  <si>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</si>
  <si>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</si>
  <si>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</si>
  <si>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</si>
  <si>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</si>
  <si>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</si>
  <si>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STEEL PILLER-MP-196 (TOTAL NET WT.1052.16 KGS)(MILD STEEL)</t>
  </si>
  <si>
    <t>STAINLESS STEEL SPORTS BOTTLE 750ML S-308-C6-NP-20(TOTAL NET WT.6883.74 KGS)</t>
  </si>
  <si>
    <t>STAINLESS STEEL SPORTS BOTTLE 600ML S115 -NP-21(TOTAL NET WT.7448.68 KGS)(DPD CLIENT)</t>
  </si>
  <si>
    <t>STEEL SCRUBBER 3PCS SET-ANGW11 (TOTAL NET WT.7152 KGS)(MILD STEEL) (DPD CLIENT)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</si>
  <si>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</si>
  <si>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</si>
  <si>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</si>
  <si>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</si>
  <si>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 xml:space="preserve">STEEL SCRUBBER -ANG-537(TOTAL NET WT.8720KGS)(MILD STEEL) (D - PD CLIENT) </t>
  </si>
  <si>
    <t>STEEL TEA STAINER-NP-54 (TOTAL NET WT.1438.20 KGS) (MILD STE EL)</t>
  </si>
  <si>
    <t>STAINLESS STEEL SPORTS BOTTLE 600ML S115 -NP-21(TOTAL NET WT . 7311.67 KGS)</t>
  </si>
  <si>
    <t>STEEL TEA STAINER 304 -MP-290(TOTAL NET WT.987.84 KGS) (MILD STEEL)</t>
  </si>
  <si>
    <t>STEEL TEA STAINER -NP-55 (TOTAL NET WT.3836.16 KGS) (MILD ST EEL)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</si>
  <si>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</si>
  <si>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</si>
  <si>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</si>
  <si>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</si>
  <si>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</si>
  <si>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</si>
  <si>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</si>
  <si>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</si>
  <si>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</si>
  <si>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</si>
  <si>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</si>
  <si>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</si>
  <si>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AISI430 STEEL SCRUBBER 2 PCS SET</t>
  </si>
  <si>
    <t>STEEL ZHARA -NP-003(TOTAL NET WT.2328 KGS) (MILD STEEL)</t>
  </si>
  <si>
    <t>STEEL SCRUBBER -ANG-537(TOTAL NET WT.8720KGS)(MILD STEEL) (DPD CLIENT)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</si>
  <si>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</si>
  <si>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</si>
  <si>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</si>
  <si>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STEEL SCRUBBER 3PCS SET-ANGW11 (TOTAL NET WT.7320 KGS)(MILD - STEEL) (DPD CLIENT)</t>
  </si>
  <si>
    <t>STEEL BBQ SKEWER 12PCS-NP- 007 (TOTAL NET WT.3662.18 KGS) (MILD STEEL)</t>
  </si>
  <si>
    <t>STEEL LUNCH BOX 3 LAYER-6505(TOTAL NET WT.3165.75 KGS)(MILD STEEL)</t>
  </si>
  <si>
    <t>STAINLESS STEEL SPORTS BOTTLE 750ML S-308-C6-AB-39(TOTAL NET WT. 1877.58 KGS)</t>
  </si>
  <si>
    <t>STAINLESS STEEL SPORTS BOTTLE 750ML S-308-C6-NP-20(TOTAL NET WT. 786.24 KGS)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</si>
  <si>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</si>
  <si>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</si>
  <si>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</si>
  <si>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</si>
  <si>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</si>
  <si>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</si>
  <si>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</si>
  <si>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</si>
  <si>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</si>
  <si>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</si>
  <si>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</si>
  <si>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</si>
  <si>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</si>
  <si>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STAINLESS STEEL SPORTS BOTTLE 600ML S115 -NP-21(TOTAL NET WT . 1922.40KGS)</t>
  </si>
  <si>
    <t>STAINLESS STEEL SPORTS BOTTLE 750ML S-308-C6-NP-20(TOTAL NET WT. 1245.60KGS)</t>
  </si>
  <si>
    <t>STEEL SCRUBBER 3PCS SET-ANGW11 (TOTAL NET WT.7344 KGS)(MILD STEEL)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</si>
  <si>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</si>
  <si>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</si>
  <si>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</si>
  <si>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</si>
  <si>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</si>
  <si>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</si>
  <si>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</si>
  <si>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</si>
  <si>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</si>
  <si>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</si>
  <si>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STAINLESS STEEL SPORTS BOTTLE 750ML S-308-C6-NP-20(TOTAL NET WT.3568.32 KGS)</t>
  </si>
  <si>
    <t>STAINLESS STEEL SPORTS BOTTLE 600ML S115 -NP-21(TOTAL NET WT . 3653.28 KGS)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</si>
  <si>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</si>
  <si>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</si>
  <si>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</si>
  <si>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STEEL PEELER-MP-196 (TOTAL NET WT.1672.27 KGS) (MILD STEEL)</t>
  </si>
  <si>
    <t>STEEL SCRUBBER-AISI430 (TOTAL NET WT.5472 KGS)(MILD STEEL)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</si>
  <si>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</si>
  <si>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</si>
  <si>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</si>
  <si>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</si>
  <si>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STAINLESS STEEL SPORTS BOTTLE 600ML S-115 -NP-21(TOTAL NET WT. 3909.06KGS)</t>
  </si>
  <si>
    <t>STAINLESS STEEL SPORTS BOTTLE 750ML S-308-C6-NP-20(TOTAL NET WT.284.83 KGS)</t>
  </si>
  <si>
    <t>KGS</t>
  </si>
  <si>
    <t>NOS</t>
  </si>
  <si>
    <t>PCS</t>
  </si>
  <si>
    <t xml:space="preserve">KGS </t>
  </si>
  <si>
    <t>KG</t>
  </si>
  <si>
    <t>SET</t>
  </si>
  <si>
    <t>HS Code</t>
  </si>
  <si>
    <t>HSN Description</t>
  </si>
  <si>
    <t>Main Category</t>
  </si>
  <si>
    <t>73239990</t>
  </si>
  <si>
    <t>Household articles of iron or steel</t>
  </si>
  <si>
    <t>Steel</t>
  </si>
  <si>
    <t>73239900</t>
  </si>
  <si>
    <t>Table, kitchen household articles</t>
  </si>
  <si>
    <t>73211900</t>
  </si>
  <si>
    <t>Cooking appliances and plate warmers</t>
  </si>
  <si>
    <t>73239300</t>
  </si>
  <si>
    <t>Kitchen or tableware</t>
  </si>
  <si>
    <t>Date</t>
  </si>
  <si>
    <t>Port Code</t>
  </si>
  <si>
    <t>Goods Description</t>
  </si>
  <si>
    <t>Sub Category</t>
  </si>
  <si>
    <t>Quantity</t>
  </si>
  <si>
    <t>Unit</t>
  </si>
  <si>
    <t>Unit Price INR</t>
  </si>
  <si>
    <t>Total Value INR</t>
  </si>
  <si>
    <t>Unit Price USD</t>
  </si>
  <si>
    <t>Total Value USD</t>
  </si>
  <si>
    <t>Duty Paid INR</t>
  </si>
  <si>
    <t>Grand Total INR</t>
  </si>
  <si>
    <t>Year</t>
  </si>
  <si>
    <t>YoY Growth %</t>
  </si>
  <si>
    <t>% Contribution</t>
  </si>
  <si>
    <t>73231000</t>
  </si>
  <si>
    <t>73239390</t>
  </si>
  <si>
    <t>Total Qty</t>
  </si>
  <si>
    <t>Avg Unit Price USD</t>
  </si>
  <si>
    <t>Avg Unit Price INR</t>
  </si>
  <si>
    <t>% of Total Value</t>
  </si>
  <si>
    <t>301049751</t>
  </si>
  <si>
    <t>Notes and assumptions:</t>
  </si>
  <si>
    <t>- This workbook was generated from the provided Sample Data CSV.</t>
  </si>
  <si>
    <t>- Cleaned Data sheet contains formulas that reference Raw Data. Do NOT edit formulas.</t>
  </si>
  <si>
    <t>- HSN mapping is in Lookup Tables; extend as needed.</t>
  </si>
  <si>
    <t>- Pivot-like summaries are built using SUMIFS/AVERAGEIFS formulas (no VBA or SQL).</t>
  </si>
  <si>
    <t>- Charts are created from summary sheets. Refresh by saving and re-opening if needed.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</si>
</sst>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YoY Grand Total INR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Grand Total INR</c:v>
          </c:tx>
          <c:marker>
            <c:symbol val="none"/>
          </c:marker>
          <c:cat>
            <c:numRef>
              <c:f>Year Summary!$A$2:$A$10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Year Summary!$D$2:$D$10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Grand Total INR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HSN Grand Totals (sample)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Top HSN Contribution</c:v>
          </c:tx>
          <c:cat>
            <c:numRef>
              <c:f>'HSN Summary'!$A$2:$A$4</c:f>
              <c:numCache>
                <c:formatCode>General</c:formatCode>
                <c:ptCount val="3"/>
                <c:pt idx="0">
                  <c:v>73231000</c:v>
                </c:pt>
                <c:pt idx="1">
                  <c:v>73239390</c:v>
                </c:pt>
                <c:pt idx="2">
                  <c:v>73239990</c:v>
                </c:pt>
              </c:numCache>
            </c:numRef>
          </c:cat>
          <c:val>
            <c:numRef>
              <c:f>'HSN Summary'!$E$2:$E$4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Models by Total Value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Model Total Value</c:v>
          </c:tx>
          <c:cat>
            <c:numRef>
              <c:f>'Model Summary'!$A$2:$A$1</c:f>
            </c:numRef>
          </c:cat>
          <c:val>
            <c:numRef>
              <c:f>'Model Summary'!$C$2:$C$1</c:f>
              <c:numCache>
                <c:formatCode>General</c:formatCode>
                <c:ptCount val="0"/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Supplier Contribution (Total Value)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Supplier Shares</c:v>
          </c:tx>
          <c:cat>
            <c:numRef>
              <c:f>'Supplier Summary'!$A$2:$A$2</c:f>
              <c:numCache>
                <c:formatCode>General</c:formatCode>
                <c:ptCount val="1"/>
                <c:pt idx="0">
                  <c:v>301049751</c:v>
                </c:pt>
              </c:numCache>
            </c:numRef>
          </c:cat>
          <c:val>
            <c:numRef>
              <c:f>'Supplier Summary'!$B$2:$B$2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80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7.7109375" customWidth="1"/>
    <col min="7" max="7" width="12.7109375" customWidth="1"/>
    <col min="8" max="8" width="14.7109375" customWidth="1"/>
    <col min="9" max="10" width="12.7109375" customWidth="1"/>
    <col min="11" max="11" width="17.7109375" customWidth="1"/>
    <col min="12" max="12" width="12.7109375" customWidth="1"/>
    <col min="13" max="13" width="19.7109375" customWidth="1"/>
    <col min="14" max="15" width="12.7109375" customWidth="1"/>
    <col min="16" max="16" width="16.7109375" customWidth="1"/>
    <col min="17" max="17" width="17.7109375" customWidth="1"/>
    <col min="18" max="18" width="16.7109375" customWidth="1"/>
    <col min="19" max="19" width="17.7109375" customWidth="1"/>
    <col min="20" max="20" width="1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>
        <v>301049751</v>
      </c>
      <c r="D2">
        <v>73239990</v>
      </c>
      <c r="E2" t="s">
        <v>796</v>
      </c>
      <c r="N2">
        <v>290</v>
      </c>
      <c r="O2" t="s">
        <v>2746</v>
      </c>
      <c r="P2">
        <v>401.7253103</v>
      </c>
      <c r="Q2">
        <v>116500.34</v>
      </c>
      <c r="R2">
        <v>4.529033938</v>
      </c>
      <c r="S2">
        <v>1313.419842</v>
      </c>
      <c r="T2">
        <v>32736.6</v>
      </c>
    </row>
    <row r="3" spans="1:20">
      <c r="A3" t="s">
        <v>20</v>
      </c>
      <c r="B3" t="s">
        <v>22</v>
      </c>
      <c r="C3">
        <v>301049751</v>
      </c>
      <c r="D3">
        <v>73231000</v>
      </c>
      <c r="E3" t="s">
        <v>797</v>
      </c>
      <c r="N3">
        <v>9800</v>
      </c>
      <c r="O3" t="s">
        <v>2746</v>
      </c>
      <c r="P3">
        <v>440.6022184</v>
      </c>
      <c r="Q3">
        <v>4317901.74</v>
      </c>
      <c r="R3">
        <v>4.967330534</v>
      </c>
      <c r="S3">
        <v>48679.83923</v>
      </c>
      <c r="T3">
        <v>1898149.5</v>
      </c>
    </row>
    <row r="4" spans="1:20">
      <c r="A4" t="s">
        <v>20</v>
      </c>
      <c r="B4" t="s">
        <v>23</v>
      </c>
      <c r="C4">
        <v>301049751</v>
      </c>
      <c r="D4">
        <v>73239990</v>
      </c>
      <c r="E4" t="s">
        <v>798</v>
      </c>
      <c r="N4">
        <v>4004</v>
      </c>
      <c r="O4" t="s">
        <v>2746</v>
      </c>
      <c r="P4">
        <v>408.8936638</v>
      </c>
      <c r="Q4">
        <v>1637210.23</v>
      </c>
      <c r="R4">
        <v>4.609849649</v>
      </c>
      <c r="S4">
        <v>18457.83799</v>
      </c>
      <c r="T4">
        <v>460056</v>
      </c>
    </row>
    <row r="5" spans="1:20">
      <c r="A5" t="s">
        <v>20</v>
      </c>
      <c r="B5" t="s">
        <v>24</v>
      </c>
      <c r="C5">
        <v>301049751</v>
      </c>
      <c r="D5">
        <v>73239990</v>
      </c>
      <c r="E5" t="s">
        <v>799</v>
      </c>
      <c r="N5">
        <v>1548.8</v>
      </c>
      <c r="O5" t="s">
        <v>2746</v>
      </c>
      <c r="P5">
        <v>378.4578448</v>
      </c>
      <c r="Q5">
        <v>586155.51</v>
      </c>
      <c r="R5">
        <v>4.219151001</v>
      </c>
      <c r="S5">
        <v>6534.62107</v>
      </c>
      <c r="T5">
        <v>164709.7</v>
      </c>
    </row>
    <row r="6" spans="1:20">
      <c r="A6" t="s">
        <v>20</v>
      </c>
      <c r="B6" t="s">
        <v>24</v>
      </c>
      <c r="C6">
        <v>301049751</v>
      </c>
      <c r="D6">
        <v>73239990</v>
      </c>
      <c r="E6" t="s">
        <v>800</v>
      </c>
      <c r="N6">
        <v>10042.2</v>
      </c>
      <c r="O6" t="s">
        <v>2746</v>
      </c>
      <c r="P6">
        <v>399.7396746</v>
      </c>
      <c r="Q6">
        <v>4014265.76</v>
      </c>
      <c r="R6">
        <v>4.456406628</v>
      </c>
      <c r="S6">
        <v>44752.12664</v>
      </c>
      <c r="T6">
        <v>1128008.7</v>
      </c>
    </row>
    <row r="7" spans="1:20">
      <c r="A7" t="s">
        <v>20</v>
      </c>
      <c r="B7" t="s">
        <v>25</v>
      </c>
      <c r="C7">
        <v>301049751</v>
      </c>
      <c r="D7">
        <v>73239990</v>
      </c>
      <c r="E7" t="s">
        <v>801</v>
      </c>
      <c r="N7">
        <v>15568</v>
      </c>
      <c r="O7" t="s">
        <v>2746</v>
      </c>
      <c r="P7">
        <v>432.1581764</v>
      </c>
      <c r="Q7">
        <v>6727838.49</v>
      </c>
      <c r="R7">
        <v>4.817816905</v>
      </c>
      <c r="S7">
        <v>75003.77357999999</v>
      </c>
      <c r="T7">
        <v>1890522.7</v>
      </c>
    </row>
    <row r="8" spans="1:20">
      <c r="A8" t="s">
        <v>20</v>
      </c>
      <c r="B8" t="s">
        <v>26</v>
      </c>
      <c r="C8">
        <v>301049751</v>
      </c>
      <c r="D8">
        <v>73239990</v>
      </c>
      <c r="E8" t="s">
        <v>802</v>
      </c>
      <c r="N8">
        <v>380</v>
      </c>
      <c r="O8" t="s">
        <v>2746</v>
      </c>
      <c r="P8">
        <v>100.4420789</v>
      </c>
      <c r="Q8">
        <v>38167.99</v>
      </c>
      <c r="R8">
        <v>1.119755618</v>
      </c>
      <c r="S8">
        <v>425.5071349</v>
      </c>
      <c r="T8">
        <v>10725.3</v>
      </c>
    </row>
    <row r="9" spans="1:20">
      <c r="A9" t="s">
        <v>20</v>
      </c>
      <c r="B9" t="s">
        <v>27</v>
      </c>
      <c r="C9">
        <v>301049751</v>
      </c>
      <c r="D9">
        <v>73239990</v>
      </c>
      <c r="E9" t="s">
        <v>803</v>
      </c>
      <c r="N9">
        <v>460</v>
      </c>
      <c r="O9" t="s">
        <v>2746</v>
      </c>
      <c r="P9">
        <v>85.37782609</v>
      </c>
      <c r="Q9">
        <v>39273.8</v>
      </c>
      <c r="R9">
        <v>0.9609209464</v>
      </c>
      <c r="S9">
        <v>442.0236353</v>
      </c>
      <c r="T9">
        <v>11036</v>
      </c>
    </row>
    <row r="10" spans="1:20">
      <c r="A10" t="s">
        <v>20</v>
      </c>
      <c r="B10" t="s">
        <v>27</v>
      </c>
      <c r="C10">
        <v>301049751</v>
      </c>
      <c r="D10">
        <v>73239990</v>
      </c>
      <c r="E10" t="s">
        <v>804</v>
      </c>
      <c r="N10">
        <v>310</v>
      </c>
      <c r="O10" t="s">
        <v>2746</v>
      </c>
      <c r="P10">
        <v>124.9693226</v>
      </c>
      <c r="Q10">
        <v>38740.49</v>
      </c>
      <c r="R10">
        <v>1.406520232</v>
      </c>
      <c r="S10">
        <v>436.0212718</v>
      </c>
      <c r="T10">
        <v>10886.1</v>
      </c>
    </row>
    <row r="11" spans="1:20">
      <c r="A11" t="s">
        <v>20</v>
      </c>
      <c r="B11" t="s">
        <v>27</v>
      </c>
      <c r="C11">
        <v>301049751</v>
      </c>
      <c r="D11">
        <v>73239990</v>
      </c>
      <c r="E11" t="s">
        <v>805</v>
      </c>
      <c r="N11">
        <v>168</v>
      </c>
      <c r="O11" t="s">
        <v>2746</v>
      </c>
      <c r="P11">
        <v>199.7157143</v>
      </c>
      <c r="Q11">
        <v>33552.24</v>
      </c>
      <c r="R11">
        <v>2.247785192</v>
      </c>
      <c r="S11">
        <v>377.6279122</v>
      </c>
      <c r="T11">
        <v>9428.1</v>
      </c>
    </row>
    <row r="12" spans="1:20">
      <c r="A12" t="s">
        <v>20</v>
      </c>
      <c r="B12" t="s">
        <v>27</v>
      </c>
      <c r="C12">
        <v>301049751</v>
      </c>
      <c r="D12">
        <v>73231000</v>
      </c>
      <c r="E12" t="s">
        <v>806</v>
      </c>
      <c r="N12">
        <v>9800</v>
      </c>
      <c r="O12" t="s">
        <v>2746</v>
      </c>
      <c r="P12">
        <v>456.1253898</v>
      </c>
      <c r="Q12">
        <v>4470028.82</v>
      </c>
      <c r="R12">
        <v>5.13365661</v>
      </c>
      <c r="S12">
        <v>50309.83478</v>
      </c>
      <c r="T12">
        <v>1965024.7</v>
      </c>
    </row>
    <row r="13" spans="1:20">
      <c r="A13" t="s">
        <v>20</v>
      </c>
      <c r="B13" t="s">
        <v>28</v>
      </c>
      <c r="C13">
        <v>301049751</v>
      </c>
      <c r="D13">
        <v>73231000</v>
      </c>
      <c r="E13" t="s">
        <v>807</v>
      </c>
      <c r="N13">
        <v>7496.03</v>
      </c>
      <c r="O13" t="s">
        <v>2746</v>
      </c>
      <c r="P13">
        <v>263.5713784</v>
      </c>
      <c r="Q13">
        <v>1975738.96</v>
      </c>
      <c r="R13">
        <v>2.966475841</v>
      </c>
      <c r="S13">
        <v>22236.7919</v>
      </c>
      <c r="T13">
        <v>868534.9</v>
      </c>
    </row>
    <row r="14" spans="1:20">
      <c r="A14" t="s">
        <v>20</v>
      </c>
      <c r="B14" t="s">
        <v>28</v>
      </c>
      <c r="C14">
        <v>301049751</v>
      </c>
      <c r="D14">
        <v>73231000</v>
      </c>
      <c r="E14" t="s">
        <v>808</v>
      </c>
      <c r="N14">
        <v>4900</v>
      </c>
      <c r="O14" t="s">
        <v>2746</v>
      </c>
      <c r="P14">
        <v>442.0729367</v>
      </c>
      <c r="Q14">
        <v>2166157.39</v>
      </c>
      <c r="R14">
        <v>4.975497318</v>
      </c>
      <c r="S14">
        <v>24379.93686</v>
      </c>
      <c r="T14">
        <v>952242.8</v>
      </c>
    </row>
    <row r="15" spans="1:20">
      <c r="A15" t="s">
        <v>20</v>
      </c>
      <c r="B15" t="s">
        <v>29</v>
      </c>
      <c r="C15">
        <v>301049751</v>
      </c>
      <c r="D15">
        <v>73239990</v>
      </c>
      <c r="E15" t="s">
        <v>809</v>
      </c>
      <c r="N15">
        <v>3953.4</v>
      </c>
      <c r="O15" t="s">
        <v>2746</v>
      </c>
      <c r="P15">
        <v>492.7319699</v>
      </c>
      <c r="Q15">
        <v>1947966.57</v>
      </c>
      <c r="R15">
        <v>5.545660889</v>
      </c>
      <c r="S15">
        <v>21924.21576</v>
      </c>
      <c r="T15">
        <v>547378.6</v>
      </c>
    </row>
    <row r="16" spans="1:20">
      <c r="A16" t="s">
        <v>20</v>
      </c>
      <c r="B16" t="s">
        <v>29</v>
      </c>
      <c r="C16">
        <v>301049751</v>
      </c>
      <c r="D16">
        <v>73239990</v>
      </c>
      <c r="E16" t="s">
        <v>810</v>
      </c>
      <c r="N16">
        <v>5646.16</v>
      </c>
      <c r="O16" t="s">
        <v>2746</v>
      </c>
      <c r="P16">
        <v>971.5058004</v>
      </c>
      <c r="Q16">
        <v>5485277.19</v>
      </c>
      <c r="R16">
        <v>10.93422398</v>
      </c>
      <c r="S16">
        <v>61736.37805</v>
      </c>
      <c r="T16">
        <v>1541362.8</v>
      </c>
    </row>
    <row r="17" spans="1:20">
      <c r="A17" t="s">
        <v>20</v>
      </c>
      <c r="B17" t="s">
        <v>29</v>
      </c>
      <c r="C17">
        <v>301049751</v>
      </c>
      <c r="D17">
        <v>73239990</v>
      </c>
      <c r="E17" t="s">
        <v>811</v>
      </c>
      <c r="N17">
        <v>2310</v>
      </c>
      <c r="O17" t="s">
        <v>2746</v>
      </c>
      <c r="P17">
        <v>568.2142554</v>
      </c>
      <c r="Q17">
        <v>1312574.93</v>
      </c>
      <c r="R17">
        <v>6.395208277</v>
      </c>
      <c r="S17">
        <v>14772.93112</v>
      </c>
      <c r="T17">
        <v>368833.6</v>
      </c>
    </row>
    <row r="18" spans="1:20">
      <c r="A18" t="s">
        <v>20</v>
      </c>
      <c r="B18" t="s">
        <v>29</v>
      </c>
      <c r="C18">
        <v>301049751</v>
      </c>
      <c r="D18">
        <v>73239990</v>
      </c>
      <c r="E18" t="s">
        <v>812</v>
      </c>
      <c r="N18">
        <v>1843.2</v>
      </c>
      <c r="O18" t="s">
        <v>2746</v>
      </c>
      <c r="P18">
        <v>689.9043023</v>
      </c>
      <c r="Q18">
        <v>1271631.61</v>
      </c>
      <c r="R18">
        <v>7.76482051</v>
      </c>
      <c r="S18">
        <v>14312.11716</v>
      </c>
      <c r="T18">
        <v>357328.4</v>
      </c>
    </row>
    <row r="19" spans="1:20">
      <c r="A19" t="s">
        <v>20</v>
      </c>
      <c r="B19" t="s">
        <v>29</v>
      </c>
      <c r="C19">
        <v>301049751</v>
      </c>
      <c r="D19">
        <v>73239990</v>
      </c>
      <c r="E19" t="s">
        <v>813</v>
      </c>
      <c r="N19">
        <v>250.8</v>
      </c>
      <c r="O19" t="s">
        <v>2746</v>
      </c>
      <c r="P19">
        <v>384.0942584</v>
      </c>
      <c r="Q19">
        <v>96330.84</v>
      </c>
      <c r="R19">
        <v>4.322951698</v>
      </c>
      <c r="S19">
        <v>1084.196286</v>
      </c>
      <c r="T19">
        <v>27069</v>
      </c>
    </row>
    <row r="20" spans="1:20">
      <c r="A20" t="s">
        <v>20</v>
      </c>
      <c r="B20" t="s">
        <v>29</v>
      </c>
      <c r="C20">
        <v>301049751</v>
      </c>
      <c r="D20">
        <v>73239990</v>
      </c>
      <c r="E20" t="s">
        <v>814</v>
      </c>
      <c r="N20">
        <v>14.64</v>
      </c>
      <c r="O20" t="s">
        <v>2746</v>
      </c>
      <c r="P20">
        <v>987.6775956</v>
      </c>
      <c r="Q20">
        <v>14459.6</v>
      </c>
      <c r="R20">
        <v>11.1162363</v>
      </c>
      <c r="S20">
        <v>162.7416995</v>
      </c>
      <c r="T20">
        <v>4063.1</v>
      </c>
    </row>
    <row r="21" spans="1:20">
      <c r="A21" t="s">
        <v>20</v>
      </c>
      <c r="B21" t="s">
        <v>30</v>
      </c>
      <c r="C21">
        <v>301049751</v>
      </c>
      <c r="D21">
        <v>73239990</v>
      </c>
      <c r="E21" t="s">
        <v>815</v>
      </c>
      <c r="N21">
        <v>4004</v>
      </c>
      <c r="O21" t="s">
        <v>2746</v>
      </c>
      <c r="P21">
        <v>434.3341334</v>
      </c>
      <c r="Q21">
        <v>1739073.87</v>
      </c>
      <c r="R21">
        <v>4.888397674</v>
      </c>
      <c r="S21">
        <v>19573.14429</v>
      </c>
      <c r="T21">
        <v>488679.8</v>
      </c>
    </row>
    <row r="22" spans="1:20">
      <c r="A22" t="s">
        <v>20</v>
      </c>
      <c r="B22" t="s">
        <v>30</v>
      </c>
      <c r="C22">
        <v>301049751</v>
      </c>
      <c r="D22">
        <v>73239990</v>
      </c>
      <c r="E22" t="s">
        <v>816</v>
      </c>
      <c r="N22">
        <v>9776</v>
      </c>
      <c r="O22" t="s">
        <v>2746</v>
      </c>
      <c r="P22">
        <v>347.6034667</v>
      </c>
      <c r="Q22">
        <v>3398171.49</v>
      </c>
      <c r="R22">
        <v>3.912250609</v>
      </c>
      <c r="S22">
        <v>38246.16196</v>
      </c>
      <c r="T22">
        <v>954886.2</v>
      </c>
    </row>
    <row r="23" spans="1:20">
      <c r="A23" t="s">
        <v>20</v>
      </c>
      <c r="B23" t="s">
        <v>30</v>
      </c>
      <c r="C23">
        <v>301049751</v>
      </c>
      <c r="D23">
        <v>73239990</v>
      </c>
      <c r="E23" t="s">
        <v>817</v>
      </c>
      <c r="N23">
        <v>9776</v>
      </c>
      <c r="O23" t="s">
        <v>2746</v>
      </c>
      <c r="P23">
        <v>347.6034186</v>
      </c>
      <c r="Q23">
        <v>3398171.02</v>
      </c>
      <c r="R23">
        <v>3.912250068</v>
      </c>
      <c r="S23">
        <v>38246.15667</v>
      </c>
      <c r="T23">
        <v>954886</v>
      </c>
    </row>
    <row r="24" spans="1:20">
      <c r="A24" t="s">
        <v>20</v>
      </c>
      <c r="B24" t="s">
        <v>31</v>
      </c>
      <c r="C24">
        <v>301049751</v>
      </c>
      <c r="D24">
        <v>73239990</v>
      </c>
      <c r="E24" t="s">
        <v>818</v>
      </c>
      <c r="N24">
        <v>5120</v>
      </c>
      <c r="O24" t="s">
        <v>2746</v>
      </c>
      <c r="P24">
        <v>660.8427539</v>
      </c>
      <c r="Q24">
        <v>3383514.9</v>
      </c>
      <c r="R24">
        <v>7.437734991</v>
      </c>
      <c r="S24">
        <v>38081.20315</v>
      </c>
      <c r="T24">
        <v>1239719.9</v>
      </c>
    </row>
    <row r="25" spans="1:20">
      <c r="A25" t="s">
        <v>20</v>
      </c>
      <c r="B25" t="s">
        <v>32</v>
      </c>
      <c r="C25">
        <v>301049751</v>
      </c>
      <c r="D25">
        <v>73239990</v>
      </c>
      <c r="E25" t="s">
        <v>819</v>
      </c>
      <c r="N25">
        <v>4004</v>
      </c>
      <c r="O25" t="s">
        <v>2746</v>
      </c>
      <c r="P25">
        <v>427.8509965</v>
      </c>
      <c r="Q25">
        <v>1713115.39</v>
      </c>
      <c r="R25">
        <v>4.807314567</v>
      </c>
      <c r="S25">
        <v>19248.48753</v>
      </c>
      <c r="T25">
        <v>627685.5</v>
      </c>
    </row>
    <row r="26" spans="1:20">
      <c r="A26" t="s">
        <v>20</v>
      </c>
      <c r="B26" t="s">
        <v>33</v>
      </c>
      <c r="C26">
        <v>301049751</v>
      </c>
      <c r="D26">
        <v>73239990</v>
      </c>
      <c r="E26" t="s">
        <v>820</v>
      </c>
      <c r="N26">
        <v>150</v>
      </c>
      <c r="O26" t="s">
        <v>2746</v>
      </c>
      <c r="P26">
        <v>499.2998</v>
      </c>
      <c r="Q26">
        <v>74894.97</v>
      </c>
      <c r="R26">
        <v>5.610110112</v>
      </c>
      <c r="S26">
        <v>841.5165169000001</v>
      </c>
      <c r="T26">
        <v>27441.5</v>
      </c>
    </row>
    <row r="27" spans="1:20">
      <c r="A27" t="s">
        <v>20</v>
      </c>
      <c r="B27" t="s">
        <v>34</v>
      </c>
      <c r="C27">
        <v>301049751</v>
      </c>
      <c r="D27">
        <v>73239990</v>
      </c>
      <c r="E27" t="s">
        <v>821</v>
      </c>
      <c r="N27">
        <v>6614.4</v>
      </c>
      <c r="O27" t="s">
        <v>2746</v>
      </c>
      <c r="P27">
        <v>308.044063</v>
      </c>
      <c r="Q27">
        <v>2037526.65</v>
      </c>
      <c r="R27">
        <v>3.461169247</v>
      </c>
      <c r="S27">
        <v>22893.55787</v>
      </c>
      <c r="T27">
        <v>746549.7</v>
      </c>
    </row>
    <row r="28" spans="1:20">
      <c r="A28" t="s">
        <v>20</v>
      </c>
      <c r="B28" t="s">
        <v>35</v>
      </c>
      <c r="C28">
        <v>301049751</v>
      </c>
      <c r="D28">
        <v>73239990</v>
      </c>
      <c r="E28" t="s">
        <v>822</v>
      </c>
      <c r="N28">
        <v>1183.6</v>
      </c>
      <c r="O28" t="s">
        <v>2746</v>
      </c>
      <c r="P28">
        <v>381.6843697</v>
      </c>
      <c r="Q28">
        <v>451761.62</v>
      </c>
      <c r="R28">
        <v>4.342256766</v>
      </c>
      <c r="S28">
        <v>5139.495108</v>
      </c>
      <c r="T28">
        <v>165525.4</v>
      </c>
    </row>
    <row r="29" spans="1:20">
      <c r="A29" t="s">
        <v>20</v>
      </c>
      <c r="B29" t="s">
        <v>35</v>
      </c>
      <c r="C29">
        <v>301049751</v>
      </c>
      <c r="D29">
        <v>73239990</v>
      </c>
      <c r="E29" t="s">
        <v>823</v>
      </c>
      <c r="N29">
        <v>6975</v>
      </c>
      <c r="O29" t="s">
        <v>2746</v>
      </c>
      <c r="P29">
        <v>506.1900172</v>
      </c>
      <c r="Q29">
        <v>3530675.37</v>
      </c>
      <c r="R29">
        <v>5.758703267</v>
      </c>
      <c r="S29">
        <v>40166.95529</v>
      </c>
      <c r="T29">
        <v>1293639.5</v>
      </c>
    </row>
    <row r="30" spans="1:20">
      <c r="A30" t="s">
        <v>20</v>
      </c>
      <c r="B30" t="s">
        <v>35</v>
      </c>
      <c r="C30">
        <v>301049751</v>
      </c>
      <c r="D30">
        <v>73239990</v>
      </c>
      <c r="E30" t="s">
        <v>824</v>
      </c>
      <c r="N30">
        <v>2310</v>
      </c>
      <c r="O30" t="s">
        <v>2746</v>
      </c>
      <c r="P30">
        <v>562.5649134</v>
      </c>
      <c r="Q30">
        <v>1299524.95</v>
      </c>
      <c r="R30">
        <v>6.400055898</v>
      </c>
      <c r="S30">
        <v>14784.12912</v>
      </c>
      <c r="T30">
        <v>476146</v>
      </c>
    </row>
    <row r="31" spans="1:20">
      <c r="A31" t="s">
        <v>20</v>
      </c>
      <c r="B31" t="s">
        <v>35</v>
      </c>
      <c r="C31">
        <v>301049751</v>
      </c>
      <c r="D31">
        <v>73239990</v>
      </c>
      <c r="E31" t="s">
        <v>825</v>
      </c>
      <c r="N31">
        <v>2976.6</v>
      </c>
      <c r="O31" t="s">
        <v>2746</v>
      </c>
      <c r="P31">
        <v>487.5564066</v>
      </c>
      <c r="Q31">
        <v>1451260.4</v>
      </c>
      <c r="R31">
        <v>5.546716799</v>
      </c>
      <c r="S31">
        <v>16510.35722</v>
      </c>
      <c r="T31">
        <v>531741.8</v>
      </c>
    </row>
    <row r="32" spans="1:20">
      <c r="A32" t="s">
        <v>20</v>
      </c>
      <c r="B32" t="s">
        <v>36</v>
      </c>
      <c r="C32">
        <v>301049751</v>
      </c>
      <c r="D32">
        <v>73239990</v>
      </c>
      <c r="E32" t="s">
        <v>826</v>
      </c>
      <c r="N32">
        <v>5628</v>
      </c>
      <c r="O32" t="s">
        <v>2746</v>
      </c>
      <c r="P32">
        <v>271.1943106</v>
      </c>
      <c r="Q32">
        <v>1526281.58</v>
      </c>
      <c r="R32">
        <v>3.085259506</v>
      </c>
      <c r="S32">
        <v>17363.8405</v>
      </c>
      <c r="T32">
        <v>559229.5</v>
      </c>
    </row>
    <row r="33" spans="1:20">
      <c r="A33" t="s">
        <v>20</v>
      </c>
      <c r="B33" t="s">
        <v>37</v>
      </c>
      <c r="C33">
        <v>301049751</v>
      </c>
      <c r="D33">
        <v>73231000</v>
      </c>
      <c r="E33" t="s">
        <v>827</v>
      </c>
      <c r="N33">
        <v>8856</v>
      </c>
      <c r="O33" t="s">
        <v>2746</v>
      </c>
      <c r="P33">
        <v>242.0626457</v>
      </c>
      <c r="Q33">
        <v>2143706.79</v>
      </c>
      <c r="R33">
        <v>2.753841248</v>
      </c>
      <c r="S33">
        <v>24388.01809</v>
      </c>
      <c r="T33">
        <v>942373.5</v>
      </c>
    </row>
    <row r="34" spans="1:20">
      <c r="A34" t="s">
        <v>20</v>
      </c>
      <c r="B34" t="s">
        <v>38</v>
      </c>
      <c r="C34">
        <v>301049751</v>
      </c>
      <c r="D34">
        <v>73231000</v>
      </c>
      <c r="E34" t="s">
        <v>828</v>
      </c>
      <c r="N34">
        <v>4758</v>
      </c>
      <c r="O34" t="s">
        <v>2746</v>
      </c>
      <c r="P34">
        <v>399.7661097</v>
      </c>
      <c r="Q34">
        <v>1902087.15</v>
      </c>
      <c r="R34">
        <v>4.547964843</v>
      </c>
      <c r="S34">
        <v>21639.21672</v>
      </c>
      <c r="T34">
        <v>836157.4</v>
      </c>
    </row>
    <row r="35" spans="1:20">
      <c r="A35" t="s">
        <v>20</v>
      </c>
      <c r="B35" t="s">
        <v>38</v>
      </c>
      <c r="C35">
        <v>301049751</v>
      </c>
      <c r="D35">
        <v>73231000</v>
      </c>
      <c r="E35" t="s">
        <v>829</v>
      </c>
      <c r="N35">
        <v>180</v>
      </c>
      <c r="O35" t="s">
        <v>2746</v>
      </c>
      <c r="P35">
        <v>154.1690556</v>
      </c>
      <c r="Q35">
        <v>27750.43</v>
      </c>
      <c r="R35">
        <v>1.75391417</v>
      </c>
      <c r="S35">
        <v>315.7045506</v>
      </c>
      <c r="T35">
        <v>12199.1</v>
      </c>
    </row>
    <row r="36" spans="1:20">
      <c r="A36" t="s">
        <v>20</v>
      </c>
      <c r="B36" t="s">
        <v>39</v>
      </c>
      <c r="C36">
        <v>301049751</v>
      </c>
      <c r="D36">
        <v>73239990</v>
      </c>
      <c r="E36" t="s">
        <v>830</v>
      </c>
      <c r="N36">
        <v>5012</v>
      </c>
      <c r="O36" t="s">
        <v>2746</v>
      </c>
      <c r="P36">
        <v>326.0750738</v>
      </c>
      <c r="Q36">
        <v>1634288.27</v>
      </c>
      <c r="R36">
        <v>3.680305574</v>
      </c>
      <c r="S36">
        <v>18445.69153</v>
      </c>
      <c r="T36">
        <v>598803.3</v>
      </c>
    </row>
    <row r="37" spans="1:20">
      <c r="A37" t="s">
        <v>20</v>
      </c>
      <c r="B37" t="s">
        <v>39</v>
      </c>
      <c r="C37">
        <v>301049751</v>
      </c>
      <c r="D37">
        <v>73239990</v>
      </c>
      <c r="E37" t="s">
        <v>831</v>
      </c>
      <c r="N37">
        <v>5600</v>
      </c>
      <c r="O37" t="s">
        <v>2746</v>
      </c>
      <c r="P37">
        <v>268.9756429</v>
      </c>
      <c r="Q37">
        <v>1506263.6</v>
      </c>
      <c r="R37">
        <v>3.03584247</v>
      </c>
      <c r="S37">
        <v>17000.71783</v>
      </c>
      <c r="T37">
        <v>551895</v>
      </c>
    </row>
    <row r="38" spans="1:20">
      <c r="A38" t="s">
        <v>20</v>
      </c>
      <c r="B38" t="s">
        <v>40</v>
      </c>
      <c r="C38">
        <v>301049751</v>
      </c>
      <c r="D38">
        <v>73231000</v>
      </c>
      <c r="E38" t="s">
        <v>827</v>
      </c>
      <c r="N38">
        <v>8856</v>
      </c>
      <c r="O38" t="s">
        <v>2746</v>
      </c>
      <c r="P38">
        <v>235.9864363</v>
      </c>
      <c r="Q38">
        <v>2089895.88</v>
      </c>
      <c r="R38">
        <v>2.663503796</v>
      </c>
      <c r="S38">
        <v>23587.98962</v>
      </c>
      <c r="T38">
        <v>918718.2</v>
      </c>
    </row>
    <row r="39" spans="1:20">
      <c r="A39" t="s">
        <v>20</v>
      </c>
      <c r="B39" t="s">
        <v>41</v>
      </c>
      <c r="C39">
        <v>301049751</v>
      </c>
      <c r="D39">
        <v>73239990</v>
      </c>
      <c r="E39" t="s">
        <v>832</v>
      </c>
      <c r="N39">
        <v>660</v>
      </c>
      <c r="O39" t="s">
        <v>2746</v>
      </c>
      <c r="P39">
        <v>436.1330455</v>
      </c>
      <c r="Q39">
        <v>287847.81</v>
      </c>
      <c r="R39">
        <v>5.024574256</v>
      </c>
      <c r="S39">
        <v>3316.219009</v>
      </c>
      <c r="T39">
        <v>105467.5</v>
      </c>
    </row>
    <row r="40" spans="1:20">
      <c r="A40" t="s">
        <v>20</v>
      </c>
      <c r="B40" t="s">
        <v>42</v>
      </c>
      <c r="C40">
        <v>301049751</v>
      </c>
      <c r="D40">
        <v>73231000</v>
      </c>
      <c r="E40" t="s">
        <v>833</v>
      </c>
      <c r="N40">
        <v>9800</v>
      </c>
      <c r="O40" t="s">
        <v>2746</v>
      </c>
      <c r="P40">
        <v>438.0730643</v>
      </c>
      <c r="Q40">
        <v>4293116.03</v>
      </c>
      <c r="R40">
        <v>5.046924704</v>
      </c>
      <c r="S40">
        <v>49459.8621</v>
      </c>
      <c r="T40">
        <v>1887253.8</v>
      </c>
    </row>
    <row r="41" spans="1:20">
      <c r="A41" t="s">
        <v>20</v>
      </c>
      <c r="B41" t="s">
        <v>43</v>
      </c>
      <c r="C41">
        <v>301049751</v>
      </c>
      <c r="D41">
        <v>73239990</v>
      </c>
      <c r="E41" t="s">
        <v>834</v>
      </c>
      <c r="N41">
        <v>325.6</v>
      </c>
      <c r="O41" t="s">
        <v>2746</v>
      </c>
      <c r="P41">
        <v>371.7940418</v>
      </c>
      <c r="Q41">
        <v>121056.14</v>
      </c>
      <c r="R41">
        <v>4.283341495</v>
      </c>
      <c r="S41">
        <v>1394.655991</v>
      </c>
      <c r="T41">
        <v>44354.9</v>
      </c>
    </row>
    <row r="42" spans="1:20">
      <c r="A42" t="s">
        <v>20</v>
      </c>
      <c r="B42" t="s">
        <v>43</v>
      </c>
      <c r="C42">
        <v>301049751</v>
      </c>
      <c r="D42">
        <v>73239990</v>
      </c>
      <c r="E42" t="s">
        <v>835</v>
      </c>
      <c r="N42">
        <v>4620</v>
      </c>
      <c r="O42" t="s">
        <v>2746</v>
      </c>
      <c r="P42">
        <v>548.2002857</v>
      </c>
      <c r="Q42">
        <v>2532685.32</v>
      </c>
      <c r="R42">
        <v>6.315671494</v>
      </c>
      <c r="S42">
        <v>29178.4023</v>
      </c>
      <c r="T42">
        <v>927975.9</v>
      </c>
    </row>
    <row r="43" spans="1:20">
      <c r="A43" t="s">
        <v>20</v>
      </c>
      <c r="B43" t="s">
        <v>44</v>
      </c>
      <c r="C43">
        <v>301049751</v>
      </c>
      <c r="D43">
        <v>73239990</v>
      </c>
      <c r="E43" t="s">
        <v>836</v>
      </c>
      <c r="N43">
        <v>12006</v>
      </c>
      <c r="O43" t="s">
        <v>2746</v>
      </c>
      <c r="P43">
        <v>448.1221789</v>
      </c>
      <c r="Q43">
        <v>5380154.88</v>
      </c>
      <c r="R43">
        <v>5.162697914</v>
      </c>
      <c r="S43">
        <v>61983.35115</v>
      </c>
      <c r="T43">
        <v>1971288.8</v>
      </c>
    </row>
    <row r="44" spans="1:20">
      <c r="A44" t="s">
        <v>20</v>
      </c>
      <c r="B44" t="s">
        <v>45</v>
      </c>
      <c r="C44">
        <v>301049751</v>
      </c>
      <c r="D44">
        <v>73239990</v>
      </c>
      <c r="E44" t="s">
        <v>837</v>
      </c>
      <c r="N44">
        <v>9776</v>
      </c>
      <c r="O44" t="s">
        <v>2746</v>
      </c>
      <c r="P44">
        <v>361.08518</v>
      </c>
      <c r="Q44">
        <v>3529968.72</v>
      </c>
      <c r="R44">
        <v>4.159967512</v>
      </c>
      <c r="S44">
        <v>40667.8424</v>
      </c>
      <c r="T44">
        <v>1293380.5</v>
      </c>
    </row>
    <row r="45" spans="1:20">
      <c r="A45" t="s">
        <v>20</v>
      </c>
      <c r="B45" t="s">
        <v>46</v>
      </c>
      <c r="C45">
        <v>301049751</v>
      </c>
      <c r="D45">
        <v>73231000</v>
      </c>
      <c r="E45" t="s">
        <v>838</v>
      </c>
      <c r="N45">
        <v>4900</v>
      </c>
      <c r="O45" t="s">
        <v>2746</v>
      </c>
      <c r="P45">
        <v>448.6994878</v>
      </c>
      <c r="Q45">
        <v>2198627.49</v>
      </c>
      <c r="R45">
        <v>5.169348937</v>
      </c>
      <c r="S45">
        <v>25329.80979</v>
      </c>
      <c r="T45">
        <v>966516.6</v>
      </c>
    </row>
    <row r="46" spans="1:20">
      <c r="A46" t="s">
        <v>20</v>
      </c>
      <c r="B46" t="s">
        <v>47</v>
      </c>
      <c r="C46">
        <v>301049751</v>
      </c>
      <c r="D46">
        <v>73239990</v>
      </c>
      <c r="E46" t="s">
        <v>839</v>
      </c>
      <c r="N46">
        <v>528</v>
      </c>
      <c r="O46" t="s">
        <v>2746</v>
      </c>
      <c r="P46">
        <v>297.1403977</v>
      </c>
      <c r="Q46">
        <v>156890.13</v>
      </c>
      <c r="R46">
        <v>3.447104382</v>
      </c>
      <c r="S46">
        <v>1820.071114</v>
      </c>
      <c r="T46">
        <v>57484.5</v>
      </c>
    </row>
    <row r="47" spans="1:20">
      <c r="A47" t="s">
        <v>20</v>
      </c>
      <c r="B47" t="s">
        <v>47</v>
      </c>
      <c r="C47">
        <v>301049751</v>
      </c>
      <c r="D47">
        <v>73239990</v>
      </c>
      <c r="E47" t="s">
        <v>840</v>
      </c>
      <c r="N47">
        <v>33</v>
      </c>
      <c r="O47" t="s">
        <v>2746</v>
      </c>
      <c r="P47">
        <v>518.8409091</v>
      </c>
      <c r="Q47">
        <v>17121.75</v>
      </c>
      <c r="R47">
        <v>6.019036068</v>
      </c>
      <c r="S47">
        <v>198.6281903</v>
      </c>
      <c r="T47">
        <v>6273.4</v>
      </c>
    </row>
    <row r="48" spans="1:20">
      <c r="A48" t="s">
        <v>20</v>
      </c>
      <c r="B48" t="s">
        <v>47</v>
      </c>
      <c r="C48">
        <v>301049751</v>
      </c>
      <c r="D48">
        <v>73239990</v>
      </c>
      <c r="E48" t="s">
        <v>841</v>
      </c>
      <c r="N48">
        <v>1030.4</v>
      </c>
      <c r="O48" t="s">
        <v>2746</v>
      </c>
      <c r="P48">
        <v>269.7573564</v>
      </c>
      <c r="Q48">
        <v>277957.98</v>
      </c>
      <c r="R48">
        <v>3.129435689</v>
      </c>
      <c r="S48">
        <v>3224.570534</v>
      </c>
      <c r="T48">
        <v>101843.9</v>
      </c>
    </row>
    <row r="49" spans="1:20">
      <c r="A49" t="s">
        <v>20</v>
      </c>
      <c r="B49" t="s">
        <v>47</v>
      </c>
      <c r="C49">
        <v>301049751</v>
      </c>
      <c r="D49">
        <v>73239390</v>
      </c>
      <c r="E49" t="s">
        <v>842</v>
      </c>
      <c r="N49">
        <v>12</v>
      </c>
      <c r="O49" t="s">
        <v>2746</v>
      </c>
      <c r="P49">
        <v>1087.744167</v>
      </c>
      <c r="Q49">
        <v>13052.93</v>
      </c>
      <c r="R49">
        <v>12.61884184</v>
      </c>
      <c r="S49">
        <v>151.4261021</v>
      </c>
      <c r="T49">
        <v>4782.7</v>
      </c>
    </row>
    <row r="50" spans="1:20">
      <c r="A50" t="s">
        <v>20</v>
      </c>
      <c r="B50" t="s">
        <v>48</v>
      </c>
      <c r="C50">
        <v>301049751</v>
      </c>
      <c r="D50">
        <v>73239990</v>
      </c>
      <c r="E50" t="s">
        <v>843</v>
      </c>
      <c r="N50">
        <v>15568</v>
      </c>
      <c r="O50" t="s">
        <v>2746</v>
      </c>
      <c r="P50">
        <v>416.9154856</v>
      </c>
      <c r="Q50">
        <v>6490540.28</v>
      </c>
      <c r="R50">
        <v>4.836606562</v>
      </c>
      <c r="S50">
        <v>75296.29095</v>
      </c>
      <c r="T50">
        <v>2378134</v>
      </c>
    </row>
    <row r="51" spans="1:20">
      <c r="A51" t="s">
        <v>20</v>
      </c>
      <c r="B51" t="s">
        <v>49</v>
      </c>
      <c r="C51">
        <v>301049751</v>
      </c>
      <c r="D51">
        <v>73239390</v>
      </c>
      <c r="E51" t="s">
        <v>844</v>
      </c>
      <c r="N51">
        <v>15</v>
      </c>
      <c r="O51" t="s">
        <v>2746</v>
      </c>
      <c r="P51">
        <v>1678.824667</v>
      </c>
      <c r="Q51">
        <v>25182.37</v>
      </c>
      <c r="R51">
        <v>19.47592421</v>
      </c>
      <c r="S51">
        <v>292.1388631</v>
      </c>
      <c r="T51">
        <v>9226.799999999999</v>
      </c>
    </row>
    <row r="52" spans="1:20">
      <c r="A52" t="s">
        <v>20</v>
      </c>
      <c r="B52" t="s">
        <v>49</v>
      </c>
      <c r="C52">
        <v>301049751</v>
      </c>
      <c r="D52">
        <v>73239990</v>
      </c>
      <c r="E52" t="s">
        <v>845</v>
      </c>
      <c r="N52">
        <v>4004</v>
      </c>
      <c r="O52" t="s">
        <v>2746</v>
      </c>
      <c r="P52">
        <v>424.5167807</v>
      </c>
      <c r="Q52">
        <v>1699765.19</v>
      </c>
      <c r="R52">
        <v>4.924788639</v>
      </c>
      <c r="S52">
        <v>19718.85371</v>
      </c>
      <c r="T52">
        <v>622793.9</v>
      </c>
    </row>
    <row r="53" spans="1:20">
      <c r="A53" t="s">
        <v>20</v>
      </c>
      <c r="B53" t="s">
        <v>50</v>
      </c>
      <c r="C53">
        <v>301049751</v>
      </c>
      <c r="D53">
        <v>73239990</v>
      </c>
      <c r="E53" t="s">
        <v>846</v>
      </c>
      <c r="N53">
        <v>10810.8</v>
      </c>
      <c r="O53" t="s">
        <v>2746</v>
      </c>
      <c r="P53">
        <v>394.9527121</v>
      </c>
      <c r="Q53">
        <v>4269754.78</v>
      </c>
      <c r="R53">
        <v>4.581818006</v>
      </c>
      <c r="S53">
        <v>49533.1181</v>
      </c>
      <c r="T53">
        <v>1564438.2</v>
      </c>
    </row>
    <row r="54" spans="1:20">
      <c r="A54" t="s">
        <v>20</v>
      </c>
      <c r="B54" t="s">
        <v>51</v>
      </c>
      <c r="C54">
        <v>301049751</v>
      </c>
      <c r="D54">
        <v>73231000</v>
      </c>
      <c r="E54" t="s">
        <v>847</v>
      </c>
      <c r="N54">
        <v>9151</v>
      </c>
      <c r="O54" t="s">
        <v>2746</v>
      </c>
      <c r="P54">
        <v>237.4236783</v>
      </c>
      <c r="Q54">
        <v>2172664.08</v>
      </c>
      <c r="R54">
        <v>2.708769861</v>
      </c>
      <c r="S54">
        <v>24787.95299</v>
      </c>
      <c r="T54">
        <v>955103.1</v>
      </c>
    </row>
    <row r="55" spans="1:20">
      <c r="A55" t="s">
        <v>20</v>
      </c>
      <c r="B55" t="s">
        <v>52</v>
      </c>
      <c r="C55">
        <v>301049751</v>
      </c>
      <c r="D55">
        <v>73231000</v>
      </c>
      <c r="E55" t="s">
        <v>848</v>
      </c>
      <c r="N55">
        <v>4900</v>
      </c>
      <c r="O55" t="s">
        <v>2746</v>
      </c>
      <c r="P55">
        <v>468.819102</v>
      </c>
      <c r="Q55">
        <v>2297213.6</v>
      </c>
      <c r="R55">
        <v>5.348763286</v>
      </c>
      <c r="S55">
        <v>26208.9401</v>
      </c>
      <c r="T55">
        <v>1009855.1</v>
      </c>
    </row>
    <row r="56" spans="1:20">
      <c r="A56" t="s">
        <v>20</v>
      </c>
      <c r="B56" t="s">
        <v>53</v>
      </c>
      <c r="C56">
        <v>301049751</v>
      </c>
      <c r="D56">
        <v>73239990</v>
      </c>
      <c r="E56" t="s">
        <v>815</v>
      </c>
      <c r="N56">
        <v>4004</v>
      </c>
      <c r="O56" t="s">
        <v>2746</v>
      </c>
      <c r="P56">
        <v>431.5472852</v>
      </c>
      <c r="Q56">
        <v>1727915.33</v>
      </c>
      <c r="R56">
        <v>4.923528639</v>
      </c>
      <c r="S56">
        <v>19713.80867</v>
      </c>
      <c r="T56">
        <v>633108.2</v>
      </c>
    </row>
    <row r="57" spans="1:20">
      <c r="A57" t="s">
        <v>20</v>
      </c>
      <c r="B57" t="s">
        <v>54</v>
      </c>
      <c r="C57">
        <v>301049751</v>
      </c>
      <c r="D57">
        <v>73239990</v>
      </c>
      <c r="E57" t="s">
        <v>849</v>
      </c>
      <c r="N57">
        <v>96.8</v>
      </c>
      <c r="O57" t="s">
        <v>2746</v>
      </c>
      <c r="P57">
        <v>317.7392562</v>
      </c>
      <c r="Q57">
        <v>30757.16</v>
      </c>
      <c r="R57">
        <v>3.625091343</v>
      </c>
      <c r="S57">
        <v>350.908842</v>
      </c>
      <c r="T57">
        <v>11269.4</v>
      </c>
    </row>
    <row r="58" spans="1:20">
      <c r="A58" t="s">
        <v>20</v>
      </c>
      <c r="B58" t="s">
        <v>54</v>
      </c>
      <c r="C58">
        <v>301049751</v>
      </c>
      <c r="D58">
        <v>73239990</v>
      </c>
      <c r="E58" t="s">
        <v>850</v>
      </c>
      <c r="N58">
        <v>9776</v>
      </c>
      <c r="O58" t="s">
        <v>2746</v>
      </c>
      <c r="P58">
        <v>367.9828744</v>
      </c>
      <c r="Q58">
        <v>3597400.58</v>
      </c>
      <c r="R58">
        <v>4.198321442</v>
      </c>
      <c r="S58">
        <v>41042.79042</v>
      </c>
      <c r="T58">
        <v>1318087.6</v>
      </c>
    </row>
    <row r="59" spans="1:20">
      <c r="A59" t="s">
        <v>20</v>
      </c>
      <c r="B59" t="s">
        <v>55</v>
      </c>
      <c r="C59">
        <v>301049751</v>
      </c>
      <c r="D59">
        <v>73239990</v>
      </c>
      <c r="E59" t="s">
        <v>851</v>
      </c>
      <c r="N59">
        <v>14110.8</v>
      </c>
      <c r="O59" t="s">
        <v>2746</v>
      </c>
      <c r="P59">
        <v>297.680578</v>
      </c>
      <c r="Q59">
        <v>4200511.1</v>
      </c>
      <c r="R59">
        <v>3.39624162</v>
      </c>
      <c r="S59">
        <v>47923.68625</v>
      </c>
      <c r="T59">
        <v>1539067.2</v>
      </c>
    </row>
    <row r="60" spans="1:20">
      <c r="A60" t="s">
        <v>20</v>
      </c>
      <c r="B60" t="s">
        <v>55</v>
      </c>
      <c r="C60">
        <v>301049751</v>
      </c>
      <c r="D60">
        <v>73239990</v>
      </c>
      <c r="E60" t="s">
        <v>852</v>
      </c>
      <c r="N60">
        <v>6860</v>
      </c>
      <c r="O60" t="s">
        <v>2746</v>
      </c>
      <c r="P60">
        <v>270.1087026</v>
      </c>
      <c r="Q60">
        <v>1852945.7</v>
      </c>
      <c r="R60">
        <v>3.081673732</v>
      </c>
      <c r="S60">
        <v>21140.2818</v>
      </c>
      <c r="T60">
        <v>678919.3</v>
      </c>
    </row>
    <row r="61" spans="1:20">
      <c r="A61" t="s">
        <v>20</v>
      </c>
      <c r="B61" t="s">
        <v>56</v>
      </c>
      <c r="C61">
        <v>301049751</v>
      </c>
      <c r="D61">
        <v>73231000</v>
      </c>
      <c r="E61" t="s">
        <v>848</v>
      </c>
      <c r="N61">
        <v>4900</v>
      </c>
      <c r="O61" t="s">
        <v>2746</v>
      </c>
      <c r="P61">
        <v>459.5766673</v>
      </c>
      <c r="Q61">
        <v>2251925.67</v>
      </c>
      <c r="R61">
        <v>5.297713745</v>
      </c>
      <c r="S61">
        <v>25958.79735</v>
      </c>
      <c r="T61">
        <v>989946.5</v>
      </c>
    </row>
    <row r="62" spans="1:20">
      <c r="A62" t="s">
        <v>20</v>
      </c>
      <c r="B62" t="s">
        <v>57</v>
      </c>
      <c r="C62">
        <v>301049751</v>
      </c>
      <c r="D62">
        <v>73239990</v>
      </c>
      <c r="E62" t="s">
        <v>853</v>
      </c>
      <c r="N62">
        <v>3080</v>
      </c>
      <c r="O62" t="s">
        <v>2746</v>
      </c>
      <c r="P62">
        <v>372.7360032</v>
      </c>
      <c r="Q62">
        <v>1148026.89</v>
      </c>
      <c r="R62">
        <v>4.314074112</v>
      </c>
      <c r="S62">
        <v>13287.34826</v>
      </c>
      <c r="T62">
        <v>420637</v>
      </c>
    </row>
    <row r="63" spans="1:20">
      <c r="A63" t="s">
        <v>20</v>
      </c>
      <c r="B63" t="s">
        <v>57</v>
      </c>
      <c r="C63">
        <v>301049751</v>
      </c>
      <c r="D63">
        <v>73239990</v>
      </c>
      <c r="E63" t="s">
        <v>854</v>
      </c>
      <c r="N63">
        <v>6357</v>
      </c>
      <c r="O63" t="s">
        <v>2746</v>
      </c>
      <c r="P63">
        <v>526.3499906</v>
      </c>
      <c r="Q63">
        <v>3346006.89</v>
      </c>
      <c r="R63">
        <v>6.09201378</v>
      </c>
      <c r="S63">
        <v>38726.9316</v>
      </c>
      <c r="T63">
        <v>1225976.9</v>
      </c>
    </row>
    <row r="64" spans="1:20">
      <c r="A64" t="s">
        <v>20</v>
      </c>
      <c r="B64" t="s">
        <v>57</v>
      </c>
      <c r="C64">
        <v>301049751</v>
      </c>
      <c r="D64">
        <v>73239990</v>
      </c>
      <c r="E64" t="s">
        <v>855</v>
      </c>
      <c r="N64">
        <v>45.14</v>
      </c>
      <c r="O64" t="s">
        <v>2746</v>
      </c>
      <c r="P64">
        <v>985.6595038</v>
      </c>
      <c r="Q64">
        <v>44492.67</v>
      </c>
      <c r="R64">
        <v>11.40809611</v>
      </c>
      <c r="S64">
        <v>514.9614583</v>
      </c>
      <c r="T64">
        <v>16302.1</v>
      </c>
    </row>
    <row r="65" spans="1:20">
      <c r="A65" t="s">
        <v>20</v>
      </c>
      <c r="B65" t="s">
        <v>57</v>
      </c>
      <c r="C65">
        <v>301049751</v>
      </c>
      <c r="D65">
        <v>73239990</v>
      </c>
      <c r="E65" t="s">
        <v>856</v>
      </c>
      <c r="N65">
        <v>2310</v>
      </c>
      <c r="O65" t="s">
        <v>2746</v>
      </c>
      <c r="P65">
        <v>558.473974</v>
      </c>
      <c r="Q65">
        <v>1290074.88</v>
      </c>
      <c r="R65">
        <v>6.463819144</v>
      </c>
      <c r="S65">
        <v>14931.42222</v>
      </c>
      <c r="T65">
        <v>472683.5</v>
      </c>
    </row>
    <row r="66" spans="1:20">
      <c r="A66" t="s">
        <v>20</v>
      </c>
      <c r="B66" t="s">
        <v>58</v>
      </c>
      <c r="C66">
        <v>301049751</v>
      </c>
      <c r="D66">
        <v>73231000</v>
      </c>
      <c r="E66" t="s">
        <v>857</v>
      </c>
      <c r="N66">
        <v>8856</v>
      </c>
      <c r="O66" t="s">
        <v>2746</v>
      </c>
      <c r="P66">
        <v>238.0206278</v>
      </c>
      <c r="Q66">
        <v>2107910.68</v>
      </c>
      <c r="R66">
        <v>2.754868378</v>
      </c>
      <c r="S66">
        <v>24397.11435</v>
      </c>
      <c r="T66">
        <v>926637.5</v>
      </c>
    </row>
    <row r="67" spans="1:20">
      <c r="A67" t="s">
        <v>20</v>
      </c>
      <c r="B67" t="s">
        <v>59</v>
      </c>
      <c r="C67">
        <v>301049751</v>
      </c>
      <c r="D67">
        <v>73239990</v>
      </c>
      <c r="E67" t="s">
        <v>858</v>
      </c>
      <c r="N67">
        <v>8008</v>
      </c>
      <c r="O67" t="s">
        <v>2746</v>
      </c>
      <c r="P67">
        <v>401.971275</v>
      </c>
      <c r="Q67">
        <v>3218985.97</v>
      </c>
      <c r="R67">
        <v>4.652445312</v>
      </c>
      <c r="S67">
        <v>37256.78206</v>
      </c>
      <c r="T67">
        <v>1179436.5</v>
      </c>
    </row>
    <row r="68" spans="1:20">
      <c r="A68" t="s">
        <v>20</v>
      </c>
      <c r="B68" t="s">
        <v>60</v>
      </c>
      <c r="C68">
        <v>301049751</v>
      </c>
      <c r="D68">
        <v>73239990</v>
      </c>
      <c r="E68" t="s">
        <v>859</v>
      </c>
      <c r="N68">
        <v>3307.2</v>
      </c>
      <c r="O68" t="s">
        <v>2746</v>
      </c>
      <c r="P68">
        <v>284.2399552</v>
      </c>
      <c r="Q68">
        <v>940038.38</v>
      </c>
      <c r="R68">
        <v>3.289814297</v>
      </c>
      <c r="S68">
        <v>10880.07384</v>
      </c>
      <c r="T68">
        <v>344430.1</v>
      </c>
    </row>
    <row r="69" spans="1:20">
      <c r="A69" t="s">
        <v>20</v>
      </c>
      <c r="B69" t="s">
        <v>61</v>
      </c>
      <c r="C69">
        <v>301049751</v>
      </c>
      <c r="D69">
        <v>73239990</v>
      </c>
      <c r="E69" t="s">
        <v>860</v>
      </c>
      <c r="N69">
        <v>3349.5</v>
      </c>
      <c r="O69" t="s">
        <v>2746</v>
      </c>
      <c r="P69">
        <v>265.2749425</v>
      </c>
      <c r="Q69">
        <v>888538.42</v>
      </c>
      <c r="R69">
        <v>3.070311835</v>
      </c>
      <c r="S69">
        <v>10284.00949</v>
      </c>
      <c r="T69">
        <v>325560.5</v>
      </c>
    </row>
    <row r="70" spans="1:20">
      <c r="A70" t="s">
        <v>20</v>
      </c>
      <c r="B70" t="s">
        <v>61</v>
      </c>
      <c r="C70">
        <v>301049751</v>
      </c>
      <c r="D70">
        <v>73239990</v>
      </c>
      <c r="E70" t="s">
        <v>861</v>
      </c>
      <c r="N70">
        <v>3080</v>
      </c>
      <c r="O70" t="s">
        <v>2746</v>
      </c>
      <c r="P70">
        <v>362.2134448</v>
      </c>
      <c r="Q70">
        <v>1115617.41</v>
      </c>
      <c r="R70">
        <v>4.192285241</v>
      </c>
      <c r="S70">
        <v>12912.23854</v>
      </c>
      <c r="T70">
        <v>408762.2</v>
      </c>
    </row>
    <row r="71" spans="1:20">
      <c r="A71" t="s">
        <v>20</v>
      </c>
      <c r="B71" t="s">
        <v>61</v>
      </c>
      <c r="C71">
        <v>301049751</v>
      </c>
      <c r="D71">
        <v>73239990</v>
      </c>
      <c r="E71" t="s">
        <v>862</v>
      </c>
      <c r="N71">
        <v>6243</v>
      </c>
      <c r="O71" t="s">
        <v>2746</v>
      </c>
      <c r="P71">
        <v>511.7311997</v>
      </c>
      <c r="Q71">
        <v>3194737.88</v>
      </c>
      <c r="R71">
        <v>5.922814812</v>
      </c>
      <c r="S71">
        <v>36976.13287</v>
      </c>
      <c r="T71">
        <v>1170552</v>
      </c>
    </row>
    <row r="72" spans="1:20">
      <c r="A72" t="s">
        <v>20</v>
      </c>
      <c r="B72" t="s">
        <v>61</v>
      </c>
      <c r="C72">
        <v>301049751</v>
      </c>
      <c r="D72">
        <v>73239990</v>
      </c>
      <c r="E72" t="s">
        <v>863</v>
      </c>
      <c r="N72">
        <v>2310</v>
      </c>
      <c r="O72" t="s">
        <v>2746</v>
      </c>
      <c r="P72">
        <v>542.0881342</v>
      </c>
      <c r="Q72">
        <v>1252223.59</v>
      </c>
      <c r="R72">
        <v>6.27416822</v>
      </c>
      <c r="S72">
        <v>14493.32859</v>
      </c>
      <c r="T72">
        <v>458814.7</v>
      </c>
    </row>
    <row r="73" spans="1:20">
      <c r="A73" t="s">
        <v>20</v>
      </c>
      <c r="B73" t="s">
        <v>62</v>
      </c>
      <c r="C73">
        <v>301049751</v>
      </c>
      <c r="D73">
        <v>73231000</v>
      </c>
      <c r="E73" t="s">
        <v>864</v>
      </c>
      <c r="N73">
        <v>4795</v>
      </c>
      <c r="O73" t="s">
        <v>2746</v>
      </c>
      <c r="P73">
        <v>412.8381773</v>
      </c>
      <c r="Q73">
        <v>1979559.06</v>
      </c>
      <c r="R73">
        <v>4.778219644</v>
      </c>
      <c r="S73">
        <v>22911.56319</v>
      </c>
      <c r="T73">
        <v>870214.2</v>
      </c>
    </row>
    <row r="74" spans="1:20">
      <c r="A74" t="s">
        <v>20</v>
      </c>
      <c r="B74" t="s">
        <v>62</v>
      </c>
      <c r="C74">
        <v>301049751</v>
      </c>
      <c r="D74">
        <v>73231000</v>
      </c>
      <c r="E74" t="s">
        <v>848</v>
      </c>
      <c r="N74">
        <v>4900</v>
      </c>
      <c r="O74" t="s">
        <v>2746</v>
      </c>
      <c r="P74">
        <v>435.2433857</v>
      </c>
      <c r="Q74">
        <v>2132692.59</v>
      </c>
      <c r="R74">
        <v>5.037539187</v>
      </c>
      <c r="S74">
        <v>24683.94201</v>
      </c>
      <c r="T74">
        <v>937531.7</v>
      </c>
    </row>
    <row r="75" spans="1:20">
      <c r="A75" t="s">
        <v>20</v>
      </c>
      <c r="B75" t="s">
        <v>63</v>
      </c>
      <c r="C75">
        <v>301049751</v>
      </c>
      <c r="D75">
        <v>73239990</v>
      </c>
      <c r="E75" t="s">
        <v>865</v>
      </c>
      <c r="N75">
        <v>3960</v>
      </c>
      <c r="O75" t="s">
        <v>2746</v>
      </c>
      <c r="P75">
        <v>285.9887551</v>
      </c>
      <c r="Q75">
        <v>1132515.47</v>
      </c>
      <c r="R75">
        <v>3.342942783</v>
      </c>
      <c r="S75">
        <v>13238.05342</v>
      </c>
      <c r="T75">
        <v>414953.7</v>
      </c>
    </row>
    <row r="76" spans="1:20">
      <c r="A76" t="s">
        <v>20</v>
      </c>
      <c r="B76" t="s">
        <v>63</v>
      </c>
      <c r="C76">
        <v>301049751</v>
      </c>
      <c r="D76">
        <v>73231000</v>
      </c>
      <c r="E76" t="s">
        <v>866</v>
      </c>
      <c r="N76">
        <v>7708.8</v>
      </c>
      <c r="O76" t="s">
        <v>2746</v>
      </c>
      <c r="P76">
        <v>251.8633043</v>
      </c>
      <c r="Q76">
        <v>1941563.84</v>
      </c>
      <c r="R76">
        <v>2.944047975</v>
      </c>
      <c r="S76">
        <v>22695.07703</v>
      </c>
      <c r="T76">
        <v>853511.5</v>
      </c>
    </row>
    <row r="77" spans="1:20">
      <c r="A77" t="s">
        <v>20</v>
      </c>
      <c r="B77" t="s">
        <v>64</v>
      </c>
      <c r="C77">
        <v>301049751</v>
      </c>
      <c r="D77">
        <v>73231000</v>
      </c>
      <c r="E77" t="s">
        <v>867</v>
      </c>
      <c r="N77">
        <v>7545</v>
      </c>
      <c r="O77" t="s">
        <v>2746</v>
      </c>
      <c r="P77">
        <v>235.7600013</v>
      </c>
      <c r="Q77">
        <v>1778809.21</v>
      </c>
      <c r="R77">
        <v>2.755815328</v>
      </c>
      <c r="S77">
        <v>20792.62665</v>
      </c>
      <c r="T77">
        <v>781964.5</v>
      </c>
    </row>
    <row r="78" spans="1:20">
      <c r="A78" t="s">
        <v>20</v>
      </c>
      <c r="B78" t="s">
        <v>65</v>
      </c>
      <c r="C78">
        <v>301049751</v>
      </c>
      <c r="D78">
        <v>73239990</v>
      </c>
      <c r="E78" t="s">
        <v>868</v>
      </c>
      <c r="N78">
        <v>3200</v>
      </c>
      <c r="O78" t="s">
        <v>2746</v>
      </c>
      <c r="P78">
        <v>311.8705344</v>
      </c>
      <c r="Q78">
        <v>997985.71</v>
      </c>
      <c r="R78">
        <v>3.645476731</v>
      </c>
      <c r="S78">
        <v>11665.52554</v>
      </c>
      <c r="T78">
        <v>365661.9</v>
      </c>
    </row>
    <row r="79" spans="1:20">
      <c r="A79" t="s">
        <v>20</v>
      </c>
      <c r="B79" t="s">
        <v>65</v>
      </c>
      <c r="C79">
        <v>301049751</v>
      </c>
      <c r="D79">
        <v>73231000</v>
      </c>
      <c r="E79" t="s">
        <v>848</v>
      </c>
      <c r="N79">
        <v>4900</v>
      </c>
      <c r="O79" t="s">
        <v>2746</v>
      </c>
      <c r="P79">
        <v>432.7083163</v>
      </c>
      <c r="Q79">
        <v>2120270.75</v>
      </c>
      <c r="R79">
        <v>5.05795811</v>
      </c>
      <c r="S79">
        <v>24783.99474</v>
      </c>
      <c r="T79">
        <v>932071.1</v>
      </c>
    </row>
    <row r="80" spans="1:20">
      <c r="A80" t="s">
        <v>20</v>
      </c>
      <c r="B80" t="s">
        <v>65</v>
      </c>
      <c r="C80">
        <v>301049751</v>
      </c>
      <c r="D80">
        <v>73239990</v>
      </c>
      <c r="E80" t="s">
        <v>869</v>
      </c>
      <c r="N80">
        <v>4379.2</v>
      </c>
      <c r="O80" t="s">
        <v>2746</v>
      </c>
      <c r="P80">
        <v>257.08125</v>
      </c>
      <c r="Q80">
        <v>1125810.21</v>
      </c>
      <c r="R80">
        <v>3.005040912</v>
      </c>
      <c r="S80">
        <v>13159.67516</v>
      </c>
      <c r="T80">
        <v>412496.8</v>
      </c>
    </row>
    <row r="81" spans="1:20">
      <c r="A81" t="s">
        <v>20</v>
      </c>
      <c r="B81" t="s">
        <v>66</v>
      </c>
      <c r="C81">
        <v>301049751</v>
      </c>
      <c r="D81">
        <v>73239990</v>
      </c>
      <c r="E81" t="s">
        <v>870</v>
      </c>
      <c r="N81">
        <v>5691.3</v>
      </c>
      <c r="O81" t="s">
        <v>2746</v>
      </c>
      <c r="P81">
        <v>947.9080579</v>
      </c>
      <c r="Q81">
        <v>5394829.13</v>
      </c>
      <c r="R81">
        <v>11.08016432</v>
      </c>
      <c r="S81">
        <v>63060.53922</v>
      </c>
      <c r="T81">
        <v>1976665.4</v>
      </c>
    </row>
    <row r="82" spans="1:20">
      <c r="A82" t="s">
        <v>20</v>
      </c>
      <c r="B82" t="s">
        <v>67</v>
      </c>
      <c r="C82">
        <v>301049751</v>
      </c>
      <c r="D82">
        <v>73239990</v>
      </c>
      <c r="E82" t="s">
        <v>871</v>
      </c>
      <c r="N82">
        <v>981</v>
      </c>
      <c r="O82" t="s">
        <v>2746</v>
      </c>
      <c r="P82">
        <v>485.0312742</v>
      </c>
      <c r="Q82">
        <v>475815.68</v>
      </c>
      <c r="R82">
        <v>5.669564865</v>
      </c>
      <c r="S82">
        <v>5561.843133</v>
      </c>
      <c r="T82">
        <v>174338.8</v>
      </c>
    </row>
    <row r="83" spans="1:20">
      <c r="A83" t="s">
        <v>20</v>
      </c>
      <c r="B83" t="s">
        <v>68</v>
      </c>
      <c r="C83">
        <v>301049751</v>
      </c>
      <c r="D83">
        <v>73239990</v>
      </c>
      <c r="E83" t="s">
        <v>872</v>
      </c>
      <c r="N83">
        <v>5880</v>
      </c>
      <c r="O83" t="s">
        <v>2746</v>
      </c>
      <c r="P83">
        <v>426.1333316</v>
      </c>
      <c r="Q83">
        <v>2505663.99</v>
      </c>
      <c r="R83">
        <v>4.932098746</v>
      </c>
      <c r="S83">
        <v>29000.74063</v>
      </c>
      <c r="T83">
        <v>918075.3</v>
      </c>
    </row>
    <row r="84" spans="1:20">
      <c r="A84" t="s">
        <v>20</v>
      </c>
      <c r="B84" t="s">
        <v>68</v>
      </c>
      <c r="C84">
        <v>301049751</v>
      </c>
      <c r="D84">
        <v>73239990</v>
      </c>
      <c r="E84" t="s">
        <v>873</v>
      </c>
      <c r="N84">
        <v>2769</v>
      </c>
      <c r="O84" t="s">
        <v>2746</v>
      </c>
      <c r="P84">
        <v>496.3840737</v>
      </c>
      <c r="Q84">
        <v>1374487.5</v>
      </c>
      <c r="R84">
        <v>5.745186038</v>
      </c>
      <c r="S84">
        <v>15908.42014</v>
      </c>
      <c r="T84">
        <v>503612.2</v>
      </c>
    </row>
    <row r="85" spans="1:20">
      <c r="A85" t="s">
        <v>20</v>
      </c>
      <c r="B85" t="s">
        <v>69</v>
      </c>
      <c r="C85">
        <v>301049751</v>
      </c>
      <c r="D85">
        <v>73239990</v>
      </c>
      <c r="E85" t="s">
        <v>874</v>
      </c>
      <c r="N85">
        <v>3307.2</v>
      </c>
      <c r="O85" t="s">
        <v>2746</v>
      </c>
      <c r="P85">
        <v>272.327679</v>
      </c>
      <c r="Q85">
        <v>900642.1</v>
      </c>
      <c r="R85">
        <v>3.151940729</v>
      </c>
      <c r="S85">
        <v>10424.09838</v>
      </c>
      <c r="T85">
        <v>329995.2</v>
      </c>
    </row>
    <row r="86" spans="1:20">
      <c r="A86" t="s">
        <v>20</v>
      </c>
      <c r="B86" t="s">
        <v>70</v>
      </c>
      <c r="C86">
        <v>301049751</v>
      </c>
      <c r="D86">
        <v>73239990</v>
      </c>
      <c r="E86" t="s">
        <v>875</v>
      </c>
      <c r="N86">
        <v>8008</v>
      </c>
      <c r="O86" t="s">
        <v>2746</v>
      </c>
      <c r="P86">
        <v>401.1503009</v>
      </c>
      <c r="Q86">
        <v>3212411.61</v>
      </c>
      <c r="R86">
        <v>4.642943298</v>
      </c>
      <c r="S86">
        <v>37180.68993</v>
      </c>
      <c r="T86">
        <v>1177027.6</v>
      </c>
    </row>
    <row r="87" spans="1:20">
      <c r="A87" t="s">
        <v>20</v>
      </c>
      <c r="B87" t="s">
        <v>70</v>
      </c>
      <c r="C87">
        <v>301049751</v>
      </c>
      <c r="D87">
        <v>73239990</v>
      </c>
      <c r="E87" t="s">
        <v>876</v>
      </c>
      <c r="N87">
        <v>214.5</v>
      </c>
      <c r="O87" t="s">
        <v>2746</v>
      </c>
      <c r="P87">
        <v>694.29669</v>
      </c>
      <c r="Q87">
        <v>148926.64</v>
      </c>
      <c r="R87">
        <v>8.035841318999999</v>
      </c>
      <c r="S87">
        <v>1723.687963</v>
      </c>
      <c r="T87">
        <v>54566.7</v>
      </c>
    </row>
    <row r="88" spans="1:20">
      <c r="A88" t="s">
        <v>20</v>
      </c>
      <c r="B88" t="s">
        <v>71</v>
      </c>
      <c r="C88">
        <v>301049751</v>
      </c>
      <c r="D88">
        <v>73231000</v>
      </c>
      <c r="E88" t="s">
        <v>877</v>
      </c>
      <c r="N88">
        <v>4900</v>
      </c>
      <c r="O88" t="s">
        <v>2746</v>
      </c>
      <c r="P88">
        <v>437.0072776</v>
      </c>
      <c r="Q88">
        <v>2141335.66</v>
      </c>
      <c r="R88">
        <v>5.057954601</v>
      </c>
      <c r="S88">
        <v>24783.97755</v>
      </c>
      <c r="T88">
        <v>941331.1</v>
      </c>
    </row>
    <row r="89" spans="1:20">
      <c r="A89" t="s">
        <v>20</v>
      </c>
      <c r="B89" t="s">
        <v>72</v>
      </c>
      <c r="C89">
        <v>301049751</v>
      </c>
      <c r="D89">
        <v>73239990</v>
      </c>
      <c r="E89" t="s">
        <v>878</v>
      </c>
      <c r="N89">
        <v>1239</v>
      </c>
      <c r="O89" t="s">
        <v>2746</v>
      </c>
      <c r="P89">
        <v>551.8194108</v>
      </c>
      <c r="Q89">
        <v>683704.25</v>
      </c>
      <c r="R89">
        <v>6.386798736</v>
      </c>
      <c r="S89">
        <v>7913.243634</v>
      </c>
      <c r="T89">
        <v>250509.2</v>
      </c>
    </row>
    <row r="90" spans="1:20">
      <c r="A90" t="s">
        <v>20</v>
      </c>
      <c r="B90" t="s">
        <v>72</v>
      </c>
      <c r="C90">
        <v>301049751</v>
      </c>
      <c r="D90">
        <v>73239990</v>
      </c>
      <c r="E90" t="s">
        <v>879</v>
      </c>
      <c r="N90">
        <v>3910</v>
      </c>
      <c r="O90" t="s">
        <v>2746</v>
      </c>
      <c r="P90">
        <v>402.7499616</v>
      </c>
      <c r="Q90">
        <v>1574752.35</v>
      </c>
      <c r="R90">
        <v>4.661457889</v>
      </c>
      <c r="S90">
        <v>18226.30035</v>
      </c>
      <c r="T90">
        <v>576989.2</v>
      </c>
    </row>
    <row r="91" spans="1:20">
      <c r="A91" t="s">
        <v>20</v>
      </c>
      <c r="B91" t="s">
        <v>73</v>
      </c>
      <c r="C91">
        <v>301049751</v>
      </c>
      <c r="D91">
        <v>73239990</v>
      </c>
      <c r="E91" t="s">
        <v>880</v>
      </c>
      <c r="N91">
        <v>3750</v>
      </c>
      <c r="O91" t="s">
        <v>2746</v>
      </c>
      <c r="P91">
        <v>510.6597173</v>
      </c>
      <c r="Q91">
        <v>1914973.94</v>
      </c>
      <c r="R91">
        <v>5.89676348</v>
      </c>
      <c r="S91">
        <v>22112.86305</v>
      </c>
      <c r="T91">
        <v>701646.5</v>
      </c>
    </row>
    <row r="92" spans="1:20">
      <c r="A92" t="s">
        <v>20</v>
      </c>
      <c r="B92" t="s">
        <v>73</v>
      </c>
      <c r="C92">
        <v>301049751</v>
      </c>
      <c r="D92">
        <v>73239990</v>
      </c>
      <c r="E92" t="s">
        <v>881</v>
      </c>
      <c r="N92">
        <v>1761</v>
      </c>
      <c r="O92" t="s">
        <v>2746</v>
      </c>
      <c r="P92">
        <v>557.6098524</v>
      </c>
      <c r="Q92">
        <v>981950.95</v>
      </c>
      <c r="R92">
        <v>6.438912845</v>
      </c>
      <c r="S92">
        <v>11338.92552</v>
      </c>
      <c r="T92">
        <v>359786.8</v>
      </c>
    </row>
    <row r="93" spans="1:20">
      <c r="A93" t="s">
        <v>20</v>
      </c>
      <c r="B93" t="s">
        <v>73</v>
      </c>
      <c r="C93">
        <v>301049751</v>
      </c>
      <c r="D93">
        <v>73239990</v>
      </c>
      <c r="E93" t="s">
        <v>882</v>
      </c>
      <c r="N93">
        <v>3200</v>
      </c>
      <c r="O93" t="s">
        <v>2746</v>
      </c>
      <c r="P93">
        <v>428.0272</v>
      </c>
      <c r="Q93">
        <v>1369687.04</v>
      </c>
      <c r="R93">
        <v>4.942577367</v>
      </c>
      <c r="S93">
        <v>15816.24758</v>
      </c>
      <c r="T93">
        <v>501853.3</v>
      </c>
    </row>
    <row r="94" spans="1:20">
      <c r="A94" t="s">
        <v>20</v>
      </c>
      <c r="B94" t="s">
        <v>74</v>
      </c>
      <c r="C94">
        <v>301049751</v>
      </c>
      <c r="D94">
        <v>73239990</v>
      </c>
      <c r="E94" t="s">
        <v>883</v>
      </c>
      <c r="N94">
        <v>15568</v>
      </c>
      <c r="O94" t="s">
        <v>2746</v>
      </c>
      <c r="P94">
        <v>407.2168204</v>
      </c>
      <c r="Q94">
        <v>6339551.46</v>
      </c>
      <c r="R94">
        <v>4.702272753</v>
      </c>
      <c r="S94">
        <v>73204.98222000001</v>
      </c>
      <c r="T94">
        <v>2322811.6</v>
      </c>
    </row>
    <row r="95" spans="1:20">
      <c r="A95" t="s">
        <v>20</v>
      </c>
      <c r="B95" t="s">
        <v>75</v>
      </c>
      <c r="C95">
        <v>301049751</v>
      </c>
      <c r="D95">
        <v>73231000</v>
      </c>
      <c r="E95" t="s">
        <v>884</v>
      </c>
      <c r="N95">
        <v>9151</v>
      </c>
      <c r="O95" t="s">
        <v>2746</v>
      </c>
      <c r="P95">
        <v>229.4612851</v>
      </c>
      <c r="Q95">
        <v>2099800.22</v>
      </c>
      <c r="R95">
        <v>2.649668419</v>
      </c>
      <c r="S95">
        <v>24247.1157</v>
      </c>
      <c r="T95">
        <v>923072.1</v>
      </c>
    </row>
    <row r="96" spans="1:20">
      <c r="A96" t="s">
        <v>20</v>
      </c>
      <c r="B96" t="s">
        <v>76</v>
      </c>
      <c r="C96">
        <v>301049751</v>
      </c>
      <c r="D96">
        <v>73239990</v>
      </c>
      <c r="E96" t="s">
        <v>885</v>
      </c>
      <c r="N96">
        <v>6614.4</v>
      </c>
      <c r="O96" t="s">
        <v>2746</v>
      </c>
      <c r="P96">
        <v>265.4704387</v>
      </c>
      <c r="Q96">
        <v>1755927.67</v>
      </c>
      <c r="R96">
        <v>3.040898496</v>
      </c>
      <c r="S96">
        <v>20113.71901</v>
      </c>
      <c r="T96">
        <v>643371.9</v>
      </c>
    </row>
    <row r="97" spans="1:20">
      <c r="A97" t="s">
        <v>20</v>
      </c>
      <c r="B97" t="s">
        <v>77</v>
      </c>
      <c r="C97">
        <v>301049751</v>
      </c>
      <c r="D97">
        <v>73239990</v>
      </c>
      <c r="E97" t="s">
        <v>886</v>
      </c>
      <c r="N97">
        <v>4400</v>
      </c>
      <c r="O97" t="s">
        <v>2746</v>
      </c>
      <c r="P97">
        <v>289.6072909</v>
      </c>
      <c r="Q97">
        <v>1274272.08</v>
      </c>
      <c r="R97">
        <v>3.317380194</v>
      </c>
      <c r="S97">
        <v>14596.47285</v>
      </c>
      <c r="T97">
        <v>466893.2</v>
      </c>
    </row>
    <row r="98" spans="1:20">
      <c r="A98" t="s">
        <v>20</v>
      </c>
      <c r="B98" t="s">
        <v>77</v>
      </c>
      <c r="C98">
        <v>301049751</v>
      </c>
      <c r="D98">
        <v>73239990</v>
      </c>
      <c r="E98" t="s">
        <v>887</v>
      </c>
      <c r="N98">
        <v>4180</v>
      </c>
      <c r="O98" t="s">
        <v>2746</v>
      </c>
      <c r="P98">
        <v>337.4974593</v>
      </c>
      <c r="Q98">
        <v>1410739.38</v>
      </c>
      <c r="R98">
        <v>3.865950279</v>
      </c>
      <c r="S98">
        <v>16159.67216</v>
      </c>
      <c r="T98">
        <v>516894.9</v>
      </c>
    </row>
    <row r="99" spans="1:20">
      <c r="A99" t="s">
        <v>20</v>
      </c>
      <c r="B99" t="s">
        <v>78</v>
      </c>
      <c r="C99">
        <v>301049751</v>
      </c>
      <c r="D99">
        <v>73239990</v>
      </c>
      <c r="E99" t="s">
        <v>888</v>
      </c>
      <c r="N99">
        <v>16016</v>
      </c>
      <c r="O99" t="s">
        <v>2746</v>
      </c>
      <c r="P99">
        <v>387.1595604</v>
      </c>
      <c r="Q99">
        <v>6200747.52</v>
      </c>
      <c r="R99">
        <v>4.434817416</v>
      </c>
      <c r="S99">
        <v>71028.03574000001</v>
      </c>
      <c r="T99">
        <v>2271953.9</v>
      </c>
    </row>
    <row r="100" spans="1:20">
      <c r="A100" t="s">
        <v>20</v>
      </c>
      <c r="B100" t="s">
        <v>78</v>
      </c>
      <c r="C100">
        <v>301049751</v>
      </c>
      <c r="D100">
        <v>73231000</v>
      </c>
      <c r="E100" t="s">
        <v>889</v>
      </c>
      <c r="N100">
        <v>4900</v>
      </c>
      <c r="O100" t="s">
        <v>2746</v>
      </c>
      <c r="P100">
        <v>440.2226959</v>
      </c>
      <c r="Q100">
        <v>2157091.21</v>
      </c>
      <c r="R100">
        <v>5.042642565</v>
      </c>
      <c r="S100">
        <v>24708.94857</v>
      </c>
      <c r="T100">
        <v>948257.2</v>
      </c>
    </row>
    <row r="101" spans="1:20">
      <c r="A101" t="s">
        <v>20</v>
      </c>
      <c r="B101" t="s">
        <v>78</v>
      </c>
      <c r="C101">
        <v>301049751</v>
      </c>
      <c r="D101">
        <v>73239990</v>
      </c>
      <c r="E101" t="s">
        <v>890</v>
      </c>
      <c r="N101">
        <v>3919.8</v>
      </c>
      <c r="O101" t="s">
        <v>2746</v>
      </c>
      <c r="P101">
        <v>395.5428058</v>
      </c>
      <c r="Q101">
        <v>1550448.69</v>
      </c>
      <c r="R101">
        <v>4.530845427</v>
      </c>
      <c r="S101">
        <v>17760.0079</v>
      </c>
      <c r="T101">
        <v>568084.4</v>
      </c>
    </row>
    <row r="102" spans="1:20">
      <c r="A102" t="s">
        <v>20</v>
      </c>
      <c r="B102" t="s">
        <v>79</v>
      </c>
      <c r="C102">
        <v>301049751</v>
      </c>
      <c r="D102">
        <v>73231000</v>
      </c>
      <c r="E102" t="s">
        <v>891</v>
      </c>
      <c r="N102">
        <v>4900</v>
      </c>
      <c r="O102" t="s">
        <v>2746</v>
      </c>
      <c r="P102">
        <v>443.2040796</v>
      </c>
      <c r="Q102">
        <v>2171699.99</v>
      </c>
      <c r="R102">
        <v>5.047882455</v>
      </c>
      <c r="S102">
        <v>24734.62403</v>
      </c>
      <c r="T102">
        <v>954679.3</v>
      </c>
    </row>
    <row r="103" spans="1:20">
      <c r="A103" t="s">
        <v>20</v>
      </c>
      <c r="B103" t="s">
        <v>80</v>
      </c>
      <c r="C103">
        <v>301049751</v>
      </c>
      <c r="D103">
        <v>73239990</v>
      </c>
      <c r="E103" t="s">
        <v>892</v>
      </c>
      <c r="N103">
        <v>4314</v>
      </c>
      <c r="O103" t="s">
        <v>2746</v>
      </c>
      <c r="P103">
        <v>592.611764</v>
      </c>
      <c r="Q103">
        <v>2556527.15</v>
      </c>
      <c r="R103">
        <v>6.749564511</v>
      </c>
      <c r="S103">
        <v>29117.6213</v>
      </c>
      <c r="T103">
        <v>936711.5</v>
      </c>
    </row>
    <row r="104" spans="1:20">
      <c r="A104" t="s">
        <v>20</v>
      </c>
      <c r="B104" t="s">
        <v>81</v>
      </c>
      <c r="C104">
        <v>301049751</v>
      </c>
      <c r="D104">
        <v>73231000</v>
      </c>
      <c r="E104" t="s">
        <v>893</v>
      </c>
      <c r="N104">
        <v>7515</v>
      </c>
      <c r="O104" t="s">
        <v>2746</v>
      </c>
      <c r="P104">
        <v>242.3211657</v>
      </c>
      <c r="Q104">
        <v>1821043.56</v>
      </c>
      <c r="R104">
        <v>2.75992216</v>
      </c>
      <c r="S104">
        <v>20740.81503</v>
      </c>
      <c r="T104">
        <v>800530.8</v>
      </c>
    </row>
    <row r="105" spans="1:20">
      <c r="A105" t="s">
        <v>20</v>
      </c>
      <c r="B105" t="s">
        <v>82</v>
      </c>
      <c r="C105">
        <v>301049751</v>
      </c>
      <c r="D105">
        <v>73239990</v>
      </c>
      <c r="E105" t="s">
        <v>894</v>
      </c>
      <c r="N105">
        <v>8839.049999999999</v>
      </c>
      <c r="O105" t="s">
        <v>2746</v>
      </c>
      <c r="P105">
        <v>614.6497701</v>
      </c>
      <c r="Q105">
        <v>5432920.05</v>
      </c>
      <c r="R105">
        <v>6.953051697</v>
      </c>
      <c r="S105">
        <v>61458.37161</v>
      </c>
      <c r="T105">
        <v>1990621.9</v>
      </c>
    </row>
    <row r="106" spans="1:20">
      <c r="A106" t="s">
        <v>20</v>
      </c>
      <c r="B106" t="s">
        <v>82</v>
      </c>
      <c r="C106">
        <v>301049751</v>
      </c>
      <c r="D106">
        <v>73239990</v>
      </c>
      <c r="E106" t="s">
        <v>895</v>
      </c>
      <c r="N106">
        <v>5235</v>
      </c>
      <c r="O106" t="s">
        <v>2746</v>
      </c>
      <c r="P106">
        <v>600.8538013</v>
      </c>
      <c r="Q106">
        <v>3145469.65</v>
      </c>
      <c r="R106">
        <v>6.796988703</v>
      </c>
      <c r="S106">
        <v>35582.23586</v>
      </c>
      <c r="T106">
        <v>1152500.1</v>
      </c>
    </row>
    <row r="107" spans="1:20">
      <c r="A107" t="s">
        <v>20</v>
      </c>
      <c r="B107" t="s">
        <v>82</v>
      </c>
      <c r="C107">
        <v>301049751</v>
      </c>
      <c r="D107">
        <v>73239990</v>
      </c>
      <c r="E107" t="s">
        <v>896</v>
      </c>
      <c r="N107">
        <v>16285.5</v>
      </c>
      <c r="O107" t="s">
        <v>2746</v>
      </c>
      <c r="P107">
        <v>499.7429437</v>
      </c>
      <c r="Q107">
        <v>8138563.71</v>
      </c>
      <c r="R107">
        <v>5.653200721</v>
      </c>
      <c r="S107">
        <v>92065.20034</v>
      </c>
      <c r="T107">
        <v>2981969.7</v>
      </c>
    </row>
    <row r="108" spans="1:20">
      <c r="A108" t="s">
        <v>20</v>
      </c>
      <c r="B108" t="s">
        <v>82</v>
      </c>
      <c r="C108">
        <v>301049751</v>
      </c>
      <c r="D108">
        <v>73239990</v>
      </c>
      <c r="E108" t="s">
        <v>897</v>
      </c>
      <c r="N108">
        <v>17503.2</v>
      </c>
      <c r="O108" t="s">
        <v>2746</v>
      </c>
      <c r="P108">
        <v>492.6786325</v>
      </c>
      <c r="Q108">
        <v>8623452.640000001</v>
      </c>
      <c r="R108">
        <v>5.573287698</v>
      </c>
      <c r="S108">
        <v>97550.36923</v>
      </c>
      <c r="T108">
        <v>3159633.1</v>
      </c>
    </row>
    <row r="109" spans="1:20">
      <c r="A109" t="s">
        <v>20</v>
      </c>
      <c r="B109" t="s">
        <v>82</v>
      </c>
      <c r="C109">
        <v>301049751</v>
      </c>
      <c r="D109">
        <v>73239990</v>
      </c>
      <c r="E109" t="s">
        <v>898</v>
      </c>
      <c r="N109">
        <v>21645</v>
      </c>
      <c r="O109" t="s">
        <v>2746</v>
      </c>
      <c r="P109">
        <v>429.9815412</v>
      </c>
      <c r="Q109">
        <v>9306950.460000001</v>
      </c>
      <c r="R109">
        <v>4.864044584</v>
      </c>
      <c r="S109">
        <v>105282.245</v>
      </c>
      <c r="T109">
        <v>3410066.7</v>
      </c>
    </row>
    <row r="110" spans="1:20">
      <c r="A110" t="s">
        <v>20</v>
      </c>
      <c r="B110" t="s">
        <v>82</v>
      </c>
      <c r="C110">
        <v>301049751</v>
      </c>
      <c r="D110">
        <v>73239990</v>
      </c>
      <c r="E110" t="s">
        <v>899</v>
      </c>
      <c r="N110">
        <v>3802.05</v>
      </c>
      <c r="O110" t="s">
        <v>2746</v>
      </c>
      <c r="P110">
        <v>470.8354125</v>
      </c>
      <c r="Q110">
        <v>1790139.78</v>
      </c>
      <c r="R110">
        <v>5.326192449</v>
      </c>
      <c r="S110">
        <v>20250.45</v>
      </c>
      <c r="T110">
        <v>655907.3</v>
      </c>
    </row>
    <row r="111" spans="1:20">
      <c r="A111" t="s">
        <v>20</v>
      </c>
      <c r="B111" t="s">
        <v>82</v>
      </c>
      <c r="C111">
        <v>301049751</v>
      </c>
      <c r="D111">
        <v>73239990</v>
      </c>
      <c r="E111" t="s">
        <v>900</v>
      </c>
      <c r="N111">
        <v>7072</v>
      </c>
      <c r="O111" t="s">
        <v>2746</v>
      </c>
      <c r="P111">
        <v>694.1584884</v>
      </c>
      <c r="Q111">
        <v>4909088.83</v>
      </c>
      <c r="R111">
        <v>7.852471588</v>
      </c>
      <c r="S111">
        <v>55532.67907</v>
      </c>
      <c r="T111">
        <v>1798690.2</v>
      </c>
    </row>
    <row r="112" spans="1:20">
      <c r="A112" t="s">
        <v>20</v>
      </c>
      <c r="B112" t="s">
        <v>82</v>
      </c>
      <c r="C112">
        <v>301049751</v>
      </c>
      <c r="D112">
        <v>73239990</v>
      </c>
      <c r="E112" t="s">
        <v>901</v>
      </c>
      <c r="N112">
        <v>8723.66</v>
      </c>
      <c r="O112" t="s">
        <v>2746</v>
      </c>
      <c r="P112">
        <v>452.1431234</v>
      </c>
      <c r="Q112">
        <v>3944342.88</v>
      </c>
      <c r="R112">
        <v>5.114741215</v>
      </c>
      <c r="S112">
        <v>44619.26335</v>
      </c>
      <c r="T112">
        <v>1445207.3</v>
      </c>
    </row>
    <row r="113" spans="1:20">
      <c r="A113" t="s">
        <v>20</v>
      </c>
      <c r="B113" t="s">
        <v>82</v>
      </c>
      <c r="C113">
        <v>301049751</v>
      </c>
      <c r="D113">
        <v>73239990</v>
      </c>
      <c r="E113" t="s">
        <v>902</v>
      </c>
      <c r="N113">
        <v>10911</v>
      </c>
      <c r="O113" t="s">
        <v>2746</v>
      </c>
      <c r="P113">
        <v>469.7584273</v>
      </c>
      <c r="Q113">
        <v>5125534.2</v>
      </c>
      <c r="R113">
        <v>5.314009358</v>
      </c>
      <c r="S113">
        <v>57981.15611</v>
      </c>
      <c r="T113">
        <v>1877995.7</v>
      </c>
    </row>
    <row r="114" spans="1:20">
      <c r="A114" t="s">
        <v>20</v>
      </c>
      <c r="B114" t="s">
        <v>83</v>
      </c>
      <c r="C114">
        <v>301049751</v>
      </c>
      <c r="D114">
        <v>73231000</v>
      </c>
      <c r="E114" t="s">
        <v>884</v>
      </c>
      <c r="N114">
        <v>9151</v>
      </c>
      <c r="O114" t="s">
        <v>2746</v>
      </c>
      <c r="P114">
        <v>240.2683674</v>
      </c>
      <c r="Q114">
        <v>2198695.83</v>
      </c>
      <c r="R114">
        <v>2.717967957</v>
      </c>
      <c r="S114">
        <v>24872.12477</v>
      </c>
      <c r="T114">
        <v>966546.7</v>
      </c>
    </row>
    <row r="115" spans="1:20">
      <c r="A115" t="s">
        <v>20</v>
      </c>
      <c r="B115" t="s">
        <v>84</v>
      </c>
      <c r="C115">
        <v>301049751</v>
      </c>
      <c r="D115">
        <v>73239990</v>
      </c>
      <c r="E115" t="s">
        <v>903</v>
      </c>
      <c r="N115">
        <v>5585.16</v>
      </c>
      <c r="O115" t="s">
        <v>2746</v>
      </c>
      <c r="P115">
        <v>974.1315647</v>
      </c>
      <c r="Q115">
        <v>5440680.65</v>
      </c>
      <c r="R115">
        <v>11.1840593</v>
      </c>
      <c r="S115">
        <v>62464.76062</v>
      </c>
      <c r="T115">
        <v>1993465.4</v>
      </c>
    </row>
    <row r="116" spans="1:20">
      <c r="A116" t="s">
        <v>20</v>
      </c>
      <c r="B116" t="s">
        <v>85</v>
      </c>
      <c r="C116">
        <v>301049751</v>
      </c>
      <c r="D116">
        <v>73239990</v>
      </c>
      <c r="E116" t="s">
        <v>904</v>
      </c>
      <c r="N116">
        <v>5140</v>
      </c>
      <c r="O116" t="s">
        <v>2746</v>
      </c>
      <c r="P116">
        <v>441.0095039</v>
      </c>
      <c r="Q116">
        <v>2266788.85</v>
      </c>
      <c r="R116">
        <v>5.063254924</v>
      </c>
      <c r="S116">
        <v>26025.13031</v>
      </c>
      <c r="T116">
        <v>830551.5</v>
      </c>
    </row>
    <row r="117" spans="1:20">
      <c r="A117" t="s">
        <v>20</v>
      </c>
      <c r="B117" t="s">
        <v>85</v>
      </c>
      <c r="C117">
        <v>301049751</v>
      </c>
      <c r="D117">
        <v>73239990</v>
      </c>
      <c r="E117" t="s">
        <v>905</v>
      </c>
      <c r="N117">
        <v>10836</v>
      </c>
      <c r="O117" t="s">
        <v>2746</v>
      </c>
      <c r="P117">
        <v>587.2612928999999</v>
      </c>
      <c r="Q117">
        <v>6363563.37</v>
      </c>
      <c r="R117">
        <v>6.742379942</v>
      </c>
      <c r="S117">
        <v>73060.42905000001</v>
      </c>
      <c r="T117">
        <v>2331609.7</v>
      </c>
    </row>
    <row r="118" spans="1:20">
      <c r="A118" t="s">
        <v>20</v>
      </c>
      <c r="B118" t="s">
        <v>85</v>
      </c>
      <c r="C118">
        <v>301049751</v>
      </c>
      <c r="D118">
        <v>73239990</v>
      </c>
      <c r="E118" t="s">
        <v>906</v>
      </c>
      <c r="N118">
        <v>2277</v>
      </c>
      <c r="O118" t="s">
        <v>2746</v>
      </c>
      <c r="P118">
        <v>514.702433</v>
      </c>
      <c r="Q118">
        <v>1171977.44</v>
      </c>
      <c r="R118">
        <v>5.909327589</v>
      </c>
      <c r="S118">
        <v>13455.53892</v>
      </c>
      <c r="T118">
        <v>429412.5</v>
      </c>
    </row>
    <row r="119" spans="1:20">
      <c r="A119" t="s">
        <v>20</v>
      </c>
      <c r="B119" t="s">
        <v>86</v>
      </c>
      <c r="C119">
        <v>301049751</v>
      </c>
      <c r="D119">
        <v>73239990</v>
      </c>
      <c r="E119" t="s">
        <v>874</v>
      </c>
      <c r="N119">
        <v>3307.2</v>
      </c>
      <c r="O119" t="s">
        <v>2746</v>
      </c>
      <c r="P119">
        <v>300.7694515</v>
      </c>
      <c r="Q119">
        <v>994704.73</v>
      </c>
      <c r="R119">
        <v>3.453150993</v>
      </c>
      <c r="S119">
        <v>11420.26096</v>
      </c>
      <c r="T119">
        <v>364459.8</v>
      </c>
    </row>
    <row r="120" spans="1:20">
      <c r="A120" t="s">
        <v>20</v>
      </c>
      <c r="B120" t="s">
        <v>87</v>
      </c>
      <c r="C120">
        <v>301049751</v>
      </c>
      <c r="D120">
        <v>73231000</v>
      </c>
      <c r="E120" t="s">
        <v>848</v>
      </c>
      <c r="N120">
        <v>4900</v>
      </c>
      <c r="O120" t="s">
        <v>2746</v>
      </c>
      <c r="P120">
        <v>463.2117408</v>
      </c>
      <c r="Q120">
        <v>2269737.53</v>
      </c>
      <c r="R120">
        <v>5.318160055</v>
      </c>
      <c r="S120">
        <v>26058.98427</v>
      </c>
      <c r="T120">
        <v>997776.7</v>
      </c>
    </row>
    <row r="121" spans="1:20">
      <c r="A121" t="s">
        <v>20</v>
      </c>
      <c r="B121" t="s">
        <v>88</v>
      </c>
      <c r="C121">
        <v>301049751</v>
      </c>
      <c r="D121">
        <v>73239990</v>
      </c>
      <c r="E121" t="s">
        <v>907</v>
      </c>
      <c r="N121">
        <v>10360.7</v>
      </c>
      <c r="O121" t="s">
        <v>2746</v>
      </c>
      <c r="P121">
        <v>401.2808797</v>
      </c>
      <c r="Q121">
        <v>4157550.81</v>
      </c>
      <c r="R121">
        <v>4.607128354</v>
      </c>
      <c r="S121">
        <v>47733.07474</v>
      </c>
      <c r="T121">
        <v>1523326.6</v>
      </c>
    </row>
    <row r="122" spans="1:20">
      <c r="A122" t="s">
        <v>20</v>
      </c>
      <c r="B122" t="s">
        <v>88</v>
      </c>
      <c r="C122">
        <v>301049751</v>
      </c>
      <c r="D122">
        <v>73239990</v>
      </c>
      <c r="E122" t="s">
        <v>908</v>
      </c>
      <c r="N122">
        <v>8530.5</v>
      </c>
      <c r="O122" t="s">
        <v>2746</v>
      </c>
      <c r="P122">
        <v>497.0099678</v>
      </c>
      <c r="Q122">
        <v>4239743.53</v>
      </c>
      <c r="R122">
        <v>5.7061994</v>
      </c>
      <c r="S122">
        <v>48676.73398</v>
      </c>
      <c r="T122">
        <v>1553442.1</v>
      </c>
    </row>
    <row r="123" spans="1:20">
      <c r="A123" t="s">
        <v>20</v>
      </c>
      <c r="B123" t="s">
        <v>88</v>
      </c>
      <c r="C123">
        <v>301049751</v>
      </c>
      <c r="D123">
        <v>73239990</v>
      </c>
      <c r="E123" t="s">
        <v>909</v>
      </c>
      <c r="N123">
        <v>11088.99</v>
      </c>
      <c r="O123" t="s">
        <v>2746</v>
      </c>
      <c r="P123">
        <v>611.2882841000001</v>
      </c>
      <c r="Q123">
        <v>6778569.67</v>
      </c>
      <c r="R123">
        <v>7.01823518</v>
      </c>
      <c r="S123">
        <v>77825.13972000001</v>
      </c>
      <c r="T123">
        <v>2483667.9</v>
      </c>
    </row>
    <row r="124" spans="1:20">
      <c r="A124" t="s">
        <v>20</v>
      </c>
      <c r="B124" t="s">
        <v>89</v>
      </c>
      <c r="C124">
        <v>301049751</v>
      </c>
      <c r="D124">
        <v>73231000</v>
      </c>
      <c r="E124" t="s">
        <v>910</v>
      </c>
      <c r="N124">
        <v>4838</v>
      </c>
      <c r="O124" t="s">
        <v>2746</v>
      </c>
      <c r="P124">
        <v>418.1975486</v>
      </c>
      <c r="Q124">
        <v>2023239.74</v>
      </c>
      <c r="R124">
        <v>4.801349582</v>
      </c>
      <c r="S124">
        <v>23228.92928</v>
      </c>
      <c r="T124">
        <v>889416.2</v>
      </c>
    </row>
    <row r="125" spans="1:20">
      <c r="A125" t="s">
        <v>20</v>
      </c>
      <c r="B125" t="s">
        <v>90</v>
      </c>
      <c r="C125">
        <v>301049751</v>
      </c>
      <c r="D125">
        <v>73239990</v>
      </c>
      <c r="E125" t="s">
        <v>911</v>
      </c>
      <c r="N125">
        <v>10762.5</v>
      </c>
      <c r="O125" t="s">
        <v>2746</v>
      </c>
      <c r="P125">
        <v>403.3320985</v>
      </c>
      <c r="Q125">
        <v>4340861.71</v>
      </c>
      <c r="R125">
        <v>4.630678513</v>
      </c>
      <c r="S125">
        <v>49837.6775</v>
      </c>
      <c r="T125">
        <v>1590491.7</v>
      </c>
    </row>
    <row r="126" spans="1:20">
      <c r="A126" t="s">
        <v>20</v>
      </c>
      <c r="B126" t="s">
        <v>90</v>
      </c>
      <c r="C126">
        <v>301049751</v>
      </c>
      <c r="D126">
        <v>73239990</v>
      </c>
      <c r="E126" t="s">
        <v>912</v>
      </c>
      <c r="N126">
        <v>10638</v>
      </c>
      <c r="O126" t="s">
        <v>2746</v>
      </c>
      <c r="P126">
        <v>469.5775729</v>
      </c>
      <c r="Q126">
        <v>4995366.22</v>
      </c>
      <c r="R126">
        <v>5.391246531</v>
      </c>
      <c r="S126">
        <v>57352.0806</v>
      </c>
      <c r="T126">
        <v>1830302.1</v>
      </c>
    </row>
    <row r="127" spans="1:20">
      <c r="A127" t="s">
        <v>20</v>
      </c>
      <c r="B127" t="s">
        <v>90</v>
      </c>
      <c r="C127">
        <v>301049751</v>
      </c>
      <c r="D127">
        <v>73239990</v>
      </c>
      <c r="E127" t="s">
        <v>913</v>
      </c>
      <c r="N127">
        <v>9166.74</v>
      </c>
      <c r="O127" t="s">
        <v>2746</v>
      </c>
      <c r="P127">
        <v>451.9690512</v>
      </c>
      <c r="Q127">
        <v>4143082.78</v>
      </c>
      <c r="R127">
        <v>5.189082103</v>
      </c>
      <c r="S127">
        <v>47566.96648</v>
      </c>
      <c r="T127">
        <v>1518025.6</v>
      </c>
    </row>
    <row r="128" spans="1:20">
      <c r="A128" t="s">
        <v>20</v>
      </c>
      <c r="B128" t="s">
        <v>90</v>
      </c>
      <c r="C128">
        <v>301049751</v>
      </c>
      <c r="D128">
        <v>73239990</v>
      </c>
      <c r="E128" t="s">
        <v>914</v>
      </c>
      <c r="N128">
        <v>8309.6</v>
      </c>
      <c r="O128" t="s">
        <v>2746</v>
      </c>
      <c r="P128">
        <v>499.5505452</v>
      </c>
      <c r="Q128">
        <v>4151065.21</v>
      </c>
      <c r="R128">
        <v>5.735367912</v>
      </c>
      <c r="S128">
        <v>47658.6132</v>
      </c>
      <c r="T128">
        <v>1520950.3</v>
      </c>
    </row>
    <row r="129" spans="1:20">
      <c r="A129" t="s">
        <v>20</v>
      </c>
      <c r="B129" t="s">
        <v>90</v>
      </c>
      <c r="C129">
        <v>301049751</v>
      </c>
      <c r="D129">
        <v>73239990</v>
      </c>
      <c r="E129" t="s">
        <v>915</v>
      </c>
      <c r="N129">
        <v>8970</v>
      </c>
      <c r="O129" t="s">
        <v>2746</v>
      </c>
      <c r="P129">
        <v>481.617961</v>
      </c>
      <c r="Q129">
        <v>4320113.11</v>
      </c>
      <c r="R129">
        <v>5.529482904</v>
      </c>
      <c r="S129">
        <v>49599.46165</v>
      </c>
      <c r="T129">
        <v>1582889.5</v>
      </c>
    </row>
    <row r="130" spans="1:20">
      <c r="A130" t="s">
        <v>20</v>
      </c>
      <c r="B130" t="s">
        <v>90</v>
      </c>
      <c r="C130">
        <v>301049751</v>
      </c>
      <c r="D130">
        <v>73239990</v>
      </c>
      <c r="E130" t="s">
        <v>916</v>
      </c>
      <c r="N130">
        <v>10472.5</v>
      </c>
      <c r="O130" t="s">
        <v>2746</v>
      </c>
      <c r="P130">
        <v>470.6541437</v>
      </c>
      <c r="Q130">
        <v>4928925.52</v>
      </c>
      <c r="R130">
        <v>5.403606702</v>
      </c>
      <c r="S130">
        <v>56589.27118</v>
      </c>
      <c r="T130">
        <v>1805958.3</v>
      </c>
    </row>
    <row r="131" spans="1:20">
      <c r="A131" t="s">
        <v>20</v>
      </c>
      <c r="B131" t="s">
        <v>91</v>
      </c>
      <c r="C131">
        <v>301049751</v>
      </c>
      <c r="D131">
        <v>73239990</v>
      </c>
      <c r="E131" t="s">
        <v>917</v>
      </c>
      <c r="N131">
        <v>5969.7</v>
      </c>
      <c r="O131" t="s">
        <v>2746</v>
      </c>
      <c r="P131">
        <v>492.7873846</v>
      </c>
      <c r="Q131">
        <v>2941792.85</v>
      </c>
      <c r="R131">
        <v>5.657719686</v>
      </c>
      <c r="S131">
        <v>33774.88921</v>
      </c>
      <c r="T131">
        <v>1077873</v>
      </c>
    </row>
    <row r="132" spans="1:20">
      <c r="A132" t="s">
        <v>20</v>
      </c>
      <c r="B132" t="s">
        <v>91</v>
      </c>
      <c r="C132">
        <v>301049751</v>
      </c>
      <c r="D132">
        <v>73239990</v>
      </c>
      <c r="E132" t="s">
        <v>918</v>
      </c>
      <c r="N132">
        <v>12320</v>
      </c>
      <c r="O132" t="s">
        <v>2746</v>
      </c>
      <c r="P132">
        <v>383.787668</v>
      </c>
      <c r="Q132">
        <v>4728264.07</v>
      </c>
      <c r="R132">
        <v>4.406287807</v>
      </c>
      <c r="S132">
        <v>54285.46579</v>
      </c>
      <c r="T132">
        <v>1732436</v>
      </c>
    </row>
    <row r="133" spans="1:20">
      <c r="A133" t="s">
        <v>20</v>
      </c>
      <c r="B133" t="s">
        <v>92</v>
      </c>
      <c r="C133">
        <v>301049751</v>
      </c>
      <c r="D133">
        <v>73239990</v>
      </c>
      <c r="E133" t="s">
        <v>874</v>
      </c>
      <c r="N133">
        <v>3307.2</v>
      </c>
      <c r="O133" t="s">
        <v>2746</v>
      </c>
      <c r="P133">
        <v>301.4711448</v>
      </c>
      <c r="Q133">
        <v>997025.37</v>
      </c>
      <c r="R133">
        <v>3.481191048</v>
      </c>
      <c r="S133">
        <v>11512.99503</v>
      </c>
      <c r="T133">
        <v>365310.1</v>
      </c>
    </row>
    <row r="134" spans="1:20">
      <c r="A134" t="s">
        <v>20</v>
      </c>
      <c r="B134" t="s">
        <v>93</v>
      </c>
      <c r="C134">
        <v>301049751</v>
      </c>
      <c r="D134">
        <v>73239990</v>
      </c>
      <c r="E134" t="s">
        <v>919</v>
      </c>
      <c r="N134">
        <v>95.2</v>
      </c>
      <c r="O134" t="s">
        <v>2746</v>
      </c>
      <c r="P134">
        <v>269.460084</v>
      </c>
      <c r="Q134">
        <v>25652.6</v>
      </c>
      <c r="R134">
        <v>3.111548314</v>
      </c>
      <c r="S134">
        <v>296.2193995</v>
      </c>
      <c r="T134">
        <v>9399.1</v>
      </c>
    </row>
    <row r="135" spans="1:20">
      <c r="A135" t="s">
        <v>20</v>
      </c>
      <c r="B135" t="s">
        <v>93</v>
      </c>
      <c r="C135">
        <v>301049751</v>
      </c>
      <c r="D135">
        <v>73239990</v>
      </c>
      <c r="E135" t="s">
        <v>920</v>
      </c>
      <c r="N135">
        <v>8021.8</v>
      </c>
      <c r="O135" t="s">
        <v>2746</v>
      </c>
      <c r="P135">
        <v>336.7162121</v>
      </c>
      <c r="Q135">
        <v>2701070.11</v>
      </c>
      <c r="R135">
        <v>3.888177969</v>
      </c>
      <c r="S135">
        <v>31190.18603</v>
      </c>
      <c r="T135">
        <v>989672.1</v>
      </c>
    </row>
    <row r="136" spans="1:20">
      <c r="A136" t="s">
        <v>20</v>
      </c>
      <c r="B136" t="s">
        <v>93</v>
      </c>
      <c r="C136">
        <v>301049751</v>
      </c>
      <c r="D136">
        <v>73239990</v>
      </c>
      <c r="E136" t="s">
        <v>921</v>
      </c>
      <c r="N136">
        <v>6160</v>
      </c>
      <c r="O136" t="s">
        <v>2746</v>
      </c>
      <c r="P136">
        <v>391.6578864</v>
      </c>
      <c r="Q136">
        <v>2412612.58</v>
      </c>
      <c r="R136">
        <v>4.522608388</v>
      </c>
      <c r="S136">
        <v>27859.26767</v>
      </c>
      <c r="T136">
        <v>883981.3</v>
      </c>
    </row>
    <row r="137" spans="1:20">
      <c r="A137" t="s">
        <v>20</v>
      </c>
      <c r="B137" t="s">
        <v>93</v>
      </c>
      <c r="C137">
        <v>301049751</v>
      </c>
      <c r="D137">
        <v>73239990</v>
      </c>
      <c r="E137" t="s">
        <v>922</v>
      </c>
      <c r="N137">
        <v>2857.8</v>
      </c>
      <c r="O137" t="s">
        <v>2746</v>
      </c>
      <c r="P137">
        <v>502.4778326</v>
      </c>
      <c r="Q137">
        <v>1435981.15</v>
      </c>
      <c r="R137">
        <v>5.802284441</v>
      </c>
      <c r="S137">
        <v>16581.76848</v>
      </c>
      <c r="T137">
        <v>526143.4</v>
      </c>
    </row>
    <row r="138" spans="1:20">
      <c r="A138" t="s">
        <v>20</v>
      </c>
      <c r="B138" t="s">
        <v>94</v>
      </c>
      <c r="C138">
        <v>301049751</v>
      </c>
      <c r="D138">
        <v>73239990</v>
      </c>
      <c r="E138" t="s">
        <v>923</v>
      </c>
      <c r="N138">
        <v>15568</v>
      </c>
      <c r="O138" t="s">
        <v>2746</v>
      </c>
      <c r="P138">
        <v>411.7987693</v>
      </c>
      <c r="Q138">
        <v>6410883.24</v>
      </c>
      <c r="R138">
        <v>4.755182093</v>
      </c>
      <c r="S138">
        <v>74028.67483</v>
      </c>
      <c r="T138">
        <v>2348947.6</v>
      </c>
    </row>
    <row r="139" spans="1:20">
      <c r="A139" t="s">
        <v>20</v>
      </c>
      <c r="B139" t="s">
        <v>95</v>
      </c>
      <c r="C139">
        <v>301049751</v>
      </c>
      <c r="D139">
        <v>73239990</v>
      </c>
      <c r="E139" t="s">
        <v>924</v>
      </c>
      <c r="N139">
        <v>453.6</v>
      </c>
      <c r="O139" t="s">
        <v>2746</v>
      </c>
      <c r="P139">
        <v>265.9902116</v>
      </c>
      <c r="Q139">
        <v>120653.16</v>
      </c>
      <c r="R139">
        <v>3.071480504</v>
      </c>
      <c r="S139">
        <v>1393.223557</v>
      </c>
      <c r="T139">
        <v>44207.3</v>
      </c>
    </row>
    <row r="140" spans="1:20">
      <c r="A140" t="s">
        <v>20</v>
      </c>
      <c r="B140" t="s">
        <v>96</v>
      </c>
      <c r="C140">
        <v>301049751</v>
      </c>
      <c r="D140">
        <v>73231000</v>
      </c>
      <c r="E140" t="s">
        <v>848</v>
      </c>
      <c r="N140">
        <v>4900</v>
      </c>
      <c r="O140" t="s">
        <v>2746</v>
      </c>
      <c r="P140">
        <v>460.5525224</v>
      </c>
      <c r="Q140">
        <v>2256707.36</v>
      </c>
      <c r="R140">
        <v>5.318158458</v>
      </c>
      <c r="S140">
        <v>26058.97644</v>
      </c>
      <c r="T140">
        <v>992048.5</v>
      </c>
    </row>
    <row r="141" spans="1:20">
      <c r="A141" t="s">
        <v>20</v>
      </c>
      <c r="B141" t="s">
        <v>97</v>
      </c>
      <c r="C141">
        <v>301049751</v>
      </c>
      <c r="D141">
        <v>73231000</v>
      </c>
      <c r="E141" t="s">
        <v>925</v>
      </c>
      <c r="N141">
        <v>9151</v>
      </c>
      <c r="O141" t="s">
        <v>2746</v>
      </c>
      <c r="P141">
        <v>241.5272069</v>
      </c>
      <c r="Q141">
        <v>2210215.47</v>
      </c>
      <c r="R141">
        <v>2.78899777</v>
      </c>
      <c r="S141">
        <v>25522.11859</v>
      </c>
      <c r="T141">
        <v>971610.7</v>
      </c>
    </row>
    <row r="142" spans="1:20">
      <c r="A142" t="s">
        <v>20</v>
      </c>
      <c r="B142" t="s">
        <v>98</v>
      </c>
      <c r="C142">
        <v>301049751</v>
      </c>
      <c r="D142">
        <v>73239990</v>
      </c>
      <c r="E142" t="s">
        <v>926</v>
      </c>
      <c r="N142">
        <v>10200</v>
      </c>
      <c r="O142" t="s">
        <v>2746</v>
      </c>
      <c r="P142">
        <v>591.4582637</v>
      </c>
      <c r="Q142">
        <v>6032874.29</v>
      </c>
      <c r="R142">
        <v>6.829772098</v>
      </c>
      <c r="S142">
        <v>69663.67539999999</v>
      </c>
      <c r="T142">
        <v>2210445.2</v>
      </c>
    </row>
    <row r="143" spans="1:20">
      <c r="A143" t="s">
        <v>20</v>
      </c>
      <c r="B143" t="s">
        <v>98</v>
      </c>
      <c r="C143">
        <v>301049751</v>
      </c>
      <c r="D143">
        <v>73239990</v>
      </c>
      <c r="E143" t="s">
        <v>927</v>
      </c>
      <c r="N143">
        <v>10671</v>
      </c>
      <c r="O143" t="s">
        <v>2746</v>
      </c>
      <c r="P143">
        <v>462.4128245</v>
      </c>
      <c r="Q143">
        <v>4934407.25</v>
      </c>
      <c r="R143">
        <v>5.339640006</v>
      </c>
      <c r="S143">
        <v>56979.2985</v>
      </c>
      <c r="T143">
        <v>1807966.7</v>
      </c>
    </row>
    <row r="144" spans="1:20">
      <c r="A144" t="s">
        <v>20</v>
      </c>
      <c r="B144" t="s">
        <v>98</v>
      </c>
      <c r="C144">
        <v>301049751</v>
      </c>
      <c r="D144">
        <v>73239990</v>
      </c>
      <c r="E144" t="s">
        <v>928</v>
      </c>
      <c r="N144">
        <v>10608.2</v>
      </c>
      <c r="O144" t="s">
        <v>2746</v>
      </c>
      <c r="P144">
        <v>615.5616212</v>
      </c>
      <c r="Q144">
        <v>6530000.79</v>
      </c>
      <c r="R144">
        <v>7.108101861</v>
      </c>
      <c r="S144">
        <v>75404.16617</v>
      </c>
      <c r="T144">
        <v>2392592.3</v>
      </c>
    </row>
    <row r="145" spans="1:20">
      <c r="A145" t="s">
        <v>20</v>
      </c>
      <c r="B145" t="s">
        <v>98</v>
      </c>
      <c r="C145">
        <v>301049751</v>
      </c>
      <c r="D145">
        <v>73239990</v>
      </c>
      <c r="E145" t="s">
        <v>929</v>
      </c>
      <c r="N145">
        <v>7799.35</v>
      </c>
      <c r="O145" t="s">
        <v>2746</v>
      </c>
      <c r="P145">
        <v>463.4730574</v>
      </c>
      <c r="Q145">
        <v>3614788.59</v>
      </c>
      <c r="R145">
        <v>5.35188288</v>
      </c>
      <c r="S145">
        <v>41741.20774</v>
      </c>
      <c r="T145">
        <v>1324458.6</v>
      </c>
    </row>
    <row r="146" spans="1:20">
      <c r="A146" t="s">
        <v>20</v>
      </c>
      <c r="B146" t="s">
        <v>98</v>
      </c>
      <c r="C146">
        <v>301049751</v>
      </c>
      <c r="D146">
        <v>73239990</v>
      </c>
      <c r="E146" t="s">
        <v>930</v>
      </c>
      <c r="N146">
        <v>8522.1</v>
      </c>
      <c r="O146" t="s">
        <v>2746</v>
      </c>
      <c r="P146">
        <v>484.9747163</v>
      </c>
      <c r="Q146">
        <v>4133003.03</v>
      </c>
      <c r="R146">
        <v>5.600169934</v>
      </c>
      <c r="S146">
        <v>47725.2082</v>
      </c>
      <c r="T146">
        <v>1514332.3</v>
      </c>
    </row>
    <row r="147" spans="1:20">
      <c r="A147" t="s">
        <v>20</v>
      </c>
      <c r="B147" t="s">
        <v>98</v>
      </c>
      <c r="C147">
        <v>301049751</v>
      </c>
      <c r="D147">
        <v>73239990</v>
      </c>
      <c r="E147" t="s">
        <v>931</v>
      </c>
      <c r="N147">
        <v>10561.6</v>
      </c>
      <c r="O147" t="s">
        <v>2746</v>
      </c>
      <c r="P147">
        <v>397.1782041</v>
      </c>
      <c r="Q147">
        <v>4194837.32</v>
      </c>
      <c r="R147">
        <v>4.586353396</v>
      </c>
      <c r="S147">
        <v>48439.23002</v>
      </c>
      <c r="T147">
        <v>1536988.4</v>
      </c>
    </row>
    <row r="148" spans="1:20">
      <c r="A148" t="s">
        <v>20</v>
      </c>
      <c r="B148" t="s">
        <v>98</v>
      </c>
      <c r="C148">
        <v>301049751</v>
      </c>
      <c r="D148">
        <v>73239990</v>
      </c>
      <c r="E148" t="s">
        <v>932</v>
      </c>
      <c r="N148">
        <v>11118.21</v>
      </c>
      <c r="O148" t="s">
        <v>2746</v>
      </c>
      <c r="P148">
        <v>605.0385035</v>
      </c>
      <c r="Q148">
        <v>6726945.14</v>
      </c>
      <c r="R148">
        <v>6.9865878</v>
      </c>
      <c r="S148">
        <v>77678.35034999999</v>
      </c>
      <c r="T148">
        <v>2464752.7</v>
      </c>
    </row>
    <row r="149" spans="1:20">
      <c r="A149" t="s">
        <v>20</v>
      </c>
      <c r="B149" t="s">
        <v>99</v>
      </c>
      <c r="C149">
        <v>301049751</v>
      </c>
      <c r="D149">
        <v>73239990</v>
      </c>
      <c r="E149" t="s">
        <v>933</v>
      </c>
      <c r="N149">
        <v>17561.6</v>
      </c>
      <c r="O149" t="s">
        <v>2746</v>
      </c>
      <c r="P149">
        <v>257.9793698</v>
      </c>
      <c r="Q149">
        <v>4530530.5</v>
      </c>
      <c r="R149">
        <v>3.001505175</v>
      </c>
      <c r="S149">
        <v>52711.23328</v>
      </c>
      <c r="T149">
        <v>1659986.4</v>
      </c>
    </row>
    <row r="150" spans="1:20">
      <c r="A150" t="s">
        <v>20</v>
      </c>
      <c r="B150" t="s">
        <v>99</v>
      </c>
      <c r="C150">
        <v>301049751</v>
      </c>
      <c r="D150">
        <v>73239990</v>
      </c>
      <c r="E150" t="s">
        <v>934</v>
      </c>
      <c r="N150">
        <v>506</v>
      </c>
      <c r="O150" t="s">
        <v>2746</v>
      </c>
      <c r="P150">
        <v>372.5654545</v>
      </c>
      <c r="Q150">
        <v>188518.12</v>
      </c>
      <c r="R150">
        <v>4.334676609</v>
      </c>
      <c r="S150">
        <v>2193.346364</v>
      </c>
      <c r="T150">
        <v>69073.10000000001</v>
      </c>
    </row>
    <row r="151" spans="1:20">
      <c r="A151" t="s">
        <v>20</v>
      </c>
      <c r="B151" t="s">
        <v>99</v>
      </c>
      <c r="C151">
        <v>301049751</v>
      </c>
      <c r="D151">
        <v>73239990</v>
      </c>
      <c r="E151" t="s">
        <v>935</v>
      </c>
      <c r="N151">
        <v>8400</v>
      </c>
      <c r="O151" t="s">
        <v>2746</v>
      </c>
      <c r="P151">
        <v>602.5016512</v>
      </c>
      <c r="Q151">
        <v>5061013.87</v>
      </c>
      <c r="R151">
        <v>7.009908682</v>
      </c>
      <c r="S151">
        <v>58883.23293</v>
      </c>
      <c r="T151">
        <v>1854355.5</v>
      </c>
    </row>
    <row r="152" spans="1:20">
      <c r="A152" t="s">
        <v>20</v>
      </c>
      <c r="B152" t="s">
        <v>99</v>
      </c>
      <c r="C152">
        <v>301049751</v>
      </c>
      <c r="D152">
        <v>73239990</v>
      </c>
      <c r="E152" t="s">
        <v>936</v>
      </c>
      <c r="N152">
        <v>4125</v>
      </c>
      <c r="O152" t="s">
        <v>2746</v>
      </c>
      <c r="P152">
        <v>395.1376436</v>
      </c>
      <c r="Q152">
        <v>1629942.78</v>
      </c>
      <c r="R152">
        <v>4.59729661</v>
      </c>
      <c r="S152">
        <v>18963.84852</v>
      </c>
      <c r="T152">
        <v>597211.1</v>
      </c>
    </row>
    <row r="153" spans="1:20">
      <c r="A153" t="s">
        <v>20</v>
      </c>
      <c r="B153" t="s">
        <v>99</v>
      </c>
      <c r="C153">
        <v>301049751</v>
      </c>
      <c r="D153">
        <v>73239990</v>
      </c>
      <c r="E153" t="s">
        <v>937</v>
      </c>
      <c r="N153">
        <v>2755.5</v>
      </c>
      <c r="O153" t="s">
        <v>2746</v>
      </c>
      <c r="P153">
        <v>477.0971076</v>
      </c>
      <c r="Q153">
        <v>1314641.08</v>
      </c>
      <c r="R153">
        <v>5.550868035</v>
      </c>
      <c r="S153">
        <v>15295.41687</v>
      </c>
      <c r="T153">
        <v>481684.5</v>
      </c>
    </row>
    <row r="154" spans="1:20">
      <c r="A154" t="s">
        <v>20</v>
      </c>
      <c r="B154" t="s">
        <v>100</v>
      </c>
      <c r="C154">
        <v>301049751</v>
      </c>
      <c r="D154">
        <v>73239990</v>
      </c>
      <c r="E154" t="s">
        <v>938</v>
      </c>
      <c r="N154">
        <v>4480</v>
      </c>
      <c r="O154" t="s">
        <v>2746</v>
      </c>
      <c r="P154">
        <v>268.1586362</v>
      </c>
      <c r="Q154">
        <v>1201350.69</v>
      </c>
      <c r="R154">
        <v>3.119937593</v>
      </c>
      <c r="S154">
        <v>13977.32042</v>
      </c>
      <c r="T154">
        <v>440174.8</v>
      </c>
    </row>
    <row r="155" spans="1:20">
      <c r="A155" t="s">
        <v>20</v>
      </c>
      <c r="B155" t="s">
        <v>100</v>
      </c>
      <c r="C155">
        <v>301049751</v>
      </c>
      <c r="D155">
        <v>73239990</v>
      </c>
      <c r="E155" t="s">
        <v>939</v>
      </c>
      <c r="N155">
        <v>1120</v>
      </c>
      <c r="O155" t="s">
        <v>2746</v>
      </c>
      <c r="P155">
        <v>262.0184375</v>
      </c>
      <c r="Q155">
        <v>293460.65</v>
      </c>
      <c r="R155">
        <v>3.0484984</v>
      </c>
      <c r="S155">
        <v>3414.318208</v>
      </c>
      <c r="T155">
        <v>107523.9</v>
      </c>
    </row>
    <row r="156" spans="1:20">
      <c r="A156" t="s">
        <v>20</v>
      </c>
      <c r="B156" t="s">
        <v>101</v>
      </c>
      <c r="C156">
        <v>301049751</v>
      </c>
      <c r="D156">
        <v>73239990</v>
      </c>
      <c r="E156" t="s">
        <v>940</v>
      </c>
      <c r="N156">
        <v>4004</v>
      </c>
      <c r="O156" t="s">
        <v>2746</v>
      </c>
      <c r="P156">
        <v>412.0053347</v>
      </c>
      <c r="Q156">
        <v>1649669.36</v>
      </c>
      <c r="R156">
        <v>4.827244694</v>
      </c>
      <c r="S156">
        <v>19328.28776</v>
      </c>
      <c r="T156">
        <v>604438.9</v>
      </c>
    </row>
    <row r="157" spans="1:20">
      <c r="A157" t="s">
        <v>20</v>
      </c>
      <c r="B157" t="s">
        <v>102</v>
      </c>
      <c r="C157">
        <v>301049751</v>
      </c>
      <c r="D157">
        <v>73239990</v>
      </c>
      <c r="E157" t="s">
        <v>940</v>
      </c>
      <c r="N157">
        <v>4004</v>
      </c>
      <c r="O157" t="s">
        <v>2746</v>
      </c>
      <c r="P157">
        <v>412.0053347</v>
      </c>
      <c r="Q157">
        <v>1649669.36</v>
      </c>
      <c r="R157">
        <v>4.827244694</v>
      </c>
      <c r="S157">
        <v>19328.28776</v>
      </c>
      <c r="T157">
        <v>604438.9</v>
      </c>
    </row>
    <row r="158" spans="1:20">
      <c r="A158" t="s">
        <v>20</v>
      </c>
      <c r="B158" t="s">
        <v>103</v>
      </c>
      <c r="C158">
        <v>301049751</v>
      </c>
      <c r="D158">
        <v>73239990</v>
      </c>
      <c r="E158" t="s">
        <v>941</v>
      </c>
      <c r="N158">
        <v>3075</v>
      </c>
      <c r="O158" t="s">
        <v>2746</v>
      </c>
      <c r="P158">
        <v>292.7933756</v>
      </c>
      <c r="Q158">
        <v>900339.63</v>
      </c>
      <c r="R158">
        <v>3.43050235</v>
      </c>
      <c r="S158">
        <v>10548.79473</v>
      </c>
      <c r="T158">
        <v>329884.4</v>
      </c>
    </row>
    <row r="159" spans="1:20">
      <c r="A159" t="s">
        <v>20</v>
      </c>
      <c r="B159" t="s">
        <v>103</v>
      </c>
      <c r="C159">
        <v>301049751</v>
      </c>
      <c r="D159">
        <v>73239990</v>
      </c>
      <c r="E159" t="s">
        <v>942</v>
      </c>
      <c r="N159">
        <v>425</v>
      </c>
      <c r="O159" t="s">
        <v>2746</v>
      </c>
      <c r="P159">
        <v>282.3745412</v>
      </c>
      <c r="Q159">
        <v>120009.18</v>
      </c>
      <c r="R159">
        <v>3.308430477</v>
      </c>
      <c r="S159">
        <v>1406.082953</v>
      </c>
      <c r="T159">
        <v>43971.3</v>
      </c>
    </row>
    <row r="160" spans="1:20">
      <c r="A160" t="s">
        <v>20</v>
      </c>
      <c r="B160" t="s">
        <v>104</v>
      </c>
      <c r="C160">
        <v>301049751</v>
      </c>
      <c r="D160">
        <v>73231000</v>
      </c>
      <c r="E160" t="s">
        <v>943</v>
      </c>
      <c r="N160">
        <v>7447.5</v>
      </c>
      <c r="O160" t="s">
        <v>2746</v>
      </c>
      <c r="P160">
        <v>247.0289869</v>
      </c>
      <c r="Q160">
        <v>1839748.38</v>
      </c>
      <c r="R160">
        <v>2.896002191</v>
      </c>
      <c r="S160">
        <v>21567.97632</v>
      </c>
      <c r="T160">
        <v>808753.4</v>
      </c>
    </row>
    <row r="161" spans="1:20">
      <c r="A161" t="s">
        <v>20</v>
      </c>
      <c r="B161" t="s">
        <v>105</v>
      </c>
      <c r="C161">
        <v>301049751</v>
      </c>
      <c r="D161">
        <v>73231000</v>
      </c>
      <c r="E161" t="s">
        <v>944</v>
      </c>
      <c r="N161">
        <v>4838</v>
      </c>
      <c r="O161" t="s">
        <v>2746</v>
      </c>
      <c r="P161">
        <v>446.5811451</v>
      </c>
      <c r="Q161">
        <v>2160559.58</v>
      </c>
      <c r="R161">
        <v>5.241562736</v>
      </c>
      <c r="S161">
        <v>25358.68052</v>
      </c>
      <c r="T161">
        <v>949782</v>
      </c>
    </row>
    <row r="162" spans="1:20">
      <c r="A162" t="s">
        <v>20</v>
      </c>
      <c r="B162" t="s">
        <v>105</v>
      </c>
      <c r="C162">
        <v>301049751</v>
      </c>
      <c r="D162">
        <v>73231000</v>
      </c>
      <c r="E162" t="s">
        <v>945</v>
      </c>
      <c r="N162">
        <v>4900</v>
      </c>
      <c r="O162" t="s">
        <v>2746</v>
      </c>
      <c r="P162">
        <v>466.2892347</v>
      </c>
      <c r="Q162">
        <v>2284817.25</v>
      </c>
      <c r="R162">
        <v>5.472878341</v>
      </c>
      <c r="S162">
        <v>26817.10387</v>
      </c>
      <c r="T162">
        <v>1004405.6</v>
      </c>
    </row>
    <row r="163" spans="1:20">
      <c r="A163" t="s">
        <v>20</v>
      </c>
      <c r="B163" t="s">
        <v>106</v>
      </c>
      <c r="C163">
        <v>301049751</v>
      </c>
      <c r="D163">
        <v>73239990</v>
      </c>
      <c r="E163" t="s">
        <v>946</v>
      </c>
      <c r="N163">
        <v>6062.4</v>
      </c>
      <c r="O163" t="s">
        <v>2746</v>
      </c>
      <c r="P163">
        <v>680.6434415</v>
      </c>
      <c r="Q163">
        <v>4126332.8</v>
      </c>
      <c r="R163">
        <v>8.012283008000001</v>
      </c>
      <c r="S163">
        <v>48573.66451</v>
      </c>
      <c r="T163">
        <v>1511888.4</v>
      </c>
    </row>
    <row r="164" spans="1:20">
      <c r="A164" t="s">
        <v>20</v>
      </c>
      <c r="B164" t="s">
        <v>106</v>
      </c>
      <c r="C164">
        <v>301049751</v>
      </c>
      <c r="D164">
        <v>73231000</v>
      </c>
      <c r="E164" t="s">
        <v>947</v>
      </c>
      <c r="N164">
        <v>9151</v>
      </c>
      <c r="O164" t="s">
        <v>2746</v>
      </c>
      <c r="P164">
        <v>229.7309726</v>
      </c>
      <c r="Q164">
        <v>2102268.13</v>
      </c>
      <c r="R164">
        <v>2.704308094</v>
      </c>
      <c r="S164">
        <v>24747.12337</v>
      </c>
      <c r="T164">
        <v>924157.1</v>
      </c>
    </row>
    <row r="165" spans="1:20">
      <c r="A165" t="s">
        <v>20</v>
      </c>
      <c r="B165" t="s">
        <v>107</v>
      </c>
      <c r="C165">
        <v>301049751</v>
      </c>
      <c r="D165">
        <v>73239990</v>
      </c>
      <c r="E165" t="s">
        <v>948</v>
      </c>
      <c r="N165">
        <v>4004</v>
      </c>
      <c r="O165" t="s">
        <v>2746</v>
      </c>
      <c r="P165">
        <v>413.8107068</v>
      </c>
      <c r="Q165">
        <v>1656898.07</v>
      </c>
      <c r="R165">
        <v>4.871226684</v>
      </c>
      <c r="S165">
        <v>19504.39164</v>
      </c>
      <c r="T165">
        <v>607087.5</v>
      </c>
    </row>
    <row r="166" spans="1:20">
      <c r="A166" t="s">
        <v>20</v>
      </c>
      <c r="B166" t="s">
        <v>108</v>
      </c>
      <c r="C166">
        <v>301049751</v>
      </c>
      <c r="D166">
        <v>73239990</v>
      </c>
      <c r="E166" t="s">
        <v>949</v>
      </c>
      <c r="N166">
        <v>14256</v>
      </c>
      <c r="O166" t="s">
        <v>2746</v>
      </c>
      <c r="P166">
        <v>214.705216</v>
      </c>
      <c r="Q166">
        <v>3060837.56</v>
      </c>
      <c r="R166">
        <v>2.527430442</v>
      </c>
      <c r="S166">
        <v>36031.04838</v>
      </c>
      <c r="T166">
        <v>1121490.9</v>
      </c>
    </row>
    <row r="167" spans="1:20">
      <c r="A167" t="s">
        <v>20</v>
      </c>
      <c r="B167" t="s">
        <v>109</v>
      </c>
      <c r="C167">
        <v>301049751</v>
      </c>
      <c r="D167">
        <v>73239990</v>
      </c>
      <c r="E167" t="s">
        <v>950</v>
      </c>
      <c r="N167">
        <v>1009.6</v>
      </c>
      <c r="O167" t="s">
        <v>2746</v>
      </c>
      <c r="P167">
        <v>672.8216323</v>
      </c>
      <c r="Q167">
        <v>679280.72</v>
      </c>
      <c r="R167">
        <v>7.920207561</v>
      </c>
      <c r="S167">
        <v>7996.241554</v>
      </c>
      <c r="T167">
        <v>248888.4</v>
      </c>
    </row>
    <row r="168" spans="1:20">
      <c r="A168" t="s">
        <v>20</v>
      </c>
      <c r="B168" t="s">
        <v>110</v>
      </c>
      <c r="C168">
        <v>301049751</v>
      </c>
      <c r="D168">
        <v>73231000</v>
      </c>
      <c r="E168" t="s">
        <v>951</v>
      </c>
      <c r="N168">
        <v>4914</v>
      </c>
      <c r="O168" t="s">
        <v>2746</v>
      </c>
      <c r="P168">
        <v>439.3085958</v>
      </c>
      <c r="Q168">
        <v>2158762.44</v>
      </c>
      <c r="R168">
        <v>5.174423979</v>
      </c>
      <c r="S168">
        <v>25427.11943</v>
      </c>
      <c r="T168">
        <v>948991.9</v>
      </c>
    </row>
    <row r="169" spans="1:20">
      <c r="A169" t="s">
        <v>20</v>
      </c>
      <c r="B169" t="s">
        <v>111</v>
      </c>
      <c r="C169">
        <v>301049751</v>
      </c>
      <c r="D169">
        <v>73231000</v>
      </c>
      <c r="E169" t="s">
        <v>952</v>
      </c>
      <c r="N169">
        <v>9151</v>
      </c>
      <c r="O169" t="s">
        <v>2746</v>
      </c>
      <c r="P169">
        <v>222.5063785</v>
      </c>
      <c r="Q169">
        <v>2036155.87</v>
      </c>
      <c r="R169">
        <v>2.620805401</v>
      </c>
      <c r="S169">
        <v>23982.99022</v>
      </c>
      <c r="T169">
        <v>895094.1</v>
      </c>
    </row>
    <row r="170" spans="1:20">
      <c r="A170" t="s">
        <v>20</v>
      </c>
      <c r="B170" t="s">
        <v>112</v>
      </c>
      <c r="C170">
        <v>301049751</v>
      </c>
      <c r="D170">
        <v>73239990</v>
      </c>
      <c r="E170" t="s">
        <v>953</v>
      </c>
      <c r="N170">
        <v>4004</v>
      </c>
      <c r="O170" t="s">
        <v>2746</v>
      </c>
      <c r="P170">
        <v>399.8823227</v>
      </c>
      <c r="Q170">
        <v>1601128.82</v>
      </c>
      <c r="R170">
        <v>4.710039136</v>
      </c>
      <c r="S170">
        <v>18858.9967</v>
      </c>
      <c r="T170">
        <v>586653.7</v>
      </c>
    </row>
    <row r="171" spans="1:20">
      <c r="A171" t="s">
        <v>20</v>
      </c>
      <c r="B171" t="s">
        <v>113</v>
      </c>
      <c r="C171">
        <v>301049751</v>
      </c>
      <c r="D171">
        <v>73239990</v>
      </c>
      <c r="E171" t="s">
        <v>954</v>
      </c>
      <c r="N171">
        <v>64</v>
      </c>
      <c r="O171" t="s">
        <v>2746</v>
      </c>
      <c r="P171">
        <v>854.6120313</v>
      </c>
      <c r="Q171">
        <v>54695.17</v>
      </c>
      <c r="R171">
        <v>10.06610166</v>
      </c>
      <c r="S171">
        <v>644.2305065</v>
      </c>
      <c r="T171">
        <v>20040.3</v>
      </c>
    </row>
    <row r="172" spans="1:20">
      <c r="A172" t="s">
        <v>20</v>
      </c>
      <c r="B172" t="s">
        <v>114</v>
      </c>
      <c r="C172">
        <v>301049751</v>
      </c>
      <c r="D172">
        <v>73239990</v>
      </c>
      <c r="E172" t="s">
        <v>940</v>
      </c>
      <c r="N172">
        <v>4004</v>
      </c>
      <c r="O172" t="s">
        <v>2746</v>
      </c>
      <c r="P172">
        <v>393.9698277</v>
      </c>
      <c r="Q172">
        <v>1577455.19</v>
      </c>
      <c r="R172">
        <v>4.640398441</v>
      </c>
      <c r="S172">
        <v>18580.15536</v>
      </c>
      <c r="T172">
        <v>577979.5</v>
      </c>
    </row>
    <row r="173" spans="1:20">
      <c r="A173" t="s">
        <v>20</v>
      </c>
      <c r="B173" t="s">
        <v>115</v>
      </c>
      <c r="C173">
        <v>301049751</v>
      </c>
      <c r="D173">
        <v>73231000</v>
      </c>
      <c r="E173" t="s">
        <v>955</v>
      </c>
      <c r="N173">
        <v>7250</v>
      </c>
      <c r="O173" t="s">
        <v>2746</v>
      </c>
      <c r="P173">
        <v>257.4036745</v>
      </c>
      <c r="Q173">
        <v>1866176.64</v>
      </c>
      <c r="R173">
        <v>3.042596625</v>
      </c>
      <c r="S173">
        <v>22058.82553</v>
      </c>
      <c r="T173">
        <v>820371.2</v>
      </c>
    </row>
    <row r="174" spans="1:20">
      <c r="A174" t="s">
        <v>20</v>
      </c>
      <c r="B174" t="s">
        <v>116</v>
      </c>
      <c r="C174">
        <v>301049751</v>
      </c>
      <c r="D174">
        <v>73239990</v>
      </c>
      <c r="E174" t="s">
        <v>956</v>
      </c>
      <c r="N174">
        <v>3307.2</v>
      </c>
      <c r="O174" t="s">
        <v>2746</v>
      </c>
      <c r="P174">
        <v>283.3451681</v>
      </c>
      <c r="Q174">
        <v>937079.14</v>
      </c>
      <c r="R174">
        <v>3.349233666</v>
      </c>
      <c r="S174">
        <v>11076.58558</v>
      </c>
      <c r="T174">
        <v>343345.8</v>
      </c>
    </row>
    <row r="175" spans="1:20">
      <c r="A175" t="s">
        <v>20</v>
      </c>
      <c r="B175" t="s">
        <v>116</v>
      </c>
      <c r="C175">
        <v>301049751</v>
      </c>
      <c r="D175">
        <v>73239990</v>
      </c>
      <c r="E175" t="s">
        <v>957</v>
      </c>
      <c r="N175">
        <v>14256</v>
      </c>
      <c r="O175" t="s">
        <v>2746</v>
      </c>
      <c r="P175">
        <v>222.9837304</v>
      </c>
      <c r="Q175">
        <v>3178856.06</v>
      </c>
      <c r="R175">
        <v>2.635741494</v>
      </c>
      <c r="S175">
        <v>37575.13073</v>
      </c>
      <c r="T175">
        <v>1164732.8</v>
      </c>
    </row>
    <row r="176" spans="1:20">
      <c r="A176" t="s">
        <v>20</v>
      </c>
      <c r="B176" t="s">
        <v>117</v>
      </c>
      <c r="C176">
        <v>301049751</v>
      </c>
      <c r="D176">
        <v>73239990</v>
      </c>
      <c r="E176" t="s">
        <v>940</v>
      </c>
      <c r="N176">
        <v>4004</v>
      </c>
      <c r="O176" t="s">
        <v>2746</v>
      </c>
      <c r="P176">
        <v>399.2651923</v>
      </c>
      <c r="Q176">
        <v>1598657.83</v>
      </c>
      <c r="R176">
        <v>4.719446718</v>
      </c>
      <c r="S176">
        <v>18896.66466</v>
      </c>
      <c r="T176">
        <v>585748.3</v>
      </c>
    </row>
    <row r="177" spans="1:20">
      <c r="A177" t="s">
        <v>20</v>
      </c>
      <c r="B177" t="s">
        <v>118</v>
      </c>
      <c r="C177">
        <v>301049751</v>
      </c>
      <c r="D177">
        <v>73231000</v>
      </c>
      <c r="E177" t="s">
        <v>958</v>
      </c>
      <c r="N177">
        <v>50</v>
      </c>
      <c r="O177" t="s">
        <v>2746</v>
      </c>
      <c r="P177">
        <v>420.5412</v>
      </c>
      <c r="Q177">
        <v>21027.06</v>
      </c>
      <c r="R177">
        <v>4.953371025</v>
      </c>
      <c r="S177">
        <v>247.6685512</v>
      </c>
      <c r="T177">
        <v>9243.4</v>
      </c>
    </row>
    <row r="178" spans="1:20">
      <c r="A178" t="s">
        <v>20</v>
      </c>
      <c r="B178" t="s">
        <v>119</v>
      </c>
      <c r="C178">
        <v>301049751</v>
      </c>
      <c r="D178">
        <v>73239990</v>
      </c>
      <c r="E178" t="s">
        <v>959</v>
      </c>
      <c r="N178">
        <v>8008</v>
      </c>
      <c r="O178" t="s">
        <v>2746</v>
      </c>
      <c r="P178">
        <v>406.7741021</v>
      </c>
      <c r="Q178">
        <v>3257447.01</v>
      </c>
      <c r="R178">
        <v>4.791214395</v>
      </c>
      <c r="S178">
        <v>38368.04488</v>
      </c>
      <c r="T178">
        <v>1193528.5</v>
      </c>
    </row>
    <row r="179" spans="1:20">
      <c r="A179" t="s">
        <v>20</v>
      </c>
      <c r="B179" t="s">
        <v>120</v>
      </c>
      <c r="C179">
        <v>301049751</v>
      </c>
      <c r="D179">
        <v>73231000</v>
      </c>
      <c r="E179" t="s">
        <v>960</v>
      </c>
      <c r="N179">
        <v>7417.5</v>
      </c>
      <c r="O179" t="s">
        <v>2746</v>
      </c>
      <c r="P179">
        <v>234.1158328</v>
      </c>
      <c r="Q179">
        <v>1736554.19</v>
      </c>
      <c r="R179">
        <v>2.759173045</v>
      </c>
      <c r="S179">
        <v>20466.16606</v>
      </c>
      <c r="T179">
        <v>763389.2</v>
      </c>
    </row>
    <row r="180" spans="1:20">
      <c r="A180" t="s">
        <v>20</v>
      </c>
      <c r="B180" t="s">
        <v>121</v>
      </c>
      <c r="C180">
        <v>301049751</v>
      </c>
      <c r="D180">
        <v>73231000</v>
      </c>
      <c r="E180" t="s">
        <v>961</v>
      </c>
      <c r="N180">
        <v>9151</v>
      </c>
      <c r="O180" t="s">
        <v>2746</v>
      </c>
      <c r="P180">
        <v>230.3877259</v>
      </c>
      <c r="Q180">
        <v>2108278.08</v>
      </c>
      <c r="R180">
        <v>2.715235426</v>
      </c>
      <c r="S180">
        <v>24847.11939</v>
      </c>
      <c r="T180">
        <v>926799.1</v>
      </c>
    </row>
    <row r="181" spans="1:20">
      <c r="A181" t="s">
        <v>20</v>
      </c>
      <c r="B181" t="s">
        <v>122</v>
      </c>
      <c r="C181">
        <v>301049751</v>
      </c>
      <c r="D181">
        <v>73239990</v>
      </c>
      <c r="E181" t="s">
        <v>962</v>
      </c>
      <c r="N181">
        <v>1750</v>
      </c>
      <c r="O181" t="s">
        <v>2746</v>
      </c>
      <c r="P181">
        <v>307.56428</v>
      </c>
      <c r="Q181">
        <v>538237.49</v>
      </c>
      <c r="R181">
        <v>3.6248</v>
      </c>
      <c r="S181">
        <v>6343.4</v>
      </c>
      <c r="T181">
        <v>197210.2</v>
      </c>
    </row>
    <row r="182" spans="1:20">
      <c r="A182" t="s">
        <v>20</v>
      </c>
      <c r="B182" t="s">
        <v>123</v>
      </c>
      <c r="C182">
        <v>301049751</v>
      </c>
      <c r="D182">
        <v>73239990</v>
      </c>
      <c r="E182" t="s">
        <v>940</v>
      </c>
      <c r="N182">
        <v>4004</v>
      </c>
      <c r="O182" t="s">
        <v>2746</v>
      </c>
      <c r="P182">
        <v>419.5406618</v>
      </c>
      <c r="Q182">
        <v>1679840.81</v>
      </c>
      <c r="R182">
        <v>4.944498077</v>
      </c>
      <c r="S182">
        <v>19797.7703</v>
      </c>
      <c r="T182">
        <v>615493.7</v>
      </c>
    </row>
    <row r="183" spans="1:20">
      <c r="A183" t="s">
        <v>20</v>
      </c>
      <c r="B183" t="s">
        <v>123</v>
      </c>
      <c r="C183">
        <v>301049751</v>
      </c>
      <c r="D183">
        <v>73239990</v>
      </c>
      <c r="E183" t="s">
        <v>957</v>
      </c>
      <c r="N183">
        <v>14256</v>
      </c>
      <c r="O183" t="s">
        <v>2746</v>
      </c>
      <c r="P183">
        <v>241.0090551</v>
      </c>
      <c r="Q183">
        <v>3435825.09</v>
      </c>
      <c r="R183">
        <v>2.840413142</v>
      </c>
      <c r="S183">
        <v>40492.92976</v>
      </c>
      <c r="T183">
        <v>1258886.3</v>
      </c>
    </row>
    <row r="184" spans="1:20">
      <c r="A184" t="s">
        <v>20</v>
      </c>
      <c r="B184" t="s">
        <v>124</v>
      </c>
      <c r="C184">
        <v>301049751</v>
      </c>
      <c r="D184">
        <v>73239990</v>
      </c>
      <c r="E184" t="s">
        <v>963</v>
      </c>
      <c r="N184">
        <v>5660.8</v>
      </c>
      <c r="O184" t="s">
        <v>2746</v>
      </c>
      <c r="P184">
        <v>969.7585377</v>
      </c>
      <c r="Q184">
        <v>5489609.13</v>
      </c>
      <c r="R184">
        <v>11.42909296</v>
      </c>
      <c r="S184">
        <v>64697.80943</v>
      </c>
      <c r="T184">
        <v>2011392.8</v>
      </c>
    </row>
    <row r="185" spans="1:20">
      <c r="A185" t="s">
        <v>20</v>
      </c>
      <c r="B185" t="s">
        <v>125</v>
      </c>
      <c r="C185">
        <v>301049751</v>
      </c>
      <c r="D185">
        <v>73231000</v>
      </c>
      <c r="E185" t="s">
        <v>964</v>
      </c>
      <c r="N185">
        <v>4914</v>
      </c>
      <c r="O185" t="s">
        <v>2746</v>
      </c>
      <c r="P185">
        <v>461.7556085</v>
      </c>
      <c r="Q185">
        <v>2269067.06</v>
      </c>
      <c r="R185">
        <v>5.442022492</v>
      </c>
      <c r="S185">
        <v>26742.09853</v>
      </c>
      <c r="T185">
        <v>997481.8</v>
      </c>
    </row>
    <row r="186" spans="1:20">
      <c r="A186" t="s">
        <v>20</v>
      </c>
      <c r="B186" t="s">
        <v>126</v>
      </c>
      <c r="C186">
        <v>301049751</v>
      </c>
      <c r="D186">
        <v>73239990</v>
      </c>
      <c r="E186" t="s">
        <v>965</v>
      </c>
      <c r="N186">
        <v>7057.6</v>
      </c>
      <c r="O186" t="s">
        <v>2746</v>
      </c>
      <c r="P186">
        <v>293.6619517</v>
      </c>
      <c r="Q186">
        <v>2072548.59</v>
      </c>
      <c r="R186">
        <v>3.460954056</v>
      </c>
      <c r="S186">
        <v>24426.02935</v>
      </c>
      <c r="T186">
        <v>759381.8</v>
      </c>
    </row>
    <row r="187" spans="1:20">
      <c r="A187" t="s">
        <v>20</v>
      </c>
      <c r="B187" t="s">
        <v>126</v>
      </c>
      <c r="C187">
        <v>301049751</v>
      </c>
      <c r="D187">
        <v>73239990</v>
      </c>
      <c r="E187" t="s">
        <v>940</v>
      </c>
      <c r="N187">
        <v>4004</v>
      </c>
      <c r="O187" t="s">
        <v>2746</v>
      </c>
      <c r="P187">
        <v>419.5306893</v>
      </c>
      <c r="Q187">
        <v>1679800.88</v>
      </c>
      <c r="R187">
        <v>4.944380546</v>
      </c>
      <c r="S187">
        <v>19797.29971</v>
      </c>
      <c r="T187">
        <v>615479.1</v>
      </c>
    </row>
    <row r="188" spans="1:20">
      <c r="A188" t="s">
        <v>20</v>
      </c>
      <c r="B188" t="s">
        <v>127</v>
      </c>
      <c r="C188">
        <v>301049751</v>
      </c>
      <c r="D188">
        <v>73239990</v>
      </c>
      <c r="E188" t="s">
        <v>957</v>
      </c>
      <c r="N188">
        <v>14256</v>
      </c>
      <c r="O188" t="s">
        <v>2746</v>
      </c>
      <c r="P188">
        <v>238.3682877</v>
      </c>
      <c r="Q188">
        <v>3398178.31</v>
      </c>
      <c r="R188">
        <v>2.817592054</v>
      </c>
      <c r="S188">
        <v>40167.59232</v>
      </c>
      <c r="T188">
        <v>1245092.6</v>
      </c>
    </row>
    <row r="189" spans="1:20">
      <c r="A189" t="s">
        <v>20</v>
      </c>
      <c r="B189" t="s">
        <v>128</v>
      </c>
      <c r="C189">
        <v>301049751</v>
      </c>
      <c r="D189">
        <v>73231000</v>
      </c>
      <c r="E189" t="s">
        <v>966</v>
      </c>
      <c r="N189">
        <v>8856</v>
      </c>
      <c r="O189" t="s">
        <v>2746</v>
      </c>
      <c r="P189">
        <v>247.6240402</v>
      </c>
      <c r="Q189">
        <v>2192958.5</v>
      </c>
      <c r="R189">
        <v>2.926998111</v>
      </c>
      <c r="S189">
        <v>25921.49527</v>
      </c>
      <c r="T189">
        <v>964024.6</v>
      </c>
    </row>
    <row r="190" spans="1:20">
      <c r="A190" t="s">
        <v>20</v>
      </c>
      <c r="B190" t="s">
        <v>129</v>
      </c>
      <c r="C190">
        <v>301049751</v>
      </c>
      <c r="D190">
        <v>73239990</v>
      </c>
      <c r="E190" t="s">
        <v>967</v>
      </c>
      <c r="N190">
        <v>146.5</v>
      </c>
      <c r="O190" t="s">
        <v>2746</v>
      </c>
      <c r="P190">
        <v>533.2972013999999</v>
      </c>
      <c r="Q190">
        <v>78128.03999999999</v>
      </c>
      <c r="R190">
        <v>6.303749425</v>
      </c>
      <c r="S190">
        <v>923.4992908</v>
      </c>
      <c r="T190">
        <v>28626.2</v>
      </c>
    </row>
    <row r="191" spans="1:20">
      <c r="A191" t="s">
        <v>20</v>
      </c>
      <c r="B191" t="s">
        <v>130</v>
      </c>
      <c r="C191">
        <v>301049751</v>
      </c>
      <c r="D191">
        <v>73239990</v>
      </c>
      <c r="E191" t="s">
        <v>968</v>
      </c>
      <c r="N191">
        <v>460</v>
      </c>
      <c r="O191" t="s">
        <v>2746</v>
      </c>
      <c r="P191">
        <v>390.5511304</v>
      </c>
      <c r="Q191">
        <v>179653.52</v>
      </c>
      <c r="R191">
        <v>4.616443622</v>
      </c>
      <c r="S191">
        <v>2123.564066</v>
      </c>
      <c r="T191">
        <v>65825.10000000001</v>
      </c>
    </row>
    <row r="192" spans="1:20">
      <c r="A192" t="s">
        <v>20</v>
      </c>
      <c r="B192" t="s">
        <v>131</v>
      </c>
      <c r="C192">
        <v>301049751</v>
      </c>
      <c r="D192">
        <v>73239990</v>
      </c>
      <c r="E192" t="s">
        <v>969</v>
      </c>
      <c r="N192">
        <v>11440</v>
      </c>
      <c r="O192" t="s">
        <v>2746</v>
      </c>
      <c r="P192">
        <v>290.5159895</v>
      </c>
      <c r="Q192">
        <v>3323502.92</v>
      </c>
      <c r="R192">
        <v>3.433995148</v>
      </c>
      <c r="S192">
        <v>39284.90449</v>
      </c>
      <c r="T192">
        <v>1217731.5</v>
      </c>
    </row>
    <row r="193" spans="1:20">
      <c r="A193" t="s">
        <v>20</v>
      </c>
      <c r="B193" t="s">
        <v>131</v>
      </c>
      <c r="C193">
        <v>301049751</v>
      </c>
      <c r="D193">
        <v>73231000</v>
      </c>
      <c r="E193" t="s">
        <v>970</v>
      </c>
      <c r="N193">
        <v>4914</v>
      </c>
      <c r="O193" t="s">
        <v>2746</v>
      </c>
      <c r="P193">
        <v>472.3843651</v>
      </c>
      <c r="Q193">
        <v>2321296.77</v>
      </c>
      <c r="R193">
        <v>5.58373954</v>
      </c>
      <c r="S193">
        <v>27438.4961</v>
      </c>
      <c r="T193">
        <v>1020442.1</v>
      </c>
    </row>
    <row r="194" spans="1:20">
      <c r="A194" t="s">
        <v>20</v>
      </c>
      <c r="B194" t="s">
        <v>131</v>
      </c>
      <c r="C194">
        <v>301049751</v>
      </c>
      <c r="D194">
        <v>73239990</v>
      </c>
      <c r="E194" t="s">
        <v>971</v>
      </c>
      <c r="N194">
        <v>10836</v>
      </c>
      <c r="O194" t="s">
        <v>2746</v>
      </c>
      <c r="P194">
        <v>574.5712532</v>
      </c>
      <c r="Q194">
        <v>6226054.1</v>
      </c>
      <c r="R194">
        <v>6.791622379</v>
      </c>
      <c r="S194">
        <v>73594.02009000001</v>
      </c>
      <c r="T194">
        <v>2281226.2</v>
      </c>
    </row>
    <row r="195" spans="1:20">
      <c r="A195" t="s">
        <v>20</v>
      </c>
      <c r="B195" t="s">
        <v>132</v>
      </c>
      <c r="C195">
        <v>301049751</v>
      </c>
      <c r="D195">
        <v>73239990</v>
      </c>
      <c r="E195" t="s">
        <v>940</v>
      </c>
      <c r="N195">
        <v>4004</v>
      </c>
      <c r="O195" t="s">
        <v>2746</v>
      </c>
      <c r="P195">
        <v>411.6056768</v>
      </c>
      <c r="Q195">
        <v>1648069.13</v>
      </c>
      <c r="R195">
        <v>4.882629618</v>
      </c>
      <c r="S195">
        <v>19550.04899</v>
      </c>
      <c r="T195">
        <v>603852.5</v>
      </c>
    </row>
    <row r="196" spans="1:20">
      <c r="A196" t="s">
        <v>20</v>
      </c>
      <c r="B196" t="s">
        <v>132</v>
      </c>
      <c r="C196">
        <v>301049751</v>
      </c>
      <c r="D196">
        <v>73239990</v>
      </c>
      <c r="E196" t="s">
        <v>972</v>
      </c>
      <c r="N196">
        <v>2940</v>
      </c>
      <c r="O196" t="s">
        <v>2746</v>
      </c>
      <c r="P196">
        <v>414.1170408</v>
      </c>
      <c r="Q196">
        <v>1217504.1</v>
      </c>
      <c r="R196">
        <v>4.912420413</v>
      </c>
      <c r="S196">
        <v>14442.51601</v>
      </c>
      <c r="T196">
        <v>446093.5</v>
      </c>
    </row>
    <row r="197" spans="1:20">
      <c r="A197" t="s">
        <v>20</v>
      </c>
      <c r="B197" t="s">
        <v>133</v>
      </c>
      <c r="C197">
        <v>301049751</v>
      </c>
      <c r="D197">
        <v>73239990</v>
      </c>
      <c r="E197" t="s">
        <v>948</v>
      </c>
      <c r="N197">
        <v>4004</v>
      </c>
      <c r="O197" t="s">
        <v>2746</v>
      </c>
      <c r="P197">
        <v>444.9483616</v>
      </c>
      <c r="Q197">
        <v>1781573.24</v>
      </c>
      <c r="R197">
        <v>5.278153756</v>
      </c>
      <c r="S197">
        <v>21133.72764</v>
      </c>
      <c r="T197">
        <v>652768.4</v>
      </c>
    </row>
    <row r="198" spans="1:20">
      <c r="A198" t="s">
        <v>20</v>
      </c>
      <c r="B198" t="s">
        <v>133</v>
      </c>
      <c r="C198">
        <v>301049751</v>
      </c>
      <c r="D198">
        <v>73239990</v>
      </c>
      <c r="E198" t="s">
        <v>973</v>
      </c>
      <c r="N198">
        <v>5660.8</v>
      </c>
      <c r="O198" t="s">
        <v>2746</v>
      </c>
      <c r="P198">
        <v>982.0263549</v>
      </c>
      <c r="Q198">
        <v>5559054.79</v>
      </c>
      <c r="R198">
        <v>11.64918571</v>
      </c>
      <c r="S198">
        <v>65943.71044</v>
      </c>
      <c r="T198">
        <v>2036837.7</v>
      </c>
    </row>
    <row r="199" spans="1:20">
      <c r="A199" t="s">
        <v>20</v>
      </c>
      <c r="B199" t="s">
        <v>134</v>
      </c>
      <c r="C199">
        <v>301049751</v>
      </c>
      <c r="D199">
        <v>73231000</v>
      </c>
      <c r="E199" t="s">
        <v>952</v>
      </c>
      <c r="N199">
        <v>8856</v>
      </c>
      <c r="O199" t="s">
        <v>2746</v>
      </c>
      <c r="P199">
        <v>255.7763031</v>
      </c>
      <c r="Q199">
        <v>2265154.94</v>
      </c>
      <c r="R199">
        <v>3.034119847</v>
      </c>
      <c r="S199">
        <v>26870.16536</v>
      </c>
      <c r="T199">
        <v>995762.1</v>
      </c>
    </row>
    <row r="200" spans="1:20">
      <c r="A200" t="s">
        <v>20</v>
      </c>
      <c r="B200" t="s">
        <v>135</v>
      </c>
      <c r="C200">
        <v>301049751</v>
      </c>
      <c r="D200">
        <v>73231000</v>
      </c>
      <c r="E200" t="s">
        <v>974</v>
      </c>
      <c r="N200">
        <v>4851</v>
      </c>
      <c r="O200" t="s">
        <v>2746</v>
      </c>
      <c r="P200">
        <v>509.0817089</v>
      </c>
      <c r="Q200">
        <v>2469555.37</v>
      </c>
      <c r="R200">
        <v>6.038928932</v>
      </c>
      <c r="S200">
        <v>29294.84425</v>
      </c>
      <c r="T200">
        <v>1085616.6</v>
      </c>
    </row>
    <row r="201" spans="1:20">
      <c r="A201" t="s">
        <v>20</v>
      </c>
      <c r="B201" t="s">
        <v>135</v>
      </c>
      <c r="C201">
        <v>301049751</v>
      </c>
      <c r="D201">
        <v>73231000</v>
      </c>
      <c r="E201" t="s">
        <v>975</v>
      </c>
      <c r="N201">
        <v>4869</v>
      </c>
      <c r="O201" t="s">
        <v>2746</v>
      </c>
      <c r="P201">
        <v>508.7712857</v>
      </c>
      <c r="Q201">
        <v>2477207.39</v>
      </c>
      <c r="R201">
        <v>6.035246568</v>
      </c>
      <c r="S201">
        <v>29385.61554</v>
      </c>
      <c r="T201">
        <v>1088980.3</v>
      </c>
    </row>
    <row r="202" spans="1:20">
      <c r="A202" t="s">
        <v>20</v>
      </c>
      <c r="B202" t="s">
        <v>136</v>
      </c>
      <c r="C202">
        <v>301049751</v>
      </c>
      <c r="D202">
        <v>73239990</v>
      </c>
      <c r="E202" t="s">
        <v>976</v>
      </c>
      <c r="N202">
        <v>15568</v>
      </c>
      <c r="O202" t="s">
        <v>2746</v>
      </c>
      <c r="P202">
        <v>409.1127184</v>
      </c>
      <c r="Q202">
        <v>6369066.8</v>
      </c>
      <c r="R202">
        <v>4.853057158</v>
      </c>
      <c r="S202">
        <v>75552.39383</v>
      </c>
      <c r="T202">
        <v>2333626.1</v>
      </c>
    </row>
    <row r="203" spans="1:20">
      <c r="A203" t="s">
        <v>20</v>
      </c>
      <c r="B203" t="s">
        <v>137</v>
      </c>
      <c r="C203">
        <v>301049751</v>
      </c>
      <c r="D203">
        <v>73239990</v>
      </c>
      <c r="E203" t="s">
        <v>949</v>
      </c>
      <c r="N203">
        <v>14256</v>
      </c>
      <c r="O203" t="s">
        <v>2746</v>
      </c>
      <c r="P203">
        <v>280.6824116</v>
      </c>
      <c r="Q203">
        <v>4001408.46</v>
      </c>
      <c r="R203">
        <v>3.329565974</v>
      </c>
      <c r="S203">
        <v>47466.29253</v>
      </c>
      <c r="T203">
        <v>1466116.1</v>
      </c>
    </row>
    <row r="204" spans="1:20">
      <c r="A204" t="s">
        <v>20</v>
      </c>
      <c r="B204" t="s">
        <v>138</v>
      </c>
      <c r="C204">
        <v>301049751</v>
      </c>
      <c r="D204">
        <v>73239990</v>
      </c>
      <c r="E204" t="s">
        <v>977</v>
      </c>
      <c r="N204">
        <v>5264</v>
      </c>
      <c r="O204" t="s">
        <v>2746</v>
      </c>
      <c r="P204">
        <v>224.3292401</v>
      </c>
      <c r="Q204">
        <v>1180869.12</v>
      </c>
      <c r="R204">
        <v>2.661082326</v>
      </c>
      <c r="S204">
        <v>14007.93737</v>
      </c>
      <c r="T204">
        <v>432670.4</v>
      </c>
    </row>
    <row r="205" spans="1:20">
      <c r="A205" t="s">
        <v>20</v>
      </c>
      <c r="B205" t="s">
        <v>139</v>
      </c>
      <c r="C205">
        <v>301049751</v>
      </c>
      <c r="D205">
        <v>73239990</v>
      </c>
      <c r="E205" t="s">
        <v>978</v>
      </c>
      <c r="N205">
        <v>4004</v>
      </c>
      <c r="O205" t="s">
        <v>2746</v>
      </c>
      <c r="P205">
        <v>463.6565285</v>
      </c>
      <c r="Q205">
        <v>1856480.74</v>
      </c>
      <c r="R205">
        <v>5.500077443</v>
      </c>
      <c r="S205">
        <v>22022.31008</v>
      </c>
      <c r="T205">
        <v>680214.5</v>
      </c>
    </row>
    <row r="206" spans="1:20">
      <c r="A206" t="s">
        <v>20</v>
      </c>
      <c r="B206" t="s">
        <v>140</v>
      </c>
      <c r="C206">
        <v>301049751</v>
      </c>
      <c r="D206">
        <v>73239990</v>
      </c>
      <c r="E206" t="s">
        <v>940</v>
      </c>
      <c r="N206">
        <v>4004</v>
      </c>
      <c r="O206" t="s">
        <v>2746</v>
      </c>
      <c r="P206">
        <v>395.2312463</v>
      </c>
      <c r="Q206">
        <v>1582505.91</v>
      </c>
      <c r="R206">
        <v>4.688389635</v>
      </c>
      <c r="S206">
        <v>18772.3121</v>
      </c>
      <c r="T206">
        <v>579830.2</v>
      </c>
    </row>
    <row r="207" spans="1:20">
      <c r="A207" t="s">
        <v>20</v>
      </c>
      <c r="B207" t="s">
        <v>140</v>
      </c>
      <c r="C207">
        <v>301049751</v>
      </c>
      <c r="D207">
        <v>73231000</v>
      </c>
      <c r="E207" t="s">
        <v>979</v>
      </c>
      <c r="N207">
        <v>4896</v>
      </c>
      <c r="O207" t="s">
        <v>2746</v>
      </c>
      <c r="P207">
        <v>507.5635376</v>
      </c>
      <c r="Q207">
        <v>2485031.08</v>
      </c>
      <c r="R207">
        <v>6.020919782</v>
      </c>
      <c r="S207">
        <v>29478.42325</v>
      </c>
      <c r="T207">
        <v>1092419.6</v>
      </c>
    </row>
    <row r="208" spans="1:20">
      <c r="A208" t="s">
        <v>20</v>
      </c>
      <c r="B208" t="s">
        <v>141</v>
      </c>
      <c r="C208">
        <v>301049751</v>
      </c>
      <c r="D208">
        <v>73239990</v>
      </c>
      <c r="E208" t="s">
        <v>980</v>
      </c>
      <c r="N208">
        <v>2632</v>
      </c>
      <c r="O208" t="s">
        <v>2746</v>
      </c>
      <c r="P208">
        <v>230.5358739</v>
      </c>
      <c r="Q208">
        <v>606770.42</v>
      </c>
      <c r="R208">
        <v>2.734707875</v>
      </c>
      <c r="S208">
        <v>7197.751127</v>
      </c>
      <c r="T208">
        <v>222320.7</v>
      </c>
    </row>
    <row r="209" spans="1:20">
      <c r="A209" t="s">
        <v>20</v>
      </c>
      <c r="B209" t="s">
        <v>142</v>
      </c>
      <c r="C209">
        <v>301049751</v>
      </c>
      <c r="D209">
        <v>73239990</v>
      </c>
      <c r="E209" t="s">
        <v>981</v>
      </c>
      <c r="N209">
        <v>60.9</v>
      </c>
      <c r="O209" t="s">
        <v>2746</v>
      </c>
      <c r="P209">
        <v>366.3</v>
      </c>
      <c r="Q209">
        <v>22307.67</v>
      </c>
      <c r="R209">
        <v>4.34519573</v>
      </c>
      <c r="S209">
        <v>264.6224199</v>
      </c>
      <c r="T209">
        <v>8173.5</v>
      </c>
    </row>
    <row r="210" spans="1:20">
      <c r="A210" t="s">
        <v>20</v>
      </c>
      <c r="B210" t="s">
        <v>142</v>
      </c>
      <c r="C210">
        <v>301049751</v>
      </c>
      <c r="D210">
        <v>73239990</v>
      </c>
      <c r="E210" t="s">
        <v>982</v>
      </c>
      <c r="N210">
        <v>108</v>
      </c>
      <c r="O210" t="s">
        <v>2746</v>
      </c>
      <c r="P210">
        <v>343.8049074</v>
      </c>
      <c r="Q210">
        <v>37130.93</v>
      </c>
      <c r="R210">
        <v>4.078350029</v>
      </c>
      <c r="S210">
        <v>440.4618031</v>
      </c>
      <c r="T210">
        <v>13604.8</v>
      </c>
    </row>
    <row r="211" spans="1:20">
      <c r="A211" t="s">
        <v>20</v>
      </c>
      <c r="B211" t="s">
        <v>143</v>
      </c>
      <c r="C211">
        <v>301049751</v>
      </c>
      <c r="D211">
        <v>73239990</v>
      </c>
      <c r="E211" t="s">
        <v>983</v>
      </c>
      <c r="N211">
        <v>128.8</v>
      </c>
      <c r="O211" t="s">
        <v>2746</v>
      </c>
      <c r="P211">
        <v>724.9812112</v>
      </c>
      <c r="Q211">
        <v>93377.58</v>
      </c>
      <c r="R211">
        <v>8.600014367</v>
      </c>
      <c r="S211">
        <v>1107.681851</v>
      </c>
      <c r="T211">
        <v>34213.6</v>
      </c>
    </row>
    <row r="212" spans="1:20">
      <c r="A212" t="s">
        <v>20</v>
      </c>
      <c r="B212" t="s">
        <v>143</v>
      </c>
      <c r="C212">
        <v>301049751</v>
      </c>
      <c r="D212">
        <v>73239990</v>
      </c>
      <c r="E212" t="s">
        <v>984</v>
      </c>
      <c r="N212">
        <v>1338</v>
      </c>
      <c r="O212" t="s">
        <v>2746</v>
      </c>
      <c r="P212">
        <v>639.9429671</v>
      </c>
      <c r="Q212">
        <v>856243.6899999999</v>
      </c>
      <c r="R212">
        <v>7.591257024</v>
      </c>
      <c r="S212">
        <v>10157.1019</v>
      </c>
      <c r="T212">
        <v>313727.7</v>
      </c>
    </row>
    <row r="213" spans="1:20">
      <c r="A213" t="s">
        <v>20</v>
      </c>
      <c r="B213" t="s">
        <v>143</v>
      </c>
      <c r="C213">
        <v>301049751</v>
      </c>
      <c r="D213">
        <v>73239990</v>
      </c>
      <c r="E213" t="s">
        <v>985</v>
      </c>
      <c r="N213">
        <v>3567.96</v>
      </c>
      <c r="O213" t="s">
        <v>2746</v>
      </c>
      <c r="P213">
        <v>528.7201229999999</v>
      </c>
      <c r="Q213">
        <v>1886452.25</v>
      </c>
      <c r="R213">
        <v>6.27188758</v>
      </c>
      <c r="S213">
        <v>22377.84401</v>
      </c>
      <c r="T213">
        <v>691196.1</v>
      </c>
    </row>
    <row r="214" spans="1:20">
      <c r="A214" t="s">
        <v>20</v>
      </c>
      <c r="B214" t="s">
        <v>144</v>
      </c>
      <c r="C214">
        <v>301049751</v>
      </c>
      <c r="D214">
        <v>73231000</v>
      </c>
      <c r="E214" t="s">
        <v>986</v>
      </c>
      <c r="N214">
        <v>7522.5</v>
      </c>
      <c r="O214" t="s">
        <v>2746</v>
      </c>
      <c r="P214">
        <v>258.4188435</v>
      </c>
      <c r="Q214">
        <v>1943955.75</v>
      </c>
      <c r="R214">
        <v>3.065466708</v>
      </c>
      <c r="S214">
        <v>23059.97331</v>
      </c>
      <c r="T214">
        <v>854563</v>
      </c>
    </row>
    <row r="215" spans="1:20">
      <c r="A215" t="s">
        <v>20</v>
      </c>
      <c r="B215" t="s">
        <v>144</v>
      </c>
      <c r="C215">
        <v>301049751</v>
      </c>
      <c r="D215">
        <v>73239990</v>
      </c>
      <c r="E215" t="s">
        <v>948</v>
      </c>
      <c r="N215">
        <v>4004</v>
      </c>
      <c r="O215" t="s">
        <v>2746</v>
      </c>
      <c r="P215">
        <v>443.6553222</v>
      </c>
      <c r="Q215">
        <v>1776395.91</v>
      </c>
      <c r="R215">
        <v>5.26281521</v>
      </c>
      <c r="S215">
        <v>21072.3121</v>
      </c>
      <c r="T215">
        <v>650871.5</v>
      </c>
    </row>
    <row r="216" spans="1:20">
      <c r="A216" t="s">
        <v>20</v>
      </c>
      <c r="B216" t="s">
        <v>145</v>
      </c>
      <c r="C216">
        <v>301049751</v>
      </c>
      <c r="D216">
        <v>73231000</v>
      </c>
      <c r="E216" t="s">
        <v>987</v>
      </c>
      <c r="N216">
        <v>8782</v>
      </c>
      <c r="O216" t="s">
        <v>2746</v>
      </c>
      <c r="P216">
        <v>246.8992781</v>
      </c>
      <c r="Q216">
        <v>2168269.46</v>
      </c>
      <c r="R216">
        <v>2.928817059</v>
      </c>
      <c r="S216">
        <v>25720.87141</v>
      </c>
      <c r="T216">
        <v>953171.3</v>
      </c>
    </row>
    <row r="217" spans="1:20">
      <c r="A217" t="s">
        <v>20</v>
      </c>
      <c r="B217" t="s">
        <v>146</v>
      </c>
      <c r="C217">
        <v>301049751</v>
      </c>
      <c r="D217">
        <v>73231000</v>
      </c>
      <c r="E217" t="s">
        <v>988</v>
      </c>
      <c r="N217">
        <v>4900</v>
      </c>
      <c r="O217" t="s">
        <v>2746</v>
      </c>
      <c r="P217">
        <v>474.3423939</v>
      </c>
      <c r="Q217">
        <v>2324277.73</v>
      </c>
      <c r="R217">
        <v>5.626837413</v>
      </c>
      <c r="S217">
        <v>27571.50332</v>
      </c>
      <c r="T217">
        <v>1021752.5</v>
      </c>
    </row>
    <row r="218" spans="1:20">
      <c r="A218" t="s">
        <v>20</v>
      </c>
      <c r="B218" t="s">
        <v>147</v>
      </c>
      <c r="C218">
        <v>301049751</v>
      </c>
      <c r="D218">
        <v>73239990</v>
      </c>
      <c r="E218" t="s">
        <v>989</v>
      </c>
      <c r="N218">
        <v>1164.5</v>
      </c>
      <c r="O218" t="s">
        <v>2746</v>
      </c>
      <c r="P218">
        <v>419.7833319</v>
      </c>
      <c r="Q218">
        <v>488837.69</v>
      </c>
      <c r="R218">
        <v>4.979636203</v>
      </c>
      <c r="S218">
        <v>5798.786358</v>
      </c>
      <c r="T218">
        <v>179110.1</v>
      </c>
    </row>
    <row r="219" spans="1:20">
      <c r="A219" t="s">
        <v>20</v>
      </c>
      <c r="B219" t="s">
        <v>148</v>
      </c>
      <c r="C219">
        <v>301049751</v>
      </c>
      <c r="D219">
        <v>73239990</v>
      </c>
      <c r="E219" t="s">
        <v>990</v>
      </c>
      <c r="N219">
        <v>5522</v>
      </c>
      <c r="O219" t="s">
        <v>2746</v>
      </c>
      <c r="P219">
        <v>283.3059417</v>
      </c>
      <c r="Q219">
        <v>1564415.41</v>
      </c>
      <c r="R219">
        <v>3.358695219</v>
      </c>
      <c r="S219">
        <v>18546.715</v>
      </c>
      <c r="T219">
        <v>573201.8</v>
      </c>
    </row>
    <row r="220" spans="1:20">
      <c r="A220" t="s">
        <v>20</v>
      </c>
      <c r="B220" t="s">
        <v>149</v>
      </c>
      <c r="C220">
        <v>301049751</v>
      </c>
      <c r="D220">
        <v>73239990</v>
      </c>
      <c r="E220" t="s">
        <v>991</v>
      </c>
      <c r="N220">
        <v>3944.34</v>
      </c>
      <c r="O220" t="s">
        <v>2746</v>
      </c>
      <c r="P220">
        <v>504.6247737</v>
      </c>
      <c r="Q220">
        <v>1990411.68</v>
      </c>
      <c r="R220">
        <v>5.982510655</v>
      </c>
      <c r="S220">
        <v>23597.05608</v>
      </c>
      <c r="T220">
        <v>729286.8</v>
      </c>
    </row>
    <row r="221" spans="1:20">
      <c r="A221" t="s">
        <v>20</v>
      </c>
      <c r="B221" t="s">
        <v>149</v>
      </c>
      <c r="C221">
        <v>301049751</v>
      </c>
      <c r="D221">
        <v>73239990</v>
      </c>
      <c r="E221" t="s">
        <v>992</v>
      </c>
      <c r="N221">
        <v>9636.700000000001</v>
      </c>
      <c r="O221" t="s">
        <v>2746</v>
      </c>
      <c r="P221">
        <v>648.8966794</v>
      </c>
      <c r="Q221">
        <v>6253222.63</v>
      </c>
      <c r="R221">
        <v>7.692906691</v>
      </c>
      <c r="S221">
        <v>74134.23391</v>
      </c>
      <c r="T221">
        <v>2291180.8</v>
      </c>
    </row>
    <row r="222" spans="1:20">
      <c r="A222" t="s">
        <v>20</v>
      </c>
      <c r="B222" t="s">
        <v>150</v>
      </c>
      <c r="C222">
        <v>301049751</v>
      </c>
      <c r="D222">
        <v>73239990</v>
      </c>
      <c r="E222" t="s">
        <v>993</v>
      </c>
      <c r="N222">
        <v>9676</v>
      </c>
      <c r="O222" t="s">
        <v>2746</v>
      </c>
      <c r="P222">
        <v>333.0922592</v>
      </c>
      <c r="Q222">
        <v>3223000.7</v>
      </c>
      <c r="R222">
        <v>3.948930162</v>
      </c>
      <c r="S222">
        <v>38209.84825</v>
      </c>
      <c r="T222">
        <v>1180907.4</v>
      </c>
    </row>
    <row r="223" spans="1:20">
      <c r="A223" t="s">
        <v>20</v>
      </c>
      <c r="B223" t="s">
        <v>151</v>
      </c>
      <c r="C223">
        <v>301049751</v>
      </c>
      <c r="D223">
        <v>73231000</v>
      </c>
      <c r="E223" t="s">
        <v>994</v>
      </c>
      <c r="N223">
        <v>7410</v>
      </c>
      <c r="O223" t="s">
        <v>2746</v>
      </c>
      <c r="P223">
        <v>237.0249852</v>
      </c>
      <c r="Q223">
        <v>1756355.14</v>
      </c>
      <c r="R223">
        <v>2.810017607</v>
      </c>
      <c r="S223">
        <v>20822.23047</v>
      </c>
      <c r="T223">
        <v>772093.7</v>
      </c>
    </row>
    <row r="224" spans="1:20">
      <c r="A224" t="s">
        <v>20</v>
      </c>
      <c r="B224" t="s">
        <v>152</v>
      </c>
      <c r="C224">
        <v>301049751</v>
      </c>
      <c r="D224">
        <v>73239990</v>
      </c>
      <c r="E224" t="s">
        <v>995</v>
      </c>
      <c r="N224">
        <v>23760</v>
      </c>
      <c r="O224" t="s">
        <v>2746</v>
      </c>
      <c r="P224">
        <v>228.0457066</v>
      </c>
      <c r="Q224">
        <v>5418365.99</v>
      </c>
      <c r="R224">
        <v>2.703564987</v>
      </c>
      <c r="S224">
        <v>64236.70409</v>
      </c>
      <c r="T224">
        <v>1985289.3</v>
      </c>
    </row>
    <row r="225" spans="1:20">
      <c r="A225" t="s">
        <v>20</v>
      </c>
      <c r="B225" t="s">
        <v>152</v>
      </c>
      <c r="C225">
        <v>301049751</v>
      </c>
      <c r="D225">
        <v>73239990</v>
      </c>
      <c r="E225" t="s">
        <v>996</v>
      </c>
      <c r="N225">
        <v>4004</v>
      </c>
      <c r="O225" t="s">
        <v>2746</v>
      </c>
      <c r="P225">
        <v>418.3452697</v>
      </c>
      <c r="Q225">
        <v>1675054.46</v>
      </c>
      <c r="R225">
        <v>4.959635681</v>
      </c>
      <c r="S225">
        <v>19858.38127</v>
      </c>
      <c r="T225">
        <v>613740</v>
      </c>
    </row>
    <row r="226" spans="1:20">
      <c r="A226" t="s">
        <v>20</v>
      </c>
      <c r="B226" t="s">
        <v>153</v>
      </c>
      <c r="C226">
        <v>301049751</v>
      </c>
      <c r="D226">
        <v>73239990</v>
      </c>
      <c r="E226" t="s">
        <v>997</v>
      </c>
      <c r="N226">
        <v>6966.4</v>
      </c>
      <c r="O226" t="s">
        <v>2746</v>
      </c>
      <c r="P226">
        <v>692.178148</v>
      </c>
      <c r="Q226">
        <v>4821989.85</v>
      </c>
      <c r="R226">
        <v>8.206024278999999</v>
      </c>
      <c r="S226">
        <v>57166.44754</v>
      </c>
      <c r="T226">
        <v>1766777.1</v>
      </c>
    </row>
    <row r="227" spans="1:20">
      <c r="A227" t="s">
        <v>20</v>
      </c>
      <c r="B227" t="s">
        <v>154</v>
      </c>
      <c r="C227">
        <v>301049751</v>
      </c>
      <c r="D227">
        <v>73239990</v>
      </c>
      <c r="E227" t="s">
        <v>998</v>
      </c>
      <c r="N227">
        <v>560</v>
      </c>
      <c r="O227" t="s">
        <v>2746</v>
      </c>
      <c r="P227">
        <v>887.0260714</v>
      </c>
      <c r="Q227">
        <v>496734.6</v>
      </c>
      <c r="R227">
        <v>10.51601744</v>
      </c>
      <c r="S227">
        <v>5888.969769</v>
      </c>
      <c r="T227">
        <v>182003.6</v>
      </c>
    </row>
    <row r="228" spans="1:20">
      <c r="A228" t="s">
        <v>20</v>
      </c>
      <c r="B228" t="s">
        <v>154</v>
      </c>
      <c r="C228">
        <v>301049751</v>
      </c>
      <c r="D228">
        <v>73239990</v>
      </c>
      <c r="E228" t="s">
        <v>999</v>
      </c>
      <c r="N228">
        <v>1500</v>
      </c>
      <c r="O228" t="s">
        <v>2746</v>
      </c>
      <c r="P228">
        <v>579.0549267</v>
      </c>
      <c r="Q228">
        <v>868582.39</v>
      </c>
      <c r="R228">
        <v>6.864907252</v>
      </c>
      <c r="S228">
        <v>10297.36088</v>
      </c>
      <c r="T228">
        <v>318248.6</v>
      </c>
    </row>
    <row r="229" spans="1:20">
      <c r="A229" t="s">
        <v>20</v>
      </c>
      <c r="B229" t="s">
        <v>154</v>
      </c>
      <c r="C229">
        <v>301049751</v>
      </c>
      <c r="D229">
        <v>73239990</v>
      </c>
      <c r="E229" t="s">
        <v>1000</v>
      </c>
      <c r="N229">
        <v>195</v>
      </c>
      <c r="O229" t="s">
        <v>2746</v>
      </c>
      <c r="P229">
        <v>209.2781538</v>
      </c>
      <c r="Q229">
        <v>40809.24</v>
      </c>
      <c r="R229">
        <v>2.481068807</v>
      </c>
      <c r="S229">
        <v>483.8084173</v>
      </c>
      <c r="T229">
        <v>14952.5</v>
      </c>
    </row>
    <row r="230" spans="1:20">
      <c r="A230" t="s">
        <v>20</v>
      </c>
      <c r="B230" t="s">
        <v>154</v>
      </c>
      <c r="C230">
        <v>301049751</v>
      </c>
      <c r="D230">
        <v>73231000</v>
      </c>
      <c r="E230" t="s">
        <v>1001</v>
      </c>
      <c r="N230">
        <v>4900</v>
      </c>
      <c r="O230" t="s">
        <v>2746</v>
      </c>
      <c r="P230">
        <v>463.8649102</v>
      </c>
      <c r="Q230">
        <v>2272938.06</v>
      </c>
      <c r="R230">
        <v>5.499287614</v>
      </c>
      <c r="S230">
        <v>26946.50931</v>
      </c>
      <c r="T230">
        <v>999183.6</v>
      </c>
    </row>
    <row r="231" spans="1:20">
      <c r="A231" t="s">
        <v>20</v>
      </c>
      <c r="B231" t="s">
        <v>154</v>
      </c>
      <c r="C231">
        <v>301049751</v>
      </c>
      <c r="D231">
        <v>73239990</v>
      </c>
      <c r="E231" t="s">
        <v>1002</v>
      </c>
      <c r="N231">
        <v>2310</v>
      </c>
      <c r="O231" t="s">
        <v>2746</v>
      </c>
      <c r="P231">
        <v>540.2078745</v>
      </c>
      <c r="Q231">
        <v>1247880.19</v>
      </c>
      <c r="R231">
        <v>6.404361286</v>
      </c>
      <c r="S231">
        <v>14794.07457</v>
      </c>
      <c r="T231">
        <v>457223.3</v>
      </c>
    </row>
    <row r="232" spans="1:20">
      <c r="A232" t="s">
        <v>20</v>
      </c>
      <c r="B232" t="s">
        <v>154</v>
      </c>
      <c r="C232">
        <v>301049751</v>
      </c>
      <c r="D232">
        <v>73239990</v>
      </c>
      <c r="E232" t="s">
        <v>1003</v>
      </c>
      <c r="N232">
        <v>125</v>
      </c>
      <c r="O232" t="s">
        <v>2746</v>
      </c>
      <c r="P232">
        <v>310.49712</v>
      </c>
      <c r="Q232">
        <v>38812.14</v>
      </c>
      <c r="R232">
        <v>3.68105655</v>
      </c>
      <c r="S232">
        <v>460.1320688</v>
      </c>
      <c r="T232">
        <v>14220.7</v>
      </c>
    </row>
    <row r="233" spans="1:20">
      <c r="A233" t="s">
        <v>20</v>
      </c>
      <c r="B233" t="s">
        <v>154</v>
      </c>
      <c r="C233">
        <v>301049751</v>
      </c>
      <c r="D233">
        <v>73239990</v>
      </c>
      <c r="E233" t="s">
        <v>1004</v>
      </c>
      <c r="N233">
        <v>120</v>
      </c>
      <c r="O233" t="s">
        <v>2746</v>
      </c>
      <c r="P233">
        <v>280.9100833</v>
      </c>
      <c r="Q233">
        <v>33709.21</v>
      </c>
      <c r="R233">
        <v>3.330291444</v>
      </c>
      <c r="S233">
        <v>399.6349733</v>
      </c>
      <c r="T233">
        <v>12351</v>
      </c>
    </row>
    <row r="234" spans="1:20">
      <c r="A234" t="s">
        <v>20</v>
      </c>
      <c r="B234" t="s">
        <v>155</v>
      </c>
      <c r="C234">
        <v>301049751</v>
      </c>
      <c r="D234">
        <v>73239990</v>
      </c>
      <c r="E234" t="s">
        <v>1005</v>
      </c>
      <c r="N234">
        <v>3730</v>
      </c>
      <c r="O234" t="s">
        <v>2746</v>
      </c>
      <c r="P234">
        <v>195.9894236</v>
      </c>
      <c r="Q234">
        <v>731040.55</v>
      </c>
      <c r="R234">
        <v>2.323526065</v>
      </c>
      <c r="S234">
        <v>8666.752223</v>
      </c>
      <c r="T234">
        <v>267853.2</v>
      </c>
    </row>
    <row r="235" spans="1:20">
      <c r="A235" t="s">
        <v>20</v>
      </c>
      <c r="B235" t="s">
        <v>155</v>
      </c>
      <c r="C235">
        <v>301049751</v>
      </c>
      <c r="D235">
        <v>73239990</v>
      </c>
      <c r="E235" t="s">
        <v>1006</v>
      </c>
      <c r="N235">
        <v>1330</v>
      </c>
      <c r="O235" t="s">
        <v>2746</v>
      </c>
      <c r="P235">
        <v>504.1011278</v>
      </c>
      <c r="Q235">
        <v>670454.5</v>
      </c>
      <c r="R235">
        <v>5.976302642</v>
      </c>
      <c r="S235">
        <v>7948.482513</v>
      </c>
      <c r="T235">
        <v>245654.5</v>
      </c>
    </row>
    <row r="236" spans="1:20">
      <c r="A236" t="s">
        <v>20</v>
      </c>
      <c r="B236" t="s">
        <v>155</v>
      </c>
      <c r="C236">
        <v>301049751</v>
      </c>
      <c r="D236">
        <v>73239990</v>
      </c>
      <c r="E236" t="s">
        <v>1007</v>
      </c>
      <c r="N236">
        <v>2520</v>
      </c>
      <c r="O236" t="s">
        <v>2746</v>
      </c>
      <c r="P236">
        <v>341.8951468</v>
      </c>
      <c r="Q236">
        <v>861575.77</v>
      </c>
      <c r="R236">
        <v>4.053291604</v>
      </c>
      <c r="S236">
        <v>10214.29484</v>
      </c>
      <c r="T236">
        <v>315681.4</v>
      </c>
    </row>
    <row r="237" spans="1:20">
      <c r="A237" t="s">
        <v>20</v>
      </c>
      <c r="B237" t="s">
        <v>155</v>
      </c>
      <c r="C237">
        <v>301049751</v>
      </c>
      <c r="D237">
        <v>73239390</v>
      </c>
      <c r="E237" t="s">
        <v>1008</v>
      </c>
      <c r="N237">
        <v>4673.9</v>
      </c>
      <c r="O237" t="s">
        <v>2746</v>
      </c>
      <c r="P237">
        <v>199.2951304</v>
      </c>
      <c r="Q237">
        <v>931485.51</v>
      </c>
      <c r="R237">
        <v>2.362716424</v>
      </c>
      <c r="S237">
        <v>11043.1003</v>
      </c>
      <c r="T237">
        <v>341296.3</v>
      </c>
    </row>
    <row r="238" spans="1:20">
      <c r="A238" t="s">
        <v>20</v>
      </c>
      <c r="B238" t="s">
        <v>155</v>
      </c>
      <c r="C238">
        <v>301049751</v>
      </c>
      <c r="D238">
        <v>73239990</v>
      </c>
      <c r="E238" t="s">
        <v>1009</v>
      </c>
      <c r="N238">
        <v>147</v>
      </c>
      <c r="O238" t="s">
        <v>2746</v>
      </c>
      <c r="P238">
        <v>502.9091837</v>
      </c>
      <c r="Q238">
        <v>73927.64999999999</v>
      </c>
      <c r="R238">
        <v>5.962171709</v>
      </c>
      <c r="S238">
        <v>876.4392413</v>
      </c>
      <c r="T238">
        <v>27087.1</v>
      </c>
    </row>
    <row r="239" spans="1:20">
      <c r="A239" t="s">
        <v>20</v>
      </c>
      <c r="B239" t="s">
        <v>155</v>
      </c>
      <c r="C239">
        <v>301049751</v>
      </c>
      <c r="D239">
        <v>73239990</v>
      </c>
      <c r="E239" t="s">
        <v>1010</v>
      </c>
      <c r="N239">
        <v>1500</v>
      </c>
      <c r="O239" t="s">
        <v>2746</v>
      </c>
      <c r="P239">
        <v>589.2358133</v>
      </c>
      <c r="Q239">
        <v>883853.72</v>
      </c>
      <c r="R239">
        <v>6.985605374</v>
      </c>
      <c r="S239">
        <v>10478.40806</v>
      </c>
      <c r="T239">
        <v>323844</v>
      </c>
    </row>
    <row r="240" spans="1:20">
      <c r="A240" t="s">
        <v>20</v>
      </c>
      <c r="B240" t="s">
        <v>155</v>
      </c>
      <c r="C240">
        <v>301049751</v>
      </c>
      <c r="D240">
        <v>73239990</v>
      </c>
      <c r="E240" t="s">
        <v>1011</v>
      </c>
      <c r="N240">
        <v>357</v>
      </c>
      <c r="O240" t="s">
        <v>2746</v>
      </c>
      <c r="P240">
        <v>1225.781457</v>
      </c>
      <c r="Q240">
        <v>437603.98</v>
      </c>
      <c r="R240">
        <v>14.53208603</v>
      </c>
      <c r="S240">
        <v>5187.954713</v>
      </c>
      <c r="T240">
        <v>160338.1</v>
      </c>
    </row>
    <row r="241" spans="1:20">
      <c r="A241" t="s">
        <v>20</v>
      </c>
      <c r="B241" t="s">
        <v>155</v>
      </c>
      <c r="C241">
        <v>301049751</v>
      </c>
      <c r="D241">
        <v>73239990</v>
      </c>
      <c r="E241" t="s">
        <v>1012</v>
      </c>
      <c r="N241">
        <v>3864</v>
      </c>
      <c r="O241" t="s">
        <v>2746</v>
      </c>
      <c r="P241">
        <v>412.1295238</v>
      </c>
      <c r="Q241">
        <v>1592468.48</v>
      </c>
      <c r="R241">
        <v>4.885945748</v>
      </c>
      <c r="S241">
        <v>18879.29437</v>
      </c>
      <c r="T241">
        <v>583480.5</v>
      </c>
    </row>
    <row r="242" spans="1:20">
      <c r="A242" t="s">
        <v>20</v>
      </c>
      <c r="B242" t="s">
        <v>155</v>
      </c>
      <c r="C242">
        <v>301049751</v>
      </c>
      <c r="D242">
        <v>73239990</v>
      </c>
      <c r="E242" t="s">
        <v>1013</v>
      </c>
      <c r="N242">
        <v>1750</v>
      </c>
      <c r="O242" t="s">
        <v>2746</v>
      </c>
      <c r="P242">
        <v>558.8415771</v>
      </c>
      <c r="Q242">
        <v>977972.76</v>
      </c>
      <c r="R242">
        <v>6.625270624</v>
      </c>
      <c r="S242">
        <v>11594.22359</v>
      </c>
      <c r="T242">
        <v>358329.3</v>
      </c>
    </row>
    <row r="243" spans="1:20">
      <c r="A243" t="s">
        <v>20</v>
      </c>
      <c r="B243" t="s">
        <v>155</v>
      </c>
      <c r="C243">
        <v>301049751</v>
      </c>
      <c r="D243">
        <v>73239390</v>
      </c>
      <c r="E243" t="s">
        <v>1014</v>
      </c>
      <c r="N243">
        <v>3196</v>
      </c>
      <c r="O243" t="s">
        <v>2746</v>
      </c>
      <c r="P243">
        <v>200.7746214</v>
      </c>
      <c r="Q243">
        <v>641675.6899999999</v>
      </c>
      <c r="R243">
        <v>2.38025633</v>
      </c>
      <c r="S243">
        <v>7607.299229</v>
      </c>
      <c r="T243">
        <v>235109.9</v>
      </c>
    </row>
    <row r="244" spans="1:20">
      <c r="A244" t="s">
        <v>20</v>
      </c>
      <c r="B244" t="s">
        <v>156</v>
      </c>
      <c r="C244">
        <v>301049751</v>
      </c>
      <c r="D244">
        <v>73239990</v>
      </c>
      <c r="E244" t="s">
        <v>1015</v>
      </c>
      <c r="N244">
        <v>3729.6</v>
      </c>
      <c r="O244" t="s">
        <v>2746</v>
      </c>
      <c r="P244">
        <v>262.8018715</v>
      </c>
      <c r="Q244">
        <v>980145.86</v>
      </c>
      <c r="R244">
        <v>3.115611992</v>
      </c>
      <c r="S244">
        <v>11619.98648</v>
      </c>
      <c r="T244">
        <v>359125.5</v>
      </c>
    </row>
    <row r="245" spans="1:20">
      <c r="A245" t="s">
        <v>20</v>
      </c>
      <c r="B245" t="s">
        <v>156</v>
      </c>
      <c r="C245">
        <v>301049751</v>
      </c>
      <c r="D245">
        <v>73239990</v>
      </c>
      <c r="E245" t="s">
        <v>1016</v>
      </c>
      <c r="N245">
        <v>13125.2</v>
      </c>
      <c r="O245" t="s">
        <v>2746</v>
      </c>
      <c r="P245">
        <v>287.8240118</v>
      </c>
      <c r="Q245">
        <v>3777747.72</v>
      </c>
      <c r="R245">
        <v>3.412258587</v>
      </c>
      <c r="S245">
        <v>44786.57641</v>
      </c>
      <c r="T245">
        <v>1384166.8</v>
      </c>
    </row>
    <row r="246" spans="1:20">
      <c r="A246" t="s">
        <v>20</v>
      </c>
      <c r="B246" t="s">
        <v>157</v>
      </c>
      <c r="C246">
        <v>301049751</v>
      </c>
      <c r="D246">
        <v>73239990</v>
      </c>
      <c r="E246" t="s">
        <v>1017</v>
      </c>
      <c r="N246">
        <v>3500</v>
      </c>
      <c r="O246" t="s">
        <v>2746</v>
      </c>
      <c r="P246">
        <v>413.4393343</v>
      </c>
      <c r="Q246">
        <v>1447037.67</v>
      </c>
      <c r="R246">
        <v>4.901474028</v>
      </c>
      <c r="S246">
        <v>17155.1591</v>
      </c>
      <c r="T246">
        <v>530194.6</v>
      </c>
    </row>
    <row r="247" spans="1:20">
      <c r="A247" t="s">
        <v>20</v>
      </c>
      <c r="B247" t="s">
        <v>157</v>
      </c>
      <c r="C247">
        <v>301049751</v>
      </c>
      <c r="D247">
        <v>73239990</v>
      </c>
      <c r="E247" t="s">
        <v>1018</v>
      </c>
      <c r="N247">
        <v>2635</v>
      </c>
      <c r="O247" t="s">
        <v>2746</v>
      </c>
      <c r="P247">
        <v>399.3701366</v>
      </c>
      <c r="Q247">
        <v>1052340.31</v>
      </c>
      <c r="R247">
        <v>4.734678561</v>
      </c>
      <c r="S247">
        <v>12475.87801</v>
      </c>
      <c r="T247">
        <v>385577.5</v>
      </c>
    </row>
    <row r="248" spans="1:20">
      <c r="A248" t="s">
        <v>20</v>
      </c>
      <c r="B248" t="s">
        <v>157</v>
      </c>
      <c r="C248">
        <v>301049751</v>
      </c>
      <c r="D248">
        <v>73239990</v>
      </c>
      <c r="E248" t="s">
        <v>1019</v>
      </c>
      <c r="N248">
        <v>2800</v>
      </c>
      <c r="O248" t="s">
        <v>2746</v>
      </c>
      <c r="P248">
        <v>539.2207429</v>
      </c>
      <c r="Q248">
        <v>1509818.08</v>
      </c>
      <c r="R248">
        <v>6.392658481</v>
      </c>
      <c r="S248">
        <v>17899.44375</v>
      </c>
      <c r="T248">
        <v>553197.4</v>
      </c>
    </row>
    <row r="249" spans="1:20">
      <c r="A249" t="s">
        <v>20</v>
      </c>
      <c r="B249" t="s">
        <v>157</v>
      </c>
      <c r="C249">
        <v>301049751</v>
      </c>
      <c r="D249">
        <v>73239390</v>
      </c>
      <c r="E249" t="s">
        <v>1020</v>
      </c>
      <c r="N249">
        <v>5984</v>
      </c>
      <c r="O249" t="s">
        <v>2746</v>
      </c>
      <c r="P249">
        <v>211.8011063</v>
      </c>
      <c r="Q249">
        <v>1267417.82</v>
      </c>
      <c r="R249">
        <v>2.510979328</v>
      </c>
      <c r="S249">
        <v>15025.7003</v>
      </c>
      <c r="T249">
        <v>464382</v>
      </c>
    </row>
    <row r="250" spans="1:20">
      <c r="A250" t="s">
        <v>20</v>
      </c>
      <c r="B250" t="s">
        <v>157</v>
      </c>
      <c r="C250">
        <v>301049751</v>
      </c>
      <c r="D250">
        <v>73239390</v>
      </c>
      <c r="E250" t="s">
        <v>1021</v>
      </c>
      <c r="N250">
        <v>10726.1</v>
      </c>
      <c r="O250" t="s">
        <v>2746</v>
      </c>
      <c r="P250">
        <v>210.2306812</v>
      </c>
      <c r="Q250">
        <v>2254955.31</v>
      </c>
      <c r="R250">
        <v>2.492361366</v>
      </c>
      <c r="S250">
        <v>26733.31725</v>
      </c>
      <c r="T250">
        <v>826215.7</v>
      </c>
    </row>
    <row r="251" spans="1:20">
      <c r="A251" t="s">
        <v>20</v>
      </c>
      <c r="B251" t="s">
        <v>157</v>
      </c>
      <c r="C251">
        <v>301049751</v>
      </c>
      <c r="D251">
        <v>73239990</v>
      </c>
      <c r="E251" t="s">
        <v>1022</v>
      </c>
      <c r="N251">
        <v>2250</v>
      </c>
      <c r="O251" t="s">
        <v>2746</v>
      </c>
      <c r="P251">
        <v>444.5847556</v>
      </c>
      <c r="Q251">
        <v>1000315.7</v>
      </c>
      <c r="R251">
        <v>5.270714352</v>
      </c>
      <c r="S251">
        <v>11859.10729</v>
      </c>
      <c r="T251">
        <v>366515.6</v>
      </c>
    </row>
    <row r="252" spans="1:20">
      <c r="A252" t="s">
        <v>20</v>
      </c>
      <c r="B252" t="s">
        <v>157</v>
      </c>
      <c r="C252">
        <v>301049751</v>
      </c>
      <c r="D252">
        <v>73239990</v>
      </c>
      <c r="E252" t="s">
        <v>1023</v>
      </c>
      <c r="N252">
        <v>612.5</v>
      </c>
      <c r="O252" t="s">
        <v>2746</v>
      </c>
      <c r="P252">
        <v>385.4862041</v>
      </c>
      <c r="Q252">
        <v>236110.3</v>
      </c>
      <c r="R252">
        <v>4.570079479</v>
      </c>
      <c r="S252">
        <v>2799.173681</v>
      </c>
      <c r="T252">
        <v>86510.89999999999</v>
      </c>
    </row>
    <row r="253" spans="1:20">
      <c r="A253" t="s">
        <v>20</v>
      </c>
      <c r="B253" t="s">
        <v>158</v>
      </c>
      <c r="C253">
        <v>301049751</v>
      </c>
      <c r="D253">
        <v>73231000</v>
      </c>
      <c r="E253" t="s">
        <v>1024</v>
      </c>
      <c r="N253">
        <v>4928</v>
      </c>
      <c r="O253" t="s">
        <v>2746</v>
      </c>
      <c r="P253">
        <v>463.7218933</v>
      </c>
      <c r="Q253">
        <v>2285221.49</v>
      </c>
      <c r="R253">
        <v>5.497592096</v>
      </c>
      <c r="S253">
        <v>27092.13385</v>
      </c>
      <c r="T253">
        <v>1004583.3</v>
      </c>
    </row>
    <row r="254" spans="1:20">
      <c r="A254" t="s">
        <v>20</v>
      </c>
      <c r="B254" t="s">
        <v>159</v>
      </c>
      <c r="C254">
        <v>301049751</v>
      </c>
      <c r="D254">
        <v>73239990</v>
      </c>
      <c r="E254" t="s">
        <v>1025</v>
      </c>
      <c r="N254">
        <v>2701.55</v>
      </c>
      <c r="O254" t="s">
        <v>2746</v>
      </c>
      <c r="P254">
        <v>469.0563491</v>
      </c>
      <c r="Q254">
        <v>1267179.18</v>
      </c>
      <c r="R254">
        <v>5.560834015</v>
      </c>
      <c r="S254">
        <v>15022.87113</v>
      </c>
      <c r="T254">
        <v>464294.4</v>
      </c>
    </row>
    <row r="255" spans="1:20">
      <c r="A255" t="s">
        <v>20</v>
      </c>
      <c r="B255" t="s">
        <v>159</v>
      </c>
      <c r="C255">
        <v>301049751</v>
      </c>
      <c r="D255">
        <v>73239990</v>
      </c>
      <c r="E255" t="s">
        <v>1026</v>
      </c>
      <c r="N255">
        <v>5902.74</v>
      </c>
      <c r="O255" t="s">
        <v>2746</v>
      </c>
      <c r="P255">
        <v>489.0008098</v>
      </c>
      <c r="Q255">
        <v>2886444.64</v>
      </c>
      <c r="R255">
        <v>5.797282867</v>
      </c>
      <c r="S255">
        <v>34219.85347</v>
      </c>
      <c r="T255">
        <v>1057593.3</v>
      </c>
    </row>
    <row r="256" spans="1:20">
      <c r="A256" t="s">
        <v>20</v>
      </c>
      <c r="B256" t="s">
        <v>159</v>
      </c>
      <c r="C256">
        <v>301049751</v>
      </c>
      <c r="D256">
        <v>73239990</v>
      </c>
      <c r="E256" t="s">
        <v>1027</v>
      </c>
      <c r="N256">
        <v>10348.75</v>
      </c>
      <c r="O256" t="s">
        <v>2746</v>
      </c>
      <c r="P256">
        <v>629.0640802</v>
      </c>
      <c r="Q256">
        <v>6510026.9</v>
      </c>
      <c r="R256">
        <v>7.457783998</v>
      </c>
      <c r="S256">
        <v>77178.74215000001</v>
      </c>
      <c r="T256">
        <v>2385273.8</v>
      </c>
    </row>
    <row r="257" spans="1:20">
      <c r="A257" t="s">
        <v>20</v>
      </c>
      <c r="B257" t="s">
        <v>159</v>
      </c>
      <c r="C257">
        <v>301049751</v>
      </c>
      <c r="D257">
        <v>73239990</v>
      </c>
      <c r="E257" t="s">
        <v>1028</v>
      </c>
      <c r="N257">
        <v>10800</v>
      </c>
      <c r="O257" t="s">
        <v>2746</v>
      </c>
      <c r="P257">
        <v>479.3297241</v>
      </c>
      <c r="Q257">
        <v>5176761.02</v>
      </c>
      <c r="R257">
        <v>5.68262862</v>
      </c>
      <c r="S257">
        <v>61372.38909</v>
      </c>
      <c r="T257">
        <v>1896765.2</v>
      </c>
    </row>
    <row r="258" spans="1:20">
      <c r="A258" t="s">
        <v>20</v>
      </c>
      <c r="B258" t="s">
        <v>159</v>
      </c>
      <c r="C258">
        <v>301049751</v>
      </c>
      <c r="D258">
        <v>73239990</v>
      </c>
      <c r="E258" t="s">
        <v>1029</v>
      </c>
      <c r="N258">
        <v>971.5</v>
      </c>
      <c r="O258" t="s">
        <v>2746</v>
      </c>
      <c r="P258">
        <v>628.8058363</v>
      </c>
      <c r="Q258">
        <v>610884.87</v>
      </c>
      <c r="R258">
        <v>7.454722422</v>
      </c>
      <c r="S258">
        <v>7242.262833</v>
      </c>
      <c r="T258">
        <v>223828.2</v>
      </c>
    </row>
    <row r="259" spans="1:20">
      <c r="A259" t="s">
        <v>20</v>
      </c>
      <c r="B259" t="s">
        <v>160</v>
      </c>
      <c r="C259">
        <v>301049751</v>
      </c>
      <c r="D259">
        <v>73239990</v>
      </c>
      <c r="E259" t="s">
        <v>1030</v>
      </c>
      <c r="N259">
        <v>7193.6</v>
      </c>
      <c r="O259" t="s">
        <v>2746</v>
      </c>
      <c r="P259">
        <v>687.9634564</v>
      </c>
      <c r="Q259">
        <v>4948933.92</v>
      </c>
      <c r="R259">
        <v>8.156057574</v>
      </c>
      <c r="S259">
        <v>58671.41577</v>
      </c>
      <c r="T259">
        <v>1813289.4</v>
      </c>
    </row>
    <row r="260" spans="1:20">
      <c r="A260" t="s">
        <v>20</v>
      </c>
      <c r="B260" t="s">
        <v>161</v>
      </c>
      <c r="C260">
        <v>301049751</v>
      </c>
      <c r="D260">
        <v>73239990</v>
      </c>
      <c r="E260" t="s">
        <v>1031</v>
      </c>
      <c r="N260">
        <v>5957.6</v>
      </c>
      <c r="O260" t="s">
        <v>2746</v>
      </c>
      <c r="P260">
        <v>379.329663</v>
      </c>
      <c r="Q260">
        <v>2259894.4</v>
      </c>
      <c r="R260">
        <v>4.49709144</v>
      </c>
      <c r="S260">
        <v>26791.87196</v>
      </c>
      <c r="T260">
        <v>828025.3</v>
      </c>
    </row>
    <row r="261" spans="1:20">
      <c r="A261" t="s">
        <v>20</v>
      </c>
      <c r="B261" t="s">
        <v>161</v>
      </c>
      <c r="C261">
        <v>301049751</v>
      </c>
      <c r="D261">
        <v>73239990</v>
      </c>
      <c r="E261" t="s">
        <v>1032</v>
      </c>
      <c r="N261">
        <v>3465</v>
      </c>
      <c r="O261" t="s">
        <v>2746</v>
      </c>
      <c r="P261">
        <v>474.2771429</v>
      </c>
      <c r="Q261">
        <v>1643370.3</v>
      </c>
      <c r="R261">
        <v>5.622728427</v>
      </c>
      <c r="S261">
        <v>19482.754</v>
      </c>
      <c r="T261">
        <v>602130.9</v>
      </c>
    </row>
    <row r="262" spans="1:20">
      <c r="A262" t="s">
        <v>20</v>
      </c>
      <c r="B262" t="s">
        <v>161</v>
      </c>
      <c r="C262">
        <v>301049751</v>
      </c>
      <c r="D262">
        <v>73239990</v>
      </c>
      <c r="E262" t="s">
        <v>1033</v>
      </c>
      <c r="N262">
        <v>1500</v>
      </c>
      <c r="O262" t="s">
        <v>2746</v>
      </c>
      <c r="P262">
        <v>584.9195</v>
      </c>
      <c r="Q262">
        <v>877379.25</v>
      </c>
      <c r="R262">
        <v>6.934433906</v>
      </c>
      <c r="S262">
        <v>10401.65086</v>
      </c>
      <c r="T262">
        <v>321471.8</v>
      </c>
    </row>
    <row r="263" spans="1:20">
      <c r="A263" t="s">
        <v>20</v>
      </c>
      <c r="B263" t="s">
        <v>162</v>
      </c>
      <c r="C263">
        <v>301049751</v>
      </c>
      <c r="D263">
        <v>73239990</v>
      </c>
      <c r="E263" t="s">
        <v>1034</v>
      </c>
      <c r="N263">
        <v>4004</v>
      </c>
      <c r="O263" t="s">
        <v>2746</v>
      </c>
      <c r="P263">
        <v>387.9460564</v>
      </c>
      <c r="Q263">
        <v>1553336.01</v>
      </c>
      <c r="R263">
        <v>4.596517256</v>
      </c>
      <c r="S263">
        <v>18404.45509</v>
      </c>
      <c r="T263">
        <v>569142.3</v>
      </c>
    </row>
    <row r="264" spans="1:20">
      <c r="A264" t="s">
        <v>20</v>
      </c>
      <c r="B264" t="s">
        <v>162</v>
      </c>
      <c r="C264">
        <v>301049751</v>
      </c>
      <c r="D264">
        <v>73239990</v>
      </c>
      <c r="E264" t="s">
        <v>1035</v>
      </c>
      <c r="N264">
        <v>5712</v>
      </c>
      <c r="O264" t="s">
        <v>2746</v>
      </c>
      <c r="P264">
        <v>265.3941632</v>
      </c>
      <c r="Q264">
        <v>1515931.46</v>
      </c>
      <c r="R264">
        <v>3.144480606</v>
      </c>
      <c r="S264">
        <v>17961.27322</v>
      </c>
      <c r="T264">
        <v>555437.3</v>
      </c>
    </row>
    <row r="265" spans="1:20">
      <c r="A265" t="s">
        <v>20</v>
      </c>
      <c r="B265" t="s">
        <v>163</v>
      </c>
      <c r="C265">
        <v>301049751</v>
      </c>
      <c r="D265">
        <v>73239990</v>
      </c>
      <c r="E265" t="s">
        <v>1036</v>
      </c>
      <c r="N265">
        <v>23760</v>
      </c>
      <c r="O265" t="s">
        <v>2746</v>
      </c>
      <c r="P265">
        <v>217.9782799</v>
      </c>
      <c r="Q265">
        <v>5179163.93</v>
      </c>
      <c r="R265">
        <v>2.582681041</v>
      </c>
      <c r="S265">
        <v>61364.50154</v>
      </c>
      <c r="T265">
        <v>1897645.7</v>
      </c>
    </row>
    <row r="266" spans="1:20">
      <c r="A266" t="s">
        <v>20</v>
      </c>
      <c r="B266" t="s">
        <v>164</v>
      </c>
      <c r="C266">
        <v>301049751</v>
      </c>
      <c r="D266">
        <v>73231000</v>
      </c>
      <c r="E266" t="s">
        <v>1037</v>
      </c>
      <c r="N266">
        <v>4900</v>
      </c>
      <c r="O266" t="s">
        <v>2746</v>
      </c>
      <c r="P266">
        <v>451.8355633</v>
      </c>
      <c r="Q266">
        <v>2213994.26</v>
      </c>
      <c r="R266">
        <v>5.353501934</v>
      </c>
      <c r="S266">
        <v>26232.15948</v>
      </c>
      <c r="T266">
        <v>973271.9</v>
      </c>
    </row>
    <row r="267" spans="1:20">
      <c r="A267" t="s">
        <v>20</v>
      </c>
      <c r="B267" t="s">
        <v>165</v>
      </c>
      <c r="C267">
        <v>301049751</v>
      </c>
      <c r="D267">
        <v>73231000</v>
      </c>
      <c r="E267" t="s">
        <v>1038</v>
      </c>
      <c r="N267">
        <v>8782</v>
      </c>
      <c r="O267" t="s">
        <v>2746</v>
      </c>
      <c r="P267">
        <v>234.1808768</v>
      </c>
      <c r="Q267">
        <v>2056576.46</v>
      </c>
      <c r="R267">
        <v>2.776299666</v>
      </c>
      <c r="S267">
        <v>24381.46366</v>
      </c>
      <c r="T267">
        <v>904071</v>
      </c>
    </row>
    <row r="268" spans="1:20">
      <c r="A268" t="s">
        <v>20</v>
      </c>
      <c r="B268" t="s">
        <v>165</v>
      </c>
      <c r="C268">
        <v>301049751</v>
      </c>
      <c r="D268">
        <v>73239990</v>
      </c>
      <c r="E268" t="s">
        <v>1039</v>
      </c>
      <c r="N268">
        <v>2934.8</v>
      </c>
      <c r="O268" t="s">
        <v>2746</v>
      </c>
      <c r="P268">
        <v>376.0516594</v>
      </c>
      <c r="Q268">
        <v>1103636.41</v>
      </c>
      <c r="R268">
        <v>4.458229513</v>
      </c>
      <c r="S268">
        <v>13084.01197</v>
      </c>
      <c r="T268">
        <v>404372.4</v>
      </c>
    </row>
    <row r="269" spans="1:20">
      <c r="A269" t="s">
        <v>20</v>
      </c>
      <c r="B269" t="s">
        <v>165</v>
      </c>
      <c r="C269">
        <v>301049751</v>
      </c>
      <c r="D269">
        <v>73239990</v>
      </c>
      <c r="E269" t="s">
        <v>1040</v>
      </c>
      <c r="N269">
        <v>6930</v>
      </c>
      <c r="O269" t="s">
        <v>2746</v>
      </c>
      <c r="P269">
        <v>470.1786465</v>
      </c>
      <c r="Q269">
        <v>3258338.02</v>
      </c>
      <c r="R269">
        <v>5.574139259</v>
      </c>
      <c r="S269">
        <v>38628.78506</v>
      </c>
      <c r="T269">
        <v>1193855.1</v>
      </c>
    </row>
    <row r="270" spans="1:20">
      <c r="A270" t="s">
        <v>20</v>
      </c>
      <c r="B270" t="s">
        <v>165</v>
      </c>
      <c r="C270">
        <v>301049751</v>
      </c>
      <c r="D270">
        <v>73239990</v>
      </c>
      <c r="E270" t="s">
        <v>1041</v>
      </c>
      <c r="N270">
        <v>2310</v>
      </c>
      <c r="O270" t="s">
        <v>2746</v>
      </c>
      <c r="P270">
        <v>540.9929697</v>
      </c>
      <c r="Q270">
        <v>1249693.76</v>
      </c>
      <c r="R270">
        <v>6.413668876</v>
      </c>
      <c r="S270">
        <v>14815.5751</v>
      </c>
      <c r="T270">
        <v>457887.9</v>
      </c>
    </row>
    <row r="271" spans="1:20">
      <c r="A271" t="s">
        <v>20</v>
      </c>
      <c r="B271" t="s">
        <v>166</v>
      </c>
      <c r="C271">
        <v>301049751</v>
      </c>
      <c r="D271">
        <v>73239990</v>
      </c>
      <c r="E271" t="s">
        <v>1042</v>
      </c>
      <c r="N271">
        <v>2167.2</v>
      </c>
      <c r="O271" t="s">
        <v>2746</v>
      </c>
      <c r="P271">
        <v>263.6085225</v>
      </c>
      <c r="Q271">
        <v>571292.39</v>
      </c>
      <c r="R271">
        <v>3.125175134</v>
      </c>
      <c r="S271">
        <v>6772.879549</v>
      </c>
      <c r="T271">
        <v>209321.5</v>
      </c>
    </row>
    <row r="272" spans="1:20">
      <c r="A272" t="s">
        <v>20</v>
      </c>
      <c r="B272" t="s">
        <v>167</v>
      </c>
      <c r="C272">
        <v>301049751</v>
      </c>
      <c r="D272">
        <v>73239990</v>
      </c>
      <c r="E272" t="s">
        <v>1043</v>
      </c>
      <c r="N272">
        <v>7646.9</v>
      </c>
      <c r="O272" t="s">
        <v>2746</v>
      </c>
      <c r="P272">
        <v>524.3423662</v>
      </c>
      <c r="Q272">
        <v>4009593.64</v>
      </c>
      <c r="R272">
        <v>6.216269901</v>
      </c>
      <c r="S272">
        <v>47535.19431</v>
      </c>
      <c r="T272">
        <v>1469115.1</v>
      </c>
    </row>
    <row r="273" spans="1:20">
      <c r="A273" t="s">
        <v>20</v>
      </c>
      <c r="B273" t="s">
        <v>167</v>
      </c>
      <c r="C273">
        <v>301049751</v>
      </c>
      <c r="D273">
        <v>73239990</v>
      </c>
      <c r="E273" t="s">
        <v>1044</v>
      </c>
      <c r="N273">
        <v>78.2</v>
      </c>
      <c r="O273" t="s">
        <v>2746</v>
      </c>
      <c r="P273">
        <v>674.8057545</v>
      </c>
      <c r="Q273">
        <v>52769.81</v>
      </c>
      <c r="R273">
        <v>8.000068220999999</v>
      </c>
      <c r="S273">
        <v>625.6053349</v>
      </c>
      <c r="T273">
        <v>19334.9</v>
      </c>
    </row>
    <row r="274" spans="1:20">
      <c r="A274" t="s">
        <v>20</v>
      </c>
      <c r="B274" t="s">
        <v>167</v>
      </c>
      <c r="C274">
        <v>301049751</v>
      </c>
      <c r="D274">
        <v>73239990</v>
      </c>
      <c r="E274" t="s">
        <v>1045</v>
      </c>
      <c r="N274">
        <v>786.24</v>
      </c>
      <c r="O274" t="s">
        <v>2746</v>
      </c>
      <c r="P274">
        <v>486.5292404</v>
      </c>
      <c r="Q274">
        <v>382528.75</v>
      </c>
      <c r="R274">
        <v>5.767981511</v>
      </c>
      <c r="S274">
        <v>4535.017783</v>
      </c>
      <c r="T274">
        <v>140158.6</v>
      </c>
    </row>
    <row r="275" spans="1:20">
      <c r="A275" t="s">
        <v>20</v>
      </c>
      <c r="B275" t="s">
        <v>168</v>
      </c>
      <c r="C275">
        <v>301049751</v>
      </c>
      <c r="D275">
        <v>73239990</v>
      </c>
      <c r="E275" t="s">
        <v>1046</v>
      </c>
      <c r="N275">
        <v>11005</v>
      </c>
      <c r="O275" t="s">
        <v>2746</v>
      </c>
      <c r="P275">
        <v>464.8086052</v>
      </c>
      <c r="Q275">
        <v>5115218.7</v>
      </c>
      <c r="R275">
        <v>5.510475462</v>
      </c>
      <c r="S275">
        <v>60642.78245</v>
      </c>
      <c r="T275">
        <v>1874216.1</v>
      </c>
    </row>
    <row r="276" spans="1:20">
      <c r="A276" t="s">
        <v>20</v>
      </c>
      <c r="B276" t="s">
        <v>168</v>
      </c>
      <c r="C276">
        <v>301049751</v>
      </c>
      <c r="D276">
        <v>73239990</v>
      </c>
      <c r="E276" t="s">
        <v>1047</v>
      </c>
      <c r="N276">
        <v>9568</v>
      </c>
      <c r="O276" t="s">
        <v>2746</v>
      </c>
      <c r="P276">
        <v>664.4458926</v>
      </c>
      <c r="Q276">
        <v>6357418.3</v>
      </c>
      <c r="R276">
        <v>7.877248282</v>
      </c>
      <c r="S276">
        <v>75369.51156</v>
      </c>
      <c r="T276">
        <v>2329358.1</v>
      </c>
    </row>
    <row r="277" spans="1:20">
      <c r="A277" t="s">
        <v>20</v>
      </c>
      <c r="B277" t="s">
        <v>168</v>
      </c>
      <c r="C277">
        <v>301049751</v>
      </c>
      <c r="D277">
        <v>73239990</v>
      </c>
      <c r="E277" t="s">
        <v>1048</v>
      </c>
      <c r="N277">
        <v>10849.28</v>
      </c>
      <c r="O277" t="s">
        <v>2746</v>
      </c>
      <c r="P277">
        <v>479.0598252</v>
      </c>
      <c r="Q277">
        <v>5197454.18</v>
      </c>
      <c r="R277">
        <v>5.67942887</v>
      </c>
      <c r="S277">
        <v>61617.71405</v>
      </c>
      <c r="T277">
        <v>1904347.2</v>
      </c>
    </row>
    <row r="278" spans="1:20">
      <c r="A278" t="s">
        <v>20</v>
      </c>
      <c r="B278" t="s">
        <v>168</v>
      </c>
      <c r="C278">
        <v>301049751</v>
      </c>
      <c r="D278">
        <v>73239990</v>
      </c>
      <c r="E278" t="s">
        <v>1049</v>
      </c>
      <c r="N278">
        <v>7759.7</v>
      </c>
      <c r="O278" t="s">
        <v>2746</v>
      </c>
      <c r="P278">
        <v>516.292425</v>
      </c>
      <c r="Q278">
        <v>4006274.33</v>
      </c>
      <c r="R278">
        <v>6.120834914</v>
      </c>
      <c r="S278">
        <v>47495.84268</v>
      </c>
      <c r="T278">
        <v>1467899</v>
      </c>
    </row>
    <row r="279" spans="1:20">
      <c r="A279" t="s">
        <v>20</v>
      </c>
      <c r="B279" t="s">
        <v>168</v>
      </c>
      <c r="C279">
        <v>301049751</v>
      </c>
      <c r="D279">
        <v>73239990</v>
      </c>
      <c r="E279" t="s">
        <v>1050</v>
      </c>
      <c r="N279">
        <v>1615</v>
      </c>
      <c r="O279" t="s">
        <v>2746</v>
      </c>
      <c r="P279">
        <v>581.1973994</v>
      </c>
      <c r="Q279">
        <v>938633.8</v>
      </c>
      <c r="R279">
        <v>6.890307047</v>
      </c>
      <c r="S279">
        <v>11127.84588</v>
      </c>
      <c r="T279">
        <v>343915.5</v>
      </c>
    </row>
    <row r="280" spans="1:20">
      <c r="A280" t="s">
        <v>20</v>
      </c>
      <c r="B280" t="s">
        <v>169</v>
      </c>
      <c r="C280">
        <v>301049751</v>
      </c>
      <c r="D280">
        <v>73239990</v>
      </c>
      <c r="E280" t="s">
        <v>1051</v>
      </c>
      <c r="N280">
        <v>338</v>
      </c>
      <c r="O280" t="s">
        <v>2746</v>
      </c>
      <c r="P280">
        <v>296.9714793</v>
      </c>
      <c r="Q280">
        <v>100376.36</v>
      </c>
      <c r="R280">
        <v>3.535374753</v>
      </c>
      <c r="S280">
        <v>1194.956667</v>
      </c>
      <c r="T280">
        <v>36777.9</v>
      </c>
    </row>
    <row r="281" spans="1:20">
      <c r="A281" t="s">
        <v>20</v>
      </c>
      <c r="B281" t="s">
        <v>169</v>
      </c>
      <c r="C281">
        <v>301049751</v>
      </c>
      <c r="D281">
        <v>73239990</v>
      </c>
      <c r="E281" t="s">
        <v>1052</v>
      </c>
      <c r="N281">
        <v>279.2</v>
      </c>
      <c r="O281" t="s">
        <v>2746</v>
      </c>
      <c r="P281">
        <v>375.6989613</v>
      </c>
      <c r="Q281">
        <v>104895.15</v>
      </c>
      <c r="R281">
        <v>4.472606682</v>
      </c>
      <c r="S281">
        <v>1248.751786</v>
      </c>
      <c r="T281">
        <v>38433.6</v>
      </c>
    </row>
    <row r="282" spans="1:20">
      <c r="A282" t="s">
        <v>20</v>
      </c>
      <c r="B282" t="s">
        <v>169</v>
      </c>
      <c r="C282">
        <v>301049751</v>
      </c>
      <c r="D282">
        <v>73239990</v>
      </c>
      <c r="E282" t="s">
        <v>1053</v>
      </c>
      <c r="N282">
        <v>435.6</v>
      </c>
      <c r="O282" t="s">
        <v>2746</v>
      </c>
      <c r="P282">
        <v>272.4374197</v>
      </c>
      <c r="Q282">
        <v>118673.74</v>
      </c>
      <c r="R282">
        <v>3.243302615</v>
      </c>
      <c r="S282">
        <v>1412.782619</v>
      </c>
      <c r="T282">
        <v>43482</v>
      </c>
    </row>
    <row r="283" spans="1:20">
      <c r="A283" t="s">
        <v>20</v>
      </c>
      <c r="B283" t="s">
        <v>169</v>
      </c>
      <c r="C283">
        <v>301049751</v>
      </c>
      <c r="D283">
        <v>73239990</v>
      </c>
      <c r="E283" t="s">
        <v>1054</v>
      </c>
      <c r="N283">
        <v>99.59999999999999</v>
      </c>
      <c r="O283" t="s">
        <v>2746</v>
      </c>
      <c r="P283">
        <v>383.7802209</v>
      </c>
      <c r="Q283">
        <v>38224.51</v>
      </c>
      <c r="R283">
        <v>4.568812153</v>
      </c>
      <c r="S283">
        <v>455.0536905</v>
      </c>
      <c r="T283">
        <v>14005.5</v>
      </c>
    </row>
    <row r="284" spans="1:20">
      <c r="A284" t="s">
        <v>20</v>
      </c>
      <c r="B284" t="s">
        <v>169</v>
      </c>
      <c r="C284">
        <v>301049751</v>
      </c>
      <c r="D284">
        <v>73239990</v>
      </c>
      <c r="E284" t="s">
        <v>1055</v>
      </c>
      <c r="N284">
        <v>255.6</v>
      </c>
      <c r="O284" t="s">
        <v>2746</v>
      </c>
      <c r="P284">
        <v>292.1405321</v>
      </c>
      <c r="Q284">
        <v>74671.12</v>
      </c>
      <c r="R284">
        <v>3.477863477</v>
      </c>
      <c r="S284">
        <v>888.9419048</v>
      </c>
      <c r="T284">
        <v>27359.5</v>
      </c>
    </row>
    <row r="285" spans="1:20">
      <c r="A285" t="s">
        <v>20</v>
      </c>
      <c r="B285" t="s">
        <v>169</v>
      </c>
      <c r="C285">
        <v>301049751</v>
      </c>
      <c r="D285">
        <v>73239990</v>
      </c>
      <c r="E285" t="s">
        <v>1056</v>
      </c>
      <c r="N285">
        <v>198</v>
      </c>
      <c r="O285" t="s">
        <v>2746</v>
      </c>
      <c r="P285">
        <v>406.8705556</v>
      </c>
      <c r="Q285">
        <v>80560.37</v>
      </c>
      <c r="R285">
        <v>4.84369709</v>
      </c>
      <c r="S285">
        <v>959.0520238</v>
      </c>
      <c r="T285">
        <v>29517.3</v>
      </c>
    </row>
    <row r="286" spans="1:20">
      <c r="A286" t="s">
        <v>20</v>
      </c>
      <c r="B286" t="s">
        <v>169</v>
      </c>
      <c r="C286">
        <v>301049751</v>
      </c>
      <c r="D286">
        <v>73239990</v>
      </c>
      <c r="E286" t="s">
        <v>1057</v>
      </c>
      <c r="N286">
        <v>179.95</v>
      </c>
      <c r="O286" t="s">
        <v>2746</v>
      </c>
      <c r="P286">
        <v>364.3205335</v>
      </c>
      <c r="Q286">
        <v>65559.48</v>
      </c>
      <c r="R286">
        <v>4.337149208</v>
      </c>
      <c r="S286">
        <v>780.47</v>
      </c>
      <c r="T286">
        <v>24021</v>
      </c>
    </row>
    <row r="287" spans="1:20">
      <c r="A287" t="s">
        <v>20</v>
      </c>
      <c r="B287" t="s">
        <v>169</v>
      </c>
      <c r="C287">
        <v>301049751</v>
      </c>
      <c r="D287">
        <v>73239990</v>
      </c>
      <c r="E287" t="s">
        <v>1058</v>
      </c>
      <c r="N287">
        <v>360</v>
      </c>
      <c r="O287" t="s">
        <v>2746</v>
      </c>
      <c r="P287">
        <v>333.3532778</v>
      </c>
      <c r="Q287">
        <v>120007.18</v>
      </c>
      <c r="R287">
        <v>3.968491402</v>
      </c>
      <c r="S287">
        <v>1428.656905</v>
      </c>
      <c r="T287">
        <v>43970.6</v>
      </c>
    </row>
    <row r="288" spans="1:20">
      <c r="A288" t="s">
        <v>20</v>
      </c>
      <c r="B288" t="s">
        <v>169</v>
      </c>
      <c r="C288">
        <v>301049751</v>
      </c>
      <c r="D288">
        <v>73239990</v>
      </c>
      <c r="E288" t="s">
        <v>1059</v>
      </c>
      <c r="N288">
        <v>198.36</v>
      </c>
      <c r="O288" t="s">
        <v>2746</v>
      </c>
      <c r="P288">
        <v>396.3849062</v>
      </c>
      <c r="Q288">
        <v>78626.91</v>
      </c>
      <c r="R288">
        <v>4.718867931</v>
      </c>
      <c r="S288">
        <v>936.0346429</v>
      </c>
      <c r="T288">
        <v>28808.9</v>
      </c>
    </row>
    <row r="289" spans="1:20">
      <c r="A289" t="s">
        <v>20</v>
      </c>
      <c r="B289" t="s">
        <v>169</v>
      </c>
      <c r="C289">
        <v>301049751</v>
      </c>
      <c r="D289">
        <v>73239990</v>
      </c>
      <c r="E289" t="s">
        <v>1060</v>
      </c>
      <c r="N289">
        <v>4004</v>
      </c>
      <c r="O289" t="s">
        <v>2746</v>
      </c>
      <c r="P289">
        <v>384.770482</v>
      </c>
      <c r="Q289">
        <v>1540621.01</v>
      </c>
      <c r="R289">
        <v>4.580600976</v>
      </c>
      <c r="S289">
        <v>18340.72631</v>
      </c>
      <c r="T289">
        <v>564483.5</v>
      </c>
    </row>
    <row r="290" spans="1:20">
      <c r="A290" t="s">
        <v>20</v>
      </c>
      <c r="B290" t="s">
        <v>169</v>
      </c>
      <c r="C290">
        <v>301049751</v>
      </c>
      <c r="D290">
        <v>73239990</v>
      </c>
      <c r="E290" t="s">
        <v>1061</v>
      </c>
      <c r="N290">
        <v>258</v>
      </c>
      <c r="O290" t="s">
        <v>2746</v>
      </c>
      <c r="P290">
        <v>343.6897287</v>
      </c>
      <c r="Q290">
        <v>88671.95</v>
      </c>
      <c r="R290">
        <v>4.091544389</v>
      </c>
      <c r="S290">
        <v>1055.618452</v>
      </c>
      <c r="T290">
        <v>32489.4</v>
      </c>
    </row>
    <row r="291" spans="1:20">
      <c r="A291" t="s">
        <v>20</v>
      </c>
      <c r="B291" t="s">
        <v>169</v>
      </c>
      <c r="C291">
        <v>301049751</v>
      </c>
      <c r="D291">
        <v>73239990</v>
      </c>
      <c r="E291" t="s">
        <v>1062</v>
      </c>
      <c r="N291">
        <v>273.6</v>
      </c>
      <c r="O291" t="s">
        <v>2746</v>
      </c>
      <c r="P291">
        <v>372.8292398</v>
      </c>
      <c r="Q291">
        <v>102006.08</v>
      </c>
      <c r="R291">
        <v>4.438443331</v>
      </c>
      <c r="S291">
        <v>1214.358095</v>
      </c>
      <c r="T291">
        <v>37375</v>
      </c>
    </row>
    <row r="292" spans="1:20">
      <c r="A292" t="s">
        <v>20</v>
      </c>
      <c r="B292" t="s">
        <v>170</v>
      </c>
      <c r="C292">
        <v>301049751</v>
      </c>
      <c r="D292">
        <v>73239990</v>
      </c>
      <c r="E292" t="s">
        <v>1063</v>
      </c>
      <c r="N292">
        <v>23760</v>
      </c>
      <c r="O292" t="s">
        <v>2746</v>
      </c>
      <c r="P292">
        <v>216.5640543</v>
      </c>
      <c r="Q292">
        <v>5145561.93</v>
      </c>
      <c r="R292">
        <v>2.578143503</v>
      </c>
      <c r="S292">
        <v>61256.68964</v>
      </c>
      <c r="T292">
        <v>1885333.9</v>
      </c>
    </row>
    <row r="293" spans="1:20">
      <c r="A293" t="s">
        <v>20</v>
      </c>
      <c r="B293" t="s">
        <v>171</v>
      </c>
      <c r="C293">
        <v>301049751</v>
      </c>
      <c r="D293">
        <v>73239990</v>
      </c>
      <c r="E293" t="s">
        <v>1064</v>
      </c>
      <c r="N293">
        <v>3307.2</v>
      </c>
      <c r="O293" t="s">
        <v>2746</v>
      </c>
      <c r="P293">
        <v>273.9060837</v>
      </c>
      <c r="Q293">
        <v>905862.2</v>
      </c>
      <c r="R293">
        <v>3.270520402</v>
      </c>
      <c r="S293">
        <v>10816.26507</v>
      </c>
      <c r="T293">
        <v>331907.8</v>
      </c>
    </row>
    <row r="294" spans="1:20">
      <c r="A294" t="s">
        <v>20</v>
      </c>
      <c r="B294" t="s">
        <v>172</v>
      </c>
      <c r="C294">
        <v>301049751</v>
      </c>
      <c r="D294">
        <v>73239990</v>
      </c>
      <c r="E294" t="s">
        <v>1065</v>
      </c>
      <c r="N294">
        <v>74.8</v>
      </c>
      <c r="O294" t="s">
        <v>2746</v>
      </c>
      <c r="P294">
        <v>276.8823529</v>
      </c>
      <c r="Q294">
        <v>20710.8</v>
      </c>
      <c r="R294">
        <v>3.306057946</v>
      </c>
      <c r="S294">
        <v>247.2931343</v>
      </c>
      <c r="T294">
        <v>7588.5</v>
      </c>
    </row>
    <row r="295" spans="1:20">
      <c r="A295" t="s">
        <v>20</v>
      </c>
      <c r="B295" t="s">
        <v>172</v>
      </c>
      <c r="C295">
        <v>301049751</v>
      </c>
      <c r="D295">
        <v>73239990</v>
      </c>
      <c r="E295" t="s">
        <v>1066</v>
      </c>
      <c r="N295">
        <v>23760</v>
      </c>
      <c r="O295" t="s">
        <v>2746</v>
      </c>
      <c r="P295">
        <v>214.0511427</v>
      </c>
      <c r="Q295">
        <v>5085855.15</v>
      </c>
      <c r="R295">
        <v>2.555834539</v>
      </c>
      <c r="S295">
        <v>60726.62866</v>
      </c>
      <c r="T295">
        <v>1863457.3</v>
      </c>
    </row>
    <row r="296" spans="1:20">
      <c r="A296" t="s">
        <v>20</v>
      </c>
      <c r="B296" t="s">
        <v>172</v>
      </c>
      <c r="C296">
        <v>301049751</v>
      </c>
      <c r="D296">
        <v>73239990</v>
      </c>
      <c r="E296" t="s">
        <v>1067</v>
      </c>
      <c r="N296">
        <v>4004</v>
      </c>
      <c r="O296" t="s">
        <v>2746</v>
      </c>
      <c r="P296">
        <v>392.672525</v>
      </c>
      <c r="Q296">
        <v>1572260.79</v>
      </c>
      <c r="R296">
        <v>4.688627164</v>
      </c>
      <c r="S296">
        <v>18773.26316</v>
      </c>
      <c r="T296">
        <v>576076.4</v>
      </c>
    </row>
    <row r="297" spans="1:20">
      <c r="A297" t="s">
        <v>20</v>
      </c>
      <c r="B297" t="s">
        <v>172</v>
      </c>
      <c r="C297">
        <v>301049751</v>
      </c>
      <c r="D297">
        <v>73239990</v>
      </c>
      <c r="E297" t="s">
        <v>1068</v>
      </c>
      <c r="N297">
        <v>739.2</v>
      </c>
      <c r="O297" t="s">
        <v>2746</v>
      </c>
      <c r="P297">
        <v>252.8240666</v>
      </c>
      <c r="Q297">
        <v>186887.55</v>
      </c>
      <c r="R297">
        <v>3.018794825</v>
      </c>
      <c r="S297">
        <v>2231.493134</v>
      </c>
      <c r="T297">
        <v>68475.60000000001</v>
      </c>
    </row>
    <row r="298" spans="1:20">
      <c r="A298" t="s">
        <v>20</v>
      </c>
      <c r="B298" t="s">
        <v>173</v>
      </c>
      <c r="C298">
        <v>301049751</v>
      </c>
      <c r="D298">
        <v>73239990</v>
      </c>
      <c r="E298" t="s">
        <v>1069</v>
      </c>
      <c r="N298">
        <v>9702</v>
      </c>
      <c r="O298" t="s">
        <v>2746</v>
      </c>
      <c r="P298">
        <v>585.7882148</v>
      </c>
      <c r="Q298">
        <v>5683317.26</v>
      </c>
      <c r="R298">
        <v>6.994486147</v>
      </c>
      <c r="S298">
        <v>67860.5046</v>
      </c>
      <c r="T298">
        <v>2082367.5</v>
      </c>
    </row>
    <row r="299" spans="1:20">
      <c r="A299" t="s">
        <v>20</v>
      </c>
      <c r="B299" t="s">
        <v>173</v>
      </c>
      <c r="C299">
        <v>301049751</v>
      </c>
      <c r="D299">
        <v>73239990</v>
      </c>
      <c r="E299" t="s">
        <v>1070</v>
      </c>
      <c r="N299">
        <v>10861.76</v>
      </c>
      <c r="O299" t="s">
        <v>2746</v>
      </c>
      <c r="P299">
        <v>478.4717449</v>
      </c>
      <c r="Q299">
        <v>5197045.26</v>
      </c>
      <c r="R299">
        <v>5.713095462</v>
      </c>
      <c r="S299">
        <v>62054.27176</v>
      </c>
      <c r="T299">
        <v>1904197.4</v>
      </c>
    </row>
    <row r="300" spans="1:20">
      <c r="A300" t="s">
        <v>20</v>
      </c>
      <c r="B300" t="s">
        <v>173</v>
      </c>
      <c r="C300">
        <v>301049751</v>
      </c>
      <c r="D300">
        <v>73239990</v>
      </c>
      <c r="E300" t="s">
        <v>1071</v>
      </c>
      <c r="N300">
        <v>8303.450000000001</v>
      </c>
      <c r="O300" t="s">
        <v>2746</v>
      </c>
      <c r="P300">
        <v>464.2380203</v>
      </c>
      <c r="Q300">
        <v>3854777.19</v>
      </c>
      <c r="R300">
        <v>5.543140541</v>
      </c>
      <c r="S300">
        <v>46027.19033</v>
      </c>
      <c r="T300">
        <v>1412390.3</v>
      </c>
    </row>
    <row r="301" spans="1:20">
      <c r="A301" t="s">
        <v>20</v>
      </c>
      <c r="B301" t="s">
        <v>173</v>
      </c>
      <c r="C301">
        <v>301049751</v>
      </c>
      <c r="D301">
        <v>73239990</v>
      </c>
      <c r="E301" t="s">
        <v>956</v>
      </c>
      <c r="N301">
        <v>3307.2</v>
      </c>
      <c r="O301" t="s">
        <v>2746</v>
      </c>
      <c r="P301">
        <v>267.4232583</v>
      </c>
      <c r="Q301">
        <v>884422.2</v>
      </c>
      <c r="R301">
        <v>3.193113532</v>
      </c>
      <c r="S301">
        <v>10560.26507</v>
      </c>
      <c r="T301">
        <v>324052.2</v>
      </c>
    </row>
    <row r="302" spans="1:20">
      <c r="A302" t="s">
        <v>20</v>
      </c>
      <c r="B302" t="s">
        <v>173</v>
      </c>
      <c r="C302">
        <v>301049751</v>
      </c>
      <c r="D302">
        <v>73239990</v>
      </c>
      <c r="E302" t="s">
        <v>1072</v>
      </c>
      <c r="N302">
        <v>1668.5</v>
      </c>
      <c r="O302" t="s">
        <v>2746</v>
      </c>
      <c r="P302">
        <v>515.6586395</v>
      </c>
      <c r="Q302">
        <v>860376.4399999999</v>
      </c>
      <c r="R302">
        <v>6.157118084</v>
      </c>
      <c r="S302">
        <v>10273.15152</v>
      </c>
      <c r="T302">
        <v>315241.9</v>
      </c>
    </row>
    <row r="303" spans="1:20">
      <c r="A303" t="s">
        <v>20</v>
      </c>
      <c r="B303" t="s">
        <v>174</v>
      </c>
      <c r="C303">
        <v>301049751</v>
      </c>
      <c r="D303">
        <v>73239990</v>
      </c>
      <c r="E303" t="s">
        <v>1073</v>
      </c>
      <c r="N303">
        <v>8310.4</v>
      </c>
      <c r="O303" t="s">
        <v>2746</v>
      </c>
      <c r="P303">
        <v>254.5787531</v>
      </c>
      <c r="Q303">
        <v>2115651.27</v>
      </c>
      <c r="R303">
        <v>3.034311718</v>
      </c>
      <c r="S303">
        <v>25216.3441</v>
      </c>
      <c r="T303">
        <v>775174.7</v>
      </c>
    </row>
    <row r="304" spans="1:20">
      <c r="A304" t="s">
        <v>20</v>
      </c>
      <c r="B304" t="s">
        <v>174</v>
      </c>
      <c r="C304">
        <v>301049751</v>
      </c>
      <c r="D304">
        <v>73239990</v>
      </c>
      <c r="E304" t="s">
        <v>1074</v>
      </c>
      <c r="N304">
        <v>10604</v>
      </c>
      <c r="O304" t="s">
        <v>2746</v>
      </c>
      <c r="P304">
        <v>278.8172916</v>
      </c>
      <c r="Q304">
        <v>2956578.56</v>
      </c>
      <c r="R304">
        <v>3.323209673</v>
      </c>
      <c r="S304">
        <v>35239.31538</v>
      </c>
      <c r="T304">
        <v>1083290.4</v>
      </c>
    </row>
    <row r="305" spans="1:20">
      <c r="A305" t="s">
        <v>20</v>
      </c>
      <c r="B305" t="s">
        <v>174</v>
      </c>
      <c r="C305">
        <v>301049751</v>
      </c>
      <c r="D305">
        <v>73239990</v>
      </c>
      <c r="E305" t="s">
        <v>1075</v>
      </c>
      <c r="N305">
        <v>10836</v>
      </c>
      <c r="O305" t="s">
        <v>2746</v>
      </c>
      <c r="P305">
        <v>557.0314341</v>
      </c>
      <c r="Q305">
        <v>6035992.62</v>
      </c>
      <c r="R305">
        <v>6.639230442</v>
      </c>
      <c r="S305">
        <v>71942.70107</v>
      </c>
      <c r="T305">
        <v>2211587.7</v>
      </c>
    </row>
    <row r="306" spans="1:20">
      <c r="A306" t="s">
        <v>20</v>
      </c>
      <c r="B306" t="s">
        <v>175</v>
      </c>
      <c r="C306">
        <v>301049751</v>
      </c>
      <c r="D306">
        <v>73231000</v>
      </c>
      <c r="E306" t="s">
        <v>1076</v>
      </c>
      <c r="N306">
        <v>7500</v>
      </c>
      <c r="O306" t="s">
        <v>2746</v>
      </c>
      <c r="P306">
        <v>227.413</v>
      </c>
      <c r="Q306">
        <v>1705597.5</v>
      </c>
      <c r="R306">
        <v>2.710524434</v>
      </c>
      <c r="S306">
        <v>20328.93325</v>
      </c>
      <c r="T306">
        <v>749780.7</v>
      </c>
    </row>
    <row r="307" spans="1:20">
      <c r="A307" t="s">
        <v>20</v>
      </c>
      <c r="B307" t="s">
        <v>175</v>
      </c>
      <c r="C307">
        <v>301049751</v>
      </c>
      <c r="D307">
        <v>73239990</v>
      </c>
      <c r="E307" t="s">
        <v>1066</v>
      </c>
      <c r="N307">
        <v>23760</v>
      </c>
      <c r="O307" t="s">
        <v>2746</v>
      </c>
      <c r="P307">
        <v>216.1649655</v>
      </c>
      <c r="Q307">
        <v>5136079.58</v>
      </c>
      <c r="R307">
        <v>2.57645966</v>
      </c>
      <c r="S307">
        <v>61216.68153</v>
      </c>
      <c r="T307">
        <v>1881859.6</v>
      </c>
    </row>
    <row r="308" spans="1:20">
      <c r="A308" t="s">
        <v>20</v>
      </c>
      <c r="B308" t="s">
        <v>175</v>
      </c>
      <c r="C308">
        <v>301049751</v>
      </c>
      <c r="D308">
        <v>73239990</v>
      </c>
      <c r="E308" t="s">
        <v>1077</v>
      </c>
      <c r="N308">
        <v>4004</v>
      </c>
      <c r="O308" t="s">
        <v>2746</v>
      </c>
      <c r="P308">
        <v>396.5502897</v>
      </c>
      <c r="Q308">
        <v>1587787.36</v>
      </c>
      <c r="R308">
        <v>4.726463525</v>
      </c>
      <c r="S308">
        <v>18924.75995</v>
      </c>
      <c r="T308">
        <v>581765.3</v>
      </c>
    </row>
    <row r="309" spans="1:20">
      <c r="A309" t="s">
        <v>20</v>
      </c>
      <c r="B309" t="s">
        <v>176</v>
      </c>
      <c r="C309">
        <v>301049751</v>
      </c>
      <c r="D309">
        <v>73239990</v>
      </c>
      <c r="E309" t="s">
        <v>1078</v>
      </c>
      <c r="N309">
        <v>4004</v>
      </c>
      <c r="O309" t="s">
        <v>2746</v>
      </c>
      <c r="P309">
        <v>380.8358167</v>
      </c>
      <c r="Q309">
        <v>1524866.61</v>
      </c>
      <c r="R309">
        <v>4.539163488</v>
      </c>
      <c r="S309">
        <v>18174.81061</v>
      </c>
      <c r="T309">
        <v>558711.1</v>
      </c>
    </row>
    <row r="310" spans="1:20">
      <c r="A310" t="s">
        <v>20</v>
      </c>
      <c r="B310" t="s">
        <v>177</v>
      </c>
      <c r="C310">
        <v>301049751</v>
      </c>
      <c r="D310">
        <v>73231000</v>
      </c>
      <c r="E310" t="s">
        <v>1079</v>
      </c>
      <c r="N310">
        <v>4229</v>
      </c>
      <c r="O310" t="s">
        <v>2746</v>
      </c>
      <c r="P310">
        <v>439.9442138</v>
      </c>
      <c r="Q310">
        <v>1860524.08</v>
      </c>
      <c r="R310">
        <v>5.231203493</v>
      </c>
      <c r="S310">
        <v>22122.75957</v>
      </c>
      <c r="T310">
        <v>817886.4</v>
      </c>
    </row>
    <row r="311" spans="1:20">
      <c r="A311" t="s">
        <v>20</v>
      </c>
      <c r="B311" t="s">
        <v>178</v>
      </c>
      <c r="C311">
        <v>301049751</v>
      </c>
      <c r="D311">
        <v>73239990</v>
      </c>
      <c r="E311" t="s">
        <v>1080</v>
      </c>
      <c r="N311">
        <v>7769.1</v>
      </c>
      <c r="O311" t="s">
        <v>2746</v>
      </c>
      <c r="P311">
        <v>516.9073844</v>
      </c>
      <c r="Q311">
        <v>4015905.16</v>
      </c>
      <c r="R311">
        <v>6.146342264</v>
      </c>
      <c r="S311">
        <v>47751.54768</v>
      </c>
      <c r="T311">
        <v>1471427.6</v>
      </c>
    </row>
    <row r="312" spans="1:20">
      <c r="A312" t="s">
        <v>20</v>
      </c>
      <c r="B312" t="s">
        <v>178</v>
      </c>
      <c r="C312">
        <v>301049751</v>
      </c>
      <c r="D312">
        <v>73239990</v>
      </c>
      <c r="E312" t="s">
        <v>1081</v>
      </c>
      <c r="N312">
        <v>70</v>
      </c>
      <c r="O312" t="s">
        <v>2746</v>
      </c>
      <c r="P312">
        <v>702.4198570999999</v>
      </c>
      <c r="Q312">
        <v>49169.39</v>
      </c>
      <c r="R312">
        <v>8.352198064</v>
      </c>
      <c r="S312">
        <v>584.6538644</v>
      </c>
      <c r="T312">
        <v>18015.7</v>
      </c>
    </row>
    <row r="313" spans="1:20">
      <c r="A313" t="s">
        <v>20</v>
      </c>
      <c r="B313" t="s">
        <v>178</v>
      </c>
      <c r="C313">
        <v>301049751</v>
      </c>
      <c r="D313">
        <v>73239990</v>
      </c>
      <c r="E313" t="s">
        <v>1082</v>
      </c>
      <c r="N313">
        <v>7594.92</v>
      </c>
      <c r="O313" t="s">
        <v>2746</v>
      </c>
      <c r="P313">
        <v>485.149629</v>
      </c>
      <c r="Q313">
        <v>3684672.62</v>
      </c>
      <c r="R313">
        <v>5.768723293</v>
      </c>
      <c r="S313">
        <v>43812.99191</v>
      </c>
      <c r="T313">
        <v>1350064.1</v>
      </c>
    </row>
    <row r="314" spans="1:20">
      <c r="A314" t="s">
        <v>20</v>
      </c>
      <c r="B314" t="s">
        <v>178</v>
      </c>
      <c r="C314">
        <v>301049751</v>
      </c>
      <c r="D314">
        <v>73239990</v>
      </c>
      <c r="E314" t="s">
        <v>1083</v>
      </c>
      <c r="N314">
        <v>401.7</v>
      </c>
      <c r="O314" t="s">
        <v>2746</v>
      </c>
      <c r="P314">
        <v>469.1928803</v>
      </c>
      <c r="Q314">
        <v>188474.78</v>
      </c>
      <c r="R314">
        <v>5.578987875</v>
      </c>
      <c r="S314">
        <v>2241.079429</v>
      </c>
      <c r="T314">
        <v>69057.2</v>
      </c>
    </row>
    <row r="315" spans="1:20">
      <c r="A315" t="s">
        <v>20</v>
      </c>
      <c r="B315" t="s">
        <v>178</v>
      </c>
      <c r="C315">
        <v>301049751</v>
      </c>
      <c r="D315">
        <v>73239990</v>
      </c>
      <c r="E315" t="s">
        <v>1084</v>
      </c>
      <c r="N315">
        <v>10608.2</v>
      </c>
      <c r="O315" t="s">
        <v>2746</v>
      </c>
      <c r="P315">
        <v>623.8537141</v>
      </c>
      <c r="Q315">
        <v>6617964.97</v>
      </c>
      <c r="R315">
        <v>7.417998979</v>
      </c>
      <c r="S315">
        <v>78691.61676999999</v>
      </c>
      <c r="T315">
        <v>2424822.4</v>
      </c>
    </row>
    <row r="316" spans="1:20">
      <c r="A316" t="s">
        <v>20</v>
      </c>
      <c r="B316" t="s">
        <v>178</v>
      </c>
      <c r="C316">
        <v>301049751</v>
      </c>
      <c r="D316">
        <v>73239990</v>
      </c>
      <c r="E316" t="s">
        <v>1085</v>
      </c>
      <c r="N316">
        <v>12480</v>
      </c>
      <c r="O316" t="s">
        <v>2746</v>
      </c>
      <c r="P316">
        <v>440.4050921</v>
      </c>
      <c r="Q316">
        <v>5496255.55</v>
      </c>
      <c r="R316">
        <v>5.236683616</v>
      </c>
      <c r="S316">
        <v>65353.81153</v>
      </c>
      <c r="T316">
        <v>2013828</v>
      </c>
    </row>
    <row r="317" spans="1:20">
      <c r="A317" t="s">
        <v>20</v>
      </c>
      <c r="B317" t="s">
        <v>178</v>
      </c>
      <c r="C317">
        <v>301049751</v>
      </c>
      <c r="D317">
        <v>73239990</v>
      </c>
      <c r="E317" t="s">
        <v>1086</v>
      </c>
      <c r="N317">
        <v>198</v>
      </c>
      <c r="O317" t="s">
        <v>2746</v>
      </c>
      <c r="P317">
        <v>475.554798</v>
      </c>
      <c r="Q317">
        <v>94159.85000000001</v>
      </c>
      <c r="R317">
        <v>5.654634934</v>
      </c>
      <c r="S317">
        <v>1119.617717</v>
      </c>
      <c r="T317">
        <v>34500.2</v>
      </c>
    </row>
    <row r="318" spans="1:20">
      <c r="A318" t="s">
        <v>20</v>
      </c>
      <c r="B318" t="s">
        <v>178</v>
      </c>
      <c r="C318">
        <v>301049751</v>
      </c>
      <c r="D318">
        <v>73239990</v>
      </c>
      <c r="E318" t="s">
        <v>1087</v>
      </c>
      <c r="N318">
        <v>273</v>
      </c>
      <c r="O318" t="s">
        <v>2746</v>
      </c>
      <c r="P318">
        <v>249.4031136</v>
      </c>
      <c r="Q318">
        <v>68087.05</v>
      </c>
      <c r="R318">
        <v>2.965554263</v>
      </c>
      <c r="S318">
        <v>809.5963139</v>
      </c>
      <c r="T318">
        <v>24947</v>
      </c>
    </row>
    <row r="319" spans="1:20">
      <c r="A319" t="s">
        <v>20</v>
      </c>
      <c r="B319" t="s">
        <v>178</v>
      </c>
      <c r="C319">
        <v>301049751</v>
      </c>
      <c r="D319">
        <v>73239990</v>
      </c>
      <c r="E319" t="s">
        <v>1088</v>
      </c>
      <c r="N319">
        <v>11005</v>
      </c>
      <c r="O319" t="s">
        <v>2746</v>
      </c>
      <c r="P319">
        <v>465.3622417</v>
      </c>
      <c r="Q319">
        <v>5121311.47</v>
      </c>
      <c r="R319">
        <v>5.533439259</v>
      </c>
      <c r="S319">
        <v>60895.49905</v>
      </c>
      <c r="T319">
        <v>1876448.5</v>
      </c>
    </row>
    <row r="320" spans="1:20">
      <c r="A320" t="s">
        <v>20</v>
      </c>
      <c r="B320" t="s">
        <v>178</v>
      </c>
      <c r="C320">
        <v>301049751</v>
      </c>
      <c r="D320">
        <v>73239990</v>
      </c>
      <c r="E320" t="s">
        <v>1089</v>
      </c>
      <c r="N320">
        <v>112</v>
      </c>
      <c r="O320" t="s">
        <v>2746</v>
      </c>
      <c r="P320">
        <v>443.0853571</v>
      </c>
      <c r="Q320">
        <v>49625.56</v>
      </c>
      <c r="R320">
        <v>5.268553593</v>
      </c>
      <c r="S320">
        <v>590.0780023999999</v>
      </c>
      <c r="T320">
        <v>18182.8</v>
      </c>
    </row>
    <row r="321" spans="1:20">
      <c r="A321" t="s">
        <v>20</v>
      </c>
      <c r="B321" t="s">
        <v>178</v>
      </c>
      <c r="C321">
        <v>301049751</v>
      </c>
      <c r="D321">
        <v>73239990</v>
      </c>
      <c r="E321" t="s">
        <v>1090</v>
      </c>
      <c r="N321">
        <v>83.3</v>
      </c>
      <c r="O321" t="s">
        <v>2746</v>
      </c>
      <c r="P321">
        <v>401.3805522</v>
      </c>
      <c r="Q321">
        <v>33435</v>
      </c>
      <c r="R321">
        <v>4.772658171</v>
      </c>
      <c r="S321">
        <v>397.5624257</v>
      </c>
      <c r="T321">
        <v>12250.6</v>
      </c>
    </row>
    <row r="322" spans="1:20">
      <c r="A322" t="s">
        <v>20</v>
      </c>
      <c r="B322" t="s">
        <v>178</v>
      </c>
      <c r="C322">
        <v>301049751</v>
      </c>
      <c r="D322">
        <v>73239990</v>
      </c>
      <c r="E322" t="s">
        <v>1091</v>
      </c>
      <c r="N322">
        <v>78</v>
      </c>
      <c r="O322" t="s">
        <v>2746</v>
      </c>
      <c r="P322">
        <v>511.9528205</v>
      </c>
      <c r="Q322">
        <v>39932.32</v>
      </c>
      <c r="R322">
        <v>6.087429495</v>
      </c>
      <c r="S322">
        <v>474.8195006</v>
      </c>
      <c r="T322">
        <v>14631.2</v>
      </c>
    </row>
    <row r="323" spans="1:20">
      <c r="A323" t="s">
        <v>20</v>
      </c>
      <c r="B323" t="s">
        <v>178</v>
      </c>
      <c r="C323">
        <v>301049751</v>
      </c>
      <c r="D323">
        <v>73239990</v>
      </c>
      <c r="E323" t="s">
        <v>1092</v>
      </c>
      <c r="N323">
        <v>95</v>
      </c>
      <c r="O323" t="s">
        <v>2746</v>
      </c>
      <c r="P323">
        <v>430.0008421</v>
      </c>
      <c r="Q323">
        <v>40850.08</v>
      </c>
      <c r="R323">
        <v>5.112970774</v>
      </c>
      <c r="S323">
        <v>485.7322235</v>
      </c>
      <c r="T323">
        <v>14967.5</v>
      </c>
    </row>
    <row r="324" spans="1:20">
      <c r="A324" t="s">
        <v>20</v>
      </c>
      <c r="B324" t="s">
        <v>179</v>
      </c>
      <c r="C324">
        <v>301049751</v>
      </c>
      <c r="D324">
        <v>73239990</v>
      </c>
      <c r="E324" t="s">
        <v>1093</v>
      </c>
      <c r="N324">
        <v>89.06</v>
      </c>
      <c r="O324" t="s">
        <v>2746</v>
      </c>
      <c r="P324">
        <v>960.1181226</v>
      </c>
      <c r="Q324">
        <v>85508.12</v>
      </c>
      <c r="R324">
        <v>11.41638671</v>
      </c>
      <c r="S324">
        <v>1016.743401</v>
      </c>
      <c r="T324">
        <v>31330.2</v>
      </c>
    </row>
    <row r="325" spans="1:20">
      <c r="A325" t="s">
        <v>20</v>
      </c>
      <c r="B325" t="s">
        <v>180</v>
      </c>
      <c r="C325">
        <v>301049751</v>
      </c>
      <c r="D325">
        <v>73231000</v>
      </c>
      <c r="E325" t="s">
        <v>1094</v>
      </c>
      <c r="N325">
        <v>8782</v>
      </c>
      <c r="O325" t="s">
        <v>2746</v>
      </c>
      <c r="P325">
        <v>234.4178342</v>
      </c>
      <c r="Q325">
        <v>2058657.42</v>
      </c>
      <c r="R325">
        <v>2.787370205</v>
      </c>
      <c r="S325">
        <v>24478.68514</v>
      </c>
      <c r="T325">
        <v>904985.8</v>
      </c>
    </row>
    <row r="326" spans="1:20">
      <c r="A326" t="s">
        <v>20</v>
      </c>
      <c r="B326" t="s">
        <v>181</v>
      </c>
      <c r="C326">
        <v>301049751</v>
      </c>
      <c r="D326">
        <v>73239990</v>
      </c>
      <c r="E326" t="s">
        <v>1095</v>
      </c>
      <c r="N326">
        <v>4620</v>
      </c>
      <c r="O326" t="s">
        <v>2746</v>
      </c>
      <c r="P326">
        <v>547.6300476</v>
      </c>
      <c r="Q326">
        <v>2530050.82</v>
      </c>
      <c r="R326">
        <v>6.523288238</v>
      </c>
      <c r="S326">
        <v>30137.59166</v>
      </c>
      <c r="T326">
        <v>927010.6</v>
      </c>
    </row>
    <row r="327" spans="1:20">
      <c r="A327" t="s">
        <v>20</v>
      </c>
      <c r="B327" t="s">
        <v>181</v>
      </c>
      <c r="C327">
        <v>301049751</v>
      </c>
      <c r="D327">
        <v>73239990</v>
      </c>
      <c r="E327" t="s">
        <v>1096</v>
      </c>
      <c r="N327">
        <v>50</v>
      </c>
      <c r="O327" t="s">
        <v>2746</v>
      </c>
      <c r="P327">
        <v>966.5038</v>
      </c>
      <c r="Q327">
        <v>48325.19</v>
      </c>
      <c r="R327">
        <v>11.51285051</v>
      </c>
      <c r="S327">
        <v>575.6425253</v>
      </c>
      <c r="T327">
        <v>17706.3</v>
      </c>
    </row>
    <row r="328" spans="1:20">
      <c r="A328" t="s">
        <v>20</v>
      </c>
      <c r="B328" t="s">
        <v>181</v>
      </c>
      <c r="C328">
        <v>301049751</v>
      </c>
      <c r="D328">
        <v>73239990</v>
      </c>
      <c r="E328" t="s">
        <v>1097</v>
      </c>
      <c r="N328">
        <v>3427.6</v>
      </c>
      <c r="O328" t="s">
        <v>2746</v>
      </c>
      <c r="P328">
        <v>380.5930301</v>
      </c>
      <c r="Q328">
        <v>1304520.67</v>
      </c>
      <c r="R328">
        <v>4.533567958</v>
      </c>
      <c r="S328">
        <v>15539.25753</v>
      </c>
      <c r="T328">
        <v>477976.3</v>
      </c>
    </row>
    <row r="329" spans="1:20">
      <c r="A329" t="s">
        <v>20</v>
      </c>
      <c r="B329" t="s">
        <v>181</v>
      </c>
      <c r="C329">
        <v>301049751</v>
      </c>
      <c r="D329">
        <v>73239990</v>
      </c>
      <c r="E329" t="s">
        <v>1098</v>
      </c>
      <c r="N329">
        <v>2069.1</v>
      </c>
      <c r="O329" t="s">
        <v>2746</v>
      </c>
      <c r="P329">
        <v>475.8446958</v>
      </c>
      <c r="Q329">
        <v>984570.26</v>
      </c>
      <c r="R329">
        <v>5.66819173</v>
      </c>
      <c r="S329">
        <v>11728.05551</v>
      </c>
      <c r="T329">
        <v>360746.6</v>
      </c>
    </row>
    <row r="330" spans="1:20">
      <c r="A330" t="s">
        <v>20</v>
      </c>
      <c r="B330" t="s">
        <v>181</v>
      </c>
      <c r="C330">
        <v>301049751</v>
      </c>
      <c r="D330">
        <v>73239990</v>
      </c>
      <c r="E330" t="s">
        <v>1099</v>
      </c>
      <c r="N330">
        <v>5610</v>
      </c>
      <c r="O330" t="s">
        <v>2746</v>
      </c>
      <c r="P330">
        <v>413.2353155</v>
      </c>
      <c r="Q330">
        <v>2318250.12</v>
      </c>
      <c r="R330">
        <v>4.922398041</v>
      </c>
      <c r="S330">
        <v>27614.65301</v>
      </c>
      <c r="T330">
        <v>849406.8</v>
      </c>
    </row>
    <row r="331" spans="1:20">
      <c r="A331" t="s">
        <v>20</v>
      </c>
      <c r="B331" t="s">
        <v>182</v>
      </c>
      <c r="C331">
        <v>301049751</v>
      </c>
      <c r="D331">
        <v>73231000</v>
      </c>
      <c r="E331" t="s">
        <v>1100</v>
      </c>
      <c r="N331">
        <v>4900</v>
      </c>
      <c r="O331" t="s">
        <v>2746</v>
      </c>
      <c r="P331">
        <v>447.4847122</v>
      </c>
      <c r="Q331">
        <v>2192675.09</v>
      </c>
      <c r="R331">
        <v>5.320864593</v>
      </c>
      <c r="S331">
        <v>26072.2365</v>
      </c>
      <c r="T331">
        <v>963900</v>
      </c>
    </row>
    <row r="332" spans="1:20">
      <c r="A332" t="s">
        <v>20</v>
      </c>
      <c r="B332" t="s">
        <v>182</v>
      </c>
      <c r="C332">
        <v>301049751</v>
      </c>
      <c r="D332">
        <v>73239990</v>
      </c>
      <c r="E332" t="s">
        <v>1101</v>
      </c>
      <c r="N332">
        <v>40</v>
      </c>
      <c r="O332" t="s">
        <v>2746</v>
      </c>
      <c r="P332">
        <v>823.6855</v>
      </c>
      <c r="Q332">
        <v>32947.42</v>
      </c>
      <c r="R332">
        <v>9.794120095</v>
      </c>
      <c r="S332">
        <v>391.7648038</v>
      </c>
      <c r="T332">
        <v>12071.9</v>
      </c>
    </row>
    <row r="333" spans="1:20">
      <c r="A333" t="s">
        <v>20</v>
      </c>
      <c r="B333" t="s">
        <v>182</v>
      </c>
      <c r="C333">
        <v>301049751</v>
      </c>
      <c r="D333">
        <v>73231000</v>
      </c>
      <c r="E333" t="s">
        <v>1102</v>
      </c>
      <c r="N333">
        <v>4900</v>
      </c>
      <c r="O333" t="s">
        <v>2746</v>
      </c>
      <c r="P333">
        <v>448.4160531</v>
      </c>
      <c r="Q333">
        <v>2197238.66</v>
      </c>
      <c r="R333">
        <v>5.3319388</v>
      </c>
      <c r="S333">
        <v>26126.50012</v>
      </c>
      <c r="T333">
        <v>965906.1</v>
      </c>
    </row>
    <row r="334" spans="1:20">
      <c r="A334" t="s">
        <v>20</v>
      </c>
      <c r="B334" t="s">
        <v>182</v>
      </c>
      <c r="C334">
        <v>301049751</v>
      </c>
      <c r="D334">
        <v>73239990</v>
      </c>
      <c r="E334" t="s">
        <v>1103</v>
      </c>
      <c r="N334">
        <v>1615</v>
      </c>
      <c r="O334" t="s">
        <v>2746</v>
      </c>
      <c r="P334">
        <v>576.6403467</v>
      </c>
      <c r="Q334">
        <v>931274.16</v>
      </c>
      <c r="R334">
        <v>6.85660341</v>
      </c>
      <c r="S334">
        <v>11073.41451</v>
      </c>
      <c r="T334">
        <v>341218.8</v>
      </c>
    </row>
    <row r="335" spans="1:20">
      <c r="A335" t="s">
        <v>20</v>
      </c>
      <c r="B335" t="s">
        <v>182</v>
      </c>
      <c r="C335">
        <v>301049751</v>
      </c>
      <c r="D335">
        <v>73239990</v>
      </c>
      <c r="E335" t="s">
        <v>1104</v>
      </c>
      <c r="N335">
        <v>50</v>
      </c>
      <c r="O335" t="s">
        <v>2746</v>
      </c>
      <c r="P335">
        <v>359.4296</v>
      </c>
      <c r="Q335">
        <v>17971.48</v>
      </c>
      <c r="R335">
        <v>4.27383591</v>
      </c>
      <c r="S335">
        <v>213.6917955</v>
      </c>
      <c r="T335">
        <v>6584.7</v>
      </c>
    </row>
    <row r="336" spans="1:20">
      <c r="A336" t="s">
        <v>20</v>
      </c>
      <c r="B336" t="s">
        <v>182</v>
      </c>
      <c r="C336">
        <v>301049751</v>
      </c>
      <c r="D336">
        <v>73239990</v>
      </c>
      <c r="E336" t="s">
        <v>1105</v>
      </c>
      <c r="N336">
        <v>4804.8</v>
      </c>
      <c r="O336" t="s">
        <v>2746</v>
      </c>
      <c r="P336">
        <v>256.7607413</v>
      </c>
      <c r="Q336">
        <v>1233684.01</v>
      </c>
      <c r="R336">
        <v>3.05304092</v>
      </c>
      <c r="S336">
        <v>14669.25101</v>
      </c>
      <c r="T336">
        <v>452021.8</v>
      </c>
    </row>
    <row r="337" spans="1:20">
      <c r="A337" t="s">
        <v>20</v>
      </c>
      <c r="B337" t="s">
        <v>183</v>
      </c>
      <c r="C337">
        <v>301049751</v>
      </c>
      <c r="D337">
        <v>73239990</v>
      </c>
      <c r="E337" t="s">
        <v>1106</v>
      </c>
      <c r="N337">
        <v>5447.3</v>
      </c>
      <c r="O337" t="s">
        <v>2746</v>
      </c>
      <c r="P337">
        <v>956.2697263</v>
      </c>
      <c r="Q337">
        <v>5209088.08</v>
      </c>
      <c r="R337">
        <v>11.37062695</v>
      </c>
      <c r="S337">
        <v>61939.21617</v>
      </c>
      <c r="T337">
        <v>1908609.9</v>
      </c>
    </row>
    <row r="338" spans="1:20">
      <c r="A338" t="s">
        <v>20</v>
      </c>
      <c r="B338" t="s">
        <v>184</v>
      </c>
      <c r="C338">
        <v>301049751</v>
      </c>
      <c r="D338">
        <v>73239990</v>
      </c>
      <c r="E338" t="s">
        <v>1036</v>
      </c>
      <c r="N338">
        <v>23760</v>
      </c>
      <c r="O338" t="s">
        <v>2746</v>
      </c>
      <c r="P338">
        <v>218.6714091</v>
      </c>
      <c r="Q338">
        <v>5195632.68</v>
      </c>
      <c r="R338">
        <v>2.600135661</v>
      </c>
      <c r="S338">
        <v>61779.22331</v>
      </c>
      <c r="T338">
        <v>1903679.8</v>
      </c>
    </row>
    <row r="339" spans="1:20">
      <c r="A339" t="s">
        <v>20</v>
      </c>
      <c r="B339" t="s">
        <v>185</v>
      </c>
      <c r="C339">
        <v>301049751</v>
      </c>
      <c r="D339">
        <v>73239990</v>
      </c>
      <c r="E339" t="s">
        <v>1107</v>
      </c>
      <c r="N339">
        <v>10602</v>
      </c>
      <c r="O339" t="s">
        <v>2746</v>
      </c>
      <c r="P339">
        <v>474.6632654</v>
      </c>
      <c r="Q339">
        <v>5032379.94</v>
      </c>
      <c r="R339">
        <v>5.644034072</v>
      </c>
      <c r="S339">
        <v>59838.04923</v>
      </c>
      <c r="T339">
        <v>1843864</v>
      </c>
    </row>
    <row r="340" spans="1:20">
      <c r="A340" t="s">
        <v>20</v>
      </c>
      <c r="B340" t="s">
        <v>185</v>
      </c>
      <c r="C340">
        <v>301049751</v>
      </c>
      <c r="D340">
        <v>73239990</v>
      </c>
      <c r="E340" t="s">
        <v>1108</v>
      </c>
      <c r="N340">
        <v>10949.12</v>
      </c>
      <c r="O340" t="s">
        <v>2746</v>
      </c>
      <c r="P340">
        <v>478.7312679</v>
      </c>
      <c r="Q340">
        <v>5241686.1</v>
      </c>
      <c r="R340">
        <v>5.692405088</v>
      </c>
      <c r="S340">
        <v>62326.8264</v>
      </c>
      <c r="T340">
        <v>1920553.7</v>
      </c>
    </row>
    <row r="341" spans="1:20">
      <c r="A341" t="s">
        <v>20</v>
      </c>
      <c r="B341" t="s">
        <v>185</v>
      </c>
      <c r="C341">
        <v>301049751</v>
      </c>
      <c r="D341">
        <v>73239990</v>
      </c>
      <c r="E341" t="s">
        <v>1109</v>
      </c>
      <c r="N341">
        <v>8281.4</v>
      </c>
      <c r="O341" t="s">
        <v>2746</v>
      </c>
      <c r="P341">
        <v>515.9383317</v>
      </c>
      <c r="Q341">
        <v>4272691.7</v>
      </c>
      <c r="R341">
        <v>6.13481964</v>
      </c>
      <c r="S341">
        <v>50804.89536</v>
      </c>
      <c r="T341">
        <v>1565514.2</v>
      </c>
    </row>
    <row r="342" spans="1:20">
      <c r="A342" t="s">
        <v>20</v>
      </c>
      <c r="B342" t="s">
        <v>185</v>
      </c>
      <c r="C342">
        <v>301049751</v>
      </c>
      <c r="D342">
        <v>73239990</v>
      </c>
      <c r="E342" t="s">
        <v>1110</v>
      </c>
      <c r="N342">
        <v>8568.299999999999</v>
      </c>
      <c r="O342" t="s">
        <v>2746</v>
      </c>
      <c r="P342">
        <v>468.3132687</v>
      </c>
      <c r="Q342">
        <v>4012648.58</v>
      </c>
      <c r="R342">
        <v>5.56852876</v>
      </c>
      <c r="S342">
        <v>47712.82497</v>
      </c>
      <c r="T342">
        <v>1470234.5</v>
      </c>
    </row>
    <row r="343" spans="1:20">
      <c r="A343" t="s">
        <v>20</v>
      </c>
      <c r="B343" t="s">
        <v>186</v>
      </c>
      <c r="C343">
        <v>301049751</v>
      </c>
      <c r="D343">
        <v>73239990</v>
      </c>
      <c r="E343" t="s">
        <v>1111</v>
      </c>
      <c r="N343">
        <v>3307.2</v>
      </c>
      <c r="O343" t="s">
        <v>2746</v>
      </c>
      <c r="P343">
        <v>277.7619588</v>
      </c>
      <c r="Q343">
        <v>918614.35</v>
      </c>
      <c r="R343">
        <v>3.30275813</v>
      </c>
      <c r="S343">
        <v>10922.88169</v>
      </c>
      <c r="T343">
        <v>336580.3</v>
      </c>
    </row>
    <row r="344" spans="1:20">
      <c r="A344" t="s">
        <v>20</v>
      </c>
      <c r="B344" t="s">
        <v>187</v>
      </c>
      <c r="C344">
        <v>301049751</v>
      </c>
      <c r="D344">
        <v>73239990</v>
      </c>
      <c r="E344" t="s">
        <v>1078</v>
      </c>
      <c r="N344">
        <v>4004</v>
      </c>
      <c r="O344" t="s">
        <v>2746</v>
      </c>
      <c r="P344">
        <v>381.46254</v>
      </c>
      <c r="Q344">
        <v>1527376.01</v>
      </c>
      <c r="R344">
        <v>4.535820927</v>
      </c>
      <c r="S344">
        <v>18161.42699</v>
      </c>
      <c r="T344">
        <v>559630.6</v>
      </c>
    </row>
    <row r="345" spans="1:20">
      <c r="A345" t="s">
        <v>20</v>
      </c>
      <c r="B345" t="s">
        <v>188</v>
      </c>
      <c r="C345">
        <v>301049751</v>
      </c>
      <c r="D345">
        <v>73239990</v>
      </c>
      <c r="E345" t="s">
        <v>1112</v>
      </c>
      <c r="N345">
        <v>29.4</v>
      </c>
      <c r="O345" t="s">
        <v>2746</v>
      </c>
      <c r="P345">
        <v>1316.971429</v>
      </c>
      <c r="Q345">
        <v>38718.96</v>
      </c>
      <c r="R345">
        <v>15.65958892</v>
      </c>
      <c r="S345">
        <v>460.3919144</v>
      </c>
      <c r="T345">
        <v>14186.7</v>
      </c>
    </row>
    <row r="346" spans="1:20">
      <c r="A346" t="s">
        <v>20</v>
      </c>
      <c r="B346" t="s">
        <v>188</v>
      </c>
      <c r="C346">
        <v>301049751</v>
      </c>
      <c r="D346">
        <v>73239990</v>
      </c>
      <c r="E346" t="s">
        <v>1113</v>
      </c>
      <c r="N346">
        <v>21</v>
      </c>
      <c r="O346" t="s">
        <v>2746</v>
      </c>
      <c r="P346">
        <v>1792.575714</v>
      </c>
      <c r="Q346">
        <v>37644.09</v>
      </c>
      <c r="R346">
        <v>21.3148123</v>
      </c>
      <c r="S346">
        <v>447.6110583</v>
      </c>
      <c r="T346">
        <v>13792.8</v>
      </c>
    </row>
    <row r="347" spans="1:20">
      <c r="A347" t="s">
        <v>20</v>
      </c>
      <c r="B347" t="s">
        <v>188</v>
      </c>
      <c r="C347">
        <v>301049751</v>
      </c>
      <c r="D347">
        <v>73239990</v>
      </c>
      <c r="E347" t="s">
        <v>1114</v>
      </c>
      <c r="N347">
        <v>2468.4</v>
      </c>
      <c r="O347" t="s">
        <v>2746</v>
      </c>
      <c r="P347">
        <v>282.394223</v>
      </c>
      <c r="Q347">
        <v>697061.9</v>
      </c>
      <c r="R347">
        <v>3.357838561</v>
      </c>
      <c r="S347">
        <v>8288.488703999999</v>
      </c>
      <c r="T347">
        <v>255403.5</v>
      </c>
    </row>
    <row r="348" spans="1:20">
      <c r="A348" t="s">
        <v>20</v>
      </c>
      <c r="B348" t="s">
        <v>189</v>
      </c>
      <c r="C348">
        <v>301049751</v>
      </c>
      <c r="D348">
        <v>73239990</v>
      </c>
      <c r="E348" t="s">
        <v>1115</v>
      </c>
      <c r="N348">
        <v>10133.2</v>
      </c>
      <c r="O348" t="s">
        <v>2746</v>
      </c>
      <c r="P348">
        <v>282.8993615</v>
      </c>
      <c r="Q348">
        <v>2866675.81</v>
      </c>
      <c r="R348">
        <v>3.363844964</v>
      </c>
      <c r="S348">
        <v>34086.51379</v>
      </c>
      <c r="T348">
        <v>1050350</v>
      </c>
    </row>
    <row r="349" spans="1:20">
      <c r="A349" t="s">
        <v>20</v>
      </c>
      <c r="B349" t="s">
        <v>190</v>
      </c>
      <c r="C349">
        <v>301049751</v>
      </c>
      <c r="D349">
        <v>73239990</v>
      </c>
      <c r="E349" t="s">
        <v>1116</v>
      </c>
      <c r="N349">
        <v>4620</v>
      </c>
      <c r="O349" t="s">
        <v>2746</v>
      </c>
      <c r="P349">
        <v>554.6568615</v>
      </c>
      <c r="Q349">
        <v>2562514.7</v>
      </c>
      <c r="R349">
        <v>6.595206438</v>
      </c>
      <c r="S349">
        <v>30469.85375</v>
      </c>
      <c r="T349">
        <v>938905.4</v>
      </c>
    </row>
    <row r="350" spans="1:20">
      <c r="A350" t="s">
        <v>20</v>
      </c>
      <c r="B350" t="s">
        <v>190</v>
      </c>
      <c r="C350">
        <v>301049751</v>
      </c>
      <c r="D350">
        <v>73239990</v>
      </c>
      <c r="E350" t="s">
        <v>1117</v>
      </c>
      <c r="N350">
        <v>1395.9</v>
      </c>
      <c r="O350" t="s">
        <v>2746</v>
      </c>
      <c r="P350">
        <v>481.9603052</v>
      </c>
      <c r="Q350">
        <v>672768.39</v>
      </c>
      <c r="R350">
        <v>5.730800299</v>
      </c>
      <c r="S350">
        <v>7999.624138</v>
      </c>
      <c r="T350">
        <v>246502.4</v>
      </c>
    </row>
    <row r="351" spans="1:20">
      <c r="A351" t="s">
        <v>20</v>
      </c>
      <c r="B351" t="s">
        <v>190</v>
      </c>
      <c r="C351">
        <v>301049751</v>
      </c>
      <c r="D351">
        <v>73239990</v>
      </c>
      <c r="E351" t="s">
        <v>1118</v>
      </c>
      <c r="N351">
        <v>1469.6</v>
      </c>
      <c r="O351" t="s">
        <v>2746</v>
      </c>
      <c r="P351">
        <v>385.452926</v>
      </c>
      <c r="Q351">
        <v>566461.62</v>
      </c>
      <c r="R351">
        <v>4.583269036</v>
      </c>
      <c r="S351">
        <v>6735.572176</v>
      </c>
      <c r="T351">
        <v>207551.5</v>
      </c>
    </row>
    <row r="352" spans="1:20">
      <c r="A352" t="s">
        <v>20</v>
      </c>
      <c r="B352" t="s">
        <v>190</v>
      </c>
      <c r="C352">
        <v>301049751</v>
      </c>
      <c r="D352">
        <v>73239990</v>
      </c>
      <c r="E352" t="s">
        <v>1119</v>
      </c>
      <c r="N352">
        <v>2100</v>
      </c>
      <c r="O352" t="s">
        <v>2746</v>
      </c>
      <c r="P352">
        <v>594.4355048</v>
      </c>
      <c r="Q352">
        <v>1248314.56</v>
      </c>
      <c r="R352">
        <v>7.06819863</v>
      </c>
      <c r="S352">
        <v>14843.21712</v>
      </c>
      <c r="T352">
        <v>457382.5</v>
      </c>
    </row>
    <row r="353" spans="1:20">
      <c r="A353" t="s">
        <v>20</v>
      </c>
      <c r="B353" t="s">
        <v>191</v>
      </c>
      <c r="C353">
        <v>301049751</v>
      </c>
      <c r="D353">
        <v>73239990</v>
      </c>
      <c r="E353" t="s">
        <v>1120</v>
      </c>
      <c r="N353">
        <v>10850.4</v>
      </c>
      <c r="O353" t="s">
        <v>2746</v>
      </c>
      <c r="P353">
        <v>383.8975208</v>
      </c>
      <c r="Q353">
        <v>4165441.66</v>
      </c>
      <c r="R353">
        <v>4.564774326</v>
      </c>
      <c r="S353">
        <v>49529.62735</v>
      </c>
      <c r="T353">
        <v>1526217.8</v>
      </c>
    </row>
    <row r="354" spans="1:20">
      <c r="A354" t="s">
        <v>20</v>
      </c>
      <c r="B354" t="s">
        <v>192</v>
      </c>
      <c r="C354">
        <v>301049751</v>
      </c>
      <c r="D354">
        <v>73239990</v>
      </c>
      <c r="E354" t="s">
        <v>1121</v>
      </c>
      <c r="N354">
        <v>176.4</v>
      </c>
      <c r="O354" t="s">
        <v>2746</v>
      </c>
      <c r="P354">
        <v>464.5975057</v>
      </c>
      <c r="Q354">
        <v>81955</v>
      </c>
      <c r="R354">
        <v>5.514510453</v>
      </c>
      <c r="S354">
        <v>972.7596439</v>
      </c>
      <c r="T354">
        <v>30028.3</v>
      </c>
    </row>
    <row r="355" spans="1:20">
      <c r="A355" t="s">
        <v>20</v>
      </c>
      <c r="B355" t="s">
        <v>192</v>
      </c>
      <c r="C355">
        <v>301049751</v>
      </c>
      <c r="D355">
        <v>73239990</v>
      </c>
      <c r="E355" t="s">
        <v>1122</v>
      </c>
      <c r="N355">
        <v>3850</v>
      </c>
      <c r="O355" t="s">
        <v>2746</v>
      </c>
      <c r="P355">
        <v>209.7998753</v>
      </c>
      <c r="Q355">
        <v>807729.52</v>
      </c>
      <c r="R355">
        <v>2.490206235</v>
      </c>
      <c r="S355">
        <v>9587.294006</v>
      </c>
      <c r="T355">
        <v>295952.1</v>
      </c>
    </row>
    <row r="356" spans="1:20">
      <c r="A356" t="s">
        <v>20</v>
      </c>
      <c r="B356" t="s">
        <v>192</v>
      </c>
      <c r="C356">
        <v>301049751</v>
      </c>
      <c r="D356">
        <v>73239990</v>
      </c>
      <c r="E356" t="s">
        <v>1123</v>
      </c>
      <c r="N356">
        <v>1479</v>
      </c>
      <c r="O356" t="s">
        <v>2746</v>
      </c>
      <c r="P356">
        <v>267.4208316</v>
      </c>
      <c r="Q356">
        <v>395515.41</v>
      </c>
      <c r="R356">
        <v>3.1741345</v>
      </c>
      <c r="S356">
        <v>4694.544926</v>
      </c>
      <c r="T356">
        <v>144916.9</v>
      </c>
    </row>
    <row r="357" spans="1:20">
      <c r="A357" t="s">
        <v>20</v>
      </c>
      <c r="B357" t="s">
        <v>193</v>
      </c>
      <c r="C357">
        <v>301049751</v>
      </c>
      <c r="D357">
        <v>73239990</v>
      </c>
      <c r="E357" t="s">
        <v>1124</v>
      </c>
      <c r="N357">
        <v>32.94</v>
      </c>
      <c r="O357" t="s">
        <v>2746</v>
      </c>
      <c r="P357">
        <v>963.2179721</v>
      </c>
      <c r="Q357">
        <v>31728.4</v>
      </c>
      <c r="R357">
        <v>11.43285427</v>
      </c>
      <c r="S357">
        <v>376.5982196</v>
      </c>
      <c r="T357">
        <v>11625.3</v>
      </c>
    </row>
    <row r="358" spans="1:20">
      <c r="A358" t="s">
        <v>20</v>
      </c>
      <c r="B358" t="s">
        <v>193</v>
      </c>
      <c r="C358">
        <v>301049751</v>
      </c>
      <c r="D358">
        <v>73239990</v>
      </c>
      <c r="E358" t="s">
        <v>1125</v>
      </c>
      <c r="N358">
        <v>60</v>
      </c>
      <c r="O358" t="s">
        <v>2746</v>
      </c>
      <c r="P358">
        <v>812.0696667</v>
      </c>
      <c r="Q358">
        <v>48724.18</v>
      </c>
      <c r="R358">
        <v>9.6388091</v>
      </c>
      <c r="S358">
        <v>578.328546</v>
      </c>
      <c r="T358">
        <v>17852.5</v>
      </c>
    </row>
    <row r="359" spans="1:20">
      <c r="A359" t="s">
        <v>20</v>
      </c>
      <c r="B359" t="s">
        <v>193</v>
      </c>
      <c r="C359">
        <v>301049751</v>
      </c>
      <c r="D359">
        <v>73239990</v>
      </c>
      <c r="E359" t="s">
        <v>1126</v>
      </c>
      <c r="N359">
        <v>46.2</v>
      </c>
      <c r="O359" t="s">
        <v>2746</v>
      </c>
      <c r="P359">
        <v>411.8625541</v>
      </c>
      <c r="Q359">
        <v>19028.05</v>
      </c>
      <c r="R359">
        <v>4.88857631</v>
      </c>
      <c r="S359">
        <v>225.8522255</v>
      </c>
      <c r="T359">
        <v>6971.9</v>
      </c>
    </row>
    <row r="360" spans="1:20">
      <c r="A360" t="s">
        <v>20</v>
      </c>
      <c r="B360" t="s">
        <v>193</v>
      </c>
      <c r="C360">
        <v>301049751</v>
      </c>
      <c r="D360">
        <v>73239990</v>
      </c>
      <c r="E360" t="s">
        <v>1127</v>
      </c>
      <c r="N360">
        <v>23760</v>
      </c>
      <c r="O360" t="s">
        <v>2746</v>
      </c>
      <c r="P360">
        <v>212.9805522</v>
      </c>
      <c r="Q360">
        <v>5060417.92</v>
      </c>
      <c r="R360">
        <v>2.527959076</v>
      </c>
      <c r="S360">
        <v>60064.30766</v>
      </c>
      <c r="T360">
        <v>1854137.2</v>
      </c>
    </row>
    <row r="361" spans="1:20">
      <c r="A361" t="s">
        <v>20</v>
      </c>
      <c r="B361" t="s">
        <v>193</v>
      </c>
      <c r="C361">
        <v>301049751</v>
      </c>
      <c r="D361">
        <v>73239990</v>
      </c>
      <c r="E361" t="s">
        <v>1128</v>
      </c>
      <c r="N361">
        <v>35</v>
      </c>
      <c r="O361" t="s">
        <v>2746</v>
      </c>
      <c r="P361">
        <v>649.6557143</v>
      </c>
      <c r="Q361">
        <v>22737.95</v>
      </c>
      <c r="R361">
        <v>7.711047054</v>
      </c>
      <c r="S361">
        <v>269.8866469</v>
      </c>
      <c r="T361">
        <v>8331.200000000001</v>
      </c>
    </row>
    <row r="362" spans="1:20">
      <c r="A362" t="s">
        <v>20</v>
      </c>
      <c r="B362" t="s">
        <v>193</v>
      </c>
      <c r="C362">
        <v>301049751</v>
      </c>
      <c r="D362">
        <v>73239990</v>
      </c>
      <c r="E362" t="s">
        <v>1129</v>
      </c>
      <c r="N362">
        <v>42</v>
      </c>
      <c r="O362" t="s">
        <v>2746</v>
      </c>
      <c r="P362">
        <v>516.3892857</v>
      </c>
      <c r="Q362">
        <v>21688.35</v>
      </c>
      <c r="R362">
        <v>6.129249682</v>
      </c>
      <c r="S362">
        <v>257.4284866</v>
      </c>
      <c r="T362">
        <v>7946.7</v>
      </c>
    </row>
    <row r="363" spans="1:20">
      <c r="A363" t="s">
        <v>20</v>
      </c>
      <c r="B363" t="s">
        <v>193</v>
      </c>
      <c r="C363">
        <v>301049751</v>
      </c>
      <c r="D363">
        <v>73239990</v>
      </c>
      <c r="E363" t="s">
        <v>1130</v>
      </c>
      <c r="N363">
        <v>66</v>
      </c>
      <c r="O363" t="s">
        <v>2746</v>
      </c>
      <c r="P363">
        <v>813.9645455</v>
      </c>
      <c r="Q363">
        <v>53721.66</v>
      </c>
      <c r="R363">
        <v>9.661300242999999</v>
      </c>
      <c r="S363">
        <v>637.645816</v>
      </c>
      <c r="T363">
        <v>19683.6</v>
      </c>
    </row>
    <row r="364" spans="1:20">
      <c r="A364" t="s">
        <v>20</v>
      </c>
      <c r="B364" t="s">
        <v>193</v>
      </c>
      <c r="C364">
        <v>301049751</v>
      </c>
      <c r="D364">
        <v>73239990</v>
      </c>
      <c r="E364" t="s">
        <v>1131</v>
      </c>
      <c r="N364">
        <v>39.2</v>
      </c>
      <c r="O364" t="s">
        <v>2746</v>
      </c>
      <c r="P364">
        <v>1070.852296</v>
      </c>
      <c r="Q364">
        <v>41977.41</v>
      </c>
      <c r="R364">
        <v>12.71041301</v>
      </c>
      <c r="S364">
        <v>498.2481899</v>
      </c>
      <c r="T364">
        <v>15380.5</v>
      </c>
    </row>
    <row r="365" spans="1:20">
      <c r="A365" t="s">
        <v>20</v>
      </c>
      <c r="B365" t="s">
        <v>193</v>
      </c>
      <c r="C365">
        <v>301049751</v>
      </c>
      <c r="D365">
        <v>73239990</v>
      </c>
      <c r="E365" t="s">
        <v>1078</v>
      </c>
      <c r="N365">
        <v>4004</v>
      </c>
      <c r="O365" t="s">
        <v>2746</v>
      </c>
      <c r="P365">
        <v>381.52248</v>
      </c>
      <c r="Q365">
        <v>1527616.01</v>
      </c>
      <c r="R365">
        <v>4.528456736</v>
      </c>
      <c r="S365">
        <v>18131.94077</v>
      </c>
      <c r="T365">
        <v>559718.5</v>
      </c>
    </row>
    <row r="366" spans="1:20">
      <c r="A366" t="s">
        <v>20</v>
      </c>
      <c r="B366" t="s">
        <v>193</v>
      </c>
      <c r="C366">
        <v>301049751</v>
      </c>
      <c r="D366">
        <v>73239990</v>
      </c>
      <c r="E366" t="s">
        <v>1132</v>
      </c>
      <c r="N366">
        <v>50.4</v>
      </c>
      <c r="O366" t="s">
        <v>2746</v>
      </c>
      <c r="P366">
        <v>999.4680556</v>
      </c>
      <c r="Q366">
        <v>50373.19</v>
      </c>
      <c r="R366">
        <v>11.86312232</v>
      </c>
      <c r="S366">
        <v>597.9013650000001</v>
      </c>
      <c r="T366">
        <v>18456.7</v>
      </c>
    </row>
    <row r="367" spans="1:20">
      <c r="A367" t="s">
        <v>20</v>
      </c>
      <c r="B367" t="s">
        <v>193</v>
      </c>
      <c r="C367">
        <v>301049751</v>
      </c>
      <c r="D367">
        <v>73239990</v>
      </c>
      <c r="E367" t="s">
        <v>1133</v>
      </c>
      <c r="N367">
        <v>42</v>
      </c>
      <c r="O367" t="s">
        <v>2746</v>
      </c>
      <c r="P367">
        <v>624.6416667</v>
      </c>
      <c r="Q367">
        <v>26234.95</v>
      </c>
      <c r="R367">
        <v>7.414144411</v>
      </c>
      <c r="S367">
        <v>311.3940653</v>
      </c>
      <c r="T367">
        <v>9612.5</v>
      </c>
    </row>
    <row r="368" spans="1:20">
      <c r="A368" t="s">
        <v>20</v>
      </c>
      <c r="B368" t="s">
        <v>193</v>
      </c>
      <c r="C368">
        <v>301049751</v>
      </c>
      <c r="D368">
        <v>73239990</v>
      </c>
      <c r="E368" t="s">
        <v>1134</v>
      </c>
      <c r="N368">
        <v>36.4</v>
      </c>
      <c r="O368" t="s">
        <v>2746</v>
      </c>
      <c r="P368">
        <v>518.9494505</v>
      </c>
      <c r="Q368">
        <v>18889.76</v>
      </c>
      <c r="R368">
        <v>6.159637395</v>
      </c>
      <c r="S368">
        <v>224.2108012</v>
      </c>
      <c r="T368">
        <v>6921.3</v>
      </c>
    </row>
    <row r="369" spans="1:20">
      <c r="A369" t="s">
        <v>20</v>
      </c>
      <c r="B369" t="s">
        <v>193</v>
      </c>
      <c r="C369">
        <v>301049751</v>
      </c>
      <c r="D369">
        <v>73231000</v>
      </c>
      <c r="E369" t="s">
        <v>1135</v>
      </c>
      <c r="N369">
        <v>8825</v>
      </c>
      <c r="O369" t="s">
        <v>2746</v>
      </c>
      <c r="P369">
        <v>235.6816136</v>
      </c>
      <c r="Q369">
        <v>2079890.24</v>
      </c>
      <c r="R369">
        <v>2.797407877</v>
      </c>
      <c r="S369">
        <v>24687.12451</v>
      </c>
      <c r="T369">
        <v>914319.7</v>
      </c>
    </row>
    <row r="370" spans="1:20">
      <c r="A370" t="s">
        <v>20</v>
      </c>
      <c r="B370" t="s">
        <v>193</v>
      </c>
      <c r="C370">
        <v>301049751</v>
      </c>
      <c r="D370">
        <v>73239990</v>
      </c>
      <c r="E370" t="s">
        <v>1136</v>
      </c>
      <c r="N370">
        <v>40.6</v>
      </c>
      <c r="O370" t="s">
        <v>2746</v>
      </c>
      <c r="P370">
        <v>585.8512315</v>
      </c>
      <c r="Q370">
        <v>23785.56</v>
      </c>
      <c r="R370">
        <v>6.953723816</v>
      </c>
      <c r="S370">
        <v>282.3211869</v>
      </c>
      <c r="T370">
        <v>8715</v>
      </c>
    </row>
    <row r="371" spans="1:20">
      <c r="A371" t="s">
        <v>20</v>
      </c>
      <c r="B371" t="s">
        <v>194</v>
      </c>
      <c r="C371">
        <v>301049751</v>
      </c>
      <c r="D371">
        <v>73239990</v>
      </c>
      <c r="E371" t="s">
        <v>1137</v>
      </c>
      <c r="N371">
        <v>15568</v>
      </c>
      <c r="O371" t="s">
        <v>2746</v>
      </c>
      <c r="P371">
        <v>402.6528661</v>
      </c>
      <c r="Q371">
        <v>6268499.82</v>
      </c>
      <c r="R371">
        <v>4.779262506</v>
      </c>
      <c r="S371">
        <v>74403.55869000001</v>
      </c>
      <c r="T371">
        <v>2296778.4</v>
      </c>
    </row>
    <row r="372" spans="1:20">
      <c r="A372" t="s">
        <v>20</v>
      </c>
      <c r="B372" t="s">
        <v>195</v>
      </c>
      <c r="C372">
        <v>301049751</v>
      </c>
      <c r="D372">
        <v>73239990</v>
      </c>
      <c r="E372" t="s">
        <v>1138</v>
      </c>
      <c r="N372">
        <v>5662.02</v>
      </c>
      <c r="O372" t="s">
        <v>2746</v>
      </c>
      <c r="P372">
        <v>953.8057548</v>
      </c>
      <c r="Q372">
        <v>5400467.26</v>
      </c>
      <c r="R372">
        <v>11.32113656</v>
      </c>
      <c r="S372">
        <v>64100.5016</v>
      </c>
      <c r="T372">
        <v>1978731.2</v>
      </c>
    </row>
    <row r="373" spans="1:20">
      <c r="A373" t="s">
        <v>20</v>
      </c>
      <c r="B373" t="s">
        <v>196</v>
      </c>
      <c r="C373">
        <v>301049751</v>
      </c>
      <c r="D373">
        <v>73231000</v>
      </c>
      <c r="E373" t="s">
        <v>1102</v>
      </c>
      <c r="N373">
        <v>4900</v>
      </c>
      <c r="O373" t="s">
        <v>2746</v>
      </c>
      <c r="P373">
        <v>450.0187878</v>
      </c>
      <c r="Q373">
        <v>2205092.06</v>
      </c>
      <c r="R373">
        <v>5.341469291</v>
      </c>
      <c r="S373">
        <v>26173.19953</v>
      </c>
      <c r="T373">
        <v>969358.4</v>
      </c>
    </row>
    <row r="374" spans="1:20">
      <c r="A374" t="s">
        <v>20</v>
      </c>
      <c r="B374" t="s">
        <v>197</v>
      </c>
      <c r="C374">
        <v>301049751</v>
      </c>
      <c r="D374">
        <v>73239990</v>
      </c>
      <c r="E374" t="s">
        <v>1139</v>
      </c>
      <c r="N374">
        <v>5904.8</v>
      </c>
      <c r="O374" t="s">
        <v>2746</v>
      </c>
      <c r="P374">
        <v>281.3105321</v>
      </c>
      <c r="Q374">
        <v>1661082.43</v>
      </c>
      <c r="R374">
        <v>3.356927591</v>
      </c>
      <c r="S374">
        <v>19821.98604</v>
      </c>
      <c r="T374">
        <v>608620.6</v>
      </c>
    </row>
    <row r="375" spans="1:20">
      <c r="A375" t="s">
        <v>20</v>
      </c>
      <c r="B375" t="s">
        <v>198</v>
      </c>
      <c r="C375">
        <v>301049751</v>
      </c>
      <c r="D375">
        <v>73239990</v>
      </c>
      <c r="E375" t="s">
        <v>1127</v>
      </c>
      <c r="N375">
        <v>23760</v>
      </c>
      <c r="O375" t="s">
        <v>2746</v>
      </c>
      <c r="P375">
        <v>212.066537</v>
      </c>
      <c r="Q375">
        <v>5038700.92</v>
      </c>
      <c r="R375">
        <v>2.530626934</v>
      </c>
      <c r="S375">
        <v>60127.69594</v>
      </c>
      <c r="T375">
        <v>1846180</v>
      </c>
    </row>
    <row r="376" spans="1:20">
      <c r="A376" t="s">
        <v>20</v>
      </c>
      <c r="B376" t="s">
        <v>199</v>
      </c>
      <c r="C376">
        <v>301049751</v>
      </c>
      <c r="D376">
        <v>73239990</v>
      </c>
      <c r="E376" t="s">
        <v>1140</v>
      </c>
      <c r="N376">
        <v>3307.2</v>
      </c>
      <c r="O376" t="s">
        <v>2746</v>
      </c>
      <c r="P376">
        <v>272.8588534</v>
      </c>
      <c r="Q376">
        <v>902398.8</v>
      </c>
      <c r="R376">
        <v>3.256072236</v>
      </c>
      <c r="S376">
        <v>10768.4821</v>
      </c>
      <c r="T376">
        <v>330639</v>
      </c>
    </row>
    <row r="377" spans="1:20">
      <c r="A377" t="s">
        <v>20</v>
      </c>
      <c r="B377" t="s">
        <v>200</v>
      </c>
      <c r="C377">
        <v>301049751</v>
      </c>
      <c r="D377">
        <v>73239390</v>
      </c>
      <c r="E377" t="s">
        <v>1141</v>
      </c>
      <c r="N377">
        <v>2298.4</v>
      </c>
      <c r="O377" t="s">
        <v>2746</v>
      </c>
      <c r="P377">
        <v>185.0208101</v>
      </c>
      <c r="Q377">
        <v>425251.83</v>
      </c>
      <c r="R377">
        <v>2.207885562</v>
      </c>
      <c r="S377">
        <v>5074.604177</v>
      </c>
      <c r="T377">
        <v>155812.3</v>
      </c>
    </row>
    <row r="378" spans="1:20">
      <c r="A378" t="s">
        <v>20</v>
      </c>
      <c r="B378" t="s">
        <v>200</v>
      </c>
      <c r="C378">
        <v>301049751</v>
      </c>
      <c r="D378">
        <v>73239990</v>
      </c>
      <c r="E378" t="s">
        <v>1142</v>
      </c>
      <c r="N378">
        <v>9512</v>
      </c>
      <c r="O378" t="s">
        <v>2746</v>
      </c>
      <c r="P378">
        <v>330.3591348</v>
      </c>
      <c r="Q378">
        <v>3142376.09</v>
      </c>
      <c r="R378">
        <v>3.942233112</v>
      </c>
      <c r="S378">
        <v>37498.52136</v>
      </c>
      <c r="T378">
        <v>1151366.6</v>
      </c>
    </row>
    <row r="379" spans="1:20">
      <c r="A379" t="s">
        <v>20</v>
      </c>
      <c r="B379" t="s">
        <v>200</v>
      </c>
      <c r="C379">
        <v>301049751</v>
      </c>
      <c r="D379">
        <v>73239390</v>
      </c>
      <c r="E379" t="s">
        <v>1143</v>
      </c>
      <c r="N379">
        <v>4781.7</v>
      </c>
      <c r="O379" t="s">
        <v>2746</v>
      </c>
      <c r="P379">
        <v>185.352015</v>
      </c>
      <c r="Q379">
        <v>886297.73</v>
      </c>
      <c r="R379">
        <v>2.211837888</v>
      </c>
      <c r="S379">
        <v>10576.34523</v>
      </c>
      <c r="T379">
        <v>324739.5</v>
      </c>
    </row>
    <row r="380" spans="1:20">
      <c r="A380" t="s">
        <v>20</v>
      </c>
      <c r="B380" t="s">
        <v>201</v>
      </c>
      <c r="C380">
        <v>301049751</v>
      </c>
      <c r="D380">
        <v>73239990</v>
      </c>
      <c r="E380" t="s">
        <v>1144</v>
      </c>
      <c r="N380">
        <v>4543.5</v>
      </c>
      <c r="O380" t="s">
        <v>2746</v>
      </c>
      <c r="P380">
        <v>472.7336723</v>
      </c>
      <c r="Q380">
        <v>2147865.44</v>
      </c>
      <c r="R380">
        <v>5.641213273</v>
      </c>
      <c r="S380">
        <v>25630.85251</v>
      </c>
      <c r="T380">
        <v>786977.9</v>
      </c>
    </row>
    <row r="381" spans="1:20">
      <c r="A381" t="s">
        <v>20</v>
      </c>
      <c r="B381" t="s">
        <v>201</v>
      </c>
      <c r="C381">
        <v>301049751</v>
      </c>
      <c r="D381">
        <v>73239990</v>
      </c>
      <c r="E381" t="s">
        <v>1145</v>
      </c>
      <c r="N381">
        <v>7215</v>
      </c>
      <c r="O381" t="s">
        <v>2746</v>
      </c>
      <c r="P381">
        <v>433.3391573</v>
      </c>
      <c r="Q381">
        <v>3126542.02</v>
      </c>
      <c r="R381">
        <v>5.171111662</v>
      </c>
      <c r="S381">
        <v>37309.57064</v>
      </c>
      <c r="T381">
        <v>1145565</v>
      </c>
    </row>
    <row r="382" spans="1:20">
      <c r="A382" t="s">
        <v>20</v>
      </c>
      <c r="B382" t="s">
        <v>201</v>
      </c>
      <c r="C382">
        <v>301049751</v>
      </c>
      <c r="D382">
        <v>73239990</v>
      </c>
      <c r="E382" t="s">
        <v>1146</v>
      </c>
      <c r="N382">
        <v>10348.75</v>
      </c>
      <c r="O382" t="s">
        <v>2746</v>
      </c>
      <c r="P382">
        <v>618.3394603</v>
      </c>
      <c r="Q382">
        <v>6399040.49</v>
      </c>
      <c r="R382">
        <v>7.37875251</v>
      </c>
      <c r="S382">
        <v>76360.86504</v>
      </c>
      <c r="T382">
        <v>2344608.4</v>
      </c>
    </row>
    <row r="383" spans="1:20">
      <c r="A383" t="s">
        <v>20</v>
      </c>
      <c r="B383" t="s">
        <v>202</v>
      </c>
      <c r="C383">
        <v>301049751</v>
      </c>
      <c r="D383">
        <v>73239390</v>
      </c>
      <c r="E383" t="s">
        <v>1147</v>
      </c>
      <c r="N383">
        <v>2291.6</v>
      </c>
      <c r="O383" t="s">
        <v>2746</v>
      </c>
      <c r="P383">
        <v>184.3864985</v>
      </c>
      <c r="Q383">
        <v>422540.1</v>
      </c>
      <c r="R383">
        <v>2.1872657</v>
      </c>
      <c r="S383">
        <v>5012.338078</v>
      </c>
      <c r="T383">
        <v>154818.7</v>
      </c>
    </row>
    <row r="384" spans="1:20">
      <c r="A384" t="s">
        <v>20</v>
      </c>
      <c r="B384" t="s">
        <v>202</v>
      </c>
      <c r="C384">
        <v>301049751</v>
      </c>
      <c r="D384">
        <v>73239990</v>
      </c>
      <c r="E384" t="s">
        <v>1148</v>
      </c>
      <c r="N384">
        <v>3465</v>
      </c>
      <c r="O384" t="s">
        <v>2746</v>
      </c>
      <c r="P384">
        <v>475.4150188</v>
      </c>
      <c r="Q384">
        <v>1647313.04</v>
      </c>
      <c r="R384">
        <v>5.639561314</v>
      </c>
      <c r="S384">
        <v>19541.07995</v>
      </c>
      <c r="T384">
        <v>603575.5</v>
      </c>
    </row>
    <row r="385" spans="1:20">
      <c r="A385" t="s">
        <v>20</v>
      </c>
      <c r="B385" t="s">
        <v>202</v>
      </c>
      <c r="C385">
        <v>301049751</v>
      </c>
      <c r="D385">
        <v>73239390</v>
      </c>
      <c r="E385" t="s">
        <v>1149</v>
      </c>
      <c r="N385">
        <v>5613.3</v>
      </c>
      <c r="O385" t="s">
        <v>2746</v>
      </c>
      <c r="P385">
        <v>184.7075285</v>
      </c>
      <c r="Q385">
        <v>1036818.77</v>
      </c>
      <c r="R385">
        <v>2.191073886</v>
      </c>
      <c r="S385">
        <v>12299.15504</v>
      </c>
      <c r="T385">
        <v>379890.5</v>
      </c>
    </row>
    <row r="386" spans="1:20">
      <c r="A386" t="s">
        <v>20</v>
      </c>
      <c r="B386" t="s">
        <v>203</v>
      </c>
      <c r="C386">
        <v>301049751</v>
      </c>
      <c r="D386">
        <v>73239990</v>
      </c>
      <c r="E386" t="s">
        <v>1150</v>
      </c>
      <c r="N386">
        <v>570.5</v>
      </c>
      <c r="O386" t="s">
        <v>2746</v>
      </c>
      <c r="P386">
        <v>483.2544785</v>
      </c>
      <c r="Q386">
        <v>275696.68</v>
      </c>
      <c r="R386">
        <v>5.732556092</v>
      </c>
      <c r="S386">
        <v>3270.42325</v>
      </c>
      <c r="T386">
        <v>101015.2</v>
      </c>
    </row>
    <row r="387" spans="1:20">
      <c r="A387" t="s">
        <v>20</v>
      </c>
      <c r="B387" t="s">
        <v>203</v>
      </c>
      <c r="C387">
        <v>301049751</v>
      </c>
      <c r="D387">
        <v>73239990</v>
      </c>
      <c r="E387" t="s">
        <v>1151</v>
      </c>
      <c r="N387">
        <v>2321.4</v>
      </c>
      <c r="O387" t="s">
        <v>2746</v>
      </c>
      <c r="P387">
        <v>590.6122685</v>
      </c>
      <c r="Q387">
        <v>1371047.32</v>
      </c>
      <c r="R387">
        <v>7.006076731</v>
      </c>
      <c r="S387">
        <v>16263.90652</v>
      </c>
      <c r="T387">
        <v>502351.7</v>
      </c>
    </row>
    <row r="388" spans="1:20">
      <c r="A388" t="s">
        <v>20</v>
      </c>
      <c r="B388" t="s">
        <v>203</v>
      </c>
      <c r="C388">
        <v>301049751</v>
      </c>
      <c r="D388">
        <v>73239990</v>
      </c>
      <c r="E388" t="s">
        <v>1152</v>
      </c>
      <c r="N388">
        <v>6199.2</v>
      </c>
      <c r="O388" t="s">
        <v>2746</v>
      </c>
      <c r="P388">
        <v>488.2570445</v>
      </c>
      <c r="Q388">
        <v>3026803.07</v>
      </c>
      <c r="R388">
        <v>5.791898511</v>
      </c>
      <c r="S388">
        <v>35905.13725</v>
      </c>
      <c r="T388">
        <v>1109020.7</v>
      </c>
    </row>
    <row r="389" spans="1:20">
      <c r="A389" t="s">
        <v>20</v>
      </c>
      <c r="B389" t="s">
        <v>203</v>
      </c>
      <c r="C389">
        <v>301049751</v>
      </c>
      <c r="D389">
        <v>73239990</v>
      </c>
      <c r="E389" t="s">
        <v>1153</v>
      </c>
      <c r="N389">
        <v>7720</v>
      </c>
      <c r="O389" t="s">
        <v>2746</v>
      </c>
      <c r="P389">
        <v>520.0238472</v>
      </c>
      <c r="Q389">
        <v>4014584.1</v>
      </c>
      <c r="R389">
        <v>6.16872891</v>
      </c>
      <c r="S389">
        <v>47622.58719</v>
      </c>
      <c r="T389">
        <v>1470943.6</v>
      </c>
    </row>
    <row r="390" spans="1:20">
      <c r="A390" t="s">
        <v>20</v>
      </c>
      <c r="B390" t="s">
        <v>203</v>
      </c>
      <c r="C390">
        <v>301049751</v>
      </c>
      <c r="D390">
        <v>73239990</v>
      </c>
      <c r="E390" t="s">
        <v>1154</v>
      </c>
      <c r="N390">
        <v>4796.4</v>
      </c>
      <c r="O390" t="s">
        <v>2746</v>
      </c>
      <c r="P390">
        <v>522.7753336</v>
      </c>
      <c r="Q390">
        <v>2507439.61</v>
      </c>
      <c r="R390">
        <v>6.201368133</v>
      </c>
      <c r="S390">
        <v>29744.24211</v>
      </c>
      <c r="T390">
        <v>918725.9</v>
      </c>
    </row>
    <row r="391" spans="1:20">
      <c r="A391" t="s">
        <v>20</v>
      </c>
      <c r="B391" t="s">
        <v>204</v>
      </c>
      <c r="C391">
        <v>301049751</v>
      </c>
      <c r="D391">
        <v>73239990</v>
      </c>
      <c r="E391" t="s">
        <v>1155</v>
      </c>
      <c r="N391">
        <v>10561.6</v>
      </c>
      <c r="O391" t="s">
        <v>2746</v>
      </c>
      <c r="P391">
        <v>418.2879043</v>
      </c>
      <c r="Q391">
        <v>4417789.53</v>
      </c>
      <c r="R391">
        <v>4.961896848</v>
      </c>
      <c r="S391">
        <v>52405.56975</v>
      </c>
      <c r="T391">
        <v>1618678.1</v>
      </c>
    </row>
    <row r="392" spans="1:20">
      <c r="A392" t="s">
        <v>20</v>
      </c>
      <c r="B392" t="s">
        <v>204</v>
      </c>
      <c r="C392">
        <v>301049751</v>
      </c>
      <c r="D392">
        <v>73239990</v>
      </c>
      <c r="E392" t="s">
        <v>1156</v>
      </c>
      <c r="N392">
        <v>8945.200000000001</v>
      </c>
      <c r="O392" t="s">
        <v>2746</v>
      </c>
      <c r="P392">
        <v>460.506646</v>
      </c>
      <c r="Q392">
        <v>4119324.05</v>
      </c>
      <c r="R392">
        <v>5.46271229</v>
      </c>
      <c r="S392">
        <v>48865.05397</v>
      </c>
      <c r="T392">
        <v>1509320.3</v>
      </c>
    </row>
    <row r="393" spans="1:20">
      <c r="A393" t="s">
        <v>20</v>
      </c>
      <c r="B393" t="s">
        <v>205</v>
      </c>
      <c r="C393">
        <v>301049751</v>
      </c>
      <c r="D393">
        <v>73239990</v>
      </c>
      <c r="E393" t="s">
        <v>1157</v>
      </c>
      <c r="N393">
        <v>1398.4</v>
      </c>
      <c r="O393" t="s">
        <v>2746</v>
      </c>
      <c r="P393">
        <v>514.7612343</v>
      </c>
      <c r="Q393">
        <v>719842.11</v>
      </c>
      <c r="R393">
        <v>6.106301711</v>
      </c>
      <c r="S393">
        <v>8539.052313</v>
      </c>
      <c r="T393">
        <v>263750.1</v>
      </c>
    </row>
    <row r="394" spans="1:20">
      <c r="A394" t="s">
        <v>20</v>
      </c>
      <c r="B394" t="s">
        <v>205</v>
      </c>
      <c r="C394">
        <v>301049751</v>
      </c>
      <c r="D394">
        <v>73239990</v>
      </c>
      <c r="E394" t="s">
        <v>1158</v>
      </c>
      <c r="N394">
        <v>2876</v>
      </c>
      <c r="O394" t="s">
        <v>2746</v>
      </c>
      <c r="P394">
        <v>548.4167942</v>
      </c>
      <c r="Q394">
        <v>1577246.7</v>
      </c>
      <c r="R394">
        <v>6.505537297</v>
      </c>
      <c r="S394">
        <v>18709.92527</v>
      </c>
      <c r="T394">
        <v>577903.1</v>
      </c>
    </row>
    <row r="395" spans="1:20">
      <c r="A395" t="s">
        <v>20</v>
      </c>
      <c r="B395" t="s">
        <v>205</v>
      </c>
      <c r="C395">
        <v>301049751</v>
      </c>
      <c r="D395">
        <v>73239990</v>
      </c>
      <c r="E395" t="s">
        <v>1159</v>
      </c>
      <c r="N395">
        <v>3144</v>
      </c>
      <c r="O395" t="s">
        <v>2746</v>
      </c>
      <c r="P395">
        <v>519.5527513</v>
      </c>
      <c r="Q395">
        <v>1633473.85</v>
      </c>
      <c r="R395">
        <v>6.163140584</v>
      </c>
      <c r="S395">
        <v>19376.914</v>
      </c>
      <c r="T395">
        <v>598504.9</v>
      </c>
    </row>
    <row r="396" spans="1:20">
      <c r="A396" t="s">
        <v>20</v>
      </c>
      <c r="B396" t="s">
        <v>206</v>
      </c>
      <c r="C396">
        <v>301049751</v>
      </c>
      <c r="D396">
        <v>73239990</v>
      </c>
      <c r="E396" t="s">
        <v>1160</v>
      </c>
      <c r="N396">
        <v>2356</v>
      </c>
      <c r="O396" t="s">
        <v>2746</v>
      </c>
      <c r="P396">
        <v>519.5257852</v>
      </c>
      <c r="Q396">
        <v>1224002.75</v>
      </c>
      <c r="R396">
        <v>6.177476638</v>
      </c>
      <c r="S396">
        <v>14554.13496</v>
      </c>
      <c r="T396">
        <v>448474.6</v>
      </c>
    </row>
    <row r="397" spans="1:20">
      <c r="A397" t="s">
        <v>20</v>
      </c>
      <c r="B397" t="s">
        <v>206</v>
      </c>
      <c r="C397">
        <v>301049751</v>
      </c>
      <c r="D397">
        <v>73239990</v>
      </c>
      <c r="E397" t="s">
        <v>1161</v>
      </c>
      <c r="N397">
        <v>1468</v>
      </c>
      <c r="O397" t="s">
        <v>2746</v>
      </c>
      <c r="P397">
        <v>512.1790395</v>
      </c>
      <c r="Q397">
        <v>751878.83</v>
      </c>
      <c r="R397">
        <v>6.090119376</v>
      </c>
      <c r="S397">
        <v>8940.295244000001</v>
      </c>
      <c r="T397">
        <v>275488.5</v>
      </c>
    </row>
    <row r="398" spans="1:20">
      <c r="A398" t="s">
        <v>20</v>
      </c>
      <c r="B398" t="s">
        <v>206</v>
      </c>
      <c r="C398">
        <v>301049751</v>
      </c>
      <c r="D398">
        <v>73239990</v>
      </c>
      <c r="E398" t="s">
        <v>1162</v>
      </c>
      <c r="N398">
        <v>6850</v>
      </c>
      <c r="O398" t="s">
        <v>2746</v>
      </c>
      <c r="P398">
        <v>575.5661765999999</v>
      </c>
      <c r="Q398">
        <v>3942628.31</v>
      </c>
      <c r="R398">
        <v>6.843830876</v>
      </c>
      <c r="S398">
        <v>46880.2415</v>
      </c>
      <c r="T398">
        <v>1444579.1</v>
      </c>
    </row>
    <row r="399" spans="1:20">
      <c r="A399" t="s">
        <v>20</v>
      </c>
      <c r="B399" t="s">
        <v>206</v>
      </c>
      <c r="C399">
        <v>301049751</v>
      </c>
      <c r="D399">
        <v>73239990</v>
      </c>
      <c r="E399" t="s">
        <v>1163</v>
      </c>
      <c r="N399">
        <v>6964.8</v>
      </c>
      <c r="O399" t="s">
        <v>2746</v>
      </c>
      <c r="P399">
        <v>732.1172051</v>
      </c>
      <c r="Q399">
        <v>5099049.91</v>
      </c>
      <c r="R399">
        <v>8.705317539999999</v>
      </c>
      <c r="S399">
        <v>60630.7956</v>
      </c>
      <c r="T399">
        <v>1868291.9</v>
      </c>
    </row>
    <row r="400" spans="1:20">
      <c r="A400" t="s">
        <v>20</v>
      </c>
      <c r="B400" t="s">
        <v>206</v>
      </c>
      <c r="C400">
        <v>301049751</v>
      </c>
      <c r="D400">
        <v>73239990</v>
      </c>
      <c r="E400" t="s">
        <v>1164</v>
      </c>
      <c r="N400">
        <v>75.59999999999999</v>
      </c>
      <c r="O400" t="s">
        <v>2746</v>
      </c>
      <c r="P400">
        <v>576.1402116</v>
      </c>
      <c r="Q400">
        <v>43556.2</v>
      </c>
      <c r="R400">
        <v>6.8506565</v>
      </c>
      <c r="S400">
        <v>517.9096314</v>
      </c>
      <c r="T400">
        <v>15958.9</v>
      </c>
    </row>
    <row r="401" spans="1:20">
      <c r="A401" t="s">
        <v>20</v>
      </c>
      <c r="B401" t="s">
        <v>206</v>
      </c>
      <c r="C401">
        <v>301049751</v>
      </c>
      <c r="D401">
        <v>73239990</v>
      </c>
      <c r="E401" t="s">
        <v>1165</v>
      </c>
      <c r="N401">
        <v>2879.8</v>
      </c>
      <c r="O401" t="s">
        <v>2746</v>
      </c>
      <c r="P401">
        <v>496.9913952</v>
      </c>
      <c r="Q401">
        <v>1431235.82</v>
      </c>
      <c r="R401">
        <v>5.909529075</v>
      </c>
      <c r="S401">
        <v>17018.26183</v>
      </c>
      <c r="T401">
        <v>524404.8</v>
      </c>
    </row>
    <row r="402" spans="1:20">
      <c r="A402" t="s">
        <v>20</v>
      </c>
      <c r="B402" t="s">
        <v>206</v>
      </c>
      <c r="C402">
        <v>301049751</v>
      </c>
      <c r="D402">
        <v>73239990</v>
      </c>
      <c r="E402" t="s">
        <v>1166</v>
      </c>
      <c r="N402">
        <v>6875</v>
      </c>
      <c r="O402" t="s">
        <v>2746</v>
      </c>
      <c r="P402">
        <v>531.0378618</v>
      </c>
      <c r="Q402">
        <v>3650885.3</v>
      </c>
      <c r="R402">
        <v>6.314362209</v>
      </c>
      <c r="S402">
        <v>43411.24019</v>
      </c>
      <c r="T402">
        <v>1337684.4</v>
      </c>
    </row>
    <row r="403" spans="1:20">
      <c r="A403" t="s">
        <v>20</v>
      </c>
      <c r="B403" t="s">
        <v>207</v>
      </c>
      <c r="C403">
        <v>301049751</v>
      </c>
      <c r="D403">
        <v>73239990</v>
      </c>
      <c r="E403" t="s">
        <v>1167</v>
      </c>
      <c r="N403">
        <v>1662.6</v>
      </c>
      <c r="O403" t="s">
        <v>2746</v>
      </c>
      <c r="P403">
        <v>495.9202995</v>
      </c>
      <c r="Q403">
        <v>824517.09</v>
      </c>
      <c r="R403">
        <v>5.896793098</v>
      </c>
      <c r="S403">
        <v>9804.008205</v>
      </c>
      <c r="T403">
        <v>302103</v>
      </c>
    </row>
    <row r="404" spans="1:20">
      <c r="A404" t="s">
        <v>20</v>
      </c>
      <c r="B404" t="s">
        <v>207</v>
      </c>
      <c r="C404">
        <v>301049751</v>
      </c>
      <c r="D404">
        <v>73239990</v>
      </c>
      <c r="E404" t="s">
        <v>1168</v>
      </c>
      <c r="N404">
        <v>7772</v>
      </c>
      <c r="O404" t="s">
        <v>2746</v>
      </c>
      <c r="P404">
        <v>546.4036104</v>
      </c>
      <c r="Q404">
        <v>4246648.86</v>
      </c>
      <c r="R404">
        <v>6.497070278</v>
      </c>
      <c r="S404">
        <v>50495.2302</v>
      </c>
      <c r="T404">
        <v>1555972.2</v>
      </c>
    </row>
    <row r="405" spans="1:20">
      <c r="A405" t="s">
        <v>20</v>
      </c>
      <c r="B405" t="s">
        <v>207</v>
      </c>
      <c r="C405">
        <v>301049751</v>
      </c>
      <c r="D405">
        <v>73239990</v>
      </c>
      <c r="E405" t="s">
        <v>1169</v>
      </c>
      <c r="N405">
        <v>340.2</v>
      </c>
      <c r="O405" t="s">
        <v>2746</v>
      </c>
      <c r="P405">
        <v>525.1708701</v>
      </c>
      <c r="Q405">
        <v>178663.13</v>
      </c>
      <c r="R405">
        <v>6.24460012</v>
      </c>
      <c r="S405">
        <v>2124.412961</v>
      </c>
      <c r="T405">
        <v>65462.2</v>
      </c>
    </row>
    <row r="406" spans="1:20">
      <c r="A406" t="s">
        <v>20</v>
      </c>
      <c r="B406" t="s">
        <v>207</v>
      </c>
      <c r="C406">
        <v>301049751</v>
      </c>
      <c r="D406">
        <v>73239990</v>
      </c>
      <c r="E406" t="s">
        <v>1170</v>
      </c>
      <c r="N406">
        <v>7860</v>
      </c>
      <c r="O406" t="s">
        <v>2746</v>
      </c>
      <c r="P406">
        <v>546.3092036</v>
      </c>
      <c r="Q406">
        <v>4293990.34</v>
      </c>
      <c r="R406">
        <v>6.495947724</v>
      </c>
      <c r="S406">
        <v>51058.14911</v>
      </c>
      <c r="T406">
        <v>1573318.1</v>
      </c>
    </row>
    <row r="407" spans="1:20">
      <c r="A407" t="s">
        <v>20</v>
      </c>
      <c r="B407" t="s">
        <v>207</v>
      </c>
      <c r="C407">
        <v>301049751</v>
      </c>
      <c r="D407">
        <v>73239990</v>
      </c>
      <c r="E407" t="s">
        <v>1171</v>
      </c>
      <c r="N407">
        <v>375</v>
      </c>
      <c r="O407" t="s">
        <v>2746</v>
      </c>
      <c r="P407">
        <v>558.20296</v>
      </c>
      <c r="Q407">
        <v>209326.11</v>
      </c>
      <c r="R407">
        <v>6.6373717</v>
      </c>
      <c r="S407">
        <v>2489.014388</v>
      </c>
      <c r="T407">
        <v>76697</v>
      </c>
    </row>
    <row r="408" spans="1:20">
      <c r="A408" t="s">
        <v>20</v>
      </c>
      <c r="B408" t="s">
        <v>207</v>
      </c>
      <c r="C408">
        <v>301049751</v>
      </c>
      <c r="D408">
        <v>73239990</v>
      </c>
      <c r="E408" t="s">
        <v>1172</v>
      </c>
      <c r="N408">
        <v>7244</v>
      </c>
      <c r="O408" t="s">
        <v>2746</v>
      </c>
      <c r="P408">
        <v>518.7049903</v>
      </c>
      <c r="Q408">
        <v>3757498.95</v>
      </c>
      <c r="R408">
        <v>6.167716889</v>
      </c>
      <c r="S408">
        <v>44678.94114</v>
      </c>
      <c r="T408">
        <v>1376747.7</v>
      </c>
    </row>
    <row r="409" spans="1:20">
      <c r="A409" t="s">
        <v>20</v>
      </c>
      <c r="B409" t="s">
        <v>207</v>
      </c>
      <c r="C409">
        <v>301049751</v>
      </c>
      <c r="D409">
        <v>73239990</v>
      </c>
      <c r="E409" t="s">
        <v>1173</v>
      </c>
      <c r="N409">
        <v>6361.4</v>
      </c>
      <c r="O409" t="s">
        <v>2746</v>
      </c>
      <c r="P409">
        <v>499.7474172</v>
      </c>
      <c r="Q409">
        <v>3179093.22</v>
      </c>
      <c r="R409">
        <v>5.942299848</v>
      </c>
      <c r="S409">
        <v>37801.34625</v>
      </c>
      <c r="T409">
        <v>1164819.8</v>
      </c>
    </row>
    <row r="410" spans="1:20">
      <c r="A410" t="s">
        <v>20</v>
      </c>
      <c r="B410" t="s">
        <v>207</v>
      </c>
      <c r="C410">
        <v>301049751</v>
      </c>
      <c r="D410">
        <v>73239990</v>
      </c>
      <c r="E410" t="s">
        <v>1174</v>
      </c>
      <c r="N410">
        <v>4508.4</v>
      </c>
      <c r="O410" t="s">
        <v>2746</v>
      </c>
      <c r="P410">
        <v>632.06727</v>
      </c>
      <c r="Q410">
        <v>2849612.08</v>
      </c>
      <c r="R410">
        <v>7.515663139</v>
      </c>
      <c r="S410">
        <v>33883.6157</v>
      </c>
      <c r="T410">
        <v>1044097.8</v>
      </c>
    </row>
    <row r="411" spans="1:20">
      <c r="A411" t="s">
        <v>20</v>
      </c>
      <c r="B411" t="s">
        <v>208</v>
      </c>
      <c r="C411">
        <v>301049751</v>
      </c>
      <c r="D411">
        <v>73239990</v>
      </c>
      <c r="E411" t="s">
        <v>1156</v>
      </c>
      <c r="N411">
        <v>8945.200000000001</v>
      </c>
      <c r="O411" t="s">
        <v>2746</v>
      </c>
      <c r="P411">
        <v>461.6628158</v>
      </c>
      <c r="Q411">
        <v>4129666.22</v>
      </c>
      <c r="R411">
        <v>5.489450842</v>
      </c>
      <c r="S411">
        <v>49104.23567</v>
      </c>
      <c r="T411">
        <v>1513109.6</v>
      </c>
    </row>
    <row r="412" spans="1:20">
      <c r="A412" t="s">
        <v>20</v>
      </c>
      <c r="B412" t="s">
        <v>208</v>
      </c>
      <c r="C412">
        <v>301049751</v>
      </c>
      <c r="D412">
        <v>73239990</v>
      </c>
      <c r="E412" t="s">
        <v>1175</v>
      </c>
      <c r="N412">
        <v>10348.75</v>
      </c>
      <c r="O412" t="s">
        <v>2746</v>
      </c>
      <c r="P412">
        <v>626.3348617</v>
      </c>
      <c r="Q412">
        <v>6481782.9</v>
      </c>
      <c r="R412">
        <v>7.447501328</v>
      </c>
      <c r="S412">
        <v>77072.32937000001</v>
      </c>
      <c r="T412">
        <v>2374925.3</v>
      </c>
    </row>
    <row r="413" spans="1:20">
      <c r="A413" t="s">
        <v>20</v>
      </c>
      <c r="B413" t="s">
        <v>208</v>
      </c>
      <c r="C413">
        <v>301049751</v>
      </c>
      <c r="D413">
        <v>73239990</v>
      </c>
      <c r="E413" t="s">
        <v>1176</v>
      </c>
      <c r="N413">
        <v>7215</v>
      </c>
      <c r="O413" t="s">
        <v>2746</v>
      </c>
      <c r="P413">
        <v>438.9424241</v>
      </c>
      <c r="Q413">
        <v>3166969.59</v>
      </c>
      <c r="R413">
        <v>5.219291607</v>
      </c>
      <c r="S413">
        <v>37657.18894</v>
      </c>
      <c r="T413">
        <v>1160377.7</v>
      </c>
    </row>
    <row r="414" spans="1:20">
      <c r="A414" t="s">
        <v>20</v>
      </c>
      <c r="B414" t="s">
        <v>208</v>
      </c>
      <c r="C414">
        <v>301049751</v>
      </c>
      <c r="D414">
        <v>73239990</v>
      </c>
      <c r="E414" t="s">
        <v>1177</v>
      </c>
      <c r="N414">
        <v>936</v>
      </c>
      <c r="O414" t="s">
        <v>2746</v>
      </c>
      <c r="P414">
        <v>478.8463248</v>
      </c>
      <c r="Q414">
        <v>448200.16</v>
      </c>
      <c r="R414">
        <v>5.693773184</v>
      </c>
      <c r="S414">
        <v>5329.3717</v>
      </c>
      <c r="T414">
        <v>164220.5</v>
      </c>
    </row>
    <row r="415" spans="1:20">
      <c r="A415" t="s">
        <v>20</v>
      </c>
      <c r="B415" t="s">
        <v>208</v>
      </c>
      <c r="C415">
        <v>301049751</v>
      </c>
      <c r="D415">
        <v>73239990</v>
      </c>
      <c r="E415" t="s">
        <v>1178</v>
      </c>
      <c r="N415">
        <v>2573.75</v>
      </c>
      <c r="O415" t="s">
        <v>2746</v>
      </c>
      <c r="P415">
        <v>470.5283419</v>
      </c>
      <c r="Q415">
        <v>1211022.32</v>
      </c>
      <c r="R415">
        <v>5.594867324</v>
      </c>
      <c r="S415">
        <v>14399.78977</v>
      </c>
      <c r="T415">
        <v>443718.6</v>
      </c>
    </row>
    <row r="416" spans="1:20">
      <c r="A416" t="s">
        <v>20</v>
      </c>
      <c r="B416" t="s">
        <v>208</v>
      </c>
      <c r="C416">
        <v>301049751</v>
      </c>
      <c r="D416">
        <v>73239990</v>
      </c>
      <c r="E416" t="s">
        <v>1179</v>
      </c>
      <c r="N416">
        <v>7680</v>
      </c>
      <c r="O416" t="s">
        <v>2746</v>
      </c>
      <c r="P416">
        <v>494.3183854</v>
      </c>
      <c r="Q416">
        <v>3796365.2</v>
      </c>
      <c r="R416">
        <v>5.877745368</v>
      </c>
      <c r="S416">
        <v>45141.08442</v>
      </c>
      <c r="T416">
        <v>1390988.2</v>
      </c>
    </row>
    <row r="417" spans="1:20">
      <c r="A417" t="s">
        <v>20</v>
      </c>
      <c r="B417" t="s">
        <v>208</v>
      </c>
      <c r="C417">
        <v>301049751</v>
      </c>
      <c r="D417">
        <v>73239990</v>
      </c>
      <c r="E417" t="s">
        <v>1180</v>
      </c>
      <c r="N417">
        <v>7600</v>
      </c>
      <c r="O417" t="s">
        <v>2746</v>
      </c>
      <c r="P417">
        <v>497.0673013</v>
      </c>
      <c r="Q417">
        <v>3777711.49</v>
      </c>
      <c r="R417">
        <v>5.910431645</v>
      </c>
      <c r="S417">
        <v>44919.2805</v>
      </c>
      <c r="T417">
        <v>1384153.5</v>
      </c>
    </row>
    <row r="418" spans="1:20">
      <c r="A418" t="s">
        <v>20</v>
      </c>
      <c r="B418" t="s">
        <v>209</v>
      </c>
      <c r="C418">
        <v>301049751</v>
      </c>
      <c r="D418">
        <v>73239990</v>
      </c>
      <c r="E418" t="s">
        <v>1181</v>
      </c>
      <c r="N418">
        <v>91.40000000000001</v>
      </c>
      <c r="O418" t="s">
        <v>2746</v>
      </c>
      <c r="P418">
        <v>766.7696936999999</v>
      </c>
      <c r="Q418">
        <v>70082.75</v>
      </c>
      <c r="R418">
        <v>9.117356643000001</v>
      </c>
      <c r="S418">
        <v>833.3263971</v>
      </c>
      <c r="T418">
        <v>25678.4</v>
      </c>
    </row>
    <row r="419" spans="1:20">
      <c r="A419" t="s">
        <v>20</v>
      </c>
      <c r="B419" t="s">
        <v>209</v>
      </c>
      <c r="C419">
        <v>301049751</v>
      </c>
      <c r="D419">
        <v>73239990</v>
      </c>
      <c r="E419" t="s">
        <v>1182</v>
      </c>
      <c r="N419">
        <v>93.09999999999999</v>
      </c>
      <c r="O419" t="s">
        <v>2746</v>
      </c>
      <c r="P419">
        <v>772.5603652</v>
      </c>
      <c r="Q419">
        <v>71925.37</v>
      </c>
      <c r="R419">
        <v>9.186211239</v>
      </c>
      <c r="S419">
        <v>855.2362663</v>
      </c>
      <c r="T419">
        <v>26353.5</v>
      </c>
    </row>
    <row r="420" spans="1:20">
      <c r="A420" t="s">
        <v>20</v>
      </c>
      <c r="B420" t="s">
        <v>210</v>
      </c>
      <c r="C420">
        <v>301049751</v>
      </c>
      <c r="D420">
        <v>73239990</v>
      </c>
      <c r="E420" t="s">
        <v>1183</v>
      </c>
      <c r="N420">
        <v>7108</v>
      </c>
      <c r="O420" t="s">
        <v>2746</v>
      </c>
      <c r="P420">
        <v>521.1854108</v>
      </c>
      <c r="Q420">
        <v>3704585.9</v>
      </c>
      <c r="R420">
        <v>6.197210592</v>
      </c>
      <c r="S420">
        <v>44049.77289</v>
      </c>
      <c r="T420">
        <v>1357360.3</v>
      </c>
    </row>
    <row r="421" spans="1:20">
      <c r="A421" t="s">
        <v>20</v>
      </c>
      <c r="B421" t="s">
        <v>210</v>
      </c>
      <c r="C421">
        <v>301049751</v>
      </c>
      <c r="D421">
        <v>73239990</v>
      </c>
      <c r="E421" t="s">
        <v>1184</v>
      </c>
      <c r="N421">
        <v>17890.4</v>
      </c>
      <c r="O421" t="s">
        <v>2746</v>
      </c>
      <c r="P421">
        <v>460.8662814</v>
      </c>
      <c r="Q421">
        <v>8245082.12</v>
      </c>
      <c r="R421">
        <v>5.479979564</v>
      </c>
      <c r="S421">
        <v>98039.0264</v>
      </c>
      <c r="T421">
        <v>3020998</v>
      </c>
    </row>
    <row r="422" spans="1:20">
      <c r="A422" t="s">
        <v>20</v>
      </c>
      <c r="B422" t="s">
        <v>210</v>
      </c>
      <c r="C422">
        <v>301049751</v>
      </c>
      <c r="D422">
        <v>73239990</v>
      </c>
      <c r="E422" t="s">
        <v>1185</v>
      </c>
      <c r="N422">
        <v>10561.6</v>
      </c>
      <c r="O422" t="s">
        <v>2746</v>
      </c>
      <c r="P422">
        <v>418.6145688</v>
      </c>
      <c r="Q422">
        <v>4421239.63</v>
      </c>
      <c r="R422">
        <v>4.97758108</v>
      </c>
      <c r="S422">
        <v>52571.22033</v>
      </c>
      <c r="T422">
        <v>1619942.2</v>
      </c>
    </row>
    <row r="423" spans="1:20">
      <c r="A423" t="s">
        <v>20</v>
      </c>
      <c r="B423" t="s">
        <v>211</v>
      </c>
      <c r="C423">
        <v>301049751</v>
      </c>
      <c r="D423">
        <v>73239990</v>
      </c>
      <c r="E423" t="s">
        <v>1186</v>
      </c>
      <c r="N423">
        <v>5175.3</v>
      </c>
      <c r="O423" t="s">
        <v>2746</v>
      </c>
      <c r="P423">
        <v>563.5502638</v>
      </c>
      <c r="Q423">
        <v>2916541.68</v>
      </c>
      <c r="R423">
        <v>6.700954385</v>
      </c>
      <c r="S423">
        <v>34679.44923</v>
      </c>
      <c r="T423">
        <v>1068620.8</v>
      </c>
    </row>
    <row r="424" spans="1:20">
      <c r="A424" t="s">
        <v>20</v>
      </c>
      <c r="B424" t="s">
        <v>211</v>
      </c>
      <c r="C424">
        <v>301049751</v>
      </c>
      <c r="D424">
        <v>73239990</v>
      </c>
      <c r="E424" t="s">
        <v>1187</v>
      </c>
      <c r="N424">
        <v>6657.6</v>
      </c>
      <c r="O424" t="s">
        <v>2746</v>
      </c>
      <c r="P424">
        <v>494.6905777</v>
      </c>
      <c r="Q424">
        <v>3293451.99</v>
      </c>
      <c r="R424">
        <v>5.882170959</v>
      </c>
      <c r="S424">
        <v>39161.14138</v>
      </c>
      <c r="T424">
        <v>1206720.8</v>
      </c>
    </row>
    <row r="425" spans="1:20">
      <c r="A425" t="s">
        <v>20</v>
      </c>
      <c r="B425" t="s">
        <v>211</v>
      </c>
      <c r="C425">
        <v>301049751</v>
      </c>
      <c r="D425">
        <v>73239990</v>
      </c>
      <c r="E425" t="s">
        <v>1188</v>
      </c>
      <c r="N425">
        <v>1036</v>
      </c>
      <c r="O425" t="s">
        <v>2746</v>
      </c>
      <c r="P425">
        <v>514.0607625</v>
      </c>
      <c r="Q425">
        <v>532566.95</v>
      </c>
      <c r="R425">
        <v>6.112494204</v>
      </c>
      <c r="S425">
        <v>6332.543995</v>
      </c>
      <c r="T425">
        <v>195132.5</v>
      </c>
    </row>
    <row r="426" spans="1:20">
      <c r="A426" t="s">
        <v>20</v>
      </c>
      <c r="B426" t="s">
        <v>211</v>
      </c>
      <c r="C426">
        <v>301049751</v>
      </c>
      <c r="D426">
        <v>73239990</v>
      </c>
      <c r="E426" t="s">
        <v>1189</v>
      </c>
      <c r="N426">
        <v>9452</v>
      </c>
      <c r="O426" t="s">
        <v>2746</v>
      </c>
      <c r="P426">
        <v>520.5425</v>
      </c>
      <c r="Q426">
        <v>4920167.71</v>
      </c>
      <c r="R426">
        <v>6.189565993</v>
      </c>
      <c r="S426">
        <v>58503.77776</v>
      </c>
      <c r="T426">
        <v>1802749.5</v>
      </c>
    </row>
    <row r="427" spans="1:20">
      <c r="A427" t="s">
        <v>20</v>
      </c>
      <c r="B427" t="s">
        <v>211</v>
      </c>
      <c r="C427">
        <v>301049751</v>
      </c>
      <c r="D427">
        <v>73239990</v>
      </c>
      <c r="E427" t="s">
        <v>1190</v>
      </c>
      <c r="N427">
        <v>4380</v>
      </c>
      <c r="O427" t="s">
        <v>2746</v>
      </c>
      <c r="P427">
        <v>561.0002648</v>
      </c>
      <c r="Q427">
        <v>2457181.16</v>
      </c>
      <c r="R427">
        <v>6.670633351</v>
      </c>
      <c r="S427">
        <v>29217.37408</v>
      </c>
      <c r="T427">
        <v>900311.1</v>
      </c>
    </row>
    <row r="428" spans="1:20">
      <c r="A428" t="s">
        <v>20</v>
      </c>
      <c r="B428" t="s">
        <v>211</v>
      </c>
      <c r="C428">
        <v>301049751</v>
      </c>
      <c r="D428">
        <v>73239990</v>
      </c>
      <c r="E428" t="s">
        <v>1191</v>
      </c>
      <c r="N428">
        <v>1064.2</v>
      </c>
      <c r="O428" t="s">
        <v>2746</v>
      </c>
      <c r="P428">
        <v>498.8170645</v>
      </c>
      <c r="Q428">
        <v>530841.12</v>
      </c>
      <c r="R428">
        <v>5.93123739</v>
      </c>
      <c r="S428">
        <v>6312.02283</v>
      </c>
      <c r="T428">
        <v>194500.1</v>
      </c>
    </row>
    <row r="429" spans="1:20">
      <c r="A429" t="s">
        <v>20</v>
      </c>
      <c r="B429" t="s">
        <v>211</v>
      </c>
      <c r="C429">
        <v>301049751</v>
      </c>
      <c r="D429">
        <v>73239990</v>
      </c>
      <c r="E429" t="s">
        <v>1179</v>
      </c>
      <c r="N429">
        <v>7680</v>
      </c>
      <c r="O429" t="s">
        <v>2746</v>
      </c>
      <c r="P429">
        <v>496.453737</v>
      </c>
      <c r="Q429">
        <v>3812764.7</v>
      </c>
      <c r="R429">
        <v>5.903135993</v>
      </c>
      <c r="S429">
        <v>45336.08442</v>
      </c>
      <c r="T429">
        <v>1396997</v>
      </c>
    </row>
    <row r="430" spans="1:20">
      <c r="A430" t="s">
        <v>20</v>
      </c>
      <c r="B430" t="s">
        <v>211</v>
      </c>
      <c r="C430">
        <v>301049751</v>
      </c>
      <c r="D430">
        <v>73239990</v>
      </c>
      <c r="E430" t="s">
        <v>1192</v>
      </c>
      <c r="N430">
        <v>4435.2</v>
      </c>
      <c r="O430" t="s">
        <v>2746</v>
      </c>
      <c r="P430">
        <v>578.2616049</v>
      </c>
      <c r="Q430">
        <v>2564705.87</v>
      </c>
      <c r="R430">
        <v>6.875881152</v>
      </c>
      <c r="S430">
        <v>30495.90809</v>
      </c>
      <c r="T430">
        <v>939708.2</v>
      </c>
    </row>
    <row r="431" spans="1:20">
      <c r="A431" t="s">
        <v>20</v>
      </c>
      <c r="B431" t="s">
        <v>211</v>
      </c>
      <c r="C431">
        <v>301049751</v>
      </c>
      <c r="D431">
        <v>73239990</v>
      </c>
      <c r="E431" t="s">
        <v>1193</v>
      </c>
      <c r="N431">
        <v>2632</v>
      </c>
      <c r="O431" t="s">
        <v>2746</v>
      </c>
      <c r="P431">
        <v>513.6361778</v>
      </c>
      <c r="Q431">
        <v>1351890.42</v>
      </c>
      <c r="R431">
        <v>6.107445634</v>
      </c>
      <c r="S431">
        <v>16074.79691</v>
      </c>
      <c r="T431">
        <v>495332.7</v>
      </c>
    </row>
    <row r="432" spans="1:20">
      <c r="A432" t="s">
        <v>20</v>
      </c>
      <c r="B432" t="s">
        <v>211</v>
      </c>
      <c r="C432">
        <v>301049751</v>
      </c>
      <c r="D432">
        <v>73239990</v>
      </c>
      <c r="E432" t="s">
        <v>1194</v>
      </c>
      <c r="N432">
        <v>806.4</v>
      </c>
      <c r="O432" t="s">
        <v>2746</v>
      </c>
      <c r="P432">
        <v>523.7606647</v>
      </c>
      <c r="Q432">
        <v>422360.6</v>
      </c>
      <c r="R432">
        <v>6.227831923</v>
      </c>
      <c r="S432">
        <v>5022.123662</v>
      </c>
      <c r="T432">
        <v>154752.9</v>
      </c>
    </row>
    <row r="433" spans="1:20">
      <c r="A433" t="s">
        <v>20</v>
      </c>
      <c r="B433" t="s">
        <v>212</v>
      </c>
      <c r="C433">
        <v>301049751</v>
      </c>
      <c r="D433">
        <v>73239990</v>
      </c>
      <c r="E433" t="s">
        <v>1195</v>
      </c>
      <c r="N433">
        <v>3256.8</v>
      </c>
      <c r="O433" t="s">
        <v>2746</v>
      </c>
      <c r="P433">
        <v>510.7240297</v>
      </c>
      <c r="Q433">
        <v>1663326.02</v>
      </c>
      <c r="R433">
        <v>6.072818427</v>
      </c>
      <c r="S433">
        <v>19777.95505</v>
      </c>
      <c r="T433">
        <v>609442.6</v>
      </c>
    </row>
    <row r="434" spans="1:20">
      <c r="A434" t="s">
        <v>20</v>
      </c>
      <c r="B434" t="s">
        <v>212</v>
      </c>
      <c r="C434">
        <v>301049751</v>
      </c>
      <c r="D434">
        <v>73239990</v>
      </c>
      <c r="E434" t="s">
        <v>1196</v>
      </c>
      <c r="N434">
        <v>4388</v>
      </c>
      <c r="O434" t="s">
        <v>2746</v>
      </c>
      <c r="P434">
        <v>544.1156334999999</v>
      </c>
      <c r="Q434">
        <v>2387579.4</v>
      </c>
      <c r="R434">
        <v>6.469864846</v>
      </c>
      <c r="S434">
        <v>28389.76694</v>
      </c>
      <c r="T434">
        <v>874809.1</v>
      </c>
    </row>
    <row r="435" spans="1:20">
      <c r="A435" t="s">
        <v>20</v>
      </c>
      <c r="B435" t="s">
        <v>212</v>
      </c>
      <c r="C435">
        <v>301049751</v>
      </c>
      <c r="D435">
        <v>73239990</v>
      </c>
      <c r="E435" t="s">
        <v>1197</v>
      </c>
      <c r="N435">
        <v>5200</v>
      </c>
      <c r="O435" t="s">
        <v>2746</v>
      </c>
      <c r="P435">
        <v>657.3125135</v>
      </c>
      <c r="Q435">
        <v>3418025.07</v>
      </c>
      <c r="R435">
        <v>7.815844393</v>
      </c>
      <c r="S435">
        <v>40642.39084</v>
      </c>
      <c r="T435">
        <v>1252364.4</v>
      </c>
    </row>
    <row r="436" spans="1:20">
      <c r="A436" t="s">
        <v>20</v>
      </c>
      <c r="B436" t="s">
        <v>212</v>
      </c>
      <c r="C436">
        <v>301049751</v>
      </c>
      <c r="D436">
        <v>73239990</v>
      </c>
      <c r="E436" t="s">
        <v>1198</v>
      </c>
      <c r="N436">
        <v>4949.6</v>
      </c>
      <c r="O436" t="s">
        <v>2746</v>
      </c>
      <c r="P436">
        <v>448.2416781</v>
      </c>
      <c r="Q436">
        <v>2218617.01</v>
      </c>
      <c r="R436">
        <v>5.329865376</v>
      </c>
      <c r="S436">
        <v>26380.70166</v>
      </c>
      <c r="T436">
        <v>812901.2</v>
      </c>
    </row>
    <row r="437" spans="1:20">
      <c r="A437" t="s">
        <v>20</v>
      </c>
      <c r="B437" t="s">
        <v>212</v>
      </c>
      <c r="C437">
        <v>301049751</v>
      </c>
      <c r="D437">
        <v>73239990</v>
      </c>
      <c r="E437" t="s">
        <v>1199</v>
      </c>
      <c r="N437">
        <v>1307.9</v>
      </c>
      <c r="O437" t="s">
        <v>2746</v>
      </c>
      <c r="P437">
        <v>658.5766496</v>
      </c>
      <c r="Q437">
        <v>861352.4</v>
      </c>
      <c r="R437">
        <v>7.830875738</v>
      </c>
      <c r="S437">
        <v>10242.00238</v>
      </c>
      <c r="T437">
        <v>315599.5</v>
      </c>
    </row>
    <row r="438" spans="1:20">
      <c r="A438" t="s">
        <v>20</v>
      </c>
      <c r="B438" t="s">
        <v>212</v>
      </c>
      <c r="C438">
        <v>301049751</v>
      </c>
      <c r="D438">
        <v>73239990</v>
      </c>
      <c r="E438" t="s">
        <v>1200</v>
      </c>
      <c r="N438">
        <v>3477.1</v>
      </c>
      <c r="O438" t="s">
        <v>2746</v>
      </c>
      <c r="P438">
        <v>574.1896091999999</v>
      </c>
      <c r="Q438">
        <v>1996514.69</v>
      </c>
      <c r="R438">
        <v>6.827462653</v>
      </c>
      <c r="S438">
        <v>23739.77039</v>
      </c>
      <c r="T438">
        <v>731523</v>
      </c>
    </row>
    <row r="439" spans="1:20">
      <c r="A439" t="s">
        <v>20</v>
      </c>
      <c r="B439" t="s">
        <v>212</v>
      </c>
      <c r="C439">
        <v>301049751</v>
      </c>
      <c r="D439">
        <v>73239990</v>
      </c>
      <c r="E439" t="s">
        <v>1201</v>
      </c>
      <c r="N439">
        <v>3440</v>
      </c>
      <c r="O439" t="s">
        <v>2746</v>
      </c>
      <c r="P439">
        <v>508.1883808</v>
      </c>
      <c r="Q439">
        <v>1748168.03</v>
      </c>
      <c r="R439">
        <v>6.042668024</v>
      </c>
      <c r="S439">
        <v>20786.778</v>
      </c>
      <c r="T439">
        <v>640528.8</v>
      </c>
    </row>
    <row r="440" spans="1:20">
      <c r="A440" t="s">
        <v>20</v>
      </c>
      <c r="B440" t="s">
        <v>212</v>
      </c>
      <c r="C440">
        <v>301049751</v>
      </c>
      <c r="D440">
        <v>73239990</v>
      </c>
      <c r="E440" t="s">
        <v>1202</v>
      </c>
      <c r="N440">
        <v>3360</v>
      </c>
      <c r="O440" t="s">
        <v>2746</v>
      </c>
      <c r="P440">
        <v>571.656131</v>
      </c>
      <c r="Q440">
        <v>1920764.6</v>
      </c>
      <c r="R440">
        <v>6.797338061</v>
      </c>
      <c r="S440">
        <v>22839.05589</v>
      </c>
      <c r="T440">
        <v>703768.1</v>
      </c>
    </row>
    <row r="441" spans="1:20">
      <c r="A441" t="s">
        <v>20</v>
      </c>
      <c r="B441" t="s">
        <v>213</v>
      </c>
      <c r="C441">
        <v>301049751</v>
      </c>
      <c r="D441">
        <v>73239990</v>
      </c>
      <c r="E441" t="s">
        <v>1203</v>
      </c>
      <c r="N441">
        <v>4620</v>
      </c>
      <c r="O441" t="s">
        <v>2746</v>
      </c>
      <c r="P441">
        <v>508.5421212</v>
      </c>
      <c r="Q441">
        <v>2349464.6</v>
      </c>
      <c r="R441">
        <v>6.046874212</v>
      </c>
      <c r="S441">
        <v>27936.55886</v>
      </c>
      <c r="T441">
        <v>860843.8</v>
      </c>
    </row>
    <row r="442" spans="1:20">
      <c r="A442" t="s">
        <v>20</v>
      </c>
      <c r="B442" t="s">
        <v>213</v>
      </c>
      <c r="C442">
        <v>301049751</v>
      </c>
      <c r="D442">
        <v>73239990</v>
      </c>
      <c r="E442" t="s">
        <v>1204</v>
      </c>
      <c r="N442">
        <v>2478</v>
      </c>
      <c r="O442" t="s">
        <v>2746</v>
      </c>
      <c r="P442">
        <v>588.5167756</v>
      </c>
      <c r="Q442">
        <v>1458344.57</v>
      </c>
      <c r="R442">
        <v>6.997821351</v>
      </c>
      <c r="S442">
        <v>17340.60131</v>
      </c>
      <c r="T442">
        <v>534337.4</v>
      </c>
    </row>
    <row r="443" spans="1:20">
      <c r="A443" t="s">
        <v>20</v>
      </c>
      <c r="B443" t="s">
        <v>213</v>
      </c>
      <c r="C443">
        <v>301049751</v>
      </c>
      <c r="D443">
        <v>73239990</v>
      </c>
      <c r="E443" t="s">
        <v>1205</v>
      </c>
      <c r="N443">
        <v>1220</v>
      </c>
      <c r="O443" t="s">
        <v>2746</v>
      </c>
      <c r="P443">
        <v>515.8367869</v>
      </c>
      <c r="Q443">
        <v>629320.88</v>
      </c>
      <c r="R443">
        <v>6.13361221</v>
      </c>
      <c r="S443">
        <v>7483.006897</v>
      </c>
      <c r="T443">
        <v>230583.2</v>
      </c>
    </row>
    <row r="444" spans="1:20">
      <c r="A444" t="s">
        <v>20</v>
      </c>
      <c r="B444" t="s">
        <v>213</v>
      </c>
      <c r="C444">
        <v>301049751</v>
      </c>
      <c r="D444">
        <v>73239990</v>
      </c>
      <c r="E444" t="s">
        <v>1206</v>
      </c>
      <c r="N444">
        <v>2065.4</v>
      </c>
      <c r="O444" t="s">
        <v>2746</v>
      </c>
      <c r="P444">
        <v>511.0794471</v>
      </c>
      <c r="Q444">
        <v>1055583.49</v>
      </c>
      <c r="R444">
        <v>6.077044555</v>
      </c>
      <c r="S444">
        <v>12551.52782</v>
      </c>
      <c r="T444">
        <v>386765.8</v>
      </c>
    </row>
    <row r="445" spans="1:20">
      <c r="A445" t="s">
        <v>20</v>
      </c>
      <c r="B445" t="s">
        <v>213</v>
      </c>
      <c r="C445">
        <v>301049751</v>
      </c>
      <c r="D445">
        <v>73239990</v>
      </c>
      <c r="E445" t="s">
        <v>1207</v>
      </c>
      <c r="N445">
        <v>102</v>
      </c>
      <c r="O445" t="s">
        <v>2746</v>
      </c>
      <c r="P445">
        <v>636.3357843</v>
      </c>
      <c r="Q445">
        <v>64906.25</v>
      </c>
      <c r="R445">
        <v>7.566418363</v>
      </c>
      <c r="S445">
        <v>771.774673</v>
      </c>
      <c r="T445">
        <v>23781.7</v>
      </c>
    </row>
    <row r="446" spans="1:20">
      <c r="A446" t="s">
        <v>20</v>
      </c>
      <c r="B446" t="s">
        <v>213</v>
      </c>
      <c r="C446">
        <v>301049751</v>
      </c>
      <c r="D446">
        <v>73239990</v>
      </c>
      <c r="E446" t="s">
        <v>1208</v>
      </c>
      <c r="N446">
        <v>6160</v>
      </c>
      <c r="O446" t="s">
        <v>2746</v>
      </c>
      <c r="P446">
        <v>372.2396299</v>
      </c>
      <c r="Q446">
        <v>2292996.12</v>
      </c>
      <c r="R446">
        <v>4.426154933</v>
      </c>
      <c r="S446">
        <v>27265.11439</v>
      </c>
      <c r="T446">
        <v>840153.7</v>
      </c>
    </row>
    <row r="447" spans="1:20">
      <c r="A447" t="s">
        <v>20</v>
      </c>
      <c r="B447" t="s">
        <v>213</v>
      </c>
      <c r="C447">
        <v>301049751</v>
      </c>
      <c r="D447">
        <v>73239990</v>
      </c>
      <c r="E447" t="s">
        <v>1209</v>
      </c>
      <c r="N447">
        <v>7671.3</v>
      </c>
      <c r="O447" t="s">
        <v>2746</v>
      </c>
      <c r="P447">
        <v>557.8162306</v>
      </c>
      <c r="Q447">
        <v>4279175.65</v>
      </c>
      <c r="R447">
        <v>6.632773254</v>
      </c>
      <c r="S447">
        <v>50881.99346</v>
      </c>
      <c r="T447">
        <v>1567889.9</v>
      </c>
    </row>
    <row r="448" spans="1:20">
      <c r="A448" t="s">
        <v>20</v>
      </c>
      <c r="B448" t="s">
        <v>213</v>
      </c>
      <c r="C448">
        <v>301049751</v>
      </c>
      <c r="D448">
        <v>73239990</v>
      </c>
      <c r="E448" t="s">
        <v>1210</v>
      </c>
      <c r="N448">
        <v>1700</v>
      </c>
      <c r="O448" t="s">
        <v>2746</v>
      </c>
      <c r="P448">
        <v>538.4261529</v>
      </c>
      <c r="Q448">
        <v>915324.46</v>
      </c>
      <c r="R448">
        <v>6.402213471</v>
      </c>
      <c r="S448">
        <v>10883.7629</v>
      </c>
      <c r="T448">
        <v>335374.9</v>
      </c>
    </row>
    <row r="449" spans="1:20">
      <c r="A449" t="s">
        <v>20</v>
      </c>
      <c r="B449" t="s">
        <v>213</v>
      </c>
      <c r="C449">
        <v>301049751</v>
      </c>
      <c r="D449">
        <v>73239990</v>
      </c>
      <c r="E449" t="s">
        <v>1211</v>
      </c>
      <c r="N449">
        <v>2956.3</v>
      </c>
      <c r="O449" t="s">
        <v>2746</v>
      </c>
      <c r="P449">
        <v>499.632632</v>
      </c>
      <c r="Q449">
        <v>1477063.95</v>
      </c>
      <c r="R449">
        <v>5.940934982</v>
      </c>
      <c r="S449">
        <v>17563.18609</v>
      </c>
      <c r="T449">
        <v>541196.3</v>
      </c>
    </row>
    <row r="450" spans="1:20">
      <c r="A450" t="s">
        <v>20</v>
      </c>
      <c r="B450" t="s">
        <v>213</v>
      </c>
      <c r="C450">
        <v>301049751</v>
      </c>
      <c r="D450">
        <v>73239990</v>
      </c>
      <c r="E450" t="s">
        <v>1212</v>
      </c>
      <c r="N450">
        <v>5030.4</v>
      </c>
      <c r="O450" t="s">
        <v>2746</v>
      </c>
      <c r="P450">
        <v>520.4505685</v>
      </c>
      <c r="Q450">
        <v>2618074.54</v>
      </c>
      <c r="R450">
        <v>6.188472872</v>
      </c>
      <c r="S450">
        <v>31130.49394</v>
      </c>
      <c r="T450">
        <v>959262.5</v>
      </c>
    </row>
    <row r="451" spans="1:20">
      <c r="A451" t="s">
        <v>20</v>
      </c>
      <c r="B451" t="s">
        <v>213</v>
      </c>
      <c r="C451">
        <v>301049751</v>
      </c>
      <c r="D451">
        <v>73239990</v>
      </c>
      <c r="E451" t="s">
        <v>1213</v>
      </c>
      <c r="N451">
        <v>2917.4</v>
      </c>
      <c r="O451" t="s">
        <v>2746</v>
      </c>
      <c r="P451">
        <v>657.9048502000001</v>
      </c>
      <c r="Q451">
        <v>1919371.61</v>
      </c>
      <c r="R451">
        <v>7.822887636</v>
      </c>
      <c r="S451">
        <v>22822.49239</v>
      </c>
      <c r="T451">
        <v>703257.7</v>
      </c>
    </row>
    <row r="452" spans="1:20">
      <c r="A452" t="s">
        <v>20</v>
      </c>
      <c r="B452" t="s">
        <v>213</v>
      </c>
      <c r="C452">
        <v>301049751</v>
      </c>
      <c r="D452">
        <v>73239990</v>
      </c>
      <c r="E452" t="s">
        <v>1214</v>
      </c>
      <c r="N452">
        <v>2084</v>
      </c>
      <c r="O452" t="s">
        <v>2746</v>
      </c>
      <c r="P452">
        <v>514.9522121</v>
      </c>
      <c r="Q452">
        <v>1073160.41</v>
      </c>
      <c r="R452">
        <v>6.12309408</v>
      </c>
      <c r="S452">
        <v>12760.52806</v>
      </c>
      <c r="T452">
        <v>393206</v>
      </c>
    </row>
    <row r="453" spans="1:20">
      <c r="A453" t="s">
        <v>20</v>
      </c>
      <c r="B453" t="s">
        <v>213</v>
      </c>
      <c r="C453">
        <v>301049751</v>
      </c>
      <c r="D453">
        <v>73239990</v>
      </c>
      <c r="E453" t="s">
        <v>1215</v>
      </c>
      <c r="N453">
        <v>3486</v>
      </c>
      <c r="O453" t="s">
        <v>2746</v>
      </c>
      <c r="P453">
        <v>518.5661159</v>
      </c>
      <c r="Q453">
        <v>1807721.48</v>
      </c>
      <c r="R453">
        <v>6.166065587</v>
      </c>
      <c r="S453">
        <v>21494.90464</v>
      </c>
      <c r="T453">
        <v>662349.1</v>
      </c>
    </row>
    <row r="454" spans="1:20">
      <c r="A454" t="s">
        <v>20</v>
      </c>
      <c r="B454" t="s">
        <v>213</v>
      </c>
      <c r="C454">
        <v>301049751</v>
      </c>
      <c r="D454">
        <v>73239990</v>
      </c>
      <c r="E454" t="s">
        <v>1216</v>
      </c>
      <c r="N454">
        <v>2791.4</v>
      </c>
      <c r="O454" t="s">
        <v>2746</v>
      </c>
      <c r="P454">
        <v>644.8726589</v>
      </c>
      <c r="Q454">
        <v>1800097.54</v>
      </c>
      <c r="R454">
        <v>7.667926978</v>
      </c>
      <c r="S454">
        <v>21404.25137</v>
      </c>
      <c r="T454">
        <v>659555.8</v>
      </c>
    </row>
    <row r="455" spans="1:20">
      <c r="A455" t="s">
        <v>20</v>
      </c>
      <c r="B455" t="s">
        <v>214</v>
      </c>
      <c r="C455">
        <v>301049751</v>
      </c>
      <c r="D455">
        <v>73239990</v>
      </c>
      <c r="E455" t="s">
        <v>1217</v>
      </c>
      <c r="N455">
        <v>7315</v>
      </c>
      <c r="O455" t="s">
        <v>2746</v>
      </c>
      <c r="P455">
        <v>439.6726411</v>
      </c>
      <c r="Q455">
        <v>3216205.37</v>
      </c>
      <c r="R455">
        <v>5.22797433</v>
      </c>
      <c r="S455">
        <v>38242.63222</v>
      </c>
      <c r="T455">
        <v>1178417.7</v>
      </c>
    </row>
    <row r="456" spans="1:20">
      <c r="A456" t="s">
        <v>20</v>
      </c>
      <c r="B456" t="s">
        <v>214</v>
      </c>
      <c r="C456">
        <v>301049751</v>
      </c>
      <c r="D456">
        <v>73239990</v>
      </c>
      <c r="E456" t="s">
        <v>1218</v>
      </c>
      <c r="N456">
        <v>7680</v>
      </c>
      <c r="O456" t="s">
        <v>2746</v>
      </c>
      <c r="P456">
        <v>496.453737</v>
      </c>
      <c r="Q456">
        <v>3812764.7</v>
      </c>
      <c r="R456">
        <v>5.903135993</v>
      </c>
      <c r="S456">
        <v>45336.08442</v>
      </c>
      <c r="T456">
        <v>1396997</v>
      </c>
    </row>
    <row r="457" spans="1:20">
      <c r="A457" t="s">
        <v>20</v>
      </c>
      <c r="B457" t="s">
        <v>215</v>
      </c>
      <c r="C457">
        <v>301049751</v>
      </c>
      <c r="D457">
        <v>73239990</v>
      </c>
      <c r="E457" t="s">
        <v>1219</v>
      </c>
      <c r="N457">
        <v>5784</v>
      </c>
      <c r="O457" t="s">
        <v>2746</v>
      </c>
      <c r="P457">
        <v>548.9940439</v>
      </c>
      <c r="Q457">
        <v>3175381.55</v>
      </c>
      <c r="R457">
        <v>6.527872104</v>
      </c>
      <c r="S457">
        <v>37757.21225</v>
      </c>
      <c r="T457">
        <v>1163459.8</v>
      </c>
    </row>
    <row r="458" spans="1:20">
      <c r="A458" t="s">
        <v>20</v>
      </c>
      <c r="B458" t="s">
        <v>215</v>
      </c>
      <c r="C458">
        <v>301049751</v>
      </c>
      <c r="D458">
        <v>73239990</v>
      </c>
      <c r="E458" t="s">
        <v>1220</v>
      </c>
      <c r="N458">
        <v>1412</v>
      </c>
      <c r="O458" t="s">
        <v>2746</v>
      </c>
      <c r="P458">
        <v>512.7445892</v>
      </c>
      <c r="Q458">
        <v>723995.36</v>
      </c>
      <c r="R458">
        <v>6.096844105</v>
      </c>
      <c r="S458">
        <v>8608.743876</v>
      </c>
      <c r="T458">
        <v>265271.9</v>
      </c>
    </row>
    <row r="459" spans="1:20">
      <c r="A459" t="s">
        <v>20</v>
      </c>
      <c r="B459" t="s">
        <v>215</v>
      </c>
      <c r="C459">
        <v>301049751</v>
      </c>
      <c r="D459">
        <v>73239990</v>
      </c>
      <c r="E459" t="s">
        <v>1221</v>
      </c>
      <c r="N459">
        <v>345.6</v>
      </c>
      <c r="O459" t="s">
        <v>2746</v>
      </c>
      <c r="P459">
        <v>525.3531539000001</v>
      </c>
      <c r="Q459">
        <v>181562.05</v>
      </c>
      <c r="R459">
        <v>6.246767585</v>
      </c>
      <c r="S459">
        <v>2158.882878</v>
      </c>
      <c r="T459">
        <v>66524.3</v>
      </c>
    </row>
    <row r="460" spans="1:20">
      <c r="A460" t="s">
        <v>20</v>
      </c>
      <c r="B460" t="s">
        <v>216</v>
      </c>
      <c r="C460">
        <v>301049751</v>
      </c>
      <c r="D460">
        <v>73239990</v>
      </c>
      <c r="E460" t="s">
        <v>1222</v>
      </c>
      <c r="N460">
        <v>2042.4</v>
      </c>
      <c r="O460" t="s">
        <v>2746</v>
      </c>
      <c r="P460">
        <v>721.058681</v>
      </c>
      <c r="Q460">
        <v>1472690.25</v>
      </c>
      <c r="R460">
        <v>8.568730612</v>
      </c>
      <c r="S460">
        <v>17500.7754</v>
      </c>
      <c r="T460">
        <v>539593.8</v>
      </c>
    </row>
    <row r="461" spans="1:20">
      <c r="A461" t="s">
        <v>20</v>
      </c>
      <c r="B461" t="s">
        <v>216</v>
      </c>
      <c r="C461">
        <v>301049751</v>
      </c>
      <c r="D461">
        <v>73239990</v>
      </c>
      <c r="E461" t="s">
        <v>1223</v>
      </c>
      <c r="N461">
        <v>2322.2</v>
      </c>
      <c r="O461" t="s">
        <v>2746</v>
      </c>
      <c r="P461">
        <v>650.366493</v>
      </c>
      <c r="Q461">
        <v>1510281.07</v>
      </c>
      <c r="R461">
        <v>7.728657076</v>
      </c>
      <c r="S461">
        <v>17947.48746</v>
      </c>
      <c r="T461">
        <v>553367</v>
      </c>
    </row>
    <row r="462" spans="1:20">
      <c r="A462" t="s">
        <v>20</v>
      </c>
      <c r="B462" t="s">
        <v>216</v>
      </c>
      <c r="C462">
        <v>301049751</v>
      </c>
      <c r="D462">
        <v>73239990</v>
      </c>
      <c r="E462" t="s">
        <v>1224</v>
      </c>
      <c r="N462">
        <v>662.4</v>
      </c>
      <c r="O462" t="s">
        <v>2746</v>
      </c>
      <c r="P462">
        <v>452.375151</v>
      </c>
      <c r="Q462">
        <v>299653.3</v>
      </c>
      <c r="R462">
        <v>5.375818787</v>
      </c>
      <c r="S462">
        <v>3560.942365</v>
      </c>
      <c r="T462">
        <v>109793</v>
      </c>
    </row>
    <row r="463" spans="1:20">
      <c r="A463" t="s">
        <v>20</v>
      </c>
      <c r="B463" t="s">
        <v>216</v>
      </c>
      <c r="C463">
        <v>301049751</v>
      </c>
      <c r="D463">
        <v>73239990</v>
      </c>
      <c r="E463" t="s">
        <v>1225</v>
      </c>
      <c r="N463">
        <v>8189.6</v>
      </c>
      <c r="O463" t="s">
        <v>2746</v>
      </c>
      <c r="P463">
        <v>660.7620946</v>
      </c>
      <c r="Q463">
        <v>5411377.25</v>
      </c>
      <c r="R463">
        <v>7.852193638</v>
      </c>
      <c r="S463">
        <v>64306.32501</v>
      </c>
      <c r="T463">
        <v>1982728.5</v>
      </c>
    </row>
    <row r="464" spans="1:20">
      <c r="A464" t="s">
        <v>20</v>
      </c>
      <c r="B464" t="s">
        <v>216</v>
      </c>
      <c r="C464">
        <v>301049751</v>
      </c>
      <c r="D464">
        <v>73239990</v>
      </c>
      <c r="E464" t="s">
        <v>1226</v>
      </c>
      <c r="N464">
        <v>1672</v>
      </c>
      <c r="O464" t="s">
        <v>2746</v>
      </c>
      <c r="P464">
        <v>520.2314653</v>
      </c>
      <c r="Q464">
        <v>869827.01</v>
      </c>
      <c r="R464">
        <v>6.182192101</v>
      </c>
      <c r="S464">
        <v>10336.62519</v>
      </c>
      <c r="T464">
        <v>318704.6</v>
      </c>
    </row>
    <row r="465" spans="1:20">
      <c r="A465" t="s">
        <v>20</v>
      </c>
      <c r="B465" t="s">
        <v>217</v>
      </c>
      <c r="C465">
        <v>301049751</v>
      </c>
      <c r="D465">
        <v>73239990</v>
      </c>
      <c r="E465" t="s">
        <v>1227</v>
      </c>
      <c r="N465">
        <v>7300</v>
      </c>
      <c r="O465" t="s">
        <v>2746</v>
      </c>
      <c r="P465">
        <v>447.0641274</v>
      </c>
      <c r="Q465">
        <v>3263568.13</v>
      </c>
      <c r="R465">
        <v>5.31270502</v>
      </c>
      <c r="S465">
        <v>38782.74664</v>
      </c>
      <c r="T465">
        <v>1195771.4</v>
      </c>
    </row>
    <row r="466" spans="1:20">
      <c r="A466" t="s">
        <v>20</v>
      </c>
      <c r="B466" t="s">
        <v>218</v>
      </c>
      <c r="C466">
        <v>301049751</v>
      </c>
      <c r="D466">
        <v>73239990</v>
      </c>
      <c r="E466" t="s">
        <v>1228</v>
      </c>
      <c r="N466">
        <v>10200</v>
      </c>
      <c r="O466" t="s">
        <v>2746</v>
      </c>
      <c r="P466">
        <v>603.2993696</v>
      </c>
      <c r="Q466">
        <v>6153653.57</v>
      </c>
      <c r="R466">
        <v>7.169332972</v>
      </c>
      <c r="S466">
        <v>73127.19632</v>
      </c>
      <c r="T466">
        <v>2254698.7</v>
      </c>
    </row>
    <row r="467" spans="1:20">
      <c r="A467" t="s">
        <v>20</v>
      </c>
      <c r="B467" t="s">
        <v>218</v>
      </c>
      <c r="C467">
        <v>301049751</v>
      </c>
      <c r="D467">
        <v>73239990</v>
      </c>
      <c r="E467" t="s">
        <v>1229</v>
      </c>
      <c r="N467">
        <v>1497.6</v>
      </c>
      <c r="O467" t="s">
        <v>2746</v>
      </c>
      <c r="P467">
        <v>475.9758747</v>
      </c>
      <c r="Q467">
        <v>712821.47</v>
      </c>
      <c r="R467">
        <v>5.656278963</v>
      </c>
      <c r="S467">
        <v>8470.843375</v>
      </c>
      <c r="T467">
        <v>261177.8</v>
      </c>
    </row>
    <row r="468" spans="1:20">
      <c r="A468" t="s">
        <v>20</v>
      </c>
      <c r="B468" t="s">
        <v>218</v>
      </c>
      <c r="C468">
        <v>301049751</v>
      </c>
      <c r="D468">
        <v>73239990</v>
      </c>
      <c r="E468" t="s">
        <v>1230</v>
      </c>
      <c r="N468">
        <v>6657.6</v>
      </c>
      <c r="O468" t="s">
        <v>2746</v>
      </c>
      <c r="P468">
        <v>587.0810367</v>
      </c>
      <c r="Q468">
        <v>3908550.71</v>
      </c>
      <c r="R468">
        <v>6.976601743</v>
      </c>
      <c r="S468">
        <v>46447.42377</v>
      </c>
      <c r="T468">
        <v>1432092.9</v>
      </c>
    </row>
    <row r="469" spans="1:20">
      <c r="A469" t="s">
        <v>20</v>
      </c>
      <c r="B469" t="s">
        <v>218</v>
      </c>
      <c r="C469">
        <v>301049751</v>
      </c>
      <c r="D469">
        <v>73239990</v>
      </c>
      <c r="E469" t="s">
        <v>1231</v>
      </c>
      <c r="N469">
        <v>8431.25</v>
      </c>
      <c r="O469" t="s">
        <v>2746</v>
      </c>
      <c r="P469">
        <v>467.7077503</v>
      </c>
      <c r="Q469">
        <v>3943360.97</v>
      </c>
      <c r="R469">
        <v>5.558024365</v>
      </c>
      <c r="S469">
        <v>46861.09293</v>
      </c>
      <c r="T469">
        <v>1444847.5</v>
      </c>
    </row>
    <row r="470" spans="1:20">
      <c r="A470" t="s">
        <v>20</v>
      </c>
      <c r="B470" t="s">
        <v>218</v>
      </c>
      <c r="C470">
        <v>301049751</v>
      </c>
      <c r="D470">
        <v>73239990</v>
      </c>
      <c r="E470" t="s">
        <v>1232</v>
      </c>
      <c r="N470">
        <v>6159</v>
      </c>
      <c r="O470" t="s">
        <v>2746</v>
      </c>
      <c r="P470">
        <v>540.5260383</v>
      </c>
      <c r="Q470">
        <v>3329099.87</v>
      </c>
      <c r="R470">
        <v>6.423363498</v>
      </c>
      <c r="S470">
        <v>39561.49578</v>
      </c>
      <c r="T470">
        <v>1219782.2</v>
      </c>
    </row>
    <row r="471" spans="1:20">
      <c r="A471" t="s">
        <v>20</v>
      </c>
      <c r="B471" t="s">
        <v>218</v>
      </c>
      <c r="C471">
        <v>301049751</v>
      </c>
      <c r="D471">
        <v>73239990</v>
      </c>
      <c r="E471" t="s">
        <v>1233</v>
      </c>
      <c r="N471">
        <v>1060.8</v>
      </c>
      <c r="O471" t="s">
        <v>2746</v>
      </c>
      <c r="P471">
        <v>521.2401489</v>
      </c>
      <c r="Q471">
        <v>552931.55</v>
      </c>
      <c r="R471">
        <v>6.194178835</v>
      </c>
      <c r="S471">
        <v>6570.784908</v>
      </c>
      <c r="T471">
        <v>202594.1</v>
      </c>
    </row>
    <row r="472" spans="1:20">
      <c r="A472" t="s">
        <v>20</v>
      </c>
      <c r="B472" t="s">
        <v>219</v>
      </c>
      <c r="C472">
        <v>301049751</v>
      </c>
      <c r="D472">
        <v>73239990</v>
      </c>
      <c r="E472" t="s">
        <v>1234</v>
      </c>
      <c r="N472">
        <v>850</v>
      </c>
      <c r="O472" t="s">
        <v>2746</v>
      </c>
      <c r="P472">
        <v>648.6048</v>
      </c>
      <c r="Q472">
        <v>551314.08</v>
      </c>
      <c r="R472">
        <v>7.703144893</v>
      </c>
      <c r="S472">
        <v>6547.673159</v>
      </c>
      <c r="T472">
        <v>202001.5</v>
      </c>
    </row>
    <row r="473" spans="1:20">
      <c r="A473" t="s">
        <v>20</v>
      </c>
      <c r="B473" t="s">
        <v>219</v>
      </c>
      <c r="C473">
        <v>301049751</v>
      </c>
      <c r="D473">
        <v>73239990</v>
      </c>
      <c r="E473" t="s">
        <v>1235</v>
      </c>
      <c r="N473">
        <v>1800</v>
      </c>
      <c r="O473" t="s">
        <v>2746</v>
      </c>
      <c r="P473">
        <v>524.0628389</v>
      </c>
      <c r="Q473">
        <v>943313.11</v>
      </c>
      <c r="R473">
        <v>6.224024215</v>
      </c>
      <c r="S473">
        <v>11203.24359</v>
      </c>
      <c r="T473">
        <v>345629.9</v>
      </c>
    </row>
    <row r="474" spans="1:20">
      <c r="A474" t="s">
        <v>20</v>
      </c>
      <c r="B474" t="s">
        <v>219</v>
      </c>
      <c r="C474">
        <v>301049751</v>
      </c>
      <c r="D474">
        <v>73239990</v>
      </c>
      <c r="E474" t="s">
        <v>1236</v>
      </c>
      <c r="N474">
        <v>1528</v>
      </c>
      <c r="O474" t="s">
        <v>2746</v>
      </c>
      <c r="P474">
        <v>528.2550785</v>
      </c>
      <c r="Q474">
        <v>807173.76</v>
      </c>
      <c r="R474">
        <v>6.273813284</v>
      </c>
      <c r="S474">
        <v>9586.386698</v>
      </c>
      <c r="T474">
        <v>295748.5</v>
      </c>
    </row>
    <row r="475" spans="1:20">
      <c r="A475" t="s">
        <v>20</v>
      </c>
      <c r="B475" t="s">
        <v>219</v>
      </c>
      <c r="C475">
        <v>301049751</v>
      </c>
      <c r="D475">
        <v>73239990</v>
      </c>
      <c r="E475" t="s">
        <v>1237</v>
      </c>
      <c r="N475">
        <v>10959</v>
      </c>
      <c r="O475" t="s">
        <v>2746</v>
      </c>
      <c r="P475">
        <v>478.1220339</v>
      </c>
      <c r="Q475">
        <v>5239739.37</v>
      </c>
      <c r="R475">
        <v>5.678408954</v>
      </c>
      <c r="S475">
        <v>62229.68373</v>
      </c>
      <c r="T475">
        <v>1919840.5</v>
      </c>
    </row>
    <row r="476" spans="1:20">
      <c r="A476" t="s">
        <v>20</v>
      </c>
      <c r="B476" t="s">
        <v>219</v>
      </c>
      <c r="C476">
        <v>301049751</v>
      </c>
      <c r="D476">
        <v>73239990</v>
      </c>
      <c r="E476" t="s">
        <v>1238</v>
      </c>
      <c r="N476">
        <v>121.8</v>
      </c>
      <c r="O476" t="s">
        <v>2746</v>
      </c>
      <c r="P476">
        <v>642.9916256</v>
      </c>
      <c r="Q476">
        <v>78316.38</v>
      </c>
      <c r="R476">
        <v>7.636480114</v>
      </c>
      <c r="S476">
        <v>930.1232778999999</v>
      </c>
      <c r="T476">
        <v>28695.1</v>
      </c>
    </row>
    <row r="477" spans="1:20">
      <c r="A477" t="s">
        <v>20</v>
      </c>
      <c r="B477" t="s">
        <v>219</v>
      </c>
      <c r="C477">
        <v>301049751</v>
      </c>
      <c r="D477">
        <v>73239990</v>
      </c>
      <c r="E477" t="s">
        <v>1239</v>
      </c>
      <c r="N477">
        <v>7215</v>
      </c>
      <c r="O477" t="s">
        <v>2746</v>
      </c>
      <c r="P477">
        <v>444.9190644</v>
      </c>
      <c r="Q477">
        <v>3210091.05</v>
      </c>
      <c r="R477">
        <v>5.2840744</v>
      </c>
      <c r="S477">
        <v>38124.59679</v>
      </c>
      <c r="T477">
        <v>1176177.3</v>
      </c>
    </row>
    <row r="478" spans="1:20">
      <c r="A478" t="s">
        <v>20</v>
      </c>
      <c r="B478" t="s">
        <v>219</v>
      </c>
      <c r="C478">
        <v>301049751</v>
      </c>
      <c r="D478">
        <v>73239990</v>
      </c>
      <c r="E478" t="s">
        <v>1240</v>
      </c>
      <c r="N478">
        <v>10885.5</v>
      </c>
      <c r="O478" t="s">
        <v>2746</v>
      </c>
      <c r="P478">
        <v>493.7937706</v>
      </c>
      <c r="Q478">
        <v>5375192.09</v>
      </c>
      <c r="R478">
        <v>5.864534093</v>
      </c>
      <c r="S478">
        <v>63838.38587</v>
      </c>
      <c r="T478">
        <v>1969470.3</v>
      </c>
    </row>
    <row r="479" spans="1:20">
      <c r="A479" t="s">
        <v>20</v>
      </c>
      <c r="B479" t="s">
        <v>219</v>
      </c>
      <c r="C479">
        <v>301049751</v>
      </c>
      <c r="D479">
        <v>73239990</v>
      </c>
      <c r="E479" t="s">
        <v>1241</v>
      </c>
      <c r="N479">
        <v>9504</v>
      </c>
      <c r="O479" t="s">
        <v>2746</v>
      </c>
      <c r="P479">
        <v>217.095726</v>
      </c>
      <c r="Q479">
        <v>2063277.78</v>
      </c>
      <c r="R479">
        <v>2.578334038</v>
      </c>
      <c r="S479">
        <v>24504.4867</v>
      </c>
      <c r="T479">
        <v>755985.1</v>
      </c>
    </row>
    <row r="480" spans="1:20">
      <c r="A480" t="s">
        <v>20</v>
      </c>
      <c r="B480" t="s">
        <v>219</v>
      </c>
      <c r="C480">
        <v>301049751</v>
      </c>
      <c r="D480">
        <v>73239990</v>
      </c>
      <c r="E480" t="s">
        <v>1242</v>
      </c>
      <c r="N480">
        <v>10561.6</v>
      </c>
      <c r="O480" t="s">
        <v>2746</v>
      </c>
      <c r="P480">
        <v>433.1419103</v>
      </c>
      <c r="Q480">
        <v>4574671.6</v>
      </c>
      <c r="R480">
        <v>5.14420321</v>
      </c>
      <c r="S480">
        <v>54331.01663</v>
      </c>
      <c r="T480">
        <v>1676159.6</v>
      </c>
    </row>
    <row r="481" spans="1:20">
      <c r="A481" t="s">
        <v>20</v>
      </c>
      <c r="B481" t="s">
        <v>219</v>
      </c>
      <c r="C481">
        <v>301049751</v>
      </c>
      <c r="D481">
        <v>73239990</v>
      </c>
      <c r="E481" t="s">
        <v>1243</v>
      </c>
      <c r="N481">
        <v>8721</v>
      </c>
      <c r="O481" t="s">
        <v>2746</v>
      </c>
      <c r="P481">
        <v>497.6531315</v>
      </c>
      <c r="Q481">
        <v>4340032.96</v>
      </c>
      <c r="R481">
        <v>5.910369733</v>
      </c>
      <c r="S481">
        <v>51544.33444</v>
      </c>
      <c r="T481">
        <v>1590188.1</v>
      </c>
    </row>
    <row r="482" spans="1:20">
      <c r="A482" t="s">
        <v>20</v>
      </c>
      <c r="B482" t="s">
        <v>219</v>
      </c>
      <c r="C482">
        <v>301049751</v>
      </c>
      <c r="D482">
        <v>73239990</v>
      </c>
      <c r="E482" t="s">
        <v>1244</v>
      </c>
      <c r="N482">
        <v>3451</v>
      </c>
      <c r="O482" t="s">
        <v>2746</v>
      </c>
      <c r="P482">
        <v>662.8491742</v>
      </c>
      <c r="Q482">
        <v>2287492.5</v>
      </c>
      <c r="R482">
        <v>7.872317983</v>
      </c>
      <c r="S482">
        <v>27167.36936</v>
      </c>
      <c r="T482">
        <v>838137.3</v>
      </c>
    </row>
    <row r="483" spans="1:20">
      <c r="A483" t="s">
        <v>20</v>
      </c>
      <c r="B483" t="s">
        <v>220</v>
      </c>
      <c r="C483">
        <v>301049751</v>
      </c>
      <c r="D483">
        <v>73239990</v>
      </c>
      <c r="E483" t="s">
        <v>1245</v>
      </c>
      <c r="N483">
        <v>1683</v>
      </c>
      <c r="O483" t="s">
        <v>2746</v>
      </c>
      <c r="P483">
        <v>608.2838265</v>
      </c>
      <c r="Q483">
        <v>1023741.68</v>
      </c>
      <c r="R483">
        <v>7.224273474</v>
      </c>
      <c r="S483">
        <v>12158.45226</v>
      </c>
      <c r="T483">
        <v>375098.9</v>
      </c>
    </row>
    <row r="484" spans="1:20">
      <c r="A484" t="s">
        <v>20</v>
      </c>
      <c r="B484" t="s">
        <v>220</v>
      </c>
      <c r="C484">
        <v>301049751</v>
      </c>
      <c r="D484">
        <v>73239990</v>
      </c>
      <c r="E484" t="s">
        <v>1246</v>
      </c>
      <c r="N484">
        <v>163.2</v>
      </c>
      <c r="O484" t="s">
        <v>2746</v>
      </c>
      <c r="P484">
        <v>534.2680147</v>
      </c>
      <c r="Q484">
        <v>87192.53999999999</v>
      </c>
      <c r="R484">
        <v>6.345225828</v>
      </c>
      <c r="S484">
        <v>1035.540855</v>
      </c>
      <c r="T484">
        <v>31947.4</v>
      </c>
    </row>
    <row r="485" spans="1:20">
      <c r="A485" t="s">
        <v>20</v>
      </c>
      <c r="B485" t="s">
        <v>220</v>
      </c>
      <c r="C485">
        <v>301049751</v>
      </c>
      <c r="D485">
        <v>73239990</v>
      </c>
      <c r="E485" t="s">
        <v>1247</v>
      </c>
      <c r="N485">
        <v>2764</v>
      </c>
      <c r="O485" t="s">
        <v>2746</v>
      </c>
      <c r="P485">
        <v>525.4068741</v>
      </c>
      <c r="Q485">
        <v>1452224.6</v>
      </c>
      <c r="R485">
        <v>6.239986628</v>
      </c>
      <c r="S485">
        <v>17247.32304</v>
      </c>
      <c r="T485">
        <v>532095.1</v>
      </c>
    </row>
    <row r="486" spans="1:20">
      <c r="A486" t="s">
        <v>20</v>
      </c>
      <c r="B486" t="s">
        <v>220</v>
      </c>
      <c r="C486">
        <v>301049751</v>
      </c>
      <c r="D486">
        <v>73239990</v>
      </c>
      <c r="E486" t="s">
        <v>1248</v>
      </c>
      <c r="N486">
        <v>2549.4</v>
      </c>
      <c r="O486" t="s">
        <v>2746</v>
      </c>
      <c r="P486">
        <v>585.7711618</v>
      </c>
      <c r="Q486">
        <v>1493365</v>
      </c>
      <c r="R486">
        <v>6.95690216</v>
      </c>
      <c r="S486">
        <v>17735.92637</v>
      </c>
      <c r="T486">
        <v>547168.9</v>
      </c>
    </row>
    <row r="487" spans="1:20">
      <c r="A487" t="s">
        <v>20</v>
      </c>
      <c r="B487" t="s">
        <v>220</v>
      </c>
      <c r="C487">
        <v>301049751</v>
      </c>
      <c r="D487">
        <v>73239990</v>
      </c>
      <c r="E487" t="s">
        <v>1249</v>
      </c>
      <c r="N487">
        <v>85.5</v>
      </c>
      <c r="O487" t="s">
        <v>2746</v>
      </c>
      <c r="P487">
        <v>560.6194152</v>
      </c>
      <c r="Q487">
        <v>47932.96</v>
      </c>
      <c r="R487">
        <v>6.658187829</v>
      </c>
      <c r="S487">
        <v>569.2750594</v>
      </c>
      <c r="T487">
        <v>17562.7</v>
      </c>
    </row>
    <row r="488" spans="1:20">
      <c r="A488" t="s">
        <v>20</v>
      </c>
      <c r="B488" t="s">
        <v>221</v>
      </c>
      <c r="C488">
        <v>301049751</v>
      </c>
      <c r="D488">
        <v>73239990</v>
      </c>
      <c r="E488" t="s">
        <v>1250</v>
      </c>
      <c r="N488">
        <v>5679.1</v>
      </c>
      <c r="O488" t="s">
        <v>2746</v>
      </c>
      <c r="P488">
        <v>1022.925115</v>
      </c>
      <c r="Q488">
        <v>5809294.02</v>
      </c>
      <c r="R488">
        <v>12.14875433</v>
      </c>
      <c r="S488">
        <v>68993.99073999999</v>
      </c>
      <c r="T488">
        <v>2128525.3</v>
      </c>
    </row>
    <row r="489" spans="1:20">
      <c r="A489" t="s">
        <v>20</v>
      </c>
      <c r="B489" t="s">
        <v>222</v>
      </c>
      <c r="C489">
        <v>301049751</v>
      </c>
      <c r="D489">
        <v>73231000</v>
      </c>
      <c r="E489" t="s">
        <v>1251</v>
      </c>
      <c r="N489">
        <v>4900</v>
      </c>
      <c r="O489" t="s">
        <v>2746</v>
      </c>
      <c r="P489">
        <v>459.5340347</v>
      </c>
      <c r="Q489">
        <v>2251716.77</v>
      </c>
      <c r="R489">
        <v>5.460891678</v>
      </c>
      <c r="S489">
        <v>26758.36922</v>
      </c>
      <c r="T489">
        <v>989854.7</v>
      </c>
    </row>
    <row r="490" spans="1:20">
      <c r="A490" t="s">
        <v>20</v>
      </c>
      <c r="B490" t="s">
        <v>223</v>
      </c>
      <c r="C490">
        <v>301049751</v>
      </c>
      <c r="D490">
        <v>73239990</v>
      </c>
      <c r="E490" t="s">
        <v>1252</v>
      </c>
      <c r="N490">
        <v>14256</v>
      </c>
      <c r="O490" t="s">
        <v>2746</v>
      </c>
      <c r="P490">
        <v>208.1419346</v>
      </c>
      <c r="Q490">
        <v>2967271.42</v>
      </c>
      <c r="R490">
        <v>2.473463275</v>
      </c>
      <c r="S490">
        <v>35261.69245</v>
      </c>
      <c r="T490">
        <v>1087208.2</v>
      </c>
    </row>
    <row r="491" spans="1:20">
      <c r="A491" t="s">
        <v>20</v>
      </c>
      <c r="B491" t="s">
        <v>223</v>
      </c>
      <c r="C491">
        <v>301049751</v>
      </c>
      <c r="D491">
        <v>73239990</v>
      </c>
      <c r="E491" t="s">
        <v>1253</v>
      </c>
      <c r="N491">
        <v>941.8</v>
      </c>
      <c r="O491" t="s">
        <v>2746</v>
      </c>
      <c r="P491">
        <v>499.7562646</v>
      </c>
      <c r="Q491">
        <v>470670.45</v>
      </c>
      <c r="R491">
        <v>5.938874208</v>
      </c>
      <c r="S491">
        <v>5593.231729</v>
      </c>
      <c r="T491">
        <v>172453.7</v>
      </c>
    </row>
    <row r="492" spans="1:20">
      <c r="A492" t="s">
        <v>20</v>
      </c>
      <c r="B492" t="s">
        <v>223</v>
      </c>
      <c r="C492">
        <v>301049751</v>
      </c>
      <c r="D492">
        <v>73239990</v>
      </c>
      <c r="E492" t="s">
        <v>1254</v>
      </c>
      <c r="N492">
        <v>4004</v>
      </c>
      <c r="O492" t="s">
        <v>2746</v>
      </c>
      <c r="P492">
        <v>374.0212113</v>
      </c>
      <c r="Q492">
        <v>1497580.93</v>
      </c>
      <c r="R492">
        <v>4.44469651</v>
      </c>
      <c r="S492">
        <v>17796.56482</v>
      </c>
      <c r="T492">
        <v>548713.7</v>
      </c>
    </row>
    <row r="493" spans="1:20">
      <c r="A493" t="s">
        <v>20</v>
      </c>
      <c r="B493" t="s">
        <v>223</v>
      </c>
      <c r="C493">
        <v>301049751</v>
      </c>
      <c r="D493">
        <v>73239990</v>
      </c>
      <c r="E493" t="s">
        <v>1255</v>
      </c>
      <c r="N493">
        <v>1621.2</v>
      </c>
      <c r="O493" t="s">
        <v>2746</v>
      </c>
      <c r="P493">
        <v>585.7499753</v>
      </c>
      <c r="Q493">
        <v>949617.86</v>
      </c>
      <c r="R493">
        <v>6.960784021</v>
      </c>
      <c r="S493">
        <v>11284.82305</v>
      </c>
      <c r="T493">
        <v>347940.1</v>
      </c>
    </row>
    <row r="494" spans="1:20">
      <c r="A494" t="s">
        <v>20</v>
      </c>
      <c r="B494" t="s">
        <v>223</v>
      </c>
      <c r="C494">
        <v>301049751</v>
      </c>
      <c r="D494">
        <v>73239990</v>
      </c>
      <c r="E494" t="s">
        <v>1256</v>
      </c>
      <c r="N494">
        <v>4500</v>
      </c>
      <c r="O494" t="s">
        <v>2746</v>
      </c>
      <c r="P494">
        <v>560.5991111</v>
      </c>
      <c r="Q494">
        <v>2522696</v>
      </c>
      <c r="R494">
        <v>6.661902687</v>
      </c>
      <c r="S494">
        <v>29978.56209</v>
      </c>
      <c r="T494">
        <v>924315.8</v>
      </c>
    </row>
    <row r="495" spans="1:20">
      <c r="A495" t="s">
        <v>20</v>
      </c>
      <c r="B495" t="s">
        <v>223</v>
      </c>
      <c r="C495">
        <v>301049751</v>
      </c>
      <c r="D495">
        <v>73231000</v>
      </c>
      <c r="E495" t="s">
        <v>1257</v>
      </c>
      <c r="N495">
        <v>9273</v>
      </c>
      <c r="O495" t="s">
        <v>2746</v>
      </c>
      <c r="P495">
        <v>233.0034315</v>
      </c>
      <c r="Q495">
        <v>2160640.82</v>
      </c>
      <c r="R495">
        <v>2.7689059</v>
      </c>
      <c r="S495">
        <v>25676.06441</v>
      </c>
      <c r="T495">
        <v>949817.7</v>
      </c>
    </row>
    <row r="496" spans="1:20">
      <c r="A496" t="s">
        <v>20</v>
      </c>
      <c r="B496" t="s">
        <v>224</v>
      </c>
      <c r="C496">
        <v>301049751</v>
      </c>
      <c r="D496">
        <v>73239990</v>
      </c>
      <c r="E496" t="s">
        <v>1258</v>
      </c>
      <c r="N496">
        <v>42</v>
      </c>
      <c r="O496" t="s">
        <v>2746</v>
      </c>
      <c r="P496">
        <v>592.642381</v>
      </c>
      <c r="Q496">
        <v>24890.98</v>
      </c>
      <c r="R496">
        <v>7.042690207</v>
      </c>
      <c r="S496">
        <v>295.7929887</v>
      </c>
      <c r="T496">
        <v>9120</v>
      </c>
    </row>
    <row r="497" spans="1:20">
      <c r="A497" t="s">
        <v>20</v>
      </c>
      <c r="B497" t="s">
        <v>224</v>
      </c>
      <c r="C497">
        <v>301049751</v>
      </c>
      <c r="D497">
        <v>73239990</v>
      </c>
      <c r="E497" t="s">
        <v>1259</v>
      </c>
      <c r="N497">
        <v>2169</v>
      </c>
      <c r="O497" t="s">
        <v>2746</v>
      </c>
      <c r="P497">
        <v>567.195657</v>
      </c>
      <c r="Q497">
        <v>1230247.38</v>
      </c>
      <c r="R497">
        <v>6.740293012</v>
      </c>
      <c r="S497">
        <v>14619.69554</v>
      </c>
      <c r="T497">
        <v>450762.6</v>
      </c>
    </row>
    <row r="498" spans="1:20">
      <c r="A498" t="s">
        <v>20</v>
      </c>
      <c r="B498" t="s">
        <v>224</v>
      </c>
      <c r="C498">
        <v>301049751</v>
      </c>
      <c r="D498">
        <v>73239990</v>
      </c>
      <c r="E498" t="s">
        <v>1260</v>
      </c>
      <c r="N498">
        <v>96.59999999999999</v>
      </c>
      <c r="O498" t="s">
        <v>2746</v>
      </c>
      <c r="P498">
        <v>529.8625259</v>
      </c>
      <c r="Q498">
        <v>51184.72</v>
      </c>
      <c r="R498">
        <v>6.296643207</v>
      </c>
      <c r="S498">
        <v>608.2557338</v>
      </c>
      <c r="T498">
        <v>18754</v>
      </c>
    </row>
    <row r="499" spans="1:20">
      <c r="A499" t="s">
        <v>20</v>
      </c>
      <c r="B499" t="s">
        <v>224</v>
      </c>
      <c r="C499">
        <v>301049751</v>
      </c>
      <c r="D499">
        <v>73239990</v>
      </c>
      <c r="E499" t="s">
        <v>1261</v>
      </c>
      <c r="N499">
        <v>4403</v>
      </c>
      <c r="O499" t="s">
        <v>2746</v>
      </c>
      <c r="P499">
        <v>505.6368771</v>
      </c>
      <c r="Q499">
        <v>2226319.17</v>
      </c>
      <c r="R499">
        <v>6.00875671</v>
      </c>
      <c r="S499">
        <v>26456.55579</v>
      </c>
      <c r="T499">
        <v>815723.3</v>
      </c>
    </row>
    <row r="500" spans="1:20">
      <c r="A500" t="s">
        <v>20</v>
      </c>
      <c r="B500" t="s">
        <v>225</v>
      </c>
      <c r="C500">
        <v>301049751</v>
      </c>
      <c r="D500">
        <v>73239990</v>
      </c>
      <c r="E500" t="s">
        <v>1262</v>
      </c>
      <c r="N500">
        <v>7092.8</v>
      </c>
      <c r="O500" t="s">
        <v>2746</v>
      </c>
      <c r="P500">
        <v>272.9822355</v>
      </c>
      <c r="Q500">
        <v>1936208.4</v>
      </c>
      <c r="R500">
        <v>3.243995669</v>
      </c>
      <c r="S500">
        <v>23009.01248</v>
      </c>
      <c r="T500">
        <v>709426.8</v>
      </c>
    </row>
    <row r="501" spans="1:20">
      <c r="A501" t="s">
        <v>20</v>
      </c>
      <c r="B501" t="s">
        <v>226</v>
      </c>
      <c r="C501">
        <v>301049751</v>
      </c>
      <c r="D501">
        <v>73239990</v>
      </c>
      <c r="E501" t="s">
        <v>1263</v>
      </c>
      <c r="N501">
        <v>3465</v>
      </c>
      <c r="O501" t="s">
        <v>2746</v>
      </c>
      <c r="P501">
        <v>477.1615123</v>
      </c>
      <c r="Q501">
        <v>1653364.64</v>
      </c>
      <c r="R501">
        <v>5.670368536</v>
      </c>
      <c r="S501">
        <v>19647.82698</v>
      </c>
      <c r="T501">
        <v>605792.8</v>
      </c>
    </row>
    <row r="502" spans="1:20">
      <c r="A502" t="s">
        <v>20</v>
      </c>
      <c r="B502" t="s">
        <v>226</v>
      </c>
      <c r="C502">
        <v>301049751</v>
      </c>
      <c r="D502">
        <v>73239990</v>
      </c>
      <c r="E502" t="s">
        <v>1264</v>
      </c>
      <c r="N502">
        <v>60</v>
      </c>
      <c r="O502" t="s">
        <v>2746</v>
      </c>
      <c r="P502">
        <v>594.1773333</v>
      </c>
      <c r="Q502">
        <v>35650.64</v>
      </c>
      <c r="R502">
        <v>7.060930877</v>
      </c>
      <c r="S502">
        <v>423.6558526</v>
      </c>
      <c r="T502">
        <v>13062.4</v>
      </c>
    </row>
    <row r="503" spans="1:20">
      <c r="A503" t="s">
        <v>20</v>
      </c>
      <c r="B503" t="s">
        <v>226</v>
      </c>
      <c r="C503">
        <v>301049751</v>
      </c>
      <c r="D503">
        <v>73239990</v>
      </c>
      <c r="E503" t="s">
        <v>1265</v>
      </c>
      <c r="N503">
        <v>6160</v>
      </c>
      <c r="O503" t="s">
        <v>2746</v>
      </c>
      <c r="P503">
        <v>379.8147029</v>
      </c>
      <c r="Q503">
        <v>2339658.57</v>
      </c>
      <c r="R503">
        <v>4.513543707</v>
      </c>
      <c r="S503">
        <v>27803.42923</v>
      </c>
      <c r="T503">
        <v>857250.9</v>
      </c>
    </row>
    <row r="504" spans="1:20">
      <c r="A504" t="s">
        <v>20</v>
      </c>
      <c r="B504" t="s">
        <v>226</v>
      </c>
      <c r="C504">
        <v>301049751</v>
      </c>
      <c r="D504">
        <v>73239990</v>
      </c>
      <c r="E504" t="s">
        <v>1266</v>
      </c>
      <c r="N504">
        <v>1650</v>
      </c>
      <c r="O504" t="s">
        <v>2746</v>
      </c>
      <c r="P504">
        <v>418.6453939</v>
      </c>
      <c r="Q504">
        <v>690764.9</v>
      </c>
      <c r="R504">
        <v>4.974989827</v>
      </c>
      <c r="S504">
        <v>8208.733214</v>
      </c>
      <c r="T504">
        <v>253096.3</v>
      </c>
    </row>
    <row r="505" spans="1:20">
      <c r="A505" t="s">
        <v>20</v>
      </c>
      <c r="B505" t="s">
        <v>227</v>
      </c>
      <c r="C505">
        <v>301049751</v>
      </c>
      <c r="D505">
        <v>73239990</v>
      </c>
      <c r="E505" t="s">
        <v>1267</v>
      </c>
      <c r="N505">
        <v>1033.6</v>
      </c>
      <c r="O505" t="s">
        <v>2746</v>
      </c>
      <c r="P505">
        <v>499.473007</v>
      </c>
      <c r="Q505">
        <v>516255.3</v>
      </c>
      <c r="R505">
        <v>5.935508104</v>
      </c>
      <c r="S505">
        <v>6134.941176</v>
      </c>
      <c r="T505">
        <v>189156</v>
      </c>
    </row>
    <row r="506" spans="1:20">
      <c r="A506" t="s">
        <v>20</v>
      </c>
      <c r="B506" t="s">
        <v>227</v>
      </c>
      <c r="C506">
        <v>301049751</v>
      </c>
      <c r="D506">
        <v>73239990</v>
      </c>
      <c r="E506" t="s">
        <v>1268</v>
      </c>
      <c r="N506">
        <v>744.9</v>
      </c>
      <c r="O506" t="s">
        <v>2746</v>
      </c>
      <c r="P506">
        <v>619.7645724</v>
      </c>
      <c r="Q506">
        <v>461662.63</v>
      </c>
      <c r="R506">
        <v>7.36499789</v>
      </c>
      <c r="S506">
        <v>5486.186928</v>
      </c>
      <c r="T506">
        <v>169153.2</v>
      </c>
    </row>
    <row r="507" spans="1:20">
      <c r="A507" t="s">
        <v>20</v>
      </c>
      <c r="B507" t="s">
        <v>227</v>
      </c>
      <c r="C507">
        <v>301049751</v>
      </c>
      <c r="D507">
        <v>73239990</v>
      </c>
      <c r="E507" t="s">
        <v>1269</v>
      </c>
      <c r="N507">
        <v>2688</v>
      </c>
      <c r="O507" t="s">
        <v>2746</v>
      </c>
      <c r="P507">
        <v>533.9458482</v>
      </c>
      <c r="Q507">
        <v>1435246.44</v>
      </c>
      <c r="R507">
        <v>6.345167537</v>
      </c>
      <c r="S507">
        <v>17055.81034</v>
      </c>
      <c r="T507">
        <v>525874.3</v>
      </c>
    </row>
    <row r="508" spans="1:20">
      <c r="A508" t="s">
        <v>20</v>
      </c>
      <c r="B508" t="s">
        <v>227</v>
      </c>
      <c r="C508">
        <v>301049751</v>
      </c>
      <c r="D508">
        <v>73239990</v>
      </c>
      <c r="E508" t="s">
        <v>1252</v>
      </c>
      <c r="N508">
        <v>14256</v>
      </c>
      <c r="O508" t="s">
        <v>2746</v>
      </c>
      <c r="P508">
        <v>206.9956587</v>
      </c>
      <c r="Q508">
        <v>2950930.11</v>
      </c>
      <c r="R508">
        <v>2.459841458</v>
      </c>
      <c r="S508">
        <v>35067.49982</v>
      </c>
      <c r="T508">
        <v>1081220.8</v>
      </c>
    </row>
    <row r="509" spans="1:20">
      <c r="A509" t="s">
        <v>20</v>
      </c>
      <c r="B509" t="s">
        <v>227</v>
      </c>
      <c r="C509">
        <v>301049751</v>
      </c>
      <c r="D509">
        <v>73239990</v>
      </c>
      <c r="E509" t="s">
        <v>1270</v>
      </c>
      <c r="N509">
        <v>2842</v>
      </c>
      <c r="O509" t="s">
        <v>2746</v>
      </c>
      <c r="P509">
        <v>595.3403307999999</v>
      </c>
      <c r="Q509">
        <v>1691957.22</v>
      </c>
      <c r="R509">
        <v>7.074751405</v>
      </c>
      <c r="S509">
        <v>20106.44349</v>
      </c>
      <c r="T509">
        <v>619933</v>
      </c>
    </row>
    <row r="510" spans="1:20">
      <c r="A510" t="s">
        <v>20</v>
      </c>
      <c r="B510" t="s">
        <v>227</v>
      </c>
      <c r="C510">
        <v>301049751</v>
      </c>
      <c r="D510">
        <v>73239990</v>
      </c>
      <c r="E510" t="s">
        <v>1254</v>
      </c>
      <c r="N510">
        <v>4004</v>
      </c>
      <c r="O510" t="s">
        <v>2746</v>
      </c>
      <c r="P510">
        <v>378.101958</v>
      </c>
      <c r="Q510">
        <v>1513920.24</v>
      </c>
      <c r="R510">
        <v>4.493190232</v>
      </c>
      <c r="S510">
        <v>17990.73369</v>
      </c>
      <c r="T510">
        <v>554700.3</v>
      </c>
    </row>
    <row r="511" spans="1:20">
      <c r="A511" t="s">
        <v>20</v>
      </c>
      <c r="B511" t="s">
        <v>228</v>
      </c>
      <c r="C511">
        <v>301049751</v>
      </c>
      <c r="D511">
        <v>73239990</v>
      </c>
      <c r="E511" t="s">
        <v>1271</v>
      </c>
      <c r="N511">
        <v>1262.4</v>
      </c>
      <c r="O511" t="s">
        <v>2746</v>
      </c>
      <c r="P511">
        <v>533.5933856</v>
      </c>
      <c r="Q511">
        <v>673608.29</v>
      </c>
      <c r="R511">
        <v>6.348523327</v>
      </c>
      <c r="S511">
        <v>8014.375848</v>
      </c>
      <c r="T511">
        <v>246810.2</v>
      </c>
    </row>
    <row r="512" spans="1:20">
      <c r="A512" t="s">
        <v>20</v>
      </c>
      <c r="B512" t="s">
        <v>228</v>
      </c>
      <c r="C512">
        <v>301049751</v>
      </c>
      <c r="D512">
        <v>73239990</v>
      </c>
      <c r="E512" t="s">
        <v>1272</v>
      </c>
      <c r="N512">
        <v>1343</v>
      </c>
      <c r="O512" t="s">
        <v>2746</v>
      </c>
      <c r="P512">
        <v>652.254758</v>
      </c>
      <c r="Q512">
        <v>875978.14</v>
      </c>
      <c r="R512">
        <v>7.760318358</v>
      </c>
      <c r="S512">
        <v>10422.10756</v>
      </c>
      <c r="T512">
        <v>320958.4</v>
      </c>
    </row>
    <row r="513" spans="1:20">
      <c r="A513" t="s">
        <v>20</v>
      </c>
      <c r="B513" t="s">
        <v>228</v>
      </c>
      <c r="C513">
        <v>301049751</v>
      </c>
      <c r="D513">
        <v>73239990</v>
      </c>
      <c r="E513" t="s">
        <v>1273</v>
      </c>
      <c r="N513">
        <v>4512</v>
      </c>
      <c r="O513" t="s">
        <v>2746</v>
      </c>
      <c r="P513">
        <v>524.7436348</v>
      </c>
      <c r="Q513">
        <v>2367643.28</v>
      </c>
      <c r="R513">
        <v>6.243231823</v>
      </c>
      <c r="S513">
        <v>28169.46199</v>
      </c>
      <c r="T513">
        <v>867504.6</v>
      </c>
    </row>
    <row r="514" spans="1:20">
      <c r="A514" t="s">
        <v>20</v>
      </c>
      <c r="B514" t="s">
        <v>229</v>
      </c>
      <c r="C514">
        <v>301049751</v>
      </c>
      <c r="D514">
        <v>73239990</v>
      </c>
      <c r="E514" t="s">
        <v>1274</v>
      </c>
      <c r="N514">
        <v>6688</v>
      </c>
      <c r="O514" t="s">
        <v>2746</v>
      </c>
      <c r="P514">
        <v>276.057174</v>
      </c>
      <c r="Q514">
        <v>1846270.38</v>
      </c>
      <c r="R514">
        <v>3.284439905</v>
      </c>
      <c r="S514">
        <v>21966.33409</v>
      </c>
      <c r="T514">
        <v>676473.5</v>
      </c>
    </row>
    <row r="515" spans="1:20">
      <c r="A515" t="s">
        <v>20</v>
      </c>
      <c r="B515" t="s">
        <v>229</v>
      </c>
      <c r="C515">
        <v>301049751</v>
      </c>
      <c r="D515">
        <v>73239390</v>
      </c>
      <c r="E515" t="s">
        <v>1275</v>
      </c>
      <c r="N515">
        <v>99</v>
      </c>
      <c r="O515" t="s">
        <v>2746</v>
      </c>
      <c r="P515">
        <v>334.2324242</v>
      </c>
      <c r="Q515">
        <v>33089.01</v>
      </c>
      <c r="R515">
        <v>3.976590413</v>
      </c>
      <c r="S515">
        <v>393.6824509</v>
      </c>
      <c r="T515">
        <v>12123.8</v>
      </c>
    </row>
    <row r="516" spans="1:20">
      <c r="A516" t="s">
        <v>20</v>
      </c>
      <c r="B516" t="s">
        <v>230</v>
      </c>
      <c r="C516">
        <v>301049751</v>
      </c>
      <c r="D516">
        <v>73231000</v>
      </c>
      <c r="E516" t="s">
        <v>1276</v>
      </c>
      <c r="N516">
        <v>7605</v>
      </c>
      <c r="O516" t="s">
        <v>2746</v>
      </c>
      <c r="P516">
        <v>234.6472268</v>
      </c>
      <c r="Q516">
        <v>1784492.16</v>
      </c>
      <c r="R516">
        <v>2.791757606</v>
      </c>
      <c r="S516">
        <v>21231.3166</v>
      </c>
      <c r="T516">
        <v>784462.7</v>
      </c>
    </row>
    <row r="517" spans="1:20">
      <c r="A517" t="s">
        <v>20</v>
      </c>
      <c r="B517" t="s">
        <v>231</v>
      </c>
      <c r="C517">
        <v>301049751</v>
      </c>
      <c r="D517">
        <v>73239990</v>
      </c>
      <c r="E517" t="s">
        <v>1277</v>
      </c>
      <c r="N517">
        <v>7055.1</v>
      </c>
      <c r="O517" t="s">
        <v>2746</v>
      </c>
      <c r="P517">
        <v>624.4192753999999</v>
      </c>
      <c r="Q517">
        <v>4405340.43</v>
      </c>
      <c r="R517">
        <v>7.429140695</v>
      </c>
      <c r="S517">
        <v>52413.33052</v>
      </c>
      <c r="T517">
        <v>1614116.7</v>
      </c>
    </row>
    <row r="518" spans="1:20">
      <c r="A518" t="s">
        <v>20</v>
      </c>
      <c r="B518" t="s">
        <v>231</v>
      </c>
      <c r="C518">
        <v>301049751</v>
      </c>
      <c r="D518">
        <v>73239990</v>
      </c>
      <c r="E518" t="s">
        <v>1278</v>
      </c>
      <c r="N518">
        <v>553.5</v>
      </c>
      <c r="O518" t="s">
        <v>2746</v>
      </c>
      <c r="P518">
        <v>516.1305691</v>
      </c>
      <c r="Q518">
        <v>285678.27</v>
      </c>
      <c r="R518">
        <v>6.140756325</v>
      </c>
      <c r="S518">
        <v>3398.908626</v>
      </c>
      <c r="T518">
        <v>104672.6</v>
      </c>
    </row>
    <row r="519" spans="1:20">
      <c r="A519" t="s">
        <v>20</v>
      </c>
      <c r="B519" t="s">
        <v>232</v>
      </c>
      <c r="C519">
        <v>301049751</v>
      </c>
      <c r="D519">
        <v>73239990</v>
      </c>
      <c r="E519" t="s">
        <v>1279</v>
      </c>
      <c r="N519">
        <v>4752</v>
      </c>
      <c r="O519" t="s">
        <v>2746</v>
      </c>
      <c r="P519">
        <v>206.0837774</v>
      </c>
      <c r="Q519">
        <v>979310.11</v>
      </c>
      <c r="R519">
        <v>2.451918826</v>
      </c>
      <c r="S519">
        <v>11651.51826</v>
      </c>
      <c r="T519">
        <v>358819.2</v>
      </c>
    </row>
    <row r="520" spans="1:20">
      <c r="A520" t="s">
        <v>20</v>
      </c>
      <c r="B520" t="s">
        <v>232</v>
      </c>
      <c r="C520">
        <v>301049751</v>
      </c>
      <c r="D520">
        <v>73239990</v>
      </c>
      <c r="E520" t="s">
        <v>1254</v>
      </c>
      <c r="N520">
        <v>4004</v>
      </c>
      <c r="O520" t="s">
        <v>2746</v>
      </c>
      <c r="P520">
        <v>376.4363037</v>
      </c>
      <c r="Q520">
        <v>1507250.96</v>
      </c>
      <c r="R520">
        <v>4.478718664</v>
      </c>
      <c r="S520">
        <v>17932.78953</v>
      </c>
      <c r="T520">
        <v>552256.7</v>
      </c>
    </row>
    <row r="521" spans="1:20">
      <c r="A521" t="s">
        <v>20</v>
      </c>
      <c r="B521" t="s">
        <v>233</v>
      </c>
      <c r="C521">
        <v>301049751</v>
      </c>
      <c r="D521">
        <v>73239990</v>
      </c>
      <c r="E521" t="s">
        <v>1280</v>
      </c>
      <c r="N521">
        <v>460</v>
      </c>
      <c r="O521" t="s">
        <v>2746</v>
      </c>
      <c r="P521">
        <v>722.4468261</v>
      </c>
      <c r="Q521">
        <v>332325.54</v>
      </c>
      <c r="R521">
        <v>8.595441119</v>
      </c>
      <c r="S521">
        <v>3953.902915</v>
      </c>
      <c r="T521">
        <v>121764.1</v>
      </c>
    </row>
    <row r="522" spans="1:20">
      <c r="A522" t="s">
        <v>20</v>
      </c>
      <c r="B522" t="s">
        <v>233</v>
      </c>
      <c r="C522">
        <v>301049751</v>
      </c>
      <c r="D522">
        <v>73239990</v>
      </c>
      <c r="E522" t="s">
        <v>1281</v>
      </c>
      <c r="N522">
        <v>77.59999999999999</v>
      </c>
      <c r="O522" t="s">
        <v>2746</v>
      </c>
      <c r="P522">
        <v>848.351933</v>
      </c>
      <c r="Q522">
        <v>65832.11</v>
      </c>
      <c r="R522">
        <v>10.09341979</v>
      </c>
      <c r="S522">
        <v>783.2493754</v>
      </c>
      <c r="T522">
        <v>24120.8</v>
      </c>
    </row>
    <row r="523" spans="1:20">
      <c r="A523" t="s">
        <v>20</v>
      </c>
      <c r="B523" t="s">
        <v>234</v>
      </c>
      <c r="C523">
        <v>301049751</v>
      </c>
      <c r="D523">
        <v>73239990</v>
      </c>
      <c r="E523" t="s">
        <v>1282</v>
      </c>
      <c r="N523">
        <v>2815.2</v>
      </c>
      <c r="O523" t="s">
        <v>2746</v>
      </c>
      <c r="P523">
        <v>506.39843</v>
      </c>
      <c r="Q523">
        <v>1425612.86</v>
      </c>
      <c r="R523">
        <v>6.024966448</v>
      </c>
      <c r="S523">
        <v>16961.48554</v>
      </c>
      <c r="T523">
        <v>522344.6</v>
      </c>
    </row>
    <row r="524" spans="1:20">
      <c r="A524" t="s">
        <v>20</v>
      </c>
      <c r="B524" t="s">
        <v>234</v>
      </c>
      <c r="C524">
        <v>301049751</v>
      </c>
      <c r="D524">
        <v>73239990</v>
      </c>
      <c r="E524" t="s">
        <v>1283</v>
      </c>
      <c r="N524">
        <v>3998.4</v>
      </c>
      <c r="O524" t="s">
        <v>2746</v>
      </c>
      <c r="P524">
        <v>507.0197054</v>
      </c>
      <c r="Q524">
        <v>2027267.59</v>
      </c>
      <c r="R524">
        <v>6.032358184</v>
      </c>
      <c r="S524">
        <v>24119.78096</v>
      </c>
      <c r="T524">
        <v>742790.9</v>
      </c>
    </row>
    <row r="525" spans="1:20">
      <c r="A525" t="s">
        <v>20</v>
      </c>
      <c r="B525" t="s">
        <v>234</v>
      </c>
      <c r="C525">
        <v>301049751</v>
      </c>
      <c r="D525">
        <v>73239990</v>
      </c>
      <c r="E525" t="s">
        <v>1284</v>
      </c>
      <c r="N525">
        <v>225</v>
      </c>
      <c r="O525" t="s">
        <v>2746</v>
      </c>
      <c r="P525">
        <v>547.6870222</v>
      </c>
      <c r="Q525">
        <v>123229.58</v>
      </c>
      <c r="R525">
        <v>6.516204904</v>
      </c>
      <c r="S525">
        <v>1466.146104</v>
      </c>
      <c r="T525">
        <v>45151.3</v>
      </c>
    </row>
    <row r="526" spans="1:20">
      <c r="A526" t="s">
        <v>20</v>
      </c>
      <c r="B526" t="s">
        <v>234</v>
      </c>
      <c r="C526">
        <v>301049751</v>
      </c>
      <c r="D526">
        <v>73239990</v>
      </c>
      <c r="E526" t="s">
        <v>1285</v>
      </c>
      <c r="N526">
        <v>1615</v>
      </c>
      <c r="O526" t="s">
        <v>2746</v>
      </c>
      <c r="P526">
        <v>573.2054985</v>
      </c>
      <c r="Q526">
        <v>925726.88</v>
      </c>
      <c r="R526">
        <v>6.819815568</v>
      </c>
      <c r="S526">
        <v>11014.00214</v>
      </c>
      <c r="T526">
        <v>339186.3</v>
      </c>
    </row>
    <row r="527" spans="1:20">
      <c r="A527" t="s">
        <v>20</v>
      </c>
      <c r="B527" t="s">
        <v>235</v>
      </c>
      <c r="C527">
        <v>301049751</v>
      </c>
      <c r="D527">
        <v>73239990</v>
      </c>
      <c r="E527" t="s">
        <v>1286</v>
      </c>
      <c r="N527">
        <v>24.4</v>
      </c>
      <c r="O527" t="s">
        <v>2746</v>
      </c>
      <c r="P527">
        <v>1026.464344</v>
      </c>
      <c r="Q527">
        <v>25045.73</v>
      </c>
      <c r="R527">
        <v>12.22709165</v>
      </c>
      <c r="S527">
        <v>298.3410363</v>
      </c>
      <c r="T527">
        <v>9176.700000000001</v>
      </c>
    </row>
    <row r="528" spans="1:20">
      <c r="A528" t="s">
        <v>20</v>
      </c>
      <c r="B528" t="s">
        <v>235</v>
      </c>
      <c r="C528">
        <v>301049751</v>
      </c>
      <c r="D528">
        <v>73239990</v>
      </c>
      <c r="E528" t="s">
        <v>1287</v>
      </c>
      <c r="N528">
        <v>5671.78</v>
      </c>
      <c r="O528" t="s">
        <v>2746</v>
      </c>
      <c r="P528">
        <v>1022.493475</v>
      </c>
      <c r="Q528">
        <v>5799358.04</v>
      </c>
      <c r="R528">
        <v>12.17979124</v>
      </c>
      <c r="S528">
        <v>69081.09637</v>
      </c>
      <c r="T528">
        <v>2124884.8</v>
      </c>
    </row>
    <row r="529" spans="1:20">
      <c r="A529" t="s">
        <v>20</v>
      </c>
      <c r="B529" t="s">
        <v>236</v>
      </c>
      <c r="C529">
        <v>301049751</v>
      </c>
      <c r="D529">
        <v>73239990</v>
      </c>
      <c r="E529" t="s">
        <v>1288</v>
      </c>
      <c r="N529">
        <v>7600</v>
      </c>
      <c r="O529" t="s">
        <v>2746</v>
      </c>
      <c r="P529">
        <v>528.4719171</v>
      </c>
      <c r="Q529">
        <v>4016386.57</v>
      </c>
      <c r="R529">
        <v>6.295079418</v>
      </c>
      <c r="S529">
        <v>47842.60357</v>
      </c>
      <c r="T529">
        <v>1471604</v>
      </c>
    </row>
    <row r="530" spans="1:20">
      <c r="A530" t="s">
        <v>20</v>
      </c>
      <c r="B530" t="s">
        <v>237</v>
      </c>
      <c r="C530">
        <v>301049751</v>
      </c>
      <c r="D530">
        <v>73239990</v>
      </c>
      <c r="E530" t="s">
        <v>1289</v>
      </c>
      <c r="N530">
        <v>2178</v>
      </c>
      <c r="O530" t="s">
        <v>2746</v>
      </c>
      <c r="P530">
        <v>615.7635629</v>
      </c>
      <c r="Q530">
        <v>1341133.04</v>
      </c>
      <c r="R530">
        <v>7.334884609</v>
      </c>
      <c r="S530">
        <v>15975.37868</v>
      </c>
      <c r="T530">
        <v>491391.2</v>
      </c>
    </row>
    <row r="531" spans="1:20">
      <c r="A531" t="s">
        <v>20</v>
      </c>
      <c r="B531" t="s">
        <v>237</v>
      </c>
      <c r="C531">
        <v>301049751</v>
      </c>
      <c r="D531">
        <v>73239990</v>
      </c>
      <c r="E531" t="s">
        <v>1290</v>
      </c>
      <c r="N531">
        <v>168</v>
      </c>
      <c r="O531" t="s">
        <v>2746</v>
      </c>
      <c r="P531">
        <v>522.9654167</v>
      </c>
      <c r="Q531">
        <v>87858.19</v>
      </c>
      <c r="R531">
        <v>6.229486798</v>
      </c>
      <c r="S531">
        <v>1046.553782</v>
      </c>
      <c r="T531">
        <v>32191.2</v>
      </c>
    </row>
    <row r="532" spans="1:20">
      <c r="A532" t="s">
        <v>20</v>
      </c>
      <c r="B532" t="s">
        <v>237</v>
      </c>
      <c r="C532">
        <v>301049751</v>
      </c>
      <c r="D532">
        <v>73239990</v>
      </c>
      <c r="E532" t="s">
        <v>1291</v>
      </c>
      <c r="N532">
        <v>1701</v>
      </c>
      <c r="O532" t="s">
        <v>2746</v>
      </c>
      <c r="P532">
        <v>497.6655732</v>
      </c>
      <c r="Q532">
        <v>846529.14</v>
      </c>
      <c r="R532">
        <v>5.928118799</v>
      </c>
      <c r="S532">
        <v>10083.73008</v>
      </c>
      <c r="T532">
        <v>310168.3</v>
      </c>
    </row>
    <row r="533" spans="1:20">
      <c r="A533" t="s">
        <v>20</v>
      </c>
      <c r="B533" t="s">
        <v>237</v>
      </c>
      <c r="C533">
        <v>301049751</v>
      </c>
      <c r="D533">
        <v>73239990</v>
      </c>
      <c r="E533" t="s">
        <v>1292</v>
      </c>
      <c r="N533">
        <v>2798.2</v>
      </c>
      <c r="O533" t="s">
        <v>2746</v>
      </c>
      <c r="P533">
        <v>498.9368237</v>
      </c>
      <c r="Q533">
        <v>1396125.02</v>
      </c>
      <c r="R533">
        <v>5.943261747</v>
      </c>
      <c r="S533">
        <v>16630.43502</v>
      </c>
      <c r="T533">
        <v>511540.2</v>
      </c>
    </row>
    <row r="534" spans="1:20">
      <c r="A534" t="s">
        <v>20</v>
      </c>
      <c r="B534" t="s">
        <v>238</v>
      </c>
      <c r="C534">
        <v>301049751</v>
      </c>
      <c r="D534">
        <v>73239990</v>
      </c>
      <c r="E534" t="s">
        <v>1293</v>
      </c>
      <c r="N534">
        <v>7215</v>
      </c>
      <c r="O534" t="s">
        <v>2746</v>
      </c>
      <c r="P534">
        <v>464.8330381</v>
      </c>
      <c r="Q534">
        <v>3353770.37</v>
      </c>
      <c r="R534">
        <v>5.537022491</v>
      </c>
      <c r="S534">
        <v>39949.61727</v>
      </c>
      <c r="T534">
        <v>1228821.5</v>
      </c>
    </row>
    <row r="535" spans="1:20">
      <c r="A535" t="s">
        <v>20</v>
      </c>
      <c r="B535" t="s">
        <v>238</v>
      </c>
      <c r="C535">
        <v>301049751</v>
      </c>
      <c r="D535">
        <v>73231000</v>
      </c>
      <c r="E535" t="s">
        <v>1294</v>
      </c>
      <c r="N535">
        <v>9108</v>
      </c>
      <c r="O535" t="s">
        <v>2746</v>
      </c>
      <c r="P535">
        <v>233.0286572</v>
      </c>
      <c r="Q535">
        <v>2122425.01</v>
      </c>
      <c r="R535">
        <v>2.775802945</v>
      </c>
      <c r="S535">
        <v>25282.01322</v>
      </c>
      <c r="T535">
        <v>933018</v>
      </c>
    </row>
    <row r="536" spans="1:20">
      <c r="A536" t="s">
        <v>20</v>
      </c>
      <c r="B536" t="s">
        <v>239</v>
      </c>
      <c r="C536">
        <v>301049751</v>
      </c>
      <c r="D536">
        <v>73239990</v>
      </c>
      <c r="E536" t="s">
        <v>1295</v>
      </c>
      <c r="N536">
        <v>210</v>
      </c>
      <c r="O536" t="s">
        <v>2746</v>
      </c>
      <c r="P536">
        <v>599.460619</v>
      </c>
      <c r="Q536">
        <v>125886.73</v>
      </c>
      <c r="R536">
        <v>7.14068635</v>
      </c>
      <c r="S536">
        <v>1499.544133</v>
      </c>
      <c r="T536">
        <v>46124.8</v>
      </c>
    </row>
    <row r="537" spans="1:20">
      <c r="A537" t="s">
        <v>20</v>
      </c>
      <c r="B537" t="s">
        <v>239</v>
      </c>
      <c r="C537">
        <v>301049751</v>
      </c>
      <c r="D537">
        <v>73239990</v>
      </c>
      <c r="E537" t="s">
        <v>1296</v>
      </c>
      <c r="N537">
        <v>2068.3</v>
      </c>
      <c r="O537" t="s">
        <v>2746</v>
      </c>
      <c r="P537">
        <v>562.1385969</v>
      </c>
      <c r="Q537">
        <v>1162671.26</v>
      </c>
      <c r="R537">
        <v>6.696111935</v>
      </c>
      <c r="S537">
        <v>13849.56831</v>
      </c>
      <c r="T537">
        <v>426002.8</v>
      </c>
    </row>
    <row r="538" spans="1:20">
      <c r="A538" t="s">
        <v>20</v>
      </c>
      <c r="B538" t="s">
        <v>239</v>
      </c>
      <c r="C538">
        <v>301049751</v>
      </c>
      <c r="D538">
        <v>73239990</v>
      </c>
      <c r="E538" t="s">
        <v>1297</v>
      </c>
      <c r="N538">
        <v>1250.2</v>
      </c>
      <c r="O538" t="s">
        <v>2746</v>
      </c>
      <c r="P538">
        <v>550.0822108</v>
      </c>
      <c r="Q538">
        <v>687712.78</v>
      </c>
      <c r="R538">
        <v>6.552498045</v>
      </c>
      <c r="S538">
        <v>8191.933055</v>
      </c>
      <c r="T538">
        <v>251978.1</v>
      </c>
    </row>
    <row r="539" spans="1:20">
      <c r="A539" t="s">
        <v>20</v>
      </c>
      <c r="B539" t="s">
        <v>239</v>
      </c>
      <c r="C539">
        <v>301049751</v>
      </c>
      <c r="D539">
        <v>73239990</v>
      </c>
      <c r="E539" t="s">
        <v>1298</v>
      </c>
      <c r="N539">
        <v>2573.8</v>
      </c>
      <c r="O539" t="s">
        <v>2746</v>
      </c>
      <c r="P539">
        <v>651.5021408</v>
      </c>
      <c r="Q539">
        <v>1676836.21</v>
      </c>
      <c r="R539">
        <v>7.76059727</v>
      </c>
      <c r="S539">
        <v>19974.22525</v>
      </c>
      <c r="T539">
        <v>614392.7</v>
      </c>
    </row>
    <row r="540" spans="1:20">
      <c r="A540" t="s">
        <v>20</v>
      </c>
      <c r="B540" t="s">
        <v>239</v>
      </c>
      <c r="C540">
        <v>301049751</v>
      </c>
      <c r="D540">
        <v>73239990</v>
      </c>
      <c r="E540" t="s">
        <v>1299</v>
      </c>
      <c r="N540">
        <v>210</v>
      </c>
      <c r="O540" t="s">
        <v>2746</v>
      </c>
      <c r="P540">
        <v>574.947381</v>
      </c>
      <c r="Q540">
        <v>120738.95</v>
      </c>
      <c r="R540">
        <v>6.848688278</v>
      </c>
      <c r="S540">
        <v>1438.224538</v>
      </c>
      <c r="T540">
        <v>44238.8</v>
      </c>
    </row>
    <row r="541" spans="1:20">
      <c r="A541" t="s">
        <v>20</v>
      </c>
      <c r="B541" t="s">
        <v>239</v>
      </c>
      <c r="C541">
        <v>301049751</v>
      </c>
      <c r="D541">
        <v>73239390</v>
      </c>
      <c r="E541" t="s">
        <v>1300</v>
      </c>
      <c r="N541">
        <v>176</v>
      </c>
      <c r="O541" t="s">
        <v>2746</v>
      </c>
      <c r="P541">
        <v>203.3855114</v>
      </c>
      <c r="Q541">
        <v>35795.85</v>
      </c>
      <c r="R541">
        <v>2.42269817</v>
      </c>
      <c r="S541">
        <v>426.3948779</v>
      </c>
      <c r="T541">
        <v>13115.6</v>
      </c>
    </row>
    <row r="542" spans="1:20">
      <c r="A542" t="s">
        <v>20</v>
      </c>
      <c r="B542" t="s">
        <v>239</v>
      </c>
      <c r="C542">
        <v>301049751</v>
      </c>
      <c r="D542">
        <v>73239990</v>
      </c>
      <c r="E542" t="s">
        <v>1301</v>
      </c>
      <c r="N542">
        <v>225</v>
      </c>
      <c r="O542" t="s">
        <v>2746</v>
      </c>
      <c r="P542">
        <v>563.1364444</v>
      </c>
      <c r="Q542">
        <v>126705.7</v>
      </c>
      <c r="R542">
        <v>6.707998147</v>
      </c>
      <c r="S542">
        <v>1509.299583</v>
      </c>
      <c r="T542">
        <v>46424.9</v>
      </c>
    </row>
    <row r="543" spans="1:20">
      <c r="A543" t="s">
        <v>20</v>
      </c>
      <c r="B543" t="s">
        <v>239</v>
      </c>
      <c r="C543">
        <v>301049751</v>
      </c>
      <c r="D543">
        <v>73239390</v>
      </c>
      <c r="E543" t="s">
        <v>1302</v>
      </c>
      <c r="N543">
        <v>156</v>
      </c>
      <c r="O543" t="s">
        <v>2746</v>
      </c>
      <c r="P543">
        <v>201.4874359</v>
      </c>
      <c r="Q543">
        <v>31432.04</v>
      </c>
      <c r="R543">
        <v>2.400088575</v>
      </c>
      <c r="S543">
        <v>374.4138177</v>
      </c>
      <c r="T543">
        <v>11516.7</v>
      </c>
    </row>
    <row r="544" spans="1:20">
      <c r="A544" t="s">
        <v>20</v>
      </c>
      <c r="B544" t="s">
        <v>240</v>
      </c>
      <c r="C544">
        <v>301049751</v>
      </c>
      <c r="D544">
        <v>73239990</v>
      </c>
      <c r="E544" t="s">
        <v>1303</v>
      </c>
      <c r="N544">
        <v>1758.9</v>
      </c>
      <c r="O544" t="s">
        <v>2746</v>
      </c>
      <c r="P544">
        <v>314.5721872</v>
      </c>
      <c r="Q544">
        <v>553301.02</v>
      </c>
      <c r="R544">
        <v>3.747137429</v>
      </c>
      <c r="S544">
        <v>6590.840024</v>
      </c>
      <c r="T544">
        <v>202729.5</v>
      </c>
    </row>
    <row r="545" spans="1:20">
      <c r="A545" t="s">
        <v>20</v>
      </c>
      <c r="B545" t="s">
        <v>241</v>
      </c>
      <c r="C545">
        <v>301049751</v>
      </c>
      <c r="D545">
        <v>73239990</v>
      </c>
      <c r="E545" t="s">
        <v>1304</v>
      </c>
      <c r="N545">
        <v>4752</v>
      </c>
      <c r="O545" t="s">
        <v>2746</v>
      </c>
      <c r="P545">
        <v>217.9239036</v>
      </c>
      <c r="Q545">
        <v>1035574.39</v>
      </c>
      <c r="R545">
        <v>2.595877351</v>
      </c>
      <c r="S545">
        <v>12335.60917</v>
      </c>
      <c r="T545">
        <v>379434.5</v>
      </c>
    </row>
    <row r="546" spans="1:20">
      <c r="A546" t="s">
        <v>20</v>
      </c>
      <c r="B546" t="s">
        <v>242</v>
      </c>
      <c r="C546">
        <v>301049751</v>
      </c>
      <c r="D546">
        <v>73231000</v>
      </c>
      <c r="E546" t="s">
        <v>1305</v>
      </c>
      <c r="N546">
        <v>4875</v>
      </c>
      <c r="O546" t="s">
        <v>2746</v>
      </c>
      <c r="P546">
        <v>464.2940554</v>
      </c>
      <c r="Q546">
        <v>2263433.52</v>
      </c>
      <c r="R546">
        <v>5.530602208</v>
      </c>
      <c r="S546">
        <v>26961.68577</v>
      </c>
      <c r="T546">
        <v>995005.4</v>
      </c>
    </row>
    <row r="547" spans="1:20">
      <c r="A547" t="s">
        <v>20</v>
      </c>
      <c r="B547" t="s">
        <v>242</v>
      </c>
      <c r="C547">
        <v>301049751</v>
      </c>
      <c r="D547">
        <v>73239990</v>
      </c>
      <c r="E547" t="s">
        <v>1306</v>
      </c>
      <c r="N547">
        <v>15568</v>
      </c>
      <c r="O547" t="s">
        <v>2746</v>
      </c>
      <c r="P547">
        <v>392.8973895</v>
      </c>
      <c r="Q547">
        <v>6116626.56</v>
      </c>
      <c r="R547">
        <v>4.68013567</v>
      </c>
      <c r="S547">
        <v>72860.35211000001</v>
      </c>
      <c r="T547">
        <v>2241131.9</v>
      </c>
    </row>
    <row r="548" spans="1:20">
      <c r="A548" t="s">
        <v>20</v>
      </c>
      <c r="B548" t="s">
        <v>243</v>
      </c>
      <c r="C548">
        <v>301049751</v>
      </c>
      <c r="D548">
        <v>73239990</v>
      </c>
      <c r="E548" t="s">
        <v>1307</v>
      </c>
      <c r="N548">
        <v>2927.4</v>
      </c>
      <c r="O548" t="s">
        <v>2746</v>
      </c>
      <c r="P548">
        <v>585.1833675</v>
      </c>
      <c r="Q548">
        <v>1713065.79</v>
      </c>
      <c r="R548">
        <v>6.974771961</v>
      </c>
      <c r="S548">
        <v>20417.94744</v>
      </c>
      <c r="T548">
        <v>627667.3</v>
      </c>
    </row>
    <row r="549" spans="1:20">
      <c r="A549" t="s">
        <v>20</v>
      </c>
      <c r="B549" t="s">
        <v>243</v>
      </c>
      <c r="C549">
        <v>301049751</v>
      </c>
      <c r="D549">
        <v>73239990</v>
      </c>
      <c r="E549" t="s">
        <v>1308</v>
      </c>
      <c r="N549">
        <v>5676.4</v>
      </c>
      <c r="O549" t="s">
        <v>2746</v>
      </c>
      <c r="P549">
        <v>514.4829205</v>
      </c>
      <c r="Q549">
        <v>2920410.85</v>
      </c>
      <c r="R549">
        <v>6.132096788</v>
      </c>
      <c r="S549">
        <v>34808.23421</v>
      </c>
      <c r="T549">
        <v>1070038.6</v>
      </c>
    </row>
    <row r="550" spans="1:20">
      <c r="A550" t="s">
        <v>20</v>
      </c>
      <c r="B550" t="s">
        <v>243</v>
      </c>
      <c r="C550">
        <v>301049751</v>
      </c>
      <c r="D550">
        <v>73239990</v>
      </c>
      <c r="E550" t="s">
        <v>1309</v>
      </c>
      <c r="N550">
        <v>999.6</v>
      </c>
      <c r="O550" t="s">
        <v>2746</v>
      </c>
      <c r="P550">
        <v>521.9251901</v>
      </c>
      <c r="Q550">
        <v>521716.42</v>
      </c>
      <c r="R550">
        <v>6.220800835</v>
      </c>
      <c r="S550">
        <v>6218.312515</v>
      </c>
      <c r="T550">
        <v>191156.9</v>
      </c>
    </row>
    <row r="551" spans="1:20">
      <c r="A551" t="s">
        <v>20</v>
      </c>
      <c r="B551" t="s">
        <v>243</v>
      </c>
      <c r="C551">
        <v>301049751</v>
      </c>
      <c r="D551">
        <v>73239990</v>
      </c>
      <c r="E551" t="s">
        <v>1310</v>
      </c>
      <c r="N551">
        <v>1476.1</v>
      </c>
      <c r="O551" t="s">
        <v>2746</v>
      </c>
      <c r="P551">
        <v>677.2874399</v>
      </c>
      <c r="Q551">
        <v>999743.99</v>
      </c>
      <c r="R551">
        <v>8.072555897999999</v>
      </c>
      <c r="S551">
        <v>11915.89976</v>
      </c>
      <c r="T551">
        <v>366306.2</v>
      </c>
    </row>
    <row r="552" spans="1:20">
      <c r="A552" t="s">
        <v>20</v>
      </c>
      <c r="B552" t="s">
        <v>243</v>
      </c>
      <c r="C552">
        <v>301049751</v>
      </c>
      <c r="D552">
        <v>73239990</v>
      </c>
      <c r="E552" t="s">
        <v>1311</v>
      </c>
      <c r="N552">
        <v>980</v>
      </c>
      <c r="O552" t="s">
        <v>2746</v>
      </c>
      <c r="P552">
        <v>610.2814898</v>
      </c>
      <c r="Q552">
        <v>598075.86</v>
      </c>
      <c r="R552">
        <v>7.273915254</v>
      </c>
      <c r="S552">
        <v>7128.436949</v>
      </c>
      <c r="T552">
        <v>219135</v>
      </c>
    </row>
    <row r="553" spans="1:20">
      <c r="A553" t="s">
        <v>20</v>
      </c>
      <c r="B553" t="s">
        <v>243</v>
      </c>
      <c r="C553">
        <v>301049751</v>
      </c>
      <c r="D553">
        <v>73239990</v>
      </c>
      <c r="E553" t="s">
        <v>1312</v>
      </c>
      <c r="N553">
        <v>7600</v>
      </c>
      <c r="O553" t="s">
        <v>2746</v>
      </c>
      <c r="P553">
        <v>524.0138711</v>
      </c>
      <c r="Q553">
        <v>3982505.42</v>
      </c>
      <c r="R553">
        <v>6.245695722</v>
      </c>
      <c r="S553">
        <v>47467.28749</v>
      </c>
      <c r="T553">
        <v>1459190</v>
      </c>
    </row>
    <row r="554" spans="1:20">
      <c r="A554" t="s">
        <v>20</v>
      </c>
      <c r="B554" t="s">
        <v>243</v>
      </c>
      <c r="C554">
        <v>301049751</v>
      </c>
      <c r="D554">
        <v>73239990</v>
      </c>
      <c r="E554" t="s">
        <v>1313</v>
      </c>
      <c r="N554">
        <v>3308</v>
      </c>
      <c r="O554" t="s">
        <v>2746</v>
      </c>
      <c r="P554">
        <v>520.7140266</v>
      </c>
      <c r="Q554">
        <v>1722522</v>
      </c>
      <c r="R554">
        <v>6.206365037</v>
      </c>
      <c r="S554">
        <v>20530.65554</v>
      </c>
      <c r="T554">
        <v>631132</v>
      </c>
    </row>
    <row r="555" spans="1:20">
      <c r="A555" t="s">
        <v>20</v>
      </c>
      <c r="B555" t="s">
        <v>244</v>
      </c>
      <c r="C555">
        <v>301049751</v>
      </c>
      <c r="D555">
        <v>73239990</v>
      </c>
      <c r="E555" t="s">
        <v>1314</v>
      </c>
      <c r="N555">
        <v>3307.2</v>
      </c>
      <c r="O555" t="s">
        <v>2746</v>
      </c>
      <c r="P555">
        <v>261.8192187</v>
      </c>
      <c r="Q555">
        <v>865888.52</v>
      </c>
      <c r="R555">
        <v>3.120610473</v>
      </c>
      <c r="S555">
        <v>10320.48296</v>
      </c>
      <c r="T555">
        <v>317261.6</v>
      </c>
    </row>
    <row r="556" spans="1:20">
      <c r="A556" t="s">
        <v>20</v>
      </c>
      <c r="B556" t="s">
        <v>244</v>
      </c>
      <c r="C556">
        <v>301049751</v>
      </c>
      <c r="D556">
        <v>73239990</v>
      </c>
      <c r="E556" t="s">
        <v>1314</v>
      </c>
      <c r="N556">
        <v>3307.2</v>
      </c>
      <c r="O556" t="s">
        <v>2746</v>
      </c>
      <c r="P556">
        <v>261.8192187</v>
      </c>
      <c r="Q556">
        <v>865888.52</v>
      </c>
      <c r="R556">
        <v>3.120610473</v>
      </c>
      <c r="S556">
        <v>10320.48296</v>
      </c>
      <c r="T556">
        <v>317261.6</v>
      </c>
    </row>
    <row r="557" spans="1:20">
      <c r="A557" t="s">
        <v>20</v>
      </c>
      <c r="B557" t="s">
        <v>244</v>
      </c>
      <c r="C557">
        <v>301049751</v>
      </c>
      <c r="D557">
        <v>73239990</v>
      </c>
      <c r="E557" t="s">
        <v>1314</v>
      </c>
      <c r="N557">
        <v>3307.2</v>
      </c>
      <c r="O557" t="s">
        <v>2746</v>
      </c>
      <c r="P557">
        <v>261.8192187</v>
      </c>
      <c r="Q557">
        <v>865888.52</v>
      </c>
      <c r="R557">
        <v>3.120610473</v>
      </c>
      <c r="S557">
        <v>10320.48296</v>
      </c>
      <c r="T557">
        <v>317261.6</v>
      </c>
    </row>
    <row r="558" spans="1:20">
      <c r="A558" t="s">
        <v>20</v>
      </c>
      <c r="B558" t="s">
        <v>245</v>
      </c>
      <c r="C558">
        <v>301049751</v>
      </c>
      <c r="D558">
        <v>73239990</v>
      </c>
      <c r="E558" t="s">
        <v>1315</v>
      </c>
      <c r="N558">
        <v>2538.9</v>
      </c>
      <c r="O558" t="s">
        <v>2746</v>
      </c>
      <c r="P558">
        <v>310.4148923</v>
      </c>
      <c r="Q558">
        <v>788112.37</v>
      </c>
      <c r="R558">
        <v>3.699819932</v>
      </c>
      <c r="S558">
        <v>9393.472825000001</v>
      </c>
      <c r="T558">
        <v>288764.4</v>
      </c>
    </row>
    <row r="559" spans="1:20">
      <c r="A559" t="s">
        <v>20</v>
      </c>
      <c r="B559" t="s">
        <v>246</v>
      </c>
      <c r="C559">
        <v>301049751</v>
      </c>
      <c r="D559">
        <v>73239990</v>
      </c>
      <c r="E559" t="s">
        <v>1316</v>
      </c>
      <c r="N559">
        <v>11254.5</v>
      </c>
      <c r="O559" t="s">
        <v>2746</v>
      </c>
      <c r="P559">
        <v>501.2746635</v>
      </c>
      <c r="Q559">
        <v>5641595.7</v>
      </c>
      <c r="R559">
        <v>5.974668218</v>
      </c>
      <c r="S559">
        <v>67241.90346</v>
      </c>
      <c r="T559">
        <v>2067080.6</v>
      </c>
    </row>
    <row r="560" spans="1:20">
      <c r="A560" t="s">
        <v>20</v>
      </c>
      <c r="B560" t="s">
        <v>246</v>
      </c>
      <c r="C560">
        <v>301049751</v>
      </c>
      <c r="D560">
        <v>73239990</v>
      </c>
      <c r="E560" t="s">
        <v>1317</v>
      </c>
      <c r="N560">
        <v>407.4</v>
      </c>
      <c r="O560" t="s">
        <v>2746</v>
      </c>
      <c r="P560">
        <v>822.6262396</v>
      </c>
      <c r="Q560">
        <v>335137.93</v>
      </c>
      <c r="R560">
        <v>9.80484195</v>
      </c>
      <c r="S560">
        <v>3994.49261</v>
      </c>
      <c r="T560">
        <v>122794.6</v>
      </c>
    </row>
    <row r="561" spans="1:20">
      <c r="A561" t="s">
        <v>20</v>
      </c>
      <c r="B561" t="s">
        <v>246</v>
      </c>
      <c r="C561">
        <v>301049751</v>
      </c>
      <c r="D561">
        <v>73239990</v>
      </c>
      <c r="E561" t="s">
        <v>1318</v>
      </c>
      <c r="N561">
        <v>832</v>
      </c>
      <c r="O561" t="s">
        <v>2746</v>
      </c>
      <c r="P561">
        <v>553.3104688</v>
      </c>
      <c r="Q561">
        <v>460354.31</v>
      </c>
      <c r="R561">
        <v>6.594880438</v>
      </c>
      <c r="S561">
        <v>5486.940524</v>
      </c>
      <c r="T561">
        <v>168673.9</v>
      </c>
    </row>
    <row r="562" spans="1:20">
      <c r="A562" t="s">
        <v>20</v>
      </c>
      <c r="B562" t="s">
        <v>246</v>
      </c>
      <c r="C562">
        <v>301049751</v>
      </c>
      <c r="D562">
        <v>73239990</v>
      </c>
      <c r="E562" t="s">
        <v>1319</v>
      </c>
      <c r="N562">
        <v>707.333</v>
      </c>
      <c r="O562" t="s">
        <v>2746</v>
      </c>
      <c r="P562">
        <v>485.9538152</v>
      </c>
      <c r="Q562">
        <v>343731.17</v>
      </c>
      <c r="R562">
        <v>5.792059776</v>
      </c>
      <c r="S562">
        <v>4096.915018</v>
      </c>
      <c r="T562">
        <v>125943</v>
      </c>
    </row>
    <row r="563" spans="1:20">
      <c r="A563" t="s">
        <v>20</v>
      </c>
      <c r="B563" t="s">
        <v>246</v>
      </c>
      <c r="C563">
        <v>301049751</v>
      </c>
      <c r="D563">
        <v>73239990</v>
      </c>
      <c r="E563" t="s">
        <v>1320</v>
      </c>
      <c r="N563">
        <v>678</v>
      </c>
      <c r="O563" t="s">
        <v>2746</v>
      </c>
      <c r="P563">
        <v>558.2795723</v>
      </c>
      <c r="Q563">
        <v>378513.55</v>
      </c>
      <c r="R563">
        <v>6.65410694</v>
      </c>
      <c r="S563">
        <v>4511.484505</v>
      </c>
      <c r="T563">
        <v>138687.4</v>
      </c>
    </row>
    <row r="564" spans="1:20">
      <c r="A564" t="s">
        <v>20</v>
      </c>
      <c r="B564" t="s">
        <v>246</v>
      </c>
      <c r="C564">
        <v>301049751</v>
      </c>
      <c r="D564">
        <v>73239990</v>
      </c>
      <c r="E564" t="s">
        <v>1321</v>
      </c>
      <c r="N564">
        <v>376.667</v>
      </c>
      <c r="O564" t="s">
        <v>2746</v>
      </c>
      <c r="P564">
        <v>738.7389657</v>
      </c>
      <c r="Q564">
        <v>278258.59</v>
      </c>
      <c r="R564">
        <v>8.804993632</v>
      </c>
      <c r="S564">
        <v>3316.550536</v>
      </c>
      <c r="T564">
        <v>101954</v>
      </c>
    </row>
    <row r="565" spans="1:20">
      <c r="A565" t="s">
        <v>20</v>
      </c>
      <c r="B565" t="s">
        <v>246</v>
      </c>
      <c r="C565">
        <v>301049751</v>
      </c>
      <c r="D565">
        <v>73239990</v>
      </c>
      <c r="E565" t="s">
        <v>1322</v>
      </c>
      <c r="N565">
        <v>345</v>
      </c>
      <c r="O565" t="s">
        <v>2746</v>
      </c>
      <c r="P565">
        <v>726.4850145</v>
      </c>
      <c r="Q565">
        <v>250637.33</v>
      </c>
      <c r="R565">
        <v>8.658939386</v>
      </c>
      <c r="S565">
        <v>2987.334088</v>
      </c>
      <c r="T565">
        <v>91833.5</v>
      </c>
    </row>
    <row r="566" spans="1:20">
      <c r="A566" t="s">
        <v>20</v>
      </c>
      <c r="B566" t="s">
        <v>246</v>
      </c>
      <c r="C566">
        <v>301049751</v>
      </c>
      <c r="D566">
        <v>73239990</v>
      </c>
      <c r="E566" t="s">
        <v>1323</v>
      </c>
      <c r="N566">
        <v>738</v>
      </c>
      <c r="O566" t="s">
        <v>2746</v>
      </c>
      <c r="P566">
        <v>505.9599593</v>
      </c>
      <c r="Q566">
        <v>373398.45</v>
      </c>
      <c r="R566">
        <v>6.03051203</v>
      </c>
      <c r="S566">
        <v>4450.517878</v>
      </c>
      <c r="T566">
        <v>136813.2</v>
      </c>
    </row>
    <row r="567" spans="1:20">
      <c r="A567" t="s">
        <v>20</v>
      </c>
      <c r="B567" t="s">
        <v>246</v>
      </c>
      <c r="C567">
        <v>301049751</v>
      </c>
      <c r="D567">
        <v>73239990</v>
      </c>
      <c r="E567" t="s">
        <v>1324</v>
      </c>
      <c r="N567">
        <v>748</v>
      </c>
      <c r="O567" t="s">
        <v>2746</v>
      </c>
      <c r="P567">
        <v>552.5345187</v>
      </c>
      <c r="Q567">
        <v>413295.82</v>
      </c>
      <c r="R567">
        <v>6.585631927</v>
      </c>
      <c r="S567">
        <v>4926.052682</v>
      </c>
      <c r="T567">
        <v>151431.6</v>
      </c>
    </row>
    <row r="568" spans="1:20">
      <c r="A568" t="s">
        <v>20</v>
      </c>
      <c r="B568" t="s">
        <v>247</v>
      </c>
      <c r="C568">
        <v>301049751</v>
      </c>
      <c r="D568">
        <v>73239990</v>
      </c>
      <c r="E568" t="s">
        <v>1325</v>
      </c>
      <c r="N568">
        <v>2408</v>
      </c>
      <c r="O568" t="s">
        <v>2746</v>
      </c>
      <c r="P568">
        <v>251.9536628</v>
      </c>
      <c r="Q568">
        <v>606704.42</v>
      </c>
      <c r="R568">
        <v>3.003023394</v>
      </c>
      <c r="S568">
        <v>7231.280334</v>
      </c>
      <c r="T568">
        <v>222296.5</v>
      </c>
    </row>
    <row r="569" spans="1:20">
      <c r="A569" t="s">
        <v>20</v>
      </c>
      <c r="B569" t="s">
        <v>247</v>
      </c>
      <c r="C569">
        <v>301049751</v>
      </c>
      <c r="D569">
        <v>73239990</v>
      </c>
      <c r="E569" t="s">
        <v>1326</v>
      </c>
      <c r="N569">
        <v>4620</v>
      </c>
      <c r="O569" t="s">
        <v>2746</v>
      </c>
      <c r="P569">
        <v>542.4966732</v>
      </c>
      <c r="Q569">
        <v>2506334.63</v>
      </c>
      <c r="R569">
        <v>6.465991337</v>
      </c>
      <c r="S569">
        <v>29872.87998</v>
      </c>
      <c r="T569">
        <v>918321</v>
      </c>
    </row>
    <row r="570" spans="1:20">
      <c r="A570" t="s">
        <v>20</v>
      </c>
      <c r="B570" t="s">
        <v>247</v>
      </c>
      <c r="C570">
        <v>301049751</v>
      </c>
      <c r="D570">
        <v>73239990</v>
      </c>
      <c r="E570" t="s">
        <v>1327</v>
      </c>
      <c r="N570">
        <v>3740</v>
      </c>
      <c r="O570" t="s">
        <v>2746</v>
      </c>
      <c r="P570">
        <v>375.8089144</v>
      </c>
      <c r="Q570">
        <v>1405525.34</v>
      </c>
      <c r="R570">
        <v>4.479248086</v>
      </c>
      <c r="S570">
        <v>16752.38784</v>
      </c>
      <c r="T570">
        <v>514984.5</v>
      </c>
    </row>
    <row r="571" spans="1:20">
      <c r="A571" t="s">
        <v>20</v>
      </c>
      <c r="B571" t="s">
        <v>247</v>
      </c>
      <c r="C571">
        <v>301049751</v>
      </c>
      <c r="D571">
        <v>73239990</v>
      </c>
      <c r="E571" t="s">
        <v>1328</v>
      </c>
      <c r="N571">
        <v>4375</v>
      </c>
      <c r="O571" t="s">
        <v>2746</v>
      </c>
      <c r="P571">
        <v>554.3468206</v>
      </c>
      <c r="Q571">
        <v>2425267.34</v>
      </c>
      <c r="R571">
        <v>6.607232665</v>
      </c>
      <c r="S571">
        <v>28906.64291</v>
      </c>
      <c r="T571">
        <v>888617.9</v>
      </c>
    </row>
    <row r="572" spans="1:20">
      <c r="A572" t="s">
        <v>20</v>
      </c>
      <c r="B572" t="s">
        <v>247</v>
      </c>
      <c r="C572">
        <v>301049751</v>
      </c>
      <c r="D572">
        <v>73239990</v>
      </c>
      <c r="E572" t="s">
        <v>1329</v>
      </c>
      <c r="N572">
        <v>5957.3</v>
      </c>
      <c r="O572" t="s">
        <v>2746</v>
      </c>
      <c r="P572">
        <v>536.6618116</v>
      </c>
      <c r="Q572">
        <v>3197055.41</v>
      </c>
      <c r="R572">
        <v>6.396445907</v>
      </c>
      <c r="S572">
        <v>38105.5472</v>
      </c>
      <c r="T572">
        <v>1171401.1</v>
      </c>
    </row>
    <row r="573" spans="1:20">
      <c r="A573" t="s">
        <v>20</v>
      </c>
      <c r="B573" t="s">
        <v>247</v>
      </c>
      <c r="C573">
        <v>301049751</v>
      </c>
      <c r="D573">
        <v>73239990</v>
      </c>
      <c r="E573" t="s">
        <v>1330</v>
      </c>
      <c r="N573">
        <v>8424</v>
      </c>
      <c r="O573" t="s">
        <v>2746</v>
      </c>
      <c r="P573">
        <v>523.2034651</v>
      </c>
      <c r="Q573">
        <v>4407465.99</v>
      </c>
      <c r="R573">
        <v>6.236036533</v>
      </c>
      <c r="S573">
        <v>52532.37175</v>
      </c>
      <c r="T573">
        <v>1614895.5</v>
      </c>
    </row>
    <row r="574" spans="1:20">
      <c r="A574" t="s">
        <v>20</v>
      </c>
      <c r="B574" t="s">
        <v>248</v>
      </c>
      <c r="C574">
        <v>301049751</v>
      </c>
      <c r="D574">
        <v>73239990</v>
      </c>
      <c r="E574" t="s">
        <v>1331</v>
      </c>
      <c r="N574">
        <v>8945.200000000001</v>
      </c>
      <c r="O574" t="s">
        <v>2746</v>
      </c>
      <c r="P574">
        <v>464.6091926</v>
      </c>
      <c r="Q574">
        <v>4156022.15</v>
      </c>
      <c r="R574">
        <v>5.537654263</v>
      </c>
      <c r="S574">
        <v>49535.42491</v>
      </c>
      <c r="T574">
        <v>1522766.4</v>
      </c>
    </row>
    <row r="575" spans="1:20">
      <c r="A575" t="s">
        <v>20</v>
      </c>
      <c r="B575" t="s">
        <v>248</v>
      </c>
      <c r="C575">
        <v>301049751</v>
      </c>
      <c r="D575">
        <v>73239990</v>
      </c>
      <c r="E575" t="s">
        <v>1332</v>
      </c>
      <c r="N575">
        <v>10608.2</v>
      </c>
      <c r="O575" t="s">
        <v>2746</v>
      </c>
      <c r="P575">
        <v>634.4319272</v>
      </c>
      <c r="Q575">
        <v>6730180.77</v>
      </c>
      <c r="R575">
        <v>7.561763137</v>
      </c>
      <c r="S575">
        <v>80216.69571</v>
      </c>
      <c r="T575">
        <v>2465938.3</v>
      </c>
    </row>
    <row r="576" spans="1:20">
      <c r="A576" t="s">
        <v>20</v>
      </c>
      <c r="B576" t="s">
        <v>248</v>
      </c>
      <c r="C576">
        <v>301049751</v>
      </c>
      <c r="D576">
        <v>73239990</v>
      </c>
      <c r="E576" t="s">
        <v>1333</v>
      </c>
      <c r="N576">
        <v>8281.4</v>
      </c>
      <c r="O576" t="s">
        <v>2746</v>
      </c>
      <c r="P576">
        <v>532.8178074</v>
      </c>
      <c r="Q576">
        <v>4412477.39</v>
      </c>
      <c r="R576">
        <v>6.350629409</v>
      </c>
      <c r="S576">
        <v>52592.10238</v>
      </c>
      <c r="T576">
        <v>1616731.7</v>
      </c>
    </row>
    <row r="577" spans="1:20">
      <c r="A577" t="s">
        <v>20</v>
      </c>
      <c r="B577" t="s">
        <v>249</v>
      </c>
      <c r="C577">
        <v>301049751</v>
      </c>
      <c r="D577">
        <v>73239990</v>
      </c>
      <c r="E577" t="s">
        <v>1334</v>
      </c>
      <c r="N577">
        <v>5640.06</v>
      </c>
      <c r="O577" t="s">
        <v>2746</v>
      </c>
      <c r="P577">
        <v>1040.901907</v>
      </c>
      <c r="Q577">
        <v>5870749.21</v>
      </c>
      <c r="R577">
        <v>12.40645896</v>
      </c>
      <c r="S577">
        <v>69973.17294</v>
      </c>
      <c r="T577">
        <v>2151042.5</v>
      </c>
    </row>
    <row r="578" spans="1:20">
      <c r="A578" t="s">
        <v>20</v>
      </c>
      <c r="B578" t="s">
        <v>249</v>
      </c>
      <c r="C578">
        <v>301049751</v>
      </c>
      <c r="D578">
        <v>73239990</v>
      </c>
      <c r="E578" t="s">
        <v>1335</v>
      </c>
      <c r="N578">
        <v>1039.5</v>
      </c>
      <c r="O578" t="s">
        <v>2746</v>
      </c>
      <c r="P578">
        <v>594.8481674</v>
      </c>
      <c r="Q578">
        <v>618344.67</v>
      </c>
      <c r="R578">
        <v>7.089966238</v>
      </c>
      <c r="S578">
        <v>7370.019905</v>
      </c>
      <c r="T578">
        <v>226561.5</v>
      </c>
    </row>
    <row r="579" spans="1:20">
      <c r="A579" t="s">
        <v>20</v>
      </c>
      <c r="B579" t="s">
        <v>249</v>
      </c>
      <c r="C579">
        <v>301049751</v>
      </c>
      <c r="D579">
        <v>73239990</v>
      </c>
      <c r="E579" t="s">
        <v>1336</v>
      </c>
      <c r="N579">
        <v>2037</v>
      </c>
      <c r="O579" t="s">
        <v>2746</v>
      </c>
      <c r="P579">
        <v>522.9706284</v>
      </c>
      <c r="Q579">
        <v>1065291.17</v>
      </c>
      <c r="R579">
        <v>6.233261363</v>
      </c>
      <c r="S579">
        <v>12697.1534</v>
      </c>
      <c r="T579">
        <v>390322.6</v>
      </c>
    </row>
    <row r="580" spans="1:20">
      <c r="A580" t="s">
        <v>20</v>
      </c>
      <c r="B580" t="s">
        <v>249</v>
      </c>
      <c r="C580">
        <v>301049751</v>
      </c>
      <c r="D580">
        <v>73239990</v>
      </c>
      <c r="E580" t="s">
        <v>1337</v>
      </c>
      <c r="N580">
        <v>2905.8</v>
      </c>
      <c r="O580" t="s">
        <v>2746</v>
      </c>
      <c r="P580">
        <v>676.998651</v>
      </c>
      <c r="Q580">
        <v>1967222.68</v>
      </c>
      <c r="R580">
        <v>8.069113838</v>
      </c>
      <c r="S580">
        <v>23447.23099</v>
      </c>
      <c r="T580">
        <v>720790.4</v>
      </c>
    </row>
    <row r="581" spans="1:20">
      <c r="A581" t="s">
        <v>20</v>
      </c>
      <c r="B581" t="s">
        <v>249</v>
      </c>
      <c r="C581">
        <v>301049751</v>
      </c>
      <c r="D581">
        <v>73239990</v>
      </c>
      <c r="E581" t="s">
        <v>1338</v>
      </c>
      <c r="N581">
        <v>1116</v>
      </c>
      <c r="O581" t="s">
        <v>2746</v>
      </c>
      <c r="P581">
        <v>520.4921326</v>
      </c>
      <c r="Q581">
        <v>580869.22</v>
      </c>
      <c r="R581">
        <v>6.203720293</v>
      </c>
      <c r="S581">
        <v>6923.351847</v>
      </c>
      <c r="T581">
        <v>212830.5</v>
      </c>
    </row>
    <row r="582" spans="1:20">
      <c r="A582" t="s">
        <v>20</v>
      </c>
      <c r="B582" t="s">
        <v>249</v>
      </c>
      <c r="C582">
        <v>301049751</v>
      </c>
      <c r="D582">
        <v>73239990</v>
      </c>
      <c r="E582" t="s">
        <v>1339</v>
      </c>
      <c r="N582">
        <v>667</v>
      </c>
      <c r="O582" t="s">
        <v>2746</v>
      </c>
      <c r="P582">
        <v>515.5135382</v>
      </c>
      <c r="Q582">
        <v>343847.53</v>
      </c>
      <c r="R582">
        <v>6.14438067</v>
      </c>
      <c r="S582">
        <v>4098.301907</v>
      </c>
      <c r="T582">
        <v>125985.8</v>
      </c>
    </row>
    <row r="583" spans="1:20">
      <c r="A583" t="s">
        <v>20</v>
      </c>
      <c r="B583" t="s">
        <v>249</v>
      </c>
      <c r="C583">
        <v>301049751</v>
      </c>
      <c r="D583">
        <v>73239990</v>
      </c>
      <c r="E583" t="s">
        <v>1340</v>
      </c>
      <c r="N583">
        <v>57.34</v>
      </c>
      <c r="O583" t="s">
        <v>2746</v>
      </c>
      <c r="P583">
        <v>1040.12016</v>
      </c>
      <c r="Q583">
        <v>59640.49</v>
      </c>
      <c r="R583">
        <v>12.39714136</v>
      </c>
      <c r="S583">
        <v>710.8520858000001</v>
      </c>
      <c r="T583">
        <v>21852.3</v>
      </c>
    </row>
    <row r="584" spans="1:20">
      <c r="A584" t="s">
        <v>20</v>
      </c>
      <c r="B584" t="s">
        <v>250</v>
      </c>
      <c r="C584">
        <v>301049751</v>
      </c>
      <c r="D584">
        <v>73239990</v>
      </c>
      <c r="E584" t="s">
        <v>1341</v>
      </c>
      <c r="N584">
        <v>6985</v>
      </c>
      <c r="O584" t="s">
        <v>2746</v>
      </c>
      <c r="P584">
        <v>260.3482391</v>
      </c>
      <c r="Q584">
        <v>1818532.45</v>
      </c>
      <c r="R584">
        <v>3.103077939</v>
      </c>
      <c r="S584">
        <v>21674.9994</v>
      </c>
      <c r="T584">
        <v>666310.3</v>
      </c>
    </row>
    <row r="585" spans="1:20">
      <c r="A585" t="s">
        <v>20</v>
      </c>
      <c r="B585" t="s">
        <v>251</v>
      </c>
      <c r="C585">
        <v>301049751</v>
      </c>
      <c r="D585">
        <v>73239990</v>
      </c>
      <c r="E585" t="s">
        <v>1342</v>
      </c>
      <c r="N585">
        <v>1136.2</v>
      </c>
      <c r="O585" t="s">
        <v>2746</v>
      </c>
      <c r="P585">
        <v>515.3352843</v>
      </c>
      <c r="Q585">
        <v>585523.95</v>
      </c>
      <c r="R585">
        <v>6.14225607</v>
      </c>
      <c r="S585">
        <v>6978.831347</v>
      </c>
      <c r="T585">
        <v>214536</v>
      </c>
    </row>
    <row r="586" spans="1:20">
      <c r="A586" t="s">
        <v>20</v>
      </c>
      <c r="B586" t="s">
        <v>251</v>
      </c>
      <c r="C586">
        <v>301049751</v>
      </c>
      <c r="D586">
        <v>73231000</v>
      </c>
      <c r="E586" t="s">
        <v>1343</v>
      </c>
      <c r="N586">
        <v>8765.76</v>
      </c>
      <c r="O586" t="s">
        <v>2746</v>
      </c>
      <c r="P586">
        <v>233.1507354</v>
      </c>
      <c r="Q586">
        <v>2043743.39</v>
      </c>
      <c r="R586">
        <v>2.778912221</v>
      </c>
      <c r="S586">
        <v>24359.27759</v>
      </c>
      <c r="T586">
        <v>898429.7</v>
      </c>
    </row>
    <row r="587" spans="1:20">
      <c r="A587" t="s">
        <v>20</v>
      </c>
      <c r="B587" t="s">
        <v>251</v>
      </c>
      <c r="C587">
        <v>301049751</v>
      </c>
      <c r="D587">
        <v>73231000</v>
      </c>
      <c r="E587" t="s">
        <v>1344</v>
      </c>
      <c r="N587">
        <v>4900</v>
      </c>
      <c r="O587" t="s">
        <v>2746</v>
      </c>
      <c r="P587">
        <v>463.9228898</v>
      </c>
      <c r="Q587">
        <v>2273222.16</v>
      </c>
      <c r="R587">
        <v>5.529474253</v>
      </c>
      <c r="S587">
        <v>27094.42384</v>
      </c>
      <c r="T587">
        <v>999308.4</v>
      </c>
    </row>
    <row r="588" spans="1:20">
      <c r="A588" t="s">
        <v>20</v>
      </c>
      <c r="B588" t="s">
        <v>251</v>
      </c>
      <c r="C588">
        <v>301049751</v>
      </c>
      <c r="D588">
        <v>73239990</v>
      </c>
      <c r="E588" t="s">
        <v>1345</v>
      </c>
      <c r="N588">
        <v>4046.4</v>
      </c>
      <c r="O588" t="s">
        <v>2746</v>
      </c>
      <c r="P588">
        <v>533.3201438</v>
      </c>
      <c r="Q588">
        <v>2158026.63</v>
      </c>
      <c r="R588">
        <v>6.356616732</v>
      </c>
      <c r="S588">
        <v>25721.41395</v>
      </c>
      <c r="T588">
        <v>790700.9</v>
      </c>
    </row>
    <row r="589" spans="1:20">
      <c r="A589" t="s">
        <v>20</v>
      </c>
      <c r="B589" t="s">
        <v>251</v>
      </c>
      <c r="C589">
        <v>301049751</v>
      </c>
      <c r="D589">
        <v>73239990</v>
      </c>
      <c r="E589" t="s">
        <v>1346</v>
      </c>
      <c r="N589">
        <v>2885.5</v>
      </c>
      <c r="O589" t="s">
        <v>2746</v>
      </c>
      <c r="P589">
        <v>676.7648761</v>
      </c>
      <c r="Q589">
        <v>1952805.05</v>
      </c>
      <c r="R589">
        <v>8.066327486</v>
      </c>
      <c r="S589">
        <v>23275.38796</v>
      </c>
      <c r="T589">
        <v>715507.8</v>
      </c>
    </row>
    <row r="590" spans="1:20">
      <c r="A590" t="s">
        <v>20</v>
      </c>
      <c r="B590" t="s">
        <v>252</v>
      </c>
      <c r="C590">
        <v>301049751</v>
      </c>
      <c r="D590">
        <v>73239990</v>
      </c>
      <c r="E590" t="s">
        <v>1347</v>
      </c>
      <c r="N590">
        <v>8201.5</v>
      </c>
      <c r="O590" t="s">
        <v>2746</v>
      </c>
      <c r="P590">
        <v>537.3941876</v>
      </c>
      <c r="Q590">
        <v>4407438.43</v>
      </c>
      <c r="R590">
        <v>6.405175061</v>
      </c>
      <c r="S590">
        <v>52532.04327</v>
      </c>
      <c r="T590">
        <v>1614885.5</v>
      </c>
    </row>
    <row r="591" spans="1:20">
      <c r="A591" t="s">
        <v>20</v>
      </c>
      <c r="B591" t="s">
        <v>252</v>
      </c>
      <c r="C591">
        <v>301049751</v>
      </c>
      <c r="D591">
        <v>73239990</v>
      </c>
      <c r="E591" t="s">
        <v>1331</v>
      </c>
      <c r="N591">
        <v>8945.200000000001</v>
      </c>
      <c r="O591" t="s">
        <v>2746</v>
      </c>
      <c r="P591">
        <v>468.5997272</v>
      </c>
      <c r="Q591">
        <v>4191718.28</v>
      </c>
      <c r="R591">
        <v>5.585217249</v>
      </c>
      <c r="S591">
        <v>49960.88534</v>
      </c>
      <c r="T591">
        <v>1535845.7</v>
      </c>
    </row>
    <row r="592" spans="1:20">
      <c r="A592" t="s">
        <v>20</v>
      </c>
      <c r="B592" t="s">
        <v>252</v>
      </c>
      <c r="C592">
        <v>301049751</v>
      </c>
      <c r="D592">
        <v>73239990</v>
      </c>
      <c r="E592" t="s">
        <v>1348</v>
      </c>
      <c r="N592">
        <v>8973.450000000001</v>
      </c>
      <c r="O592" t="s">
        <v>2746</v>
      </c>
      <c r="P592">
        <v>498.6146911</v>
      </c>
      <c r="Q592">
        <v>4474294</v>
      </c>
      <c r="R592">
        <v>5.942964137</v>
      </c>
      <c r="S592">
        <v>53328.89154</v>
      </c>
      <c r="T592">
        <v>1639381.3</v>
      </c>
    </row>
    <row r="593" spans="1:20">
      <c r="A593" t="s">
        <v>20</v>
      </c>
      <c r="B593" t="s">
        <v>253</v>
      </c>
      <c r="C593">
        <v>301049751</v>
      </c>
      <c r="D593">
        <v>73239990</v>
      </c>
      <c r="E593" t="s">
        <v>1288</v>
      </c>
      <c r="N593">
        <v>7600</v>
      </c>
      <c r="O593" t="s">
        <v>2746</v>
      </c>
      <c r="P593">
        <v>522.6386841999999</v>
      </c>
      <c r="Q593">
        <v>3972054</v>
      </c>
      <c r="R593">
        <v>6.251658902</v>
      </c>
      <c r="S593">
        <v>47512.60766</v>
      </c>
      <c r="T593">
        <v>1455360.6</v>
      </c>
    </row>
    <row r="594" spans="1:20">
      <c r="A594" t="s">
        <v>20</v>
      </c>
      <c r="B594" t="s">
        <v>254</v>
      </c>
      <c r="C594">
        <v>301049751</v>
      </c>
      <c r="D594">
        <v>73239990</v>
      </c>
      <c r="E594" t="s">
        <v>1349</v>
      </c>
      <c r="N594">
        <v>3536</v>
      </c>
      <c r="O594" t="s">
        <v>2746</v>
      </c>
      <c r="P594">
        <v>523.7076046</v>
      </c>
      <c r="Q594">
        <v>1851830.09</v>
      </c>
      <c r="R594">
        <v>6.264445032</v>
      </c>
      <c r="S594">
        <v>22151.07763</v>
      </c>
      <c r="T594">
        <v>678510.5</v>
      </c>
    </row>
    <row r="595" spans="1:20">
      <c r="A595" t="s">
        <v>20</v>
      </c>
      <c r="B595" t="s">
        <v>254</v>
      </c>
      <c r="C595">
        <v>301049751</v>
      </c>
      <c r="D595">
        <v>73239990</v>
      </c>
      <c r="E595" t="s">
        <v>1350</v>
      </c>
      <c r="N595">
        <v>1554</v>
      </c>
      <c r="O595" t="s">
        <v>2746</v>
      </c>
      <c r="P595">
        <v>535.9907658</v>
      </c>
      <c r="Q595">
        <v>832929.65</v>
      </c>
      <c r="R595">
        <v>6.411372796</v>
      </c>
      <c r="S595">
        <v>9963.273325</v>
      </c>
      <c r="T595">
        <v>305185.4</v>
      </c>
    </row>
    <row r="596" spans="1:20">
      <c r="A596" t="s">
        <v>20</v>
      </c>
      <c r="B596" t="s">
        <v>254</v>
      </c>
      <c r="C596">
        <v>301049751</v>
      </c>
      <c r="D596">
        <v>73239990</v>
      </c>
      <c r="E596" t="s">
        <v>1351</v>
      </c>
      <c r="N596">
        <v>1883</v>
      </c>
      <c r="O596" t="s">
        <v>2746</v>
      </c>
      <c r="P596">
        <v>612.2207063</v>
      </c>
      <c r="Q596">
        <v>1152811.59</v>
      </c>
      <c r="R596">
        <v>7.32321419</v>
      </c>
      <c r="S596">
        <v>13789.61232</v>
      </c>
      <c r="T596">
        <v>422390.1</v>
      </c>
    </row>
    <row r="597" spans="1:20">
      <c r="A597" t="s">
        <v>20</v>
      </c>
      <c r="B597" t="s">
        <v>255</v>
      </c>
      <c r="C597">
        <v>301049751</v>
      </c>
      <c r="D597">
        <v>73239990</v>
      </c>
      <c r="E597" t="s">
        <v>1352</v>
      </c>
      <c r="N597">
        <v>80</v>
      </c>
      <c r="O597" t="s">
        <v>2746</v>
      </c>
      <c r="P597">
        <v>792.524125</v>
      </c>
      <c r="Q597">
        <v>63401.93</v>
      </c>
      <c r="R597">
        <v>9.479953648</v>
      </c>
      <c r="S597">
        <v>758.3962919000001</v>
      </c>
      <c r="T597">
        <v>23230.4</v>
      </c>
    </row>
    <row r="598" spans="1:20">
      <c r="A598" t="s">
        <v>20</v>
      </c>
      <c r="B598" t="s">
        <v>256</v>
      </c>
      <c r="C598">
        <v>301049751</v>
      </c>
      <c r="D598">
        <v>73239990</v>
      </c>
      <c r="E598" t="s">
        <v>1353</v>
      </c>
      <c r="N598">
        <v>7315</v>
      </c>
      <c r="O598" t="s">
        <v>2746</v>
      </c>
      <c r="P598">
        <v>463.1215038</v>
      </c>
      <c r="Q598">
        <v>3387733.8</v>
      </c>
      <c r="R598">
        <v>5.539730906</v>
      </c>
      <c r="S598">
        <v>40523.13158</v>
      </c>
      <c r="T598">
        <v>1241265.7</v>
      </c>
    </row>
    <row r="599" spans="1:20">
      <c r="A599" t="s">
        <v>20</v>
      </c>
      <c r="B599" t="s">
        <v>257</v>
      </c>
      <c r="C599">
        <v>301049751</v>
      </c>
      <c r="D599">
        <v>73239990</v>
      </c>
      <c r="E599" t="s">
        <v>1354</v>
      </c>
      <c r="N599">
        <v>10836</v>
      </c>
      <c r="O599" t="s">
        <v>2746</v>
      </c>
      <c r="P599">
        <v>572.7315347</v>
      </c>
      <c r="Q599">
        <v>6206118.91</v>
      </c>
      <c r="R599">
        <v>6.850855678</v>
      </c>
      <c r="S599">
        <v>74235.87213</v>
      </c>
      <c r="T599">
        <v>2273922</v>
      </c>
    </row>
    <row r="600" spans="1:20">
      <c r="A600" t="s">
        <v>20</v>
      </c>
      <c r="B600" t="s">
        <v>258</v>
      </c>
      <c r="C600">
        <v>301049751</v>
      </c>
      <c r="D600">
        <v>73239990</v>
      </c>
      <c r="E600" t="s">
        <v>1355</v>
      </c>
      <c r="N600">
        <v>2419.2</v>
      </c>
      <c r="O600" t="s">
        <v>2746</v>
      </c>
      <c r="P600">
        <v>535.7214739999999</v>
      </c>
      <c r="Q600">
        <v>1296017.39</v>
      </c>
      <c r="R600">
        <v>6.408151603</v>
      </c>
      <c r="S600">
        <v>15502.60036</v>
      </c>
      <c r="T600">
        <v>474860.8</v>
      </c>
    </row>
    <row r="601" spans="1:20">
      <c r="A601" t="s">
        <v>20</v>
      </c>
      <c r="B601" t="s">
        <v>258</v>
      </c>
      <c r="C601">
        <v>301049751</v>
      </c>
      <c r="D601">
        <v>73239990</v>
      </c>
      <c r="E601" t="s">
        <v>1356</v>
      </c>
      <c r="N601">
        <v>2888</v>
      </c>
      <c r="O601" t="s">
        <v>2746</v>
      </c>
      <c r="P601">
        <v>520.8402874</v>
      </c>
      <c r="Q601">
        <v>1504186.75</v>
      </c>
      <c r="R601">
        <v>6.230146978</v>
      </c>
      <c r="S601">
        <v>17992.66447</v>
      </c>
      <c r="T601">
        <v>551133.9</v>
      </c>
    </row>
    <row r="602" spans="1:20">
      <c r="A602" t="s">
        <v>20</v>
      </c>
      <c r="B602" t="s">
        <v>258</v>
      </c>
      <c r="C602">
        <v>301049751</v>
      </c>
      <c r="D602">
        <v>73239990</v>
      </c>
      <c r="E602" t="s">
        <v>1357</v>
      </c>
      <c r="N602">
        <v>1106</v>
      </c>
      <c r="O602" t="s">
        <v>2746</v>
      </c>
      <c r="P602">
        <v>611.9127667</v>
      </c>
      <c r="Q602">
        <v>676775.52</v>
      </c>
      <c r="R602">
        <v>7.319530702</v>
      </c>
      <c r="S602">
        <v>8095.400957</v>
      </c>
      <c r="T602">
        <v>247970.5</v>
      </c>
    </row>
    <row r="603" spans="1:20">
      <c r="A603" t="s">
        <v>20</v>
      </c>
      <c r="B603" t="s">
        <v>258</v>
      </c>
      <c r="C603">
        <v>301049751</v>
      </c>
      <c r="D603">
        <v>73239990</v>
      </c>
      <c r="E603" t="s">
        <v>1358</v>
      </c>
      <c r="N603">
        <v>896</v>
      </c>
      <c r="O603" t="s">
        <v>2746</v>
      </c>
      <c r="P603">
        <v>523.4444866</v>
      </c>
      <c r="Q603">
        <v>469006.26</v>
      </c>
      <c r="R603">
        <v>6.261297687</v>
      </c>
      <c r="S603">
        <v>5610.122727</v>
      </c>
      <c r="T603">
        <v>171843.9</v>
      </c>
    </row>
    <row r="604" spans="1:20">
      <c r="A604" t="s">
        <v>20</v>
      </c>
      <c r="B604" t="s">
        <v>259</v>
      </c>
      <c r="C604">
        <v>301049751</v>
      </c>
      <c r="D604">
        <v>73239990</v>
      </c>
      <c r="E604" t="s">
        <v>1359</v>
      </c>
      <c r="N604">
        <v>8580</v>
      </c>
      <c r="O604" t="s">
        <v>2746</v>
      </c>
      <c r="P604">
        <v>377.2526119</v>
      </c>
      <c r="Q604">
        <v>3236827.41</v>
      </c>
      <c r="R604">
        <v>4.547951921</v>
      </c>
      <c r="S604">
        <v>39021.42749</v>
      </c>
      <c r="T604">
        <v>1185973.5</v>
      </c>
    </row>
    <row r="605" spans="1:20">
      <c r="A605" t="s">
        <v>20</v>
      </c>
      <c r="B605" t="s">
        <v>259</v>
      </c>
      <c r="C605">
        <v>301049751</v>
      </c>
      <c r="D605">
        <v>73239990</v>
      </c>
      <c r="E605" t="s">
        <v>1360</v>
      </c>
      <c r="N605">
        <v>4620</v>
      </c>
      <c r="O605" t="s">
        <v>2746</v>
      </c>
      <c r="P605">
        <v>544.6095801</v>
      </c>
      <c r="Q605">
        <v>2516096.26</v>
      </c>
      <c r="R605">
        <v>6.565516336</v>
      </c>
      <c r="S605">
        <v>30332.68547</v>
      </c>
      <c r="T605">
        <v>921897.7</v>
      </c>
    </row>
    <row r="606" spans="1:20">
      <c r="A606" t="s">
        <v>20</v>
      </c>
      <c r="B606" t="s">
        <v>260</v>
      </c>
      <c r="C606">
        <v>301049751</v>
      </c>
      <c r="D606">
        <v>73239990</v>
      </c>
      <c r="E606" t="s">
        <v>1361</v>
      </c>
      <c r="N606">
        <v>9512</v>
      </c>
      <c r="O606" t="s">
        <v>2746</v>
      </c>
      <c r="P606">
        <v>336.9922403</v>
      </c>
      <c r="Q606">
        <v>3205470.19</v>
      </c>
      <c r="R606">
        <v>4.06259482</v>
      </c>
      <c r="S606">
        <v>38643.40193</v>
      </c>
      <c r="T606">
        <v>1174484.2</v>
      </c>
    </row>
    <row r="607" spans="1:20">
      <c r="A607" t="s">
        <v>20</v>
      </c>
      <c r="B607" t="s">
        <v>261</v>
      </c>
      <c r="C607">
        <v>301049751</v>
      </c>
      <c r="D607">
        <v>73239990</v>
      </c>
      <c r="E607" t="s">
        <v>1362</v>
      </c>
      <c r="N607">
        <v>3269</v>
      </c>
      <c r="O607" t="s">
        <v>2746</v>
      </c>
      <c r="P607">
        <v>606.7444173</v>
      </c>
      <c r="Q607">
        <v>1983447.5</v>
      </c>
      <c r="R607">
        <v>7.314580075</v>
      </c>
      <c r="S607">
        <v>23911.36227</v>
      </c>
      <c r="T607">
        <v>726735.1</v>
      </c>
    </row>
    <row r="608" spans="1:20">
      <c r="A608" t="s">
        <v>20</v>
      </c>
      <c r="B608" t="s">
        <v>261</v>
      </c>
      <c r="C608">
        <v>301049751</v>
      </c>
      <c r="D608">
        <v>73239990</v>
      </c>
      <c r="E608" t="s">
        <v>1363</v>
      </c>
      <c r="N608">
        <v>8121</v>
      </c>
      <c r="O608" t="s">
        <v>2746</v>
      </c>
      <c r="P608">
        <v>535.7587089</v>
      </c>
      <c r="Q608">
        <v>4351217.93</v>
      </c>
      <c r="R608">
        <v>6.458815056</v>
      </c>
      <c r="S608">
        <v>52455.91236</v>
      </c>
      <c r="T608">
        <v>1594286.3</v>
      </c>
    </row>
    <row r="609" spans="1:20">
      <c r="A609" t="s">
        <v>20</v>
      </c>
      <c r="B609" t="s">
        <v>261</v>
      </c>
      <c r="C609">
        <v>301049751</v>
      </c>
      <c r="D609">
        <v>73231000</v>
      </c>
      <c r="E609" t="s">
        <v>1364</v>
      </c>
      <c r="N609">
        <v>7230</v>
      </c>
      <c r="O609" t="s">
        <v>2746</v>
      </c>
      <c r="P609">
        <v>241.0917635</v>
      </c>
      <c r="Q609">
        <v>1743093.45</v>
      </c>
      <c r="R609">
        <v>2.906470928</v>
      </c>
      <c r="S609">
        <v>21013.78481</v>
      </c>
      <c r="T609">
        <v>766263.9</v>
      </c>
    </row>
    <row r="610" spans="1:20">
      <c r="A610" t="s">
        <v>20</v>
      </c>
      <c r="B610" t="s">
        <v>261</v>
      </c>
      <c r="C610">
        <v>301049751</v>
      </c>
      <c r="D610">
        <v>73239990</v>
      </c>
      <c r="E610" t="s">
        <v>1365</v>
      </c>
      <c r="N610">
        <v>3979</v>
      </c>
      <c r="O610" t="s">
        <v>2746</v>
      </c>
      <c r="P610">
        <v>524.5244257000001</v>
      </c>
      <c r="Q610">
        <v>2087082.69</v>
      </c>
      <c r="R610">
        <v>6.32338066</v>
      </c>
      <c r="S610">
        <v>25160.73165</v>
      </c>
      <c r="T610">
        <v>764707.1</v>
      </c>
    </row>
    <row r="611" spans="1:20">
      <c r="A611" t="s">
        <v>20</v>
      </c>
      <c r="B611" t="s">
        <v>261</v>
      </c>
      <c r="C611">
        <v>301049751</v>
      </c>
      <c r="D611">
        <v>73239990</v>
      </c>
      <c r="E611" t="s">
        <v>1366</v>
      </c>
      <c r="N611">
        <v>5709</v>
      </c>
      <c r="O611" t="s">
        <v>2746</v>
      </c>
      <c r="P611">
        <v>1034.799441</v>
      </c>
      <c r="Q611">
        <v>5908290.89</v>
      </c>
      <c r="R611">
        <v>12.4749782</v>
      </c>
      <c r="S611">
        <v>71227.1355</v>
      </c>
      <c r="T611">
        <v>2164797.8</v>
      </c>
    </row>
    <row r="612" spans="1:20">
      <c r="A612" t="s">
        <v>20</v>
      </c>
      <c r="B612" t="s">
        <v>262</v>
      </c>
      <c r="C612">
        <v>301049751</v>
      </c>
      <c r="D612">
        <v>73231000</v>
      </c>
      <c r="E612" t="s">
        <v>1367</v>
      </c>
      <c r="N612">
        <v>4893</v>
      </c>
      <c r="O612" t="s">
        <v>2746</v>
      </c>
      <c r="P612">
        <v>458.6840691</v>
      </c>
      <c r="Q612">
        <v>2244341.15</v>
      </c>
      <c r="R612">
        <v>5.529645197</v>
      </c>
      <c r="S612">
        <v>27056.55395</v>
      </c>
      <c r="T612">
        <v>986612.3</v>
      </c>
    </row>
    <row r="613" spans="1:20">
      <c r="A613" t="s">
        <v>20</v>
      </c>
      <c r="B613" t="s">
        <v>262</v>
      </c>
      <c r="C613">
        <v>301049751</v>
      </c>
      <c r="D613">
        <v>73239990</v>
      </c>
      <c r="E613" t="s">
        <v>1368</v>
      </c>
      <c r="N613">
        <v>6600</v>
      </c>
      <c r="O613" t="s">
        <v>2746</v>
      </c>
      <c r="P613">
        <v>534.2525348</v>
      </c>
      <c r="Q613">
        <v>3526066.73</v>
      </c>
      <c r="R613">
        <v>6.440657442</v>
      </c>
      <c r="S613">
        <v>42508.33912</v>
      </c>
      <c r="T613">
        <v>1291950.8</v>
      </c>
    </row>
    <row r="614" spans="1:20">
      <c r="A614" t="s">
        <v>20</v>
      </c>
      <c r="B614" t="s">
        <v>263</v>
      </c>
      <c r="C614">
        <v>301049751</v>
      </c>
      <c r="D614">
        <v>73239990</v>
      </c>
      <c r="E614" t="s">
        <v>1369</v>
      </c>
      <c r="N614">
        <v>1464</v>
      </c>
      <c r="O614" t="s">
        <v>2746</v>
      </c>
      <c r="P614">
        <v>534.8174249</v>
      </c>
      <c r="Q614">
        <v>782972.71</v>
      </c>
      <c r="R614">
        <v>6.424233332</v>
      </c>
      <c r="S614">
        <v>9405.077598</v>
      </c>
      <c r="T614">
        <v>286881.2</v>
      </c>
    </row>
    <row r="615" spans="1:20">
      <c r="A615" t="s">
        <v>20</v>
      </c>
      <c r="B615" t="s">
        <v>263</v>
      </c>
      <c r="C615">
        <v>301049751</v>
      </c>
      <c r="D615">
        <v>73239990</v>
      </c>
      <c r="E615" t="s">
        <v>1370</v>
      </c>
      <c r="N615">
        <v>5522</v>
      </c>
      <c r="O615" t="s">
        <v>2746</v>
      </c>
      <c r="P615">
        <v>555.5217641</v>
      </c>
      <c r="Q615">
        <v>3067813.39</v>
      </c>
      <c r="R615">
        <v>6.672934103</v>
      </c>
      <c r="S615">
        <v>36850.61129</v>
      </c>
      <c r="T615">
        <v>1124046.9</v>
      </c>
    </row>
    <row r="616" spans="1:20">
      <c r="A616" t="s">
        <v>20</v>
      </c>
      <c r="B616" t="s">
        <v>264</v>
      </c>
      <c r="C616">
        <v>301049751</v>
      </c>
      <c r="D616">
        <v>73239990</v>
      </c>
      <c r="E616" t="s">
        <v>1371</v>
      </c>
      <c r="N616">
        <v>1920</v>
      </c>
      <c r="O616" t="s">
        <v>2746</v>
      </c>
      <c r="P616">
        <v>248.9022448</v>
      </c>
      <c r="Q616">
        <v>477892.31</v>
      </c>
      <c r="R616">
        <v>2.989816754</v>
      </c>
      <c r="S616">
        <v>5740.448168</v>
      </c>
      <c r="T616">
        <v>175099.7</v>
      </c>
    </row>
    <row r="617" spans="1:20">
      <c r="A617" t="s">
        <v>20</v>
      </c>
      <c r="B617" t="s">
        <v>264</v>
      </c>
      <c r="C617">
        <v>301049751</v>
      </c>
      <c r="D617">
        <v>73239990</v>
      </c>
      <c r="E617" t="s">
        <v>1372</v>
      </c>
      <c r="N617">
        <v>8945</v>
      </c>
      <c r="O617" t="s">
        <v>2746</v>
      </c>
      <c r="P617">
        <v>467.6787719</v>
      </c>
      <c r="Q617">
        <v>4183480.15</v>
      </c>
      <c r="R617">
        <v>5.617763025</v>
      </c>
      <c r="S617">
        <v>50252.01381</v>
      </c>
      <c r="T617">
        <v>1532827.1</v>
      </c>
    </row>
    <row r="618" spans="1:20">
      <c r="A618" t="s">
        <v>20</v>
      </c>
      <c r="B618" t="s">
        <v>264</v>
      </c>
      <c r="C618">
        <v>301049751</v>
      </c>
      <c r="D618">
        <v>73239990</v>
      </c>
      <c r="E618" t="s">
        <v>1373</v>
      </c>
      <c r="N618">
        <v>1487</v>
      </c>
      <c r="O618" t="s">
        <v>2746</v>
      </c>
      <c r="P618">
        <v>562.4462185</v>
      </c>
      <c r="Q618">
        <v>836638.75</v>
      </c>
      <c r="R618">
        <v>6.756110733</v>
      </c>
      <c r="S618">
        <v>10049.71471</v>
      </c>
      <c r="T618">
        <v>306544.5</v>
      </c>
    </row>
    <row r="619" spans="1:20">
      <c r="A619" t="s">
        <v>20</v>
      </c>
      <c r="B619" t="s">
        <v>264</v>
      </c>
      <c r="C619">
        <v>301049751</v>
      </c>
      <c r="D619">
        <v>73239990</v>
      </c>
      <c r="E619" t="s">
        <v>1374</v>
      </c>
      <c r="N619">
        <v>3740</v>
      </c>
      <c r="O619" t="s">
        <v>2746</v>
      </c>
      <c r="P619">
        <v>372.8336684</v>
      </c>
      <c r="Q619">
        <v>1394397.92</v>
      </c>
      <c r="R619">
        <v>4.478482504</v>
      </c>
      <c r="S619">
        <v>16749.52456</v>
      </c>
      <c r="T619">
        <v>510907.5</v>
      </c>
    </row>
    <row r="620" spans="1:20">
      <c r="A620" t="s">
        <v>20</v>
      </c>
      <c r="B620" t="s">
        <v>265</v>
      </c>
      <c r="C620">
        <v>301049751</v>
      </c>
      <c r="D620">
        <v>73239990</v>
      </c>
      <c r="E620" t="s">
        <v>1375</v>
      </c>
      <c r="N620">
        <v>4984</v>
      </c>
      <c r="O620" t="s">
        <v>2746</v>
      </c>
      <c r="P620">
        <v>561.3955076</v>
      </c>
      <c r="Q620">
        <v>2797995.21</v>
      </c>
      <c r="R620">
        <v>6.743489581</v>
      </c>
      <c r="S620">
        <v>33609.55207</v>
      </c>
      <c r="T620">
        <v>1025185.4</v>
      </c>
    </row>
    <row r="621" spans="1:20">
      <c r="A621" t="s">
        <v>20</v>
      </c>
      <c r="B621" t="s">
        <v>265</v>
      </c>
      <c r="C621">
        <v>301049751</v>
      </c>
      <c r="D621">
        <v>73239990</v>
      </c>
      <c r="E621" t="s">
        <v>1376</v>
      </c>
      <c r="N621">
        <v>1440</v>
      </c>
      <c r="O621" t="s">
        <v>2746</v>
      </c>
      <c r="P621">
        <v>535.6434236</v>
      </c>
      <c r="Q621">
        <v>771326.53</v>
      </c>
      <c r="R621">
        <v>6.434155239</v>
      </c>
      <c r="S621">
        <v>9265.183544</v>
      </c>
      <c r="T621">
        <v>282614</v>
      </c>
    </row>
    <row r="622" spans="1:20">
      <c r="A622" t="s">
        <v>20</v>
      </c>
      <c r="B622" t="s">
        <v>265</v>
      </c>
      <c r="C622">
        <v>301049751</v>
      </c>
      <c r="D622">
        <v>73239990</v>
      </c>
      <c r="E622" t="s">
        <v>1377</v>
      </c>
      <c r="N622">
        <v>7800</v>
      </c>
      <c r="O622" t="s">
        <v>2746</v>
      </c>
      <c r="P622">
        <v>519.6266538</v>
      </c>
      <c r="Q622">
        <v>4053087.9</v>
      </c>
      <c r="R622">
        <v>6.241761608</v>
      </c>
      <c r="S622">
        <v>48685.74054</v>
      </c>
      <c r="T622">
        <v>1485051.5</v>
      </c>
    </row>
    <row r="623" spans="1:20">
      <c r="A623" t="s">
        <v>20</v>
      </c>
      <c r="B623" t="s">
        <v>265</v>
      </c>
      <c r="C623">
        <v>301049751</v>
      </c>
      <c r="D623">
        <v>73239990</v>
      </c>
      <c r="E623" t="s">
        <v>1378</v>
      </c>
      <c r="N623">
        <v>1236</v>
      </c>
      <c r="O623" t="s">
        <v>2746</v>
      </c>
      <c r="P623">
        <v>532.038301</v>
      </c>
      <c r="Q623">
        <v>657599.34</v>
      </c>
      <c r="R623">
        <v>6.390850462</v>
      </c>
      <c r="S623">
        <v>7899.091171</v>
      </c>
      <c r="T623">
        <v>240944.4</v>
      </c>
    </row>
    <row r="624" spans="1:20">
      <c r="A624" t="s">
        <v>20</v>
      </c>
      <c r="B624" t="s">
        <v>266</v>
      </c>
      <c r="C624">
        <v>301049751</v>
      </c>
      <c r="D624">
        <v>73231000</v>
      </c>
      <c r="E624" t="s">
        <v>1379</v>
      </c>
      <c r="N624">
        <v>8735</v>
      </c>
      <c r="O624" t="s">
        <v>2746</v>
      </c>
      <c r="P624">
        <v>237.912672</v>
      </c>
      <c r="Q624">
        <v>2078167.19</v>
      </c>
      <c r="R624">
        <v>2.857809874</v>
      </c>
      <c r="S624">
        <v>24962.96925</v>
      </c>
      <c r="T624">
        <v>913562.2</v>
      </c>
    </row>
    <row r="625" spans="1:20">
      <c r="A625" t="s">
        <v>20</v>
      </c>
      <c r="B625" t="s">
        <v>267</v>
      </c>
      <c r="C625">
        <v>301049751</v>
      </c>
      <c r="D625">
        <v>73239990</v>
      </c>
      <c r="E625" t="s">
        <v>1380</v>
      </c>
      <c r="N625">
        <v>63</v>
      </c>
      <c r="O625" t="s">
        <v>2746</v>
      </c>
      <c r="P625">
        <v>554.3950794</v>
      </c>
      <c r="Q625">
        <v>34926.89</v>
      </c>
      <c r="R625">
        <v>6.659400353</v>
      </c>
      <c r="S625">
        <v>419.5422222</v>
      </c>
      <c r="T625">
        <v>12797.2</v>
      </c>
    </row>
    <row r="626" spans="1:20">
      <c r="A626" t="s">
        <v>20</v>
      </c>
      <c r="B626" t="s">
        <v>267</v>
      </c>
      <c r="C626">
        <v>301049751</v>
      </c>
      <c r="D626">
        <v>73239990</v>
      </c>
      <c r="E626" t="s">
        <v>1381</v>
      </c>
      <c r="N626">
        <v>4804</v>
      </c>
      <c r="O626" t="s">
        <v>2746</v>
      </c>
      <c r="P626">
        <v>552.6109807</v>
      </c>
      <c r="Q626">
        <v>2655185.24</v>
      </c>
      <c r="R626">
        <v>6.637969738</v>
      </c>
      <c r="S626">
        <v>31894.117</v>
      </c>
      <c r="T626">
        <v>972859.8</v>
      </c>
    </row>
    <row r="627" spans="1:20">
      <c r="A627" t="s">
        <v>20</v>
      </c>
      <c r="B627" t="s">
        <v>267</v>
      </c>
      <c r="C627">
        <v>301049751</v>
      </c>
      <c r="D627">
        <v>73239990</v>
      </c>
      <c r="E627" t="s">
        <v>1382</v>
      </c>
      <c r="N627">
        <v>108</v>
      </c>
      <c r="O627" t="s">
        <v>2746</v>
      </c>
      <c r="P627">
        <v>715.4802778</v>
      </c>
      <c r="Q627">
        <v>77271.87</v>
      </c>
      <c r="R627">
        <v>8.594357691000001</v>
      </c>
      <c r="S627">
        <v>928.1906306</v>
      </c>
      <c r="T627">
        <v>28312.4</v>
      </c>
    </row>
    <row r="628" spans="1:20">
      <c r="A628" t="s">
        <v>20</v>
      </c>
      <c r="B628" t="s">
        <v>267</v>
      </c>
      <c r="C628">
        <v>301049751</v>
      </c>
      <c r="D628">
        <v>73239990</v>
      </c>
      <c r="E628" t="s">
        <v>1383</v>
      </c>
      <c r="N628">
        <v>69</v>
      </c>
      <c r="O628" t="s">
        <v>2746</v>
      </c>
      <c r="P628">
        <v>571.1398551</v>
      </c>
      <c r="Q628">
        <v>39408.65</v>
      </c>
      <c r="R628">
        <v>6.8605388</v>
      </c>
      <c r="S628">
        <v>473.3771772</v>
      </c>
      <c r="T628">
        <v>14439.3</v>
      </c>
    </row>
    <row r="629" spans="1:20">
      <c r="A629" t="s">
        <v>20</v>
      </c>
      <c r="B629" t="s">
        <v>267</v>
      </c>
      <c r="C629">
        <v>301049751</v>
      </c>
      <c r="D629">
        <v>73239990</v>
      </c>
      <c r="E629" t="s">
        <v>1384</v>
      </c>
      <c r="N629">
        <v>60</v>
      </c>
      <c r="O629" t="s">
        <v>2746</v>
      </c>
      <c r="P629">
        <v>633.6293333</v>
      </c>
      <c r="Q629">
        <v>38017.76</v>
      </c>
      <c r="R629">
        <v>7.611163163</v>
      </c>
      <c r="S629">
        <v>456.6697898</v>
      </c>
      <c r="T629">
        <v>13929.8</v>
      </c>
    </row>
    <row r="630" spans="1:20">
      <c r="A630" t="s">
        <v>20</v>
      </c>
      <c r="B630" t="s">
        <v>267</v>
      </c>
      <c r="C630">
        <v>301049751</v>
      </c>
      <c r="D630">
        <v>73239990</v>
      </c>
      <c r="E630" t="s">
        <v>1385</v>
      </c>
      <c r="N630">
        <v>92</v>
      </c>
      <c r="O630" t="s">
        <v>2746</v>
      </c>
      <c r="P630">
        <v>755.9204348</v>
      </c>
      <c r="Q630">
        <v>69544.67999999999</v>
      </c>
      <c r="R630">
        <v>9.080125343000001</v>
      </c>
      <c r="S630">
        <v>835.3715314999999</v>
      </c>
      <c r="T630">
        <v>25481.1</v>
      </c>
    </row>
    <row r="631" spans="1:20">
      <c r="A631" t="s">
        <v>20</v>
      </c>
      <c r="B631" t="s">
        <v>267</v>
      </c>
      <c r="C631">
        <v>301049751</v>
      </c>
      <c r="D631">
        <v>73239990</v>
      </c>
      <c r="E631" t="s">
        <v>1386</v>
      </c>
      <c r="N631">
        <v>2083</v>
      </c>
      <c r="O631" t="s">
        <v>2746</v>
      </c>
      <c r="P631">
        <v>534.7703629</v>
      </c>
      <c r="Q631">
        <v>1114033.62</v>
      </c>
      <c r="R631">
        <v>6.423668023</v>
      </c>
      <c r="S631">
        <v>13381.78523</v>
      </c>
      <c r="T631">
        <v>408181.9</v>
      </c>
    </row>
    <row r="632" spans="1:20">
      <c r="A632" t="s">
        <v>20</v>
      </c>
      <c r="B632" t="s">
        <v>267</v>
      </c>
      <c r="C632">
        <v>301049751</v>
      </c>
      <c r="D632">
        <v>73239990</v>
      </c>
      <c r="E632" t="s">
        <v>1387</v>
      </c>
      <c r="N632">
        <v>60</v>
      </c>
      <c r="O632" t="s">
        <v>2746</v>
      </c>
      <c r="P632">
        <v>589.842</v>
      </c>
      <c r="Q632">
        <v>35390.52</v>
      </c>
      <c r="R632">
        <v>7.085189189</v>
      </c>
      <c r="S632">
        <v>425.1113514</v>
      </c>
      <c r="T632">
        <v>12967.1</v>
      </c>
    </row>
    <row r="633" spans="1:20">
      <c r="A633" t="s">
        <v>20</v>
      </c>
      <c r="B633" t="s">
        <v>267</v>
      </c>
      <c r="C633">
        <v>301049751</v>
      </c>
      <c r="D633">
        <v>73239990</v>
      </c>
      <c r="E633" t="s">
        <v>1388</v>
      </c>
      <c r="N633">
        <v>148</v>
      </c>
      <c r="O633" t="s">
        <v>2746</v>
      </c>
      <c r="P633">
        <v>532.1433108</v>
      </c>
      <c r="Q633">
        <v>78757.21000000001</v>
      </c>
      <c r="R633">
        <v>6.392111842</v>
      </c>
      <c r="S633">
        <v>946.0325526</v>
      </c>
      <c r="T633">
        <v>28856.6</v>
      </c>
    </row>
    <row r="634" spans="1:20">
      <c r="A634" t="s">
        <v>20</v>
      </c>
      <c r="B634" t="s">
        <v>267</v>
      </c>
      <c r="C634">
        <v>301049751</v>
      </c>
      <c r="D634">
        <v>73239990</v>
      </c>
      <c r="E634" t="s">
        <v>1389</v>
      </c>
      <c r="N634">
        <v>106</v>
      </c>
      <c r="O634" t="s">
        <v>2746</v>
      </c>
      <c r="P634">
        <v>641.5022642</v>
      </c>
      <c r="Q634">
        <v>67999.24000000001</v>
      </c>
      <c r="R634">
        <v>7.705732903</v>
      </c>
      <c r="S634">
        <v>816.8076877</v>
      </c>
      <c r="T634">
        <v>24914.9</v>
      </c>
    </row>
    <row r="635" spans="1:20">
      <c r="A635" t="s">
        <v>20</v>
      </c>
      <c r="B635" t="s">
        <v>268</v>
      </c>
      <c r="C635">
        <v>301049751</v>
      </c>
      <c r="D635">
        <v>73239990</v>
      </c>
      <c r="E635" t="s">
        <v>1390</v>
      </c>
      <c r="N635">
        <v>6000</v>
      </c>
      <c r="O635" t="s">
        <v>2746</v>
      </c>
      <c r="P635">
        <v>253.1129567</v>
      </c>
      <c r="Q635">
        <v>1518677.74</v>
      </c>
      <c r="R635">
        <v>3.040395876</v>
      </c>
      <c r="S635">
        <v>18242.37526</v>
      </c>
      <c r="T635">
        <v>556443.5</v>
      </c>
    </row>
    <row r="636" spans="1:20">
      <c r="A636" t="s">
        <v>20</v>
      </c>
      <c r="B636" t="s">
        <v>269</v>
      </c>
      <c r="C636">
        <v>301049751</v>
      </c>
      <c r="D636">
        <v>73239990</v>
      </c>
      <c r="E636" t="s">
        <v>1391</v>
      </c>
      <c r="N636">
        <v>6420</v>
      </c>
      <c r="O636" t="s">
        <v>2746</v>
      </c>
      <c r="P636">
        <v>593.5016868</v>
      </c>
      <c r="Q636">
        <v>3810636.93</v>
      </c>
      <c r="R636">
        <v>7.146317721</v>
      </c>
      <c r="S636">
        <v>45883.64756</v>
      </c>
      <c r="T636">
        <v>1396217.4</v>
      </c>
    </row>
    <row r="637" spans="1:20">
      <c r="A637" t="s">
        <v>20</v>
      </c>
      <c r="B637" t="s">
        <v>269</v>
      </c>
      <c r="C637">
        <v>301049751</v>
      </c>
      <c r="D637">
        <v>73239990</v>
      </c>
      <c r="E637" t="s">
        <v>1392</v>
      </c>
      <c r="N637">
        <v>505</v>
      </c>
      <c r="O637" t="s">
        <v>2746</v>
      </c>
      <c r="P637">
        <v>494.0194422</v>
      </c>
      <c r="Q637">
        <v>249776.23</v>
      </c>
      <c r="R637">
        <v>5.948458064</v>
      </c>
      <c r="S637">
        <v>3007.540397</v>
      </c>
      <c r="T637">
        <v>91517.89999999999</v>
      </c>
    </row>
    <row r="638" spans="1:20">
      <c r="A638" t="s">
        <v>20</v>
      </c>
      <c r="B638" t="s">
        <v>270</v>
      </c>
      <c r="C638">
        <v>301049751</v>
      </c>
      <c r="D638">
        <v>73239990</v>
      </c>
      <c r="E638" t="s">
        <v>1393</v>
      </c>
      <c r="N638">
        <v>1288</v>
      </c>
      <c r="O638" t="s">
        <v>2746</v>
      </c>
      <c r="P638">
        <v>537.4207842</v>
      </c>
      <c r="Q638">
        <v>692197.97</v>
      </c>
      <c r="R638">
        <v>6.471050983</v>
      </c>
      <c r="S638">
        <v>8334.713666</v>
      </c>
      <c r="T638">
        <v>253621.4</v>
      </c>
    </row>
    <row r="639" spans="1:20">
      <c r="A639" t="s">
        <v>20</v>
      </c>
      <c r="B639" t="s">
        <v>270</v>
      </c>
      <c r="C639">
        <v>301049751</v>
      </c>
      <c r="D639">
        <v>73239990</v>
      </c>
      <c r="E639" t="s">
        <v>1394</v>
      </c>
      <c r="N639">
        <v>5476</v>
      </c>
      <c r="O639" t="s">
        <v>2746</v>
      </c>
      <c r="P639">
        <v>544.7078232</v>
      </c>
      <c r="Q639">
        <v>2982820.04</v>
      </c>
      <c r="R639">
        <v>6.558793778</v>
      </c>
      <c r="S639">
        <v>35915.95473</v>
      </c>
      <c r="T639">
        <v>1092905.3</v>
      </c>
    </row>
    <row r="640" spans="1:20">
      <c r="A640" t="s">
        <v>20</v>
      </c>
      <c r="B640" t="s">
        <v>271</v>
      </c>
      <c r="C640">
        <v>301049751</v>
      </c>
      <c r="D640">
        <v>73239990</v>
      </c>
      <c r="E640" t="s">
        <v>1395</v>
      </c>
      <c r="N640">
        <v>4620</v>
      </c>
      <c r="O640" t="s">
        <v>2746</v>
      </c>
      <c r="P640">
        <v>556.244539</v>
      </c>
      <c r="Q640">
        <v>2569849.77</v>
      </c>
      <c r="R640">
        <v>6.69770667</v>
      </c>
      <c r="S640">
        <v>30943.40482</v>
      </c>
      <c r="T640">
        <v>941593</v>
      </c>
    </row>
    <row r="641" spans="1:20">
      <c r="A641" t="s">
        <v>20</v>
      </c>
      <c r="B641" t="s">
        <v>271</v>
      </c>
      <c r="C641">
        <v>301049751</v>
      </c>
      <c r="D641">
        <v>73239990</v>
      </c>
      <c r="E641" t="s">
        <v>1396</v>
      </c>
      <c r="N641">
        <v>8580</v>
      </c>
      <c r="O641" t="s">
        <v>2746</v>
      </c>
      <c r="P641">
        <v>383.4800361</v>
      </c>
      <c r="Q641">
        <v>3290258.71</v>
      </c>
      <c r="R641">
        <v>4.617459797</v>
      </c>
      <c r="S641">
        <v>39617.80506</v>
      </c>
      <c r="T641">
        <v>1205550.8</v>
      </c>
    </row>
    <row r="642" spans="1:20">
      <c r="A642" t="s">
        <v>20</v>
      </c>
      <c r="B642" t="s">
        <v>272</v>
      </c>
      <c r="C642">
        <v>301049751</v>
      </c>
      <c r="D642">
        <v>73239990</v>
      </c>
      <c r="E642" t="s">
        <v>1397</v>
      </c>
      <c r="N642">
        <v>367</v>
      </c>
      <c r="O642" t="s">
        <v>2746</v>
      </c>
      <c r="P642">
        <v>620.915483</v>
      </c>
      <c r="Q642">
        <v>228186.44</v>
      </c>
      <c r="R642">
        <v>7.476405575</v>
      </c>
      <c r="S642">
        <v>2747.579049</v>
      </c>
      <c r="T642">
        <v>83607.5</v>
      </c>
    </row>
    <row r="643" spans="1:20">
      <c r="A643" t="s">
        <v>20</v>
      </c>
      <c r="B643" t="s">
        <v>272</v>
      </c>
      <c r="C643">
        <v>301049751</v>
      </c>
      <c r="D643">
        <v>73239990</v>
      </c>
      <c r="E643" t="s">
        <v>1398</v>
      </c>
      <c r="N643">
        <v>3912</v>
      </c>
      <c r="O643" t="s">
        <v>2746</v>
      </c>
      <c r="P643">
        <v>510.4575135</v>
      </c>
      <c r="Q643">
        <v>1997062.93</v>
      </c>
      <c r="R643">
        <v>6.146387881</v>
      </c>
      <c r="S643">
        <v>24046.51331</v>
      </c>
      <c r="T643">
        <v>731723.9</v>
      </c>
    </row>
    <row r="644" spans="1:20">
      <c r="A644" t="s">
        <v>20</v>
      </c>
      <c r="B644" t="s">
        <v>272</v>
      </c>
      <c r="C644">
        <v>301049751</v>
      </c>
      <c r="D644">
        <v>73239990</v>
      </c>
      <c r="E644" t="s">
        <v>1399</v>
      </c>
      <c r="N644">
        <v>2562</v>
      </c>
      <c r="O644" t="s">
        <v>2746</v>
      </c>
      <c r="P644">
        <v>540.5501522</v>
      </c>
      <c r="Q644">
        <v>1384997.6</v>
      </c>
      <c r="R644">
        <v>6.508731514</v>
      </c>
      <c r="S644">
        <v>16676.67188</v>
      </c>
      <c r="T644">
        <v>507463.2</v>
      </c>
    </row>
    <row r="645" spans="1:20">
      <c r="A645" t="s">
        <v>20</v>
      </c>
      <c r="B645" t="s">
        <v>272</v>
      </c>
      <c r="C645">
        <v>301049751</v>
      </c>
      <c r="D645">
        <v>73239990</v>
      </c>
      <c r="E645" t="s">
        <v>1400</v>
      </c>
      <c r="N645">
        <v>7648</v>
      </c>
      <c r="O645" t="s">
        <v>2746</v>
      </c>
      <c r="P645">
        <v>543.5626255</v>
      </c>
      <c r="Q645">
        <v>4157166.96</v>
      </c>
      <c r="R645">
        <v>6.545004522</v>
      </c>
      <c r="S645">
        <v>50056.19458</v>
      </c>
      <c r="T645">
        <v>1523185.9</v>
      </c>
    </row>
    <row r="646" spans="1:20">
      <c r="A646" t="s">
        <v>20</v>
      </c>
      <c r="B646" t="s">
        <v>273</v>
      </c>
      <c r="C646">
        <v>301049751</v>
      </c>
      <c r="D646">
        <v>73239990</v>
      </c>
      <c r="E646" t="s">
        <v>1401</v>
      </c>
      <c r="N646">
        <v>9512</v>
      </c>
      <c r="O646" t="s">
        <v>2746</v>
      </c>
      <c r="P646">
        <v>339.4799317</v>
      </c>
      <c r="Q646">
        <v>3229133.11</v>
      </c>
      <c r="R646">
        <v>4.087657215</v>
      </c>
      <c r="S646">
        <v>38881.79542</v>
      </c>
      <c r="T646">
        <v>1183154.4</v>
      </c>
    </row>
    <row r="647" spans="1:20">
      <c r="A647" t="s">
        <v>20</v>
      </c>
      <c r="B647" t="s">
        <v>273</v>
      </c>
      <c r="C647">
        <v>301049751</v>
      </c>
      <c r="D647">
        <v>73239990</v>
      </c>
      <c r="E647" t="s">
        <v>1402</v>
      </c>
      <c r="N647">
        <v>8138</v>
      </c>
      <c r="O647" t="s">
        <v>2746</v>
      </c>
      <c r="P647">
        <v>368.7900111</v>
      </c>
      <c r="Q647">
        <v>3001213.11</v>
      </c>
      <c r="R647">
        <v>4.440578098</v>
      </c>
      <c r="S647">
        <v>36137.42456</v>
      </c>
      <c r="T647">
        <v>1099644.5</v>
      </c>
    </row>
    <row r="648" spans="1:20">
      <c r="A648" t="s">
        <v>20</v>
      </c>
      <c r="B648" t="s">
        <v>274</v>
      </c>
      <c r="C648">
        <v>301049751</v>
      </c>
      <c r="D648">
        <v>73239990</v>
      </c>
      <c r="E648" t="s">
        <v>1403</v>
      </c>
      <c r="N648">
        <v>7315</v>
      </c>
      <c r="O648" t="s">
        <v>2746</v>
      </c>
      <c r="P648">
        <v>462.913609</v>
      </c>
      <c r="Q648">
        <v>3386213.05</v>
      </c>
      <c r="R648">
        <v>5.573914618</v>
      </c>
      <c r="S648">
        <v>40773.18543</v>
      </c>
      <c r="T648">
        <v>1240708.5</v>
      </c>
    </row>
    <row r="649" spans="1:20">
      <c r="A649" t="s">
        <v>20</v>
      </c>
      <c r="B649" t="s">
        <v>275</v>
      </c>
      <c r="C649">
        <v>301049751</v>
      </c>
      <c r="D649">
        <v>73239990</v>
      </c>
      <c r="E649" t="s">
        <v>1404</v>
      </c>
      <c r="N649">
        <v>8008</v>
      </c>
      <c r="O649" t="s">
        <v>2746</v>
      </c>
      <c r="P649">
        <v>379.0137025</v>
      </c>
      <c r="Q649">
        <v>3035141.73</v>
      </c>
      <c r="R649">
        <v>4.563680946</v>
      </c>
      <c r="S649">
        <v>36545.95701</v>
      </c>
      <c r="T649">
        <v>1112075.9</v>
      </c>
    </row>
    <row r="650" spans="1:20">
      <c r="A650" t="s">
        <v>20</v>
      </c>
      <c r="B650" t="s">
        <v>276</v>
      </c>
      <c r="C650">
        <v>301049751</v>
      </c>
      <c r="D650">
        <v>73239990</v>
      </c>
      <c r="E650" t="s">
        <v>1405</v>
      </c>
      <c r="N650">
        <v>125</v>
      </c>
      <c r="O650" t="s">
        <v>2746</v>
      </c>
      <c r="P650">
        <v>488.52392</v>
      </c>
      <c r="Q650">
        <v>61065.49</v>
      </c>
      <c r="R650">
        <v>5.882286815</v>
      </c>
      <c r="S650">
        <v>735.2858519</v>
      </c>
      <c r="T650">
        <v>22374.4</v>
      </c>
    </row>
    <row r="651" spans="1:20">
      <c r="A651" t="s">
        <v>20</v>
      </c>
      <c r="B651" t="s">
        <v>276</v>
      </c>
      <c r="C651">
        <v>301049751</v>
      </c>
      <c r="D651">
        <v>73239990</v>
      </c>
      <c r="E651" t="s">
        <v>1406</v>
      </c>
      <c r="N651">
        <v>359</v>
      </c>
      <c r="O651" t="s">
        <v>2746</v>
      </c>
      <c r="P651">
        <v>549.0277731</v>
      </c>
      <c r="Q651">
        <v>197485.29</v>
      </c>
      <c r="R651">
        <v>6.610810032</v>
      </c>
      <c r="S651">
        <v>2377.908368</v>
      </c>
      <c r="T651">
        <v>72358.7</v>
      </c>
    </row>
    <row r="652" spans="1:20">
      <c r="A652" t="s">
        <v>20</v>
      </c>
      <c r="B652" t="s">
        <v>276</v>
      </c>
      <c r="C652">
        <v>301049751</v>
      </c>
      <c r="D652">
        <v>73239990</v>
      </c>
      <c r="E652" t="s">
        <v>1407</v>
      </c>
      <c r="N652">
        <v>132</v>
      </c>
      <c r="O652" t="s">
        <v>2746</v>
      </c>
      <c r="P652">
        <v>426.1886364</v>
      </c>
      <c r="Q652">
        <v>56256.9</v>
      </c>
      <c r="R652">
        <v>5.131711455</v>
      </c>
      <c r="S652">
        <v>677.3859121</v>
      </c>
      <c r="T652">
        <v>20612.5</v>
      </c>
    </row>
    <row r="653" spans="1:20">
      <c r="A653" t="s">
        <v>20</v>
      </c>
      <c r="B653" t="s">
        <v>277</v>
      </c>
      <c r="C653">
        <v>301049751</v>
      </c>
      <c r="D653">
        <v>73239990</v>
      </c>
      <c r="E653" t="s">
        <v>1408</v>
      </c>
      <c r="N653">
        <v>7800</v>
      </c>
      <c r="O653" t="s">
        <v>2746</v>
      </c>
      <c r="P653">
        <v>515.9830064</v>
      </c>
      <c r="Q653">
        <v>4024667.45</v>
      </c>
      <c r="R653">
        <v>6.212920005</v>
      </c>
      <c r="S653">
        <v>48460.77604</v>
      </c>
      <c r="T653">
        <v>1474638.1</v>
      </c>
    </row>
    <row r="654" spans="1:20">
      <c r="A654" t="s">
        <v>20</v>
      </c>
      <c r="B654" t="s">
        <v>277</v>
      </c>
      <c r="C654">
        <v>301049751</v>
      </c>
      <c r="D654">
        <v>73239990</v>
      </c>
      <c r="E654" t="s">
        <v>1409</v>
      </c>
      <c r="N654">
        <v>5004</v>
      </c>
      <c r="O654" t="s">
        <v>2746</v>
      </c>
      <c r="P654">
        <v>565.9790568</v>
      </c>
      <c r="Q654">
        <v>2832159.2</v>
      </c>
      <c r="R654">
        <v>6.814919407</v>
      </c>
      <c r="S654">
        <v>34101.85671</v>
      </c>
      <c r="T654">
        <v>1037703.1</v>
      </c>
    </row>
    <row r="655" spans="1:20">
      <c r="A655" t="s">
        <v>20</v>
      </c>
      <c r="B655" t="s">
        <v>277</v>
      </c>
      <c r="C655">
        <v>301049751</v>
      </c>
      <c r="D655">
        <v>73239990</v>
      </c>
      <c r="E655" t="s">
        <v>1410</v>
      </c>
      <c r="N655">
        <v>1984</v>
      </c>
      <c r="O655" t="s">
        <v>2746</v>
      </c>
      <c r="P655">
        <v>514.3016226</v>
      </c>
      <c r="Q655">
        <v>1020631.57</v>
      </c>
      <c r="R655">
        <v>6.192674564</v>
      </c>
      <c r="S655">
        <v>12289.36267</v>
      </c>
      <c r="T655">
        <v>373959.4</v>
      </c>
    </row>
    <row r="656" spans="1:20">
      <c r="A656" t="s">
        <v>20</v>
      </c>
      <c r="B656" t="s">
        <v>277</v>
      </c>
      <c r="C656">
        <v>301049751</v>
      </c>
      <c r="D656">
        <v>73239990</v>
      </c>
      <c r="E656" t="s">
        <v>1411</v>
      </c>
      <c r="N656">
        <v>759</v>
      </c>
      <c r="O656" t="s">
        <v>2746</v>
      </c>
      <c r="P656">
        <v>539.5652305999999</v>
      </c>
      <c r="Q656">
        <v>409530.01</v>
      </c>
      <c r="R656">
        <v>6.496872132</v>
      </c>
      <c r="S656">
        <v>4931.125948</v>
      </c>
      <c r="T656">
        <v>150051.8</v>
      </c>
    </row>
    <row r="657" spans="1:20">
      <c r="A657" t="s">
        <v>20</v>
      </c>
      <c r="B657" t="s">
        <v>278</v>
      </c>
      <c r="C657">
        <v>301049751</v>
      </c>
      <c r="D657">
        <v>73239990</v>
      </c>
      <c r="E657" t="s">
        <v>1412</v>
      </c>
      <c r="N657">
        <v>3616</v>
      </c>
      <c r="O657" t="s">
        <v>2746</v>
      </c>
      <c r="P657">
        <v>509.0275664</v>
      </c>
      <c r="Q657">
        <v>1840643.68</v>
      </c>
      <c r="R657">
        <v>6.103448038</v>
      </c>
      <c r="S657">
        <v>22070.06811</v>
      </c>
      <c r="T657">
        <v>674411.8</v>
      </c>
    </row>
    <row r="658" spans="1:20">
      <c r="A658" t="s">
        <v>20</v>
      </c>
      <c r="B658" t="s">
        <v>278</v>
      </c>
      <c r="C658">
        <v>301049751</v>
      </c>
      <c r="D658">
        <v>73239990</v>
      </c>
      <c r="E658" t="s">
        <v>1413</v>
      </c>
      <c r="N658">
        <v>4066</v>
      </c>
      <c r="O658" t="s">
        <v>2746</v>
      </c>
      <c r="P658">
        <v>542.5087890999999</v>
      </c>
      <c r="Q658">
        <v>2206057.74</v>
      </c>
      <c r="R658">
        <v>6.504901548</v>
      </c>
      <c r="S658">
        <v>26451.53165</v>
      </c>
      <c r="T658">
        <v>808299.6</v>
      </c>
    </row>
    <row r="659" spans="1:20">
      <c r="A659" t="s">
        <v>20</v>
      </c>
      <c r="B659" t="s">
        <v>279</v>
      </c>
      <c r="C659">
        <v>301049751</v>
      </c>
      <c r="D659">
        <v>73231000</v>
      </c>
      <c r="E659" t="s">
        <v>1414</v>
      </c>
      <c r="N659">
        <v>4903</v>
      </c>
      <c r="O659" t="s">
        <v>2746</v>
      </c>
      <c r="P659">
        <v>466.9197226</v>
      </c>
      <c r="Q659">
        <v>2289307.4</v>
      </c>
      <c r="R659">
        <v>5.598557825</v>
      </c>
      <c r="S659">
        <v>27449.72902</v>
      </c>
      <c r="T659">
        <v>1006379.5</v>
      </c>
    </row>
    <row r="660" spans="1:20">
      <c r="A660" t="s">
        <v>20</v>
      </c>
      <c r="B660" t="s">
        <v>280</v>
      </c>
      <c r="C660">
        <v>301049751</v>
      </c>
      <c r="D660">
        <v>73239990</v>
      </c>
      <c r="E660" t="s">
        <v>1415</v>
      </c>
      <c r="N660">
        <v>3221</v>
      </c>
      <c r="O660" t="s">
        <v>2746</v>
      </c>
      <c r="P660">
        <v>541.0456106</v>
      </c>
      <c r="Q660">
        <v>1742924.33</v>
      </c>
      <c r="R660">
        <v>6.487357441</v>
      </c>
      <c r="S660">
        <v>20898.37326</v>
      </c>
      <c r="T660">
        <v>638607.5</v>
      </c>
    </row>
    <row r="661" spans="1:20">
      <c r="A661" t="s">
        <v>20</v>
      </c>
      <c r="B661" t="s">
        <v>280</v>
      </c>
      <c r="C661">
        <v>301049751</v>
      </c>
      <c r="D661">
        <v>73239990</v>
      </c>
      <c r="E661" t="s">
        <v>1416</v>
      </c>
      <c r="N661">
        <v>1030</v>
      </c>
      <c r="O661" t="s">
        <v>2746</v>
      </c>
      <c r="P661">
        <v>539.3626747</v>
      </c>
      <c r="Q661">
        <v>555759.3</v>
      </c>
      <c r="R661">
        <v>6.467178354</v>
      </c>
      <c r="S661">
        <v>6663.780576</v>
      </c>
      <c r="T661">
        <v>203630.3</v>
      </c>
    </row>
    <row r="662" spans="1:20">
      <c r="A662" t="s">
        <v>20</v>
      </c>
      <c r="B662" t="s">
        <v>280</v>
      </c>
      <c r="C662">
        <v>301049751</v>
      </c>
      <c r="D662">
        <v>73239990</v>
      </c>
      <c r="E662" t="s">
        <v>1417</v>
      </c>
      <c r="N662">
        <v>2973</v>
      </c>
      <c r="O662" t="s">
        <v>2746</v>
      </c>
      <c r="P662">
        <v>514.1085452</v>
      </c>
      <c r="Q662">
        <v>1528753.17</v>
      </c>
      <c r="R662">
        <v>6.164371046</v>
      </c>
      <c r="S662">
        <v>18330.37374</v>
      </c>
      <c r="T662">
        <v>560135.2</v>
      </c>
    </row>
    <row r="663" spans="1:20">
      <c r="A663" t="s">
        <v>20</v>
      </c>
      <c r="B663" t="s">
        <v>281</v>
      </c>
      <c r="C663">
        <v>301049751</v>
      </c>
      <c r="D663">
        <v>73239990</v>
      </c>
      <c r="E663" t="s">
        <v>1418</v>
      </c>
      <c r="N663">
        <v>2816</v>
      </c>
      <c r="O663" t="s">
        <v>2746</v>
      </c>
      <c r="P663">
        <v>498.4211328</v>
      </c>
      <c r="Q663">
        <v>1403553.91</v>
      </c>
      <c r="R663">
        <v>5.976272576</v>
      </c>
      <c r="S663">
        <v>16829.18357</v>
      </c>
      <c r="T663">
        <v>514262.2</v>
      </c>
    </row>
    <row r="664" spans="1:20">
      <c r="A664" t="s">
        <v>20</v>
      </c>
      <c r="B664" t="s">
        <v>281</v>
      </c>
      <c r="C664">
        <v>301049751</v>
      </c>
      <c r="D664">
        <v>73239990</v>
      </c>
      <c r="E664" t="s">
        <v>1419</v>
      </c>
      <c r="N664">
        <v>491</v>
      </c>
      <c r="O664" t="s">
        <v>2746</v>
      </c>
      <c r="P664">
        <v>599.0813594</v>
      </c>
      <c r="Q664">
        <v>294388.58</v>
      </c>
      <c r="R664">
        <v>7.183229729</v>
      </c>
      <c r="S664">
        <v>3529.839089</v>
      </c>
      <c r="T664">
        <v>107864</v>
      </c>
    </row>
    <row r="665" spans="1:20">
      <c r="A665" t="s">
        <v>20</v>
      </c>
      <c r="B665" t="s">
        <v>281</v>
      </c>
      <c r="C665">
        <v>301049751</v>
      </c>
      <c r="D665">
        <v>73239990</v>
      </c>
      <c r="E665" t="s">
        <v>1420</v>
      </c>
      <c r="N665">
        <v>1960</v>
      </c>
      <c r="O665" t="s">
        <v>2746</v>
      </c>
      <c r="P665">
        <v>474.5611224</v>
      </c>
      <c r="Q665">
        <v>930139.8</v>
      </c>
      <c r="R665">
        <v>5.690181324</v>
      </c>
      <c r="S665">
        <v>11152.7554</v>
      </c>
      <c r="T665">
        <v>340803.3</v>
      </c>
    </row>
    <row r="666" spans="1:20">
      <c r="A666" t="s">
        <v>20</v>
      </c>
      <c r="B666" t="s">
        <v>281</v>
      </c>
      <c r="C666">
        <v>301049751</v>
      </c>
      <c r="D666">
        <v>73239990</v>
      </c>
      <c r="E666" t="s">
        <v>1421</v>
      </c>
      <c r="N666">
        <v>490</v>
      </c>
      <c r="O666" t="s">
        <v>2746</v>
      </c>
      <c r="P666">
        <v>606.3349449</v>
      </c>
      <c r="Q666">
        <v>297225.39</v>
      </c>
      <c r="R666">
        <v>7.270203177</v>
      </c>
      <c r="S666">
        <v>3563.853597</v>
      </c>
      <c r="T666">
        <v>108903.4</v>
      </c>
    </row>
    <row r="667" spans="1:20">
      <c r="A667" t="s">
        <v>20</v>
      </c>
      <c r="B667" t="s">
        <v>281</v>
      </c>
      <c r="C667">
        <v>301049751</v>
      </c>
      <c r="D667">
        <v>73239990</v>
      </c>
      <c r="E667" t="s">
        <v>1422</v>
      </c>
      <c r="N667">
        <v>3673</v>
      </c>
      <c r="O667" t="s">
        <v>2746</v>
      </c>
      <c r="P667">
        <v>505.9619556</v>
      </c>
      <c r="Q667">
        <v>1858701.84</v>
      </c>
      <c r="R667">
        <v>6.066690115</v>
      </c>
      <c r="S667">
        <v>22286.59281</v>
      </c>
      <c r="T667">
        <v>681028.4</v>
      </c>
    </row>
    <row r="668" spans="1:20">
      <c r="A668" t="s">
        <v>20</v>
      </c>
      <c r="B668" t="s">
        <v>282</v>
      </c>
      <c r="C668">
        <v>301049751</v>
      </c>
      <c r="D668">
        <v>73239990</v>
      </c>
      <c r="E668" t="s">
        <v>1423</v>
      </c>
      <c r="N668">
        <v>9480</v>
      </c>
      <c r="O668" t="s">
        <v>2746</v>
      </c>
      <c r="P668">
        <v>257.4740612</v>
      </c>
      <c r="Q668">
        <v>2440854.1</v>
      </c>
      <c r="R668">
        <v>3.087218959</v>
      </c>
      <c r="S668">
        <v>29266.83573</v>
      </c>
      <c r="T668">
        <v>894328.9</v>
      </c>
    </row>
    <row r="669" spans="1:20">
      <c r="A669" t="s">
        <v>20</v>
      </c>
      <c r="B669" t="s">
        <v>282</v>
      </c>
      <c r="C669">
        <v>301049751</v>
      </c>
      <c r="D669">
        <v>73239990</v>
      </c>
      <c r="E669" t="s">
        <v>1424</v>
      </c>
      <c r="N669">
        <v>2500</v>
      </c>
      <c r="O669" t="s">
        <v>2746</v>
      </c>
      <c r="P669">
        <v>558.16958</v>
      </c>
      <c r="Q669">
        <v>1395423.95</v>
      </c>
      <c r="R669">
        <v>6.692680815</v>
      </c>
      <c r="S669">
        <v>16731.70204</v>
      </c>
      <c r="T669">
        <v>511283.4</v>
      </c>
    </row>
    <row r="670" spans="1:20">
      <c r="A670" t="s">
        <v>20</v>
      </c>
      <c r="B670" t="s">
        <v>282</v>
      </c>
      <c r="C670">
        <v>301049751</v>
      </c>
      <c r="D670">
        <v>73239990</v>
      </c>
      <c r="E670" t="s">
        <v>1425</v>
      </c>
      <c r="N670">
        <v>180</v>
      </c>
      <c r="O670" t="s">
        <v>2746</v>
      </c>
      <c r="P670">
        <v>288.3290556</v>
      </c>
      <c r="Q670">
        <v>51899.23</v>
      </c>
      <c r="R670">
        <v>3.45718292</v>
      </c>
      <c r="S670">
        <v>622.2929257</v>
      </c>
      <c r="T670">
        <v>19015.9</v>
      </c>
    </row>
    <row r="671" spans="1:20">
      <c r="A671" t="s">
        <v>20</v>
      </c>
      <c r="B671" t="s">
        <v>283</v>
      </c>
      <c r="C671">
        <v>301049751</v>
      </c>
      <c r="D671">
        <v>73231000</v>
      </c>
      <c r="E671" t="s">
        <v>1426</v>
      </c>
      <c r="N671">
        <v>8624</v>
      </c>
      <c r="O671" t="s">
        <v>2746</v>
      </c>
      <c r="P671">
        <v>249.2383453</v>
      </c>
      <c r="Q671">
        <v>2149650.82</v>
      </c>
      <c r="R671">
        <v>2.988469369</v>
      </c>
      <c r="S671">
        <v>25775.18969</v>
      </c>
      <c r="T671">
        <v>944986.5</v>
      </c>
    </row>
    <row r="672" spans="1:20">
      <c r="A672" t="s">
        <v>20</v>
      </c>
      <c r="B672" t="s">
        <v>284</v>
      </c>
      <c r="C672">
        <v>301049751</v>
      </c>
      <c r="D672">
        <v>73239990</v>
      </c>
      <c r="E672" t="s">
        <v>1427</v>
      </c>
      <c r="N672">
        <v>20697</v>
      </c>
      <c r="O672" t="s">
        <v>2746</v>
      </c>
      <c r="P672">
        <v>642.2112405</v>
      </c>
      <c r="Q672">
        <v>13292167.15</v>
      </c>
      <c r="R672">
        <v>7.709618733</v>
      </c>
      <c r="S672">
        <v>159569.8337</v>
      </c>
      <c r="T672">
        <v>4870250</v>
      </c>
    </row>
    <row r="673" spans="1:20">
      <c r="A673" t="s">
        <v>20</v>
      </c>
      <c r="B673" t="s">
        <v>284</v>
      </c>
      <c r="C673">
        <v>301049751</v>
      </c>
      <c r="D673">
        <v>73239990</v>
      </c>
      <c r="E673" t="s">
        <v>1428</v>
      </c>
      <c r="N673">
        <v>8970</v>
      </c>
      <c r="O673" t="s">
        <v>2746</v>
      </c>
      <c r="P673">
        <v>486.3382441</v>
      </c>
      <c r="Q673">
        <v>4362454.05</v>
      </c>
      <c r="R673">
        <v>5.838394287</v>
      </c>
      <c r="S673">
        <v>52370.39676</v>
      </c>
      <c r="T673">
        <v>1598403.2</v>
      </c>
    </row>
    <row r="674" spans="1:20">
      <c r="A674" t="s">
        <v>20</v>
      </c>
      <c r="B674" t="s">
        <v>284</v>
      </c>
      <c r="C674">
        <v>301049751</v>
      </c>
      <c r="D674">
        <v>73239990</v>
      </c>
      <c r="E674" t="s">
        <v>1429</v>
      </c>
      <c r="N674">
        <v>8341</v>
      </c>
      <c r="O674" t="s">
        <v>2746</v>
      </c>
      <c r="P674">
        <v>551.5086277</v>
      </c>
      <c r="Q674">
        <v>4600552.61</v>
      </c>
      <c r="R674">
        <v>6.620751833</v>
      </c>
      <c r="S674">
        <v>55228.72281</v>
      </c>
      <c r="T674">
        <v>1685642.5</v>
      </c>
    </row>
    <row r="675" spans="1:20">
      <c r="A675" t="s">
        <v>20</v>
      </c>
      <c r="B675" t="s">
        <v>284</v>
      </c>
      <c r="C675">
        <v>301049751</v>
      </c>
      <c r="D675">
        <v>73239990</v>
      </c>
      <c r="E675" t="s">
        <v>1430</v>
      </c>
      <c r="N675">
        <v>9690</v>
      </c>
      <c r="O675" t="s">
        <v>2746</v>
      </c>
      <c r="P675">
        <v>404.3782208</v>
      </c>
      <c r="Q675">
        <v>3918424.96</v>
      </c>
      <c r="R675">
        <v>4.854480442</v>
      </c>
      <c r="S675">
        <v>47039.91549</v>
      </c>
      <c r="T675">
        <v>1435710.9</v>
      </c>
    </row>
    <row r="676" spans="1:20">
      <c r="A676" t="s">
        <v>20</v>
      </c>
      <c r="B676" t="s">
        <v>284</v>
      </c>
      <c r="C676">
        <v>301049751</v>
      </c>
      <c r="D676">
        <v>73239990</v>
      </c>
      <c r="E676" t="s">
        <v>1431</v>
      </c>
      <c r="N676">
        <v>4260</v>
      </c>
      <c r="O676" t="s">
        <v>2746</v>
      </c>
      <c r="P676">
        <v>569.7717039</v>
      </c>
      <c r="Q676">
        <v>2427398.39</v>
      </c>
      <c r="R676">
        <v>6.839996445</v>
      </c>
      <c r="S676">
        <v>29140.43685</v>
      </c>
      <c r="T676">
        <v>889398.8</v>
      </c>
    </row>
    <row r="677" spans="1:20">
      <c r="A677" t="s">
        <v>20</v>
      </c>
      <c r="B677" t="s">
        <v>284</v>
      </c>
      <c r="C677">
        <v>301049751</v>
      </c>
      <c r="D677">
        <v>73239990</v>
      </c>
      <c r="E677" t="s">
        <v>1432</v>
      </c>
      <c r="N677">
        <v>258</v>
      </c>
      <c r="O677" t="s">
        <v>2746</v>
      </c>
      <c r="P677">
        <v>504.4466279</v>
      </c>
      <c r="Q677">
        <v>130147.23</v>
      </c>
      <c r="R677">
        <v>6.055781848</v>
      </c>
      <c r="S677">
        <v>1562.391717</v>
      </c>
      <c r="T677">
        <v>47685.9</v>
      </c>
    </row>
    <row r="678" spans="1:20">
      <c r="A678" t="s">
        <v>20</v>
      </c>
      <c r="B678" t="s">
        <v>284</v>
      </c>
      <c r="C678">
        <v>301049751</v>
      </c>
      <c r="D678">
        <v>73239990</v>
      </c>
      <c r="E678" t="s">
        <v>1433</v>
      </c>
      <c r="N678">
        <v>4320</v>
      </c>
      <c r="O678" t="s">
        <v>2746</v>
      </c>
      <c r="P678">
        <v>605.3359398</v>
      </c>
      <c r="Q678">
        <v>2615051.26</v>
      </c>
      <c r="R678">
        <v>7.266938053</v>
      </c>
      <c r="S678">
        <v>31393.17239</v>
      </c>
      <c r="T678">
        <v>958154.8</v>
      </c>
    </row>
    <row r="679" spans="1:20">
      <c r="A679" t="s">
        <v>20</v>
      </c>
      <c r="B679" t="s">
        <v>284</v>
      </c>
      <c r="C679">
        <v>301049751</v>
      </c>
      <c r="D679">
        <v>73239990</v>
      </c>
      <c r="E679" t="s">
        <v>1434</v>
      </c>
      <c r="N679">
        <v>17890</v>
      </c>
      <c r="O679" t="s">
        <v>2746</v>
      </c>
      <c r="P679">
        <v>458.5877957</v>
      </c>
      <c r="Q679">
        <v>8204319.1</v>
      </c>
      <c r="R679">
        <v>5.505255651</v>
      </c>
      <c r="S679">
        <v>98491.22569000001</v>
      </c>
      <c r="T679">
        <v>3006062.5</v>
      </c>
    </row>
    <row r="680" spans="1:20">
      <c r="A680" t="s">
        <v>20</v>
      </c>
      <c r="B680" t="s">
        <v>284</v>
      </c>
      <c r="C680">
        <v>301049751</v>
      </c>
      <c r="D680">
        <v>73239990</v>
      </c>
      <c r="E680" t="s">
        <v>1435</v>
      </c>
      <c r="N680">
        <v>3694</v>
      </c>
      <c r="O680" t="s">
        <v>2746</v>
      </c>
      <c r="P680">
        <v>501.1495528</v>
      </c>
      <c r="Q680">
        <v>1851722.54</v>
      </c>
      <c r="R680">
        <v>6.016201114</v>
      </c>
      <c r="S680">
        <v>22229.5623</v>
      </c>
      <c r="T680">
        <v>678471.2</v>
      </c>
    </row>
    <row r="681" spans="1:20">
      <c r="A681" t="s">
        <v>20</v>
      </c>
      <c r="B681" t="s">
        <v>284</v>
      </c>
      <c r="C681">
        <v>301049751</v>
      </c>
      <c r="D681">
        <v>73239990</v>
      </c>
      <c r="E681" t="s">
        <v>1436</v>
      </c>
      <c r="N681">
        <v>22688</v>
      </c>
      <c r="O681" t="s">
        <v>2746</v>
      </c>
      <c r="P681">
        <v>472.4294742</v>
      </c>
      <c r="Q681">
        <v>10718479.91</v>
      </c>
      <c r="R681">
        <v>5.671422259</v>
      </c>
      <c r="S681">
        <v>128673.2282</v>
      </c>
      <c r="T681">
        <v>3927251.1</v>
      </c>
    </row>
    <row r="682" spans="1:20">
      <c r="A682" t="s">
        <v>20</v>
      </c>
      <c r="B682" t="s">
        <v>285</v>
      </c>
      <c r="C682">
        <v>301049751</v>
      </c>
      <c r="D682">
        <v>73239990</v>
      </c>
      <c r="E682" t="s">
        <v>1437</v>
      </c>
      <c r="N682">
        <v>3596.4</v>
      </c>
      <c r="O682" t="s">
        <v>2746</v>
      </c>
      <c r="P682">
        <v>639.2194083000001</v>
      </c>
      <c r="Q682">
        <v>2298888.68</v>
      </c>
      <c r="R682">
        <v>7.673702381</v>
      </c>
      <c r="S682">
        <v>27597.70324</v>
      </c>
      <c r="T682">
        <v>842312.8</v>
      </c>
    </row>
    <row r="683" spans="1:20">
      <c r="A683" t="s">
        <v>20</v>
      </c>
      <c r="B683" t="s">
        <v>285</v>
      </c>
      <c r="C683">
        <v>301049751</v>
      </c>
      <c r="D683">
        <v>73239990</v>
      </c>
      <c r="E683" t="s">
        <v>1438</v>
      </c>
      <c r="N683">
        <v>8008</v>
      </c>
      <c r="O683" t="s">
        <v>2746</v>
      </c>
      <c r="P683">
        <v>390.1400387</v>
      </c>
      <c r="Q683">
        <v>3124241.43</v>
      </c>
      <c r="R683">
        <v>4.683553886</v>
      </c>
      <c r="S683">
        <v>37505.89952</v>
      </c>
      <c r="T683">
        <v>1144722</v>
      </c>
    </row>
    <row r="684" spans="1:20">
      <c r="A684" t="s">
        <v>20</v>
      </c>
      <c r="B684" t="s">
        <v>285</v>
      </c>
      <c r="C684">
        <v>301049751</v>
      </c>
      <c r="D684">
        <v>73239990</v>
      </c>
      <c r="E684" t="s">
        <v>1439</v>
      </c>
      <c r="N684">
        <v>3465.6</v>
      </c>
      <c r="O684" t="s">
        <v>2746</v>
      </c>
      <c r="P684">
        <v>601.7812904</v>
      </c>
      <c r="Q684">
        <v>2085533.24</v>
      </c>
      <c r="R684">
        <v>7.224265191</v>
      </c>
      <c r="S684">
        <v>25036.41345</v>
      </c>
      <c r="T684">
        <v>764139.4</v>
      </c>
    </row>
    <row r="685" spans="1:20">
      <c r="A685" t="s">
        <v>20</v>
      </c>
      <c r="B685" t="s">
        <v>286</v>
      </c>
      <c r="C685">
        <v>301049751</v>
      </c>
      <c r="D685">
        <v>73239990</v>
      </c>
      <c r="E685" t="s">
        <v>1440</v>
      </c>
      <c r="N685">
        <v>8945.200000000001</v>
      </c>
      <c r="O685" t="s">
        <v>2746</v>
      </c>
      <c r="P685">
        <v>458.0033683</v>
      </c>
      <c r="Q685">
        <v>4096931.73</v>
      </c>
      <c r="R685">
        <v>5.498239715</v>
      </c>
      <c r="S685">
        <v>49182.8539</v>
      </c>
      <c r="T685">
        <v>1501115.7</v>
      </c>
    </row>
    <row r="686" spans="1:20">
      <c r="A686" t="s">
        <v>20</v>
      </c>
      <c r="B686" t="s">
        <v>286</v>
      </c>
      <c r="C686">
        <v>301049751</v>
      </c>
      <c r="D686">
        <v>73239990</v>
      </c>
      <c r="E686" t="s">
        <v>1441</v>
      </c>
      <c r="N686">
        <v>11344</v>
      </c>
      <c r="O686" t="s">
        <v>2746</v>
      </c>
      <c r="P686">
        <v>471.8274066</v>
      </c>
      <c r="Q686">
        <v>5352410.1</v>
      </c>
      <c r="R686">
        <v>5.664194557</v>
      </c>
      <c r="S686">
        <v>64254.62305</v>
      </c>
      <c r="T686">
        <v>1961123</v>
      </c>
    </row>
    <row r="687" spans="1:20">
      <c r="A687" t="s">
        <v>20</v>
      </c>
      <c r="B687" t="s">
        <v>286</v>
      </c>
      <c r="C687">
        <v>301049751</v>
      </c>
      <c r="D687">
        <v>73239990</v>
      </c>
      <c r="E687" t="s">
        <v>1442</v>
      </c>
      <c r="N687">
        <v>8122.24</v>
      </c>
      <c r="O687" t="s">
        <v>2746</v>
      </c>
      <c r="P687">
        <v>550.8057814</v>
      </c>
      <c r="Q687">
        <v>4473776.75</v>
      </c>
      <c r="R687">
        <v>6.612314303</v>
      </c>
      <c r="S687">
        <v>53706.80372</v>
      </c>
      <c r="T687">
        <v>1639191.8</v>
      </c>
    </row>
    <row r="688" spans="1:20">
      <c r="A688" t="s">
        <v>20</v>
      </c>
      <c r="B688" t="s">
        <v>286</v>
      </c>
      <c r="C688">
        <v>301049751</v>
      </c>
      <c r="D688">
        <v>73239990</v>
      </c>
      <c r="E688" t="s">
        <v>1443</v>
      </c>
      <c r="N688">
        <v>8970</v>
      </c>
      <c r="O688" t="s">
        <v>2746</v>
      </c>
      <c r="P688">
        <v>485.7184515</v>
      </c>
      <c r="Q688">
        <v>4356894.51</v>
      </c>
      <c r="R688">
        <v>5.8309538</v>
      </c>
      <c r="S688">
        <v>52303.65558</v>
      </c>
      <c r="T688">
        <v>1596366.2</v>
      </c>
    </row>
    <row r="689" spans="1:20">
      <c r="A689" t="s">
        <v>20</v>
      </c>
      <c r="B689" t="s">
        <v>286</v>
      </c>
      <c r="C689">
        <v>301049751</v>
      </c>
      <c r="D689">
        <v>73239990</v>
      </c>
      <c r="E689" t="s">
        <v>1444</v>
      </c>
      <c r="N689">
        <v>11760</v>
      </c>
      <c r="O689" t="s">
        <v>2746</v>
      </c>
      <c r="P689">
        <v>503.8037466</v>
      </c>
      <c r="Q689">
        <v>5924732.06</v>
      </c>
      <c r="R689">
        <v>6.048064185</v>
      </c>
      <c r="S689">
        <v>71125.23480999999</v>
      </c>
      <c r="T689">
        <v>2170821.8</v>
      </c>
    </row>
    <row r="690" spans="1:20">
      <c r="A690" t="s">
        <v>20</v>
      </c>
      <c r="B690" t="s">
        <v>287</v>
      </c>
      <c r="C690">
        <v>301049751</v>
      </c>
      <c r="D690">
        <v>73239990</v>
      </c>
      <c r="E690" t="s">
        <v>1445</v>
      </c>
      <c r="N690">
        <v>86</v>
      </c>
      <c r="O690" t="s">
        <v>2746</v>
      </c>
      <c r="P690">
        <v>708.3077907000001</v>
      </c>
      <c r="Q690">
        <v>60914.47</v>
      </c>
      <c r="R690">
        <v>8.503094726</v>
      </c>
      <c r="S690">
        <v>731.2661465</v>
      </c>
      <c r="T690">
        <v>22319.1</v>
      </c>
    </row>
    <row r="691" spans="1:20">
      <c r="A691" t="s">
        <v>20</v>
      </c>
      <c r="B691" t="s">
        <v>287</v>
      </c>
      <c r="C691">
        <v>301049751</v>
      </c>
      <c r="D691">
        <v>73239990</v>
      </c>
      <c r="E691" t="s">
        <v>1446</v>
      </c>
      <c r="N691">
        <v>126</v>
      </c>
      <c r="O691" t="s">
        <v>2746</v>
      </c>
      <c r="P691">
        <v>525.5760317</v>
      </c>
      <c r="Q691">
        <v>66222.58</v>
      </c>
      <c r="R691">
        <v>6.309436155</v>
      </c>
      <c r="S691">
        <v>794.9889556000001</v>
      </c>
      <c r="T691">
        <v>24264</v>
      </c>
    </row>
    <row r="692" spans="1:20">
      <c r="A692" t="s">
        <v>20</v>
      </c>
      <c r="B692" t="s">
        <v>287</v>
      </c>
      <c r="C692">
        <v>301049751</v>
      </c>
      <c r="D692">
        <v>73239990</v>
      </c>
      <c r="E692" t="s">
        <v>1447</v>
      </c>
      <c r="N692">
        <v>1392.3</v>
      </c>
      <c r="O692" t="s">
        <v>2746</v>
      </c>
      <c r="P692">
        <v>510.4427566</v>
      </c>
      <c r="Q692">
        <v>710689.45</v>
      </c>
      <c r="R692">
        <v>6.127764185</v>
      </c>
      <c r="S692">
        <v>8531.686073999999</v>
      </c>
      <c r="T692">
        <v>260396.6</v>
      </c>
    </row>
    <row r="693" spans="1:20">
      <c r="A693" t="s">
        <v>20</v>
      </c>
      <c r="B693" t="s">
        <v>287</v>
      </c>
      <c r="C693">
        <v>301049751</v>
      </c>
      <c r="D693">
        <v>73239990</v>
      </c>
      <c r="E693" t="s">
        <v>1448</v>
      </c>
      <c r="N693">
        <v>98</v>
      </c>
      <c r="O693" t="s">
        <v>2746</v>
      </c>
      <c r="P693">
        <v>555.3168367</v>
      </c>
      <c r="Q693">
        <v>54421.05</v>
      </c>
      <c r="R693">
        <v>6.666468628</v>
      </c>
      <c r="S693">
        <v>653.3139255999999</v>
      </c>
      <c r="T693">
        <v>19939.8</v>
      </c>
    </row>
    <row r="694" spans="1:20">
      <c r="A694" t="s">
        <v>20</v>
      </c>
      <c r="B694" t="s">
        <v>287</v>
      </c>
      <c r="C694">
        <v>301049751</v>
      </c>
      <c r="D694">
        <v>73239990</v>
      </c>
      <c r="E694" t="s">
        <v>1449</v>
      </c>
      <c r="N694">
        <v>126</v>
      </c>
      <c r="O694" t="s">
        <v>2746</v>
      </c>
      <c r="P694">
        <v>515.350873</v>
      </c>
      <c r="Q694">
        <v>64934.21</v>
      </c>
      <c r="R694">
        <v>6.18668515</v>
      </c>
      <c r="S694">
        <v>779.5223289</v>
      </c>
      <c r="T694">
        <v>23791.9</v>
      </c>
    </row>
    <row r="695" spans="1:20">
      <c r="A695" t="s">
        <v>20</v>
      </c>
      <c r="B695" t="s">
        <v>287</v>
      </c>
      <c r="C695">
        <v>301049751</v>
      </c>
      <c r="D695">
        <v>73239990</v>
      </c>
      <c r="E695" t="s">
        <v>1450</v>
      </c>
      <c r="N695">
        <v>130</v>
      </c>
      <c r="O695" t="s">
        <v>2746</v>
      </c>
      <c r="P695">
        <v>606.5283077</v>
      </c>
      <c r="Q695">
        <v>78848.67999999999</v>
      </c>
      <c r="R695">
        <v>7.281252193</v>
      </c>
      <c r="S695">
        <v>946.5627851</v>
      </c>
      <c r="T695">
        <v>28890.2</v>
      </c>
    </row>
    <row r="696" spans="1:20">
      <c r="A696" t="s">
        <v>20</v>
      </c>
      <c r="B696" t="s">
        <v>287</v>
      </c>
      <c r="C696">
        <v>301049751</v>
      </c>
      <c r="D696">
        <v>73239990</v>
      </c>
      <c r="E696" t="s">
        <v>1451</v>
      </c>
      <c r="N696">
        <v>120</v>
      </c>
      <c r="O696" t="s">
        <v>2746</v>
      </c>
      <c r="P696">
        <v>556.1495</v>
      </c>
      <c r="Q696">
        <v>66737.94</v>
      </c>
      <c r="R696">
        <v>6.676464586</v>
      </c>
      <c r="S696">
        <v>801.1757503</v>
      </c>
      <c r="T696">
        <v>24452.8</v>
      </c>
    </row>
    <row r="697" spans="1:20">
      <c r="A697" t="s">
        <v>20</v>
      </c>
      <c r="B697" t="s">
        <v>287</v>
      </c>
      <c r="C697">
        <v>301049751</v>
      </c>
      <c r="D697">
        <v>73239990</v>
      </c>
      <c r="E697" t="s">
        <v>1452</v>
      </c>
      <c r="N697">
        <v>2727</v>
      </c>
      <c r="O697" t="s">
        <v>2746</v>
      </c>
      <c r="P697">
        <v>639.6076384</v>
      </c>
      <c r="Q697">
        <v>1744210.03</v>
      </c>
      <c r="R697">
        <v>7.678363006</v>
      </c>
      <c r="S697">
        <v>20938.89592</v>
      </c>
      <c r="T697">
        <v>639078.6</v>
      </c>
    </row>
    <row r="698" spans="1:20">
      <c r="A698" t="s">
        <v>20</v>
      </c>
      <c r="B698" t="s">
        <v>287</v>
      </c>
      <c r="C698">
        <v>301049751</v>
      </c>
      <c r="D698">
        <v>73239990</v>
      </c>
      <c r="E698" t="s">
        <v>1453</v>
      </c>
      <c r="N698">
        <v>2165.4</v>
      </c>
      <c r="O698" t="s">
        <v>2746</v>
      </c>
      <c r="P698">
        <v>594.943724</v>
      </c>
      <c r="Q698">
        <v>1288291.14</v>
      </c>
      <c r="R698">
        <v>7.142181561</v>
      </c>
      <c r="S698">
        <v>15465.67995</v>
      </c>
      <c r="T698">
        <v>472029.8</v>
      </c>
    </row>
    <row r="699" spans="1:20">
      <c r="A699" t="s">
        <v>20</v>
      </c>
      <c r="B699" t="s">
        <v>288</v>
      </c>
      <c r="C699">
        <v>301049751</v>
      </c>
      <c r="D699">
        <v>73239990</v>
      </c>
      <c r="E699" t="s">
        <v>1454</v>
      </c>
      <c r="N699">
        <v>3420</v>
      </c>
      <c r="O699" t="s">
        <v>2746</v>
      </c>
      <c r="P699">
        <v>277.2848655</v>
      </c>
      <c r="Q699">
        <v>948314.24</v>
      </c>
      <c r="R699">
        <v>3.356959631</v>
      </c>
      <c r="S699">
        <v>11480.80194</v>
      </c>
      <c r="T699">
        <v>347462.3</v>
      </c>
    </row>
    <row r="700" spans="1:20">
      <c r="A700" t="s">
        <v>20</v>
      </c>
      <c r="B700" t="s">
        <v>289</v>
      </c>
      <c r="C700">
        <v>301049751</v>
      </c>
      <c r="D700">
        <v>73239990</v>
      </c>
      <c r="E700" t="s">
        <v>1455</v>
      </c>
      <c r="N700">
        <v>2867.4</v>
      </c>
      <c r="O700" t="s">
        <v>2746</v>
      </c>
      <c r="P700">
        <v>589.9051719</v>
      </c>
      <c r="Q700">
        <v>1691494.09</v>
      </c>
      <c r="R700">
        <v>7.141709103</v>
      </c>
      <c r="S700">
        <v>20478.13668</v>
      </c>
      <c r="T700">
        <v>619763.4</v>
      </c>
    </row>
    <row r="701" spans="1:20">
      <c r="A701" t="s">
        <v>20</v>
      </c>
      <c r="B701" t="s">
        <v>289</v>
      </c>
      <c r="C701">
        <v>301049751</v>
      </c>
      <c r="D701">
        <v>73239990</v>
      </c>
      <c r="E701" t="s">
        <v>1456</v>
      </c>
      <c r="N701">
        <v>4986</v>
      </c>
      <c r="O701" t="s">
        <v>2746</v>
      </c>
      <c r="P701">
        <v>525.3450321</v>
      </c>
      <c r="Q701">
        <v>2619370.33</v>
      </c>
      <c r="R701">
        <v>6.360109347</v>
      </c>
      <c r="S701">
        <v>31711.50521</v>
      </c>
      <c r="T701">
        <v>959737.3</v>
      </c>
    </row>
    <row r="702" spans="1:20">
      <c r="A702" t="s">
        <v>20</v>
      </c>
      <c r="B702" t="s">
        <v>289</v>
      </c>
      <c r="C702">
        <v>301049751</v>
      </c>
      <c r="D702">
        <v>73239990</v>
      </c>
      <c r="E702" t="s">
        <v>1457</v>
      </c>
      <c r="N702">
        <v>2688</v>
      </c>
      <c r="O702" t="s">
        <v>2746</v>
      </c>
      <c r="P702">
        <v>497.0618564</v>
      </c>
      <c r="Q702">
        <v>1336102.27</v>
      </c>
      <c r="R702">
        <v>6.017698019</v>
      </c>
      <c r="S702">
        <v>16175.57228</v>
      </c>
      <c r="T702">
        <v>489547.9</v>
      </c>
    </row>
    <row r="703" spans="1:20">
      <c r="A703" t="s">
        <v>20</v>
      </c>
      <c r="B703" t="s">
        <v>289</v>
      </c>
      <c r="C703">
        <v>301049751</v>
      </c>
      <c r="D703">
        <v>73239990</v>
      </c>
      <c r="E703" t="s">
        <v>1458</v>
      </c>
      <c r="N703">
        <v>3710.7</v>
      </c>
      <c r="O703" t="s">
        <v>2746</v>
      </c>
      <c r="P703">
        <v>596.50916</v>
      </c>
      <c r="Q703">
        <v>2213466.54</v>
      </c>
      <c r="R703">
        <v>7.221660533</v>
      </c>
      <c r="S703">
        <v>26797.41574</v>
      </c>
      <c r="T703">
        <v>811014.1</v>
      </c>
    </row>
    <row r="704" spans="1:20">
      <c r="A704" t="s">
        <v>20</v>
      </c>
      <c r="B704" t="s">
        <v>290</v>
      </c>
      <c r="C704">
        <v>301049751</v>
      </c>
      <c r="D704">
        <v>73239990</v>
      </c>
      <c r="E704" t="s">
        <v>1459</v>
      </c>
      <c r="N704">
        <v>2145</v>
      </c>
      <c r="O704" t="s">
        <v>2746</v>
      </c>
      <c r="P704">
        <v>260.1741399</v>
      </c>
      <c r="Q704">
        <v>558073.53</v>
      </c>
      <c r="R704">
        <v>3.12897342</v>
      </c>
      <c r="S704">
        <v>6711.647986</v>
      </c>
      <c r="T704">
        <v>204478.2</v>
      </c>
    </row>
    <row r="705" spans="1:20">
      <c r="A705" t="s">
        <v>20</v>
      </c>
      <c r="B705" t="s">
        <v>291</v>
      </c>
      <c r="C705">
        <v>301049751</v>
      </c>
      <c r="D705">
        <v>73239990</v>
      </c>
      <c r="E705" t="s">
        <v>1460</v>
      </c>
      <c r="N705">
        <v>4248</v>
      </c>
      <c r="O705" t="s">
        <v>2746</v>
      </c>
      <c r="P705">
        <v>505.4971234</v>
      </c>
      <c r="Q705">
        <v>2147351.78</v>
      </c>
      <c r="R705">
        <v>6.079340028</v>
      </c>
      <c r="S705">
        <v>25825.03644</v>
      </c>
      <c r="T705">
        <v>786789.7</v>
      </c>
    </row>
    <row r="706" spans="1:20">
      <c r="A706" t="s">
        <v>20</v>
      </c>
      <c r="B706" t="s">
        <v>291</v>
      </c>
      <c r="C706">
        <v>301049751</v>
      </c>
      <c r="D706">
        <v>73239990</v>
      </c>
      <c r="E706" t="s">
        <v>1461</v>
      </c>
      <c r="N706">
        <v>2547.2</v>
      </c>
      <c r="O706" t="s">
        <v>2746</v>
      </c>
      <c r="P706">
        <v>506.5329578</v>
      </c>
      <c r="Q706">
        <v>1290240.75</v>
      </c>
      <c r="R706">
        <v>6.091797447</v>
      </c>
      <c r="S706">
        <v>15517.02646</v>
      </c>
      <c r="T706">
        <v>472744.3</v>
      </c>
    </row>
    <row r="707" spans="1:20">
      <c r="A707" t="s">
        <v>20</v>
      </c>
      <c r="B707" t="s">
        <v>291</v>
      </c>
      <c r="C707">
        <v>301049751</v>
      </c>
      <c r="D707">
        <v>73239990</v>
      </c>
      <c r="E707" t="s">
        <v>1462</v>
      </c>
      <c r="N707">
        <v>1764</v>
      </c>
      <c r="O707" t="s">
        <v>2746</v>
      </c>
      <c r="P707">
        <v>609.5340873</v>
      </c>
      <c r="Q707">
        <v>1075218.13</v>
      </c>
      <c r="R707">
        <v>7.330536227</v>
      </c>
      <c r="S707">
        <v>12931.0659</v>
      </c>
      <c r="T707">
        <v>393959.9</v>
      </c>
    </row>
    <row r="708" spans="1:20">
      <c r="A708" t="s">
        <v>20</v>
      </c>
      <c r="B708" t="s">
        <v>291</v>
      </c>
      <c r="C708">
        <v>301049751</v>
      </c>
      <c r="D708">
        <v>73239990</v>
      </c>
      <c r="E708" t="s">
        <v>1463</v>
      </c>
      <c r="N708">
        <v>3448.8</v>
      </c>
      <c r="O708" t="s">
        <v>2746</v>
      </c>
      <c r="P708">
        <v>505.9969468</v>
      </c>
      <c r="Q708">
        <v>1745082.27</v>
      </c>
      <c r="R708">
        <v>6.085351134</v>
      </c>
      <c r="S708">
        <v>20987.15899</v>
      </c>
      <c r="T708">
        <v>639398.1</v>
      </c>
    </row>
    <row r="709" spans="1:20">
      <c r="A709" t="s">
        <v>20</v>
      </c>
      <c r="B709" t="s">
        <v>291</v>
      </c>
      <c r="C709">
        <v>301049751</v>
      </c>
      <c r="D709">
        <v>73239990</v>
      </c>
      <c r="E709" t="s">
        <v>1464</v>
      </c>
      <c r="N709">
        <v>1658.7</v>
      </c>
      <c r="O709" t="s">
        <v>2746</v>
      </c>
      <c r="P709">
        <v>592.5713933</v>
      </c>
      <c r="Q709">
        <v>982898.17</v>
      </c>
      <c r="R709">
        <v>7.126535096</v>
      </c>
      <c r="S709">
        <v>11820.78376</v>
      </c>
      <c r="T709">
        <v>360133.9</v>
      </c>
    </row>
    <row r="710" spans="1:20">
      <c r="A710" t="s">
        <v>20</v>
      </c>
      <c r="B710" t="s">
        <v>291</v>
      </c>
      <c r="C710">
        <v>301049751</v>
      </c>
      <c r="D710">
        <v>73239990</v>
      </c>
      <c r="E710" t="s">
        <v>1465</v>
      </c>
      <c r="N710">
        <v>1647</v>
      </c>
      <c r="O710" t="s">
        <v>2746</v>
      </c>
      <c r="P710">
        <v>596.7719976</v>
      </c>
      <c r="Q710">
        <v>982883.48</v>
      </c>
      <c r="R710">
        <v>7.177053489</v>
      </c>
      <c r="S710">
        <v>11820.6071</v>
      </c>
      <c r="T710">
        <v>360128.5</v>
      </c>
    </row>
    <row r="711" spans="1:20">
      <c r="A711" t="s">
        <v>20</v>
      </c>
      <c r="B711" t="s">
        <v>292</v>
      </c>
      <c r="C711">
        <v>301049751</v>
      </c>
      <c r="D711">
        <v>73239990</v>
      </c>
      <c r="E711" t="s">
        <v>1466</v>
      </c>
      <c r="N711">
        <v>21.96</v>
      </c>
      <c r="O711" t="s">
        <v>2746</v>
      </c>
      <c r="P711">
        <v>1045.211749</v>
      </c>
      <c r="Q711">
        <v>22952.85</v>
      </c>
      <c r="R711">
        <v>12.57019541</v>
      </c>
      <c r="S711">
        <v>276.0414913</v>
      </c>
      <c r="T711">
        <v>8410</v>
      </c>
    </row>
    <row r="712" spans="1:20">
      <c r="A712" t="s">
        <v>20</v>
      </c>
      <c r="B712" t="s">
        <v>292</v>
      </c>
      <c r="C712">
        <v>301049751</v>
      </c>
      <c r="D712">
        <v>73239990</v>
      </c>
      <c r="E712" t="s">
        <v>1467</v>
      </c>
      <c r="N712">
        <v>5687.64</v>
      </c>
      <c r="O712" t="s">
        <v>2746</v>
      </c>
      <c r="P712">
        <v>1043.414277</v>
      </c>
      <c r="Q712">
        <v>5934564.78</v>
      </c>
      <c r="R712">
        <v>12.5485782</v>
      </c>
      <c r="S712">
        <v>71371.79531</v>
      </c>
      <c r="T712">
        <v>2174424.6</v>
      </c>
    </row>
    <row r="713" spans="1:20">
      <c r="A713" t="s">
        <v>20</v>
      </c>
      <c r="B713" t="s">
        <v>293</v>
      </c>
      <c r="C713">
        <v>301049751</v>
      </c>
      <c r="D713">
        <v>73231000</v>
      </c>
      <c r="E713" t="s">
        <v>1468</v>
      </c>
      <c r="N713">
        <v>4910</v>
      </c>
      <c r="O713" t="s">
        <v>2746</v>
      </c>
      <c r="P713">
        <v>465.5069715</v>
      </c>
      <c r="Q713">
        <v>2285639.23</v>
      </c>
      <c r="R713">
        <v>5.598400138</v>
      </c>
      <c r="S713">
        <v>27488.14468</v>
      </c>
      <c r="T713">
        <v>1004767</v>
      </c>
    </row>
    <row r="714" spans="1:20">
      <c r="A714" t="s">
        <v>20</v>
      </c>
      <c r="B714" t="s">
        <v>294</v>
      </c>
      <c r="C714">
        <v>301049751</v>
      </c>
      <c r="D714">
        <v>73239990</v>
      </c>
      <c r="E714" t="s">
        <v>1469</v>
      </c>
      <c r="N714">
        <v>186</v>
      </c>
      <c r="O714" t="s">
        <v>2746</v>
      </c>
      <c r="P714">
        <v>236.2205376</v>
      </c>
      <c r="Q714">
        <v>43937.02</v>
      </c>
      <c r="R714">
        <v>2.840896424</v>
      </c>
      <c r="S714">
        <v>528.4067348</v>
      </c>
      <c r="T714">
        <v>16098.5</v>
      </c>
    </row>
    <row r="715" spans="1:20">
      <c r="A715" t="s">
        <v>20</v>
      </c>
      <c r="B715" t="s">
        <v>294</v>
      </c>
      <c r="C715">
        <v>301049751</v>
      </c>
      <c r="D715">
        <v>73239990</v>
      </c>
      <c r="E715" t="s">
        <v>1470</v>
      </c>
      <c r="N715">
        <v>1470</v>
      </c>
      <c r="O715" t="s">
        <v>2746</v>
      </c>
      <c r="P715">
        <v>589.4864966</v>
      </c>
      <c r="Q715">
        <v>866545.15</v>
      </c>
      <c r="R715">
        <v>7.089434716</v>
      </c>
      <c r="S715">
        <v>10421.46903</v>
      </c>
      <c r="T715">
        <v>317502.1</v>
      </c>
    </row>
    <row r="716" spans="1:20">
      <c r="A716" t="s">
        <v>20</v>
      </c>
      <c r="B716" t="s">
        <v>295</v>
      </c>
      <c r="C716">
        <v>301049751</v>
      </c>
      <c r="D716">
        <v>73239990</v>
      </c>
      <c r="E716" t="s">
        <v>1471</v>
      </c>
      <c r="N716">
        <v>15568</v>
      </c>
      <c r="O716" t="s">
        <v>2746</v>
      </c>
      <c r="P716">
        <v>417.609526</v>
      </c>
      <c r="Q716">
        <v>6501345.1</v>
      </c>
      <c r="R716">
        <v>5.022363511</v>
      </c>
      <c r="S716">
        <v>78188.15514</v>
      </c>
      <c r="T716">
        <v>2382092.8</v>
      </c>
    </row>
    <row r="717" spans="1:20">
      <c r="A717" t="s">
        <v>20</v>
      </c>
      <c r="B717" t="s">
        <v>296</v>
      </c>
      <c r="C717">
        <v>301049751</v>
      </c>
      <c r="D717">
        <v>73239990</v>
      </c>
      <c r="E717" t="s">
        <v>1472</v>
      </c>
      <c r="N717">
        <v>140</v>
      </c>
      <c r="O717" t="s">
        <v>2746</v>
      </c>
      <c r="P717">
        <v>605.8141429</v>
      </c>
      <c r="Q717">
        <v>84813.98</v>
      </c>
      <c r="R717">
        <v>7.285798471</v>
      </c>
      <c r="S717">
        <v>1020.011786</v>
      </c>
      <c r="T717">
        <v>31075.9</v>
      </c>
    </row>
    <row r="718" spans="1:20">
      <c r="A718" t="s">
        <v>20</v>
      </c>
      <c r="B718" t="s">
        <v>296</v>
      </c>
      <c r="C718">
        <v>301049751</v>
      </c>
      <c r="D718">
        <v>73239990</v>
      </c>
      <c r="E718" t="s">
        <v>1473</v>
      </c>
      <c r="N718">
        <v>9083.1</v>
      </c>
      <c r="O718" t="s">
        <v>2746</v>
      </c>
      <c r="P718">
        <v>486.7224175</v>
      </c>
      <c r="Q718">
        <v>4420948.39</v>
      </c>
      <c r="R718">
        <v>5.853546812</v>
      </c>
      <c r="S718">
        <v>53168.35105</v>
      </c>
      <c r="T718">
        <v>1619835.5</v>
      </c>
    </row>
    <row r="719" spans="1:20">
      <c r="A719" t="s">
        <v>20</v>
      </c>
      <c r="B719" t="s">
        <v>296</v>
      </c>
      <c r="C719">
        <v>301049751</v>
      </c>
      <c r="D719">
        <v>73239990</v>
      </c>
      <c r="E719" t="s">
        <v>1474</v>
      </c>
      <c r="N719">
        <v>10348.75</v>
      </c>
      <c r="O719" t="s">
        <v>2746</v>
      </c>
      <c r="P719">
        <v>642.7186259</v>
      </c>
      <c r="Q719">
        <v>6651334.38</v>
      </c>
      <c r="R719">
        <v>7.729628694</v>
      </c>
      <c r="S719">
        <v>79991.99494999999</v>
      </c>
      <c r="T719">
        <v>2437049</v>
      </c>
    </row>
    <row r="720" spans="1:20">
      <c r="A720" t="s">
        <v>20</v>
      </c>
      <c r="B720" t="s">
        <v>296</v>
      </c>
      <c r="C720">
        <v>301049751</v>
      </c>
      <c r="D720">
        <v>73239990</v>
      </c>
      <c r="E720" t="s">
        <v>1475</v>
      </c>
      <c r="N720">
        <v>108</v>
      </c>
      <c r="O720" t="s">
        <v>2746</v>
      </c>
      <c r="P720">
        <v>504.8450926</v>
      </c>
      <c r="Q720">
        <v>54523.27</v>
      </c>
      <c r="R720">
        <v>6.071498408</v>
      </c>
      <c r="S720">
        <v>655.721828</v>
      </c>
      <c r="T720">
        <v>19977.4</v>
      </c>
    </row>
    <row r="721" spans="1:20">
      <c r="A721" t="s">
        <v>20</v>
      </c>
      <c r="B721" t="s">
        <v>297</v>
      </c>
      <c r="C721">
        <v>301049751</v>
      </c>
      <c r="D721">
        <v>73239990</v>
      </c>
      <c r="E721" t="s">
        <v>1476</v>
      </c>
      <c r="N721">
        <v>4364.8</v>
      </c>
      <c r="O721" t="s">
        <v>2746</v>
      </c>
      <c r="P721">
        <v>502.7282464</v>
      </c>
      <c r="Q721">
        <v>2194308.25</v>
      </c>
      <c r="R721">
        <v>6.067932968</v>
      </c>
      <c r="S721">
        <v>26485.31382</v>
      </c>
      <c r="T721">
        <v>803994.6</v>
      </c>
    </row>
    <row r="722" spans="1:20">
      <c r="A722" t="s">
        <v>20</v>
      </c>
      <c r="B722" t="s">
        <v>297</v>
      </c>
      <c r="C722">
        <v>301049751</v>
      </c>
      <c r="D722">
        <v>73239990</v>
      </c>
      <c r="E722" t="s">
        <v>1477</v>
      </c>
      <c r="N722">
        <v>1756.8</v>
      </c>
      <c r="O722" t="s">
        <v>2746</v>
      </c>
      <c r="P722">
        <v>504.1167065</v>
      </c>
      <c r="Q722">
        <v>885632.23</v>
      </c>
      <c r="R722">
        <v>6.08469169</v>
      </c>
      <c r="S722">
        <v>10689.58636</v>
      </c>
      <c r="T722">
        <v>324495.6</v>
      </c>
    </row>
    <row r="723" spans="1:20">
      <c r="A723" t="s">
        <v>20</v>
      </c>
      <c r="B723" t="s">
        <v>297</v>
      </c>
      <c r="C723">
        <v>301049751</v>
      </c>
      <c r="D723">
        <v>73239990</v>
      </c>
      <c r="E723" t="s">
        <v>1478</v>
      </c>
      <c r="N723">
        <v>7750</v>
      </c>
      <c r="O723" t="s">
        <v>2746</v>
      </c>
      <c r="P723">
        <v>507.35716</v>
      </c>
      <c r="Q723">
        <v>3932017.99</v>
      </c>
      <c r="R723">
        <v>6.123803983</v>
      </c>
      <c r="S723">
        <v>47459.48087</v>
      </c>
      <c r="T723">
        <v>1440691.4</v>
      </c>
    </row>
    <row r="724" spans="1:20">
      <c r="A724" t="s">
        <v>20</v>
      </c>
      <c r="B724" t="s">
        <v>297</v>
      </c>
      <c r="C724">
        <v>301049751</v>
      </c>
      <c r="D724">
        <v>73239990</v>
      </c>
      <c r="E724" t="s">
        <v>1479</v>
      </c>
      <c r="N724">
        <v>5497.6</v>
      </c>
      <c r="O724" t="s">
        <v>2746</v>
      </c>
      <c r="P724">
        <v>497.9219641</v>
      </c>
      <c r="Q724">
        <v>2737375.79</v>
      </c>
      <c r="R724">
        <v>6.009921112</v>
      </c>
      <c r="S724">
        <v>33040.14231</v>
      </c>
      <c r="T724">
        <v>1002974.5</v>
      </c>
    </row>
    <row r="725" spans="1:20">
      <c r="A725" t="s">
        <v>20</v>
      </c>
      <c r="B725" t="s">
        <v>297</v>
      </c>
      <c r="C725">
        <v>301049751</v>
      </c>
      <c r="D725">
        <v>73239990</v>
      </c>
      <c r="E725" t="s">
        <v>1480</v>
      </c>
      <c r="N725">
        <v>3396.6</v>
      </c>
      <c r="O725" t="s">
        <v>2746</v>
      </c>
      <c r="P725">
        <v>623.1681358</v>
      </c>
      <c r="Q725">
        <v>2116652.89</v>
      </c>
      <c r="R725">
        <v>7.52164316</v>
      </c>
      <c r="S725">
        <v>25548.01316</v>
      </c>
      <c r="T725">
        <v>775541.7</v>
      </c>
    </row>
    <row r="726" spans="1:20">
      <c r="A726" t="s">
        <v>20</v>
      </c>
      <c r="B726" t="s">
        <v>298</v>
      </c>
      <c r="C726">
        <v>301049751</v>
      </c>
      <c r="D726">
        <v>73239990</v>
      </c>
      <c r="E726" t="s">
        <v>1481</v>
      </c>
      <c r="N726">
        <v>44352</v>
      </c>
      <c r="O726" t="s">
        <v>2747</v>
      </c>
      <c r="P726">
        <v>91.92192978999999</v>
      </c>
      <c r="Q726">
        <v>4076921.43</v>
      </c>
      <c r="R726">
        <v>1.109498247</v>
      </c>
      <c r="S726">
        <v>49208.46626</v>
      </c>
      <c r="T726">
        <v>1493784</v>
      </c>
    </row>
    <row r="727" spans="1:20">
      <c r="A727" t="s">
        <v>20</v>
      </c>
      <c r="B727" t="s">
        <v>298</v>
      </c>
      <c r="C727">
        <v>301049751</v>
      </c>
      <c r="D727">
        <v>73239990</v>
      </c>
      <c r="E727" t="s">
        <v>1482</v>
      </c>
      <c r="N727">
        <v>720</v>
      </c>
      <c r="O727" t="s">
        <v>2747</v>
      </c>
      <c r="P727">
        <v>111.0580972</v>
      </c>
      <c r="Q727">
        <v>79961.83</v>
      </c>
      <c r="R727">
        <v>1.340471904</v>
      </c>
      <c r="S727">
        <v>965.1397707</v>
      </c>
      <c r="T727">
        <v>29298</v>
      </c>
    </row>
    <row r="728" spans="1:20">
      <c r="A728" t="s">
        <v>20</v>
      </c>
      <c r="B728" t="s">
        <v>298</v>
      </c>
      <c r="C728">
        <v>301049751</v>
      </c>
      <c r="D728">
        <v>73239990</v>
      </c>
      <c r="E728" t="s">
        <v>1483</v>
      </c>
      <c r="N728">
        <v>720</v>
      </c>
      <c r="O728" t="s">
        <v>2747</v>
      </c>
      <c r="P728">
        <v>93.11794444</v>
      </c>
      <c r="Q728">
        <v>67044.92</v>
      </c>
      <c r="R728">
        <v>1.123934151</v>
      </c>
      <c r="S728">
        <v>809.232589</v>
      </c>
      <c r="T728">
        <v>24565.3</v>
      </c>
    </row>
    <row r="729" spans="1:20">
      <c r="A729" t="s">
        <v>20</v>
      </c>
      <c r="B729" t="s">
        <v>299</v>
      </c>
      <c r="C729">
        <v>301049751</v>
      </c>
      <c r="D729">
        <v>73239990</v>
      </c>
      <c r="E729" t="s">
        <v>1484</v>
      </c>
      <c r="N729">
        <v>4620</v>
      </c>
      <c r="O729" t="s">
        <v>2746</v>
      </c>
      <c r="P729">
        <v>560.9598506</v>
      </c>
      <c r="Q729">
        <v>2591634.51</v>
      </c>
      <c r="R729">
        <v>6.770788783</v>
      </c>
      <c r="S729">
        <v>31281.04418</v>
      </c>
      <c r="T729">
        <v>949574.9</v>
      </c>
    </row>
    <row r="730" spans="1:20">
      <c r="A730" t="s">
        <v>20</v>
      </c>
      <c r="B730" t="s">
        <v>299</v>
      </c>
      <c r="C730">
        <v>301049751</v>
      </c>
      <c r="D730">
        <v>73239990</v>
      </c>
      <c r="E730" t="s">
        <v>1485</v>
      </c>
      <c r="N730">
        <v>5752.5</v>
      </c>
      <c r="O730" t="s">
        <v>2746</v>
      </c>
      <c r="P730">
        <v>258.1342807</v>
      </c>
      <c r="Q730">
        <v>1484917.45</v>
      </c>
      <c r="R730">
        <v>3.115682326</v>
      </c>
      <c r="S730">
        <v>17922.96258</v>
      </c>
      <c r="T730">
        <v>544073.7</v>
      </c>
    </row>
    <row r="731" spans="1:20">
      <c r="A731" t="s">
        <v>20</v>
      </c>
      <c r="B731" t="s">
        <v>299</v>
      </c>
      <c r="C731">
        <v>301049751</v>
      </c>
      <c r="D731">
        <v>73239990</v>
      </c>
      <c r="E731" t="s">
        <v>1486</v>
      </c>
      <c r="N731">
        <v>4845</v>
      </c>
      <c r="O731" t="s">
        <v>2746</v>
      </c>
      <c r="P731">
        <v>398.0256367</v>
      </c>
      <c r="Q731">
        <v>1928434.21</v>
      </c>
      <c r="R731">
        <v>4.804171838</v>
      </c>
      <c r="S731">
        <v>23276.21255</v>
      </c>
      <c r="T731">
        <v>706578.3</v>
      </c>
    </row>
    <row r="732" spans="1:20">
      <c r="A732" t="s">
        <v>20</v>
      </c>
      <c r="B732" t="s">
        <v>300</v>
      </c>
      <c r="C732">
        <v>301049751</v>
      </c>
      <c r="D732">
        <v>73231000</v>
      </c>
      <c r="E732" t="s">
        <v>1487</v>
      </c>
      <c r="N732">
        <v>7746.2</v>
      </c>
      <c r="O732" t="s">
        <v>2746</v>
      </c>
      <c r="P732">
        <v>224.7610583</v>
      </c>
      <c r="Q732">
        <v>1741044.11</v>
      </c>
      <c r="R732">
        <v>2.71286733</v>
      </c>
      <c r="S732">
        <v>21014.41291</v>
      </c>
      <c r="T732">
        <v>765363</v>
      </c>
    </row>
    <row r="733" spans="1:20">
      <c r="A733" t="s">
        <v>20</v>
      </c>
      <c r="B733" t="s">
        <v>301</v>
      </c>
      <c r="C733">
        <v>301049751</v>
      </c>
      <c r="D733">
        <v>73239990</v>
      </c>
      <c r="E733" t="s">
        <v>1488</v>
      </c>
      <c r="N733">
        <v>1680</v>
      </c>
      <c r="O733" t="s">
        <v>2746</v>
      </c>
      <c r="P733">
        <v>561.5426131</v>
      </c>
      <c r="Q733">
        <v>943391.59</v>
      </c>
      <c r="R733">
        <v>6.777822729</v>
      </c>
      <c r="S733">
        <v>11386.74218</v>
      </c>
      <c r="T733">
        <v>345658.6</v>
      </c>
    </row>
    <row r="734" spans="1:20">
      <c r="A734" t="s">
        <v>20</v>
      </c>
      <c r="B734" t="s">
        <v>301</v>
      </c>
      <c r="C734">
        <v>301049751</v>
      </c>
      <c r="D734">
        <v>73231000</v>
      </c>
      <c r="E734" t="s">
        <v>1489</v>
      </c>
      <c r="N734">
        <v>8624.879999999999</v>
      </c>
      <c r="O734" t="s">
        <v>2746</v>
      </c>
      <c r="P734">
        <v>247.4989588</v>
      </c>
      <c r="Q734">
        <v>2134648.82</v>
      </c>
      <c r="R734">
        <v>2.987313927</v>
      </c>
      <c r="S734">
        <v>25765.22414</v>
      </c>
      <c r="T734">
        <v>938391.7</v>
      </c>
    </row>
    <row r="735" spans="1:20">
      <c r="A735" t="s">
        <v>20</v>
      </c>
      <c r="B735" t="s">
        <v>302</v>
      </c>
      <c r="C735">
        <v>301049751</v>
      </c>
      <c r="D735">
        <v>73239990</v>
      </c>
      <c r="E735" t="s">
        <v>1490</v>
      </c>
      <c r="N735">
        <v>1700</v>
      </c>
      <c r="O735" t="s">
        <v>2746</v>
      </c>
      <c r="P735">
        <v>561.6112412</v>
      </c>
      <c r="Q735">
        <v>954739.11</v>
      </c>
      <c r="R735">
        <v>6.77865107</v>
      </c>
      <c r="S735">
        <v>11523.70682</v>
      </c>
      <c r="T735">
        <v>349816.4</v>
      </c>
    </row>
    <row r="736" spans="1:20">
      <c r="A736" t="s">
        <v>20</v>
      </c>
      <c r="B736" t="s">
        <v>302</v>
      </c>
      <c r="C736">
        <v>301049751</v>
      </c>
      <c r="D736">
        <v>73239990</v>
      </c>
      <c r="E736" t="s">
        <v>1491</v>
      </c>
      <c r="N736">
        <v>1487.5</v>
      </c>
      <c r="O736" t="s">
        <v>2746</v>
      </c>
      <c r="P736">
        <v>585.6209008</v>
      </c>
      <c r="Q736">
        <v>871111.09</v>
      </c>
      <c r="R736">
        <v>7.068447807</v>
      </c>
      <c r="S736">
        <v>10514.31611</v>
      </c>
      <c r="T736">
        <v>319175.1</v>
      </c>
    </row>
    <row r="737" spans="1:20">
      <c r="A737" t="s">
        <v>20</v>
      </c>
      <c r="B737" t="s">
        <v>302</v>
      </c>
      <c r="C737">
        <v>301049751</v>
      </c>
      <c r="D737">
        <v>73239990</v>
      </c>
      <c r="E737" t="s">
        <v>1492</v>
      </c>
      <c r="N737">
        <v>1252.5</v>
      </c>
      <c r="O737" t="s">
        <v>2746</v>
      </c>
      <c r="P737">
        <v>259.0897246</v>
      </c>
      <c r="Q737">
        <v>324509.88</v>
      </c>
      <c r="R737">
        <v>3.127214539</v>
      </c>
      <c r="S737">
        <v>3916.83621</v>
      </c>
      <c r="T737">
        <v>118900.5</v>
      </c>
    </row>
    <row r="738" spans="1:20">
      <c r="A738" t="s">
        <v>20</v>
      </c>
      <c r="B738" t="s">
        <v>303</v>
      </c>
      <c r="C738">
        <v>301049751</v>
      </c>
      <c r="D738">
        <v>73239990</v>
      </c>
      <c r="E738" t="s">
        <v>1404</v>
      </c>
      <c r="N738">
        <v>8008</v>
      </c>
      <c r="O738" t="s">
        <v>2746</v>
      </c>
      <c r="P738">
        <v>402.9086951</v>
      </c>
      <c r="Q738">
        <v>3226492.83</v>
      </c>
      <c r="R738">
        <v>4.813723955</v>
      </c>
      <c r="S738">
        <v>38548.30143</v>
      </c>
      <c r="T738">
        <v>1182187.1</v>
      </c>
    </row>
    <row r="739" spans="1:20">
      <c r="A739" t="s">
        <v>20</v>
      </c>
      <c r="B739" t="s">
        <v>304</v>
      </c>
      <c r="C739">
        <v>301049751</v>
      </c>
      <c r="D739">
        <v>73239990</v>
      </c>
      <c r="E739" t="s">
        <v>1493</v>
      </c>
      <c r="N739">
        <v>1715.2</v>
      </c>
      <c r="O739" t="s">
        <v>2746</v>
      </c>
      <c r="P739">
        <v>503.2867945</v>
      </c>
      <c r="Q739">
        <v>863237.51</v>
      </c>
      <c r="R739">
        <v>6.012984403</v>
      </c>
      <c r="S739">
        <v>10313.47085</v>
      </c>
      <c r="T739">
        <v>316290.3</v>
      </c>
    </row>
    <row r="740" spans="1:20">
      <c r="A740" t="s">
        <v>20</v>
      </c>
      <c r="B740" t="s">
        <v>304</v>
      </c>
      <c r="C740">
        <v>301049751</v>
      </c>
      <c r="D740">
        <v>73239990</v>
      </c>
      <c r="E740" t="s">
        <v>1494</v>
      </c>
      <c r="N740">
        <v>9676</v>
      </c>
      <c r="O740" t="s">
        <v>2746</v>
      </c>
      <c r="P740">
        <v>338.8665564</v>
      </c>
      <c r="Q740">
        <v>3278872.8</v>
      </c>
      <c r="R740">
        <v>4.048584904</v>
      </c>
      <c r="S740">
        <v>39174.10753</v>
      </c>
      <c r="T740">
        <v>1201379.1</v>
      </c>
    </row>
    <row r="741" spans="1:20">
      <c r="A741" t="s">
        <v>20</v>
      </c>
      <c r="B741" t="s">
        <v>304</v>
      </c>
      <c r="C741">
        <v>301049751</v>
      </c>
      <c r="D741">
        <v>73239990</v>
      </c>
      <c r="E741" t="s">
        <v>1495</v>
      </c>
      <c r="N741">
        <v>3126.6</v>
      </c>
      <c r="O741" t="s">
        <v>2746</v>
      </c>
      <c r="P741">
        <v>596.4878046</v>
      </c>
      <c r="Q741">
        <v>1864978.77</v>
      </c>
      <c r="R741">
        <v>7.126497069</v>
      </c>
      <c r="S741">
        <v>22281.70573</v>
      </c>
      <c r="T741">
        <v>683328.3</v>
      </c>
    </row>
    <row r="742" spans="1:20">
      <c r="A742" t="s">
        <v>20</v>
      </c>
      <c r="B742" t="s">
        <v>304</v>
      </c>
      <c r="C742">
        <v>301049751</v>
      </c>
      <c r="D742">
        <v>73239990</v>
      </c>
      <c r="E742" t="s">
        <v>1496</v>
      </c>
      <c r="N742">
        <v>6551.4</v>
      </c>
      <c r="O742" t="s">
        <v>2746</v>
      </c>
      <c r="P742">
        <v>516.8254007</v>
      </c>
      <c r="Q742">
        <v>3385929.93</v>
      </c>
      <c r="R742">
        <v>6.17473597</v>
      </c>
      <c r="S742">
        <v>40453.16523</v>
      </c>
      <c r="T742">
        <v>1240604.7</v>
      </c>
    </row>
    <row r="743" spans="1:20">
      <c r="A743" t="s">
        <v>20</v>
      </c>
      <c r="B743" t="s">
        <v>304</v>
      </c>
      <c r="C743">
        <v>301049751</v>
      </c>
      <c r="D743">
        <v>73239990</v>
      </c>
      <c r="E743" t="s">
        <v>1497</v>
      </c>
      <c r="N743">
        <v>3024</v>
      </c>
      <c r="O743" t="s">
        <v>2746</v>
      </c>
      <c r="P743">
        <v>509.5481052</v>
      </c>
      <c r="Q743">
        <v>1540873.47</v>
      </c>
      <c r="R743">
        <v>6.087790982</v>
      </c>
      <c r="S743">
        <v>18409.47993</v>
      </c>
      <c r="T743">
        <v>564576.1</v>
      </c>
    </row>
    <row r="744" spans="1:20">
      <c r="A744" t="s">
        <v>20</v>
      </c>
      <c r="B744" t="s">
        <v>305</v>
      </c>
      <c r="C744">
        <v>301049751</v>
      </c>
      <c r="D744">
        <v>73239990</v>
      </c>
      <c r="E744" t="s">
        <v>1498</v>
      </c>
      <c r="N744">
        <v>3590.4</v>
      </c>
      <c r="O744" t="s">
        <v>2746</v>
      </c>
      <c r="P744">
        <v>503.2221285</v>
      </c>
      <c r="Q744">
        <v>1806768.73</v>
      </c>
      <c r="R744">
        <v>6.012211809</v>
      </c>
      <c r="S744">
        <v>21586.24528</v>
      </c>
      <c r="T744">
        <v>662000</v>
      </c>
    </row>
    <row r="745" spans="1:20">
      <c r="A745" t="s">
        <v>20</v>
      </c>
      <c r="B745" t="s">
        <v>305</v>
      </c>
      <c r="C745">
        <v>301049751</v>
      </c>
      <c r="D745">
        <v>73239990</v>
      </c>
      <c r="E745" t="s">
        <v>1499</v>
      </c>
      <c r="N745">
        <v>1009.8</v>
      </c>
      <c r="O745" t="s">
        <v>2746</v>
      </c>
      <c r="P745">
        <v>596.4111705</v>
      </c>
      <c r="Q745">
        <v>602256</v>
      </c>
      <c r="R745">
        <v>7.125581488</v>
      </c>
      <c r="S745">
        <v>7195.412186</v>
      </c>
      <c r="T745">
        <v>220666.6</v>
      </c>
    </row>
    <row r="746" spans="1:20">
      <c r="A746" t="s">
        <v>20</v>
      </c>
      <c r="B746" t="s">
        <v>305</v>
      </c>
      <c r="C746">
        <v>301049751</v>
      </c>
      <c r="D746">
        <v>73239990</v>
      </c>
      <c r="E746" t="s">
        <v>1500</v>
      </c>
      <c r="N746">
        <v>3045.6</v>
      </c>
      <c r="O746" t="s">
        <v>2746</v>
      </c>
      <c r="P746">
        <v>509.482634</v>
      </c>
      <c r="Q746">
        <v>1551680.31</v>
      </c>
      <c r="R746">
        <v>6.087008769</v>
      </c>
      <c r="S746">
        <v>18538.59391</v>
      </c>
      <c r="T746">
        <v>568535.7</v>
      </c>
    </row>
    <row r="747" spans="1:20">
      <c r="A747" t="s">
        <v>20</v>
      </c>
      <c r="B747" t="s">
        <v>305</v>
      </c>
      <c r="C747">
        <v>301049751</v>
      </c>
      <c r="D747">
        <v>73231000</v>
      </c>
      <c r="E747" t="s">
        <v>1501</v>
      </c>
      <c r="N747">
        <v>4900</v>
      </c>
      <c r="O747" t="s">
        <v>2746</v>
      </c>
      <c r="P747">
        <v>469.088649</v>
      </c>
      <c r="Q747">
        <v>2298534.38</v>
      </c>
      <c r="R747">
        <v>5.604404408</v>
      </c>
      <c r="S747">
        <v>27461.5816</v>
      </c>
      <c r="T747">
        <v>1010435.8</v>
      </c>
    </row>
    <row r="748" spans="1:20">
      <c r="A748" t="s">
        <v>20</v>
      </c>
      <c r="B748" t="s">
        <v>306</v>
      </c>
      <c r="C748">
        <v>301049751</v>
      </c>
      <c r="D748">
        <v>73239990</v>
      </c>
      <c r="E748" t="s">
        <v>1502</v>
      </c>
      <c r="N748">
        <v>2775.6</v>
      </c>
      <c r="O748" t="s">
        <v>2746</v>
      </c>
      <c r="P748">
        <v>596.1213792</v>
      </c>
      <c r="Q748">
        <v>1654594.5</v>
      </c>
      <c r="R748">
        <v>7.122119225</v>
      </c>
      <c r="S748">
        <v>19768.15412</v>
      </c>
      <c r="T748">
        <v>606243.4</v>
      </c>
    </row>
    <row r="749" spans="1:20">
      <c r="A749" t="s">
        <v>20</v>
      </c>
      <c r="B749" t="s">
        <v>306</v>
      </c>
      <c r="C749">
        <v>301049751</v>
      </c>
      <c r="D749">
        <v>73239990</v>
      </c>
      <c r="E749" t="s">
        <v>1503</v>
      </c>
      <c r="N749">
        <v>2046.3</v>
      </c>
      <c r="O749" t="s">
        <v>2746</v>
      </c>
      <c r="P749">
        <v>596.3639984</v>
      </c>
      <c r="Q749">
        <v>1220339.65</v>
      </c>
      <c r="R749">
        <v>7.125017902</v>
      </c>
      <c r="S749">
        <v>14579.92413</v>
      </c>
      <c r="T749">
        <v>447132.4</v>
      </c>
    </row>
    <row r="750" spans="1:20">
      <c r="A750" t="s">
        <v>20</v>
      </c>
      <c r="B750" t="s">
        <v>306</v>
      </c>
      <c r="C750">
        <v>301049751</v>
      </c>
      <c r="D750">
        <v>73239990</v>
      </c>
      <c r="E750" t="s">
        <v>1504</v>
      </c>
      <c r="N750">
        <v>2515.2</v>
      </c>
      <c r="O750" t="s">
        <v>2746</v>
      </c>
      <c r="P750">
        <v>502.9776201</v>
      </c>
      <c r="Q750">
        <v>1265089.31</v>
      </c>
      <c r="R750">
        <v>6.009290562</v>
      </c>
      <c r="S750">
        <v>15114.56762</v>
      </c>
      <c r="T750">
        <v>463528.8</v>
      </c>
    </row>
    <row r="751" spans="1:20">
      <c r="A751" t="s">
        <v>20</v>
      </c>
      <c r="B751" t="s">
        <v>307</v>
      </c>
      <c r="C751">
        <v>301049751</v>
      </c>
      <c r="D751">
        <v>73239990</v>
      </c>
      <c r="E751" t="s">
        <v>1505</v>
      </c>
      <c r="N751">
        <v>6825</v>
      </c>
      <c r="O751" t="s">
        <v>2746</v>
      </c>
      <c r="P751">
        <v>583.8795106</v>
      </c>
      <c r="Q751">
        <v>3984977.66</v>
      </c>
      <c r="R751">
        <v>6.992568989</v>
      </c>
      <c r="S751">
        <v>47724.28335</v>
      </c>
      <c r="T751">
        <v>1460095.8</v>
      </c>
    </row>
    <row r="752" spans="1:20">
      <c r="A752" t="s">
        <v>20</v>
      </c>
      <c r="B752" t="s">
        <v>308</v>
      </c>
      <c r="C752">
        <v>301049751</v>
      </c>
      <c r="D752">
        <v>73239990</v>
      </c>
      <c r="E752" t="s">
        <v>1506</v>
      </c>
      <c r="N752">
        <v>7514</v>
      </c>
      <c r="O752" t="s">
        <v>2746</v>
      </c>
      <c r="P752">
        <v>231.9864373</v>
      </c>
      <c r="Q752">
        <v>1743146.09</v>
      </c>
      <c r="R752">
        <v>2.778280686</v>
      </c>
      <c r="S752">
        <v>20876.00108</v>
      </c>
      <c r="T752">
        <v>638688.7</v>
      </c>
    </row>
    <row r="753" spans="1:20">
      <c r="A753" t="s">
        <v>20</v>
      </c>
      <c r="B753" t="s">
        <v>309</v>
      </c>
      <c r="C753">
        <v>301049751</v>
      </c>
      <c r="D753">
        <v>73239990</v>
      </c>
      <c r="E753" t="s">
        <v>1507</v>
      </c>
      <c r="N753">
        <v>1182.6</v>
      </c>
      <c r="O753" t="s">
        <v>2746</v>
      </c>
      <c r="P753">
        <v>581.5702943</v>
      </c>
      <c r="Q753">
        <v>687765.03</v>
      </c>
      <c r="R753">
        <v>6.964913704</v>
      </c>
      <c r="S753">
        <v>8236.706946</v>
      </c>
      <c r="T753">
        <v>251997.1</v>
      </c>
    </row>
    <row r="754" spans="1:20">
      <c r="A754" t="s">
        <v>20</v>
      </c>
      <c r="B754" t="s">
        <v>309</v>
      </c>
      <c r="C754">
        <v>301049751</v>
      </c>
      <c r="D754">
        <v>73239990</v>
      </c>
      <c r="E754" t="s">
        <v>1508</v>
      </c>
      <c r="N754">
        <v>8198.4</v>
      </c>
      <c r="O754" t="s">
        <v>2746</v>
      </c>
      <c r="P754">
        <v>490.7971275</v>
      </c>
      <c r="Q754">
        <v>4023751.17</v>
      </c>
      <c r="R754">
        <v>5.87780991</v>
      </c>
      <c r="S754">
        <v>48188.63677</v>
      </c>
      <c r="T754">
        <v>1474302.4</v>
      </c>
    </row>
    <row r="755" spans="1:20">
      <c r="A755" t="s">
        <v>20</v>
      </c>
      <c r="B755" t="s">
        <v>309</v>
      </c>
      <c r="C755">
        <v>301049751</v>
      </c>
      <c r="D755">
        <v>73239990</v>
      </c>
      <c r="E755" t="s">
        <v>1509</v>
      </c>
      <c r="N755">
        <v>5452.8</v>
      </c>
      <c r="O755" t="s">
        <v>2746</v>
      </c>
      <c r="P755">
        <v>480.0115317</v>
      </c>
      <c r="Q755">
        <v>2617406.88</v>
      </c>
      <c r="R755">
        <v>5.748641098</v>
      </c>
      <c r="S755">
        <v>31346.19018</v>
      </c>
      <c r="T755">
        <v>959017.9</v>
      </c>
    </row>
    <row r="756" spans="1:20">
      <c r="A756" t="s">
        <v>20</v>
      </c>
      <c r="B756" t="s">
        <v>310</v>
      </c>
      <c r="C756">
        <v>301049751</v>
      </c>
      <c r="D756">
        <v>73239990</v>
      </c>
      <c r="E756" t="s">
        <v>1510</v>
      </c>
      <c r="N756">
        <v>10561.6</v>
      </c>
      <c r="O756" t="s">
        <v>2746</v>
      </c>
      <c r="P756">
        <v>440.0480107</v>
      </c>
      <c r="Q756">
        <v>4647611.07</v>
      </c>
      <c r="R756">
        <v>5.270036057</v>
      </c>
      <c r="S756">
        <v>55660.01281</v>
      </c>
      <c r="T756">
        <v>1702884.7</v>
      </c>
    </row>
    <row r="757" spans="1:20">
      <c r="A757" t="s">
        <v>20</v>
      </c>
      <c r="B757" t="s">
        <v>310</v>
      </c>
      <c r="C757">
        <v>301049751</v>
      </c>
      <c r="D757">
        <v>73239990</v>
      </c>
      <c r="E757" t="s">
        <v>1511</v>
      </c>
      <c r="N757">
        <v>11344</v>
      </c>
      <c r="O757" t="s">
        <v>2746</v>
      </c>
      <c r="P757">
        <v>476.9272373</v>
      </c>
      <c r="Q757">
        <v>5410262.58</v>
      </c>
      <c r="R757">
        <v>5.711703441</v>
      </c>
      <c r="S757">
        <v>64793.56383</v>
      </c>
      <c r="T757">
        <v>1982320.2</v>
      </c>
    </row>
    <row r="758" spans="1:20">
      <c r="A758" t="s">
        <v>20</v>
      </c>
      <c r="B758" t="s">
        <v>310</v>
      </c>
      <c r="C758">
        <v>301049751</v>
      </c>
      <c r="D758">
        <v>73239990</v>
      </c>
      <c r="E758" t="s">
        <v>1512</v>
      </c>
      <c r="N758">
        <v>10892</v>
      </c>
      <c r="O758" t="s">
        <v>2746</v>
      </c>
      <c r="P758">
        <v>451.6476873</v>
      </c>
      <c r="Q758">
        <v>4919346.61</v>
      </c>
      <c r="R758">
        <v>5.408954339</v>
      </c>
      <c r="S758">
        <v>58914.33066</v>
      </c>
      <c r="T758">
        <v>1802448.5</v>
      </c>
    </row>
    <row r="759" spans="1:20">
      <c r="A759" t="s">
        <v>20</v>
      </c>
      <c r="B759" t="s">
        <v>310</v>
      </c>
      <c r="C759">
        <v>301049751</v>
      </c>
      <c r="D759">
        <v>73239990</v>
      </c>
      <c r="E759" t="s">
        <v>1513</v>
      </c>
      <c r="N759">
        <v>10480</v>
      </c>
      <c r="O759" t="s">
        <v>2746</v>
      </c>
      <c r="P759">
        <v>611.0989303</v>
      </c>
      <c r="Q759">
        <v>6404316.79</v>
      </c>
      <c r="R759">
        <v>7.318550064</v>
      </c>
      <c r="S759">
        <v>76698.40467</v>
      </c>
      <c r="T759">
        <v>2346541.7</v>
      </c>
    </row>
    <row r="760" spans="1:20">
      <c r="A760" t="s">
        <v>20</v>
      </c>
      <c r="B760" t="s">
        <v>311</v>
      </c>
      <c r="C760">
        <v>301049751</v>
      </c>
      <c r="D760">
        <v>73239990</v>
      </c>
      <c r="E760" t="s">
        <v>1514</v>
      </c>
      <c r="N760">
        <v>8008</v>
      </c>
      <c r="O760" t="s">
        <v>2746</v>
      </c>
      <c r="P760">
        <v>407.1283754</v>
      </c>
      <c r="Q760">
        <v>3260284.03</v>
      </c>
      <c r="R760">
        <v>4.867045731</v>
      </c>
      <c r="S760">
        <v>38975.30221</v>
      </c>
      <c r="T760">
        <v>1194568.1</v>
      </c>
    </row>
    <row r="761" spans="1:20">
      <c r="A761" t="s">
        <v>20</v>
      </c>
      <c r="B761" t="s">
        <v>311</v>
      </c>
      <c r="C761">
        <v>301049751</v>
      </c>
      <c r="D761">
        <v>73239990</v>
      </c>
      <c r="E761" t="s">
        <v>1515</v>
      </c>
      <c r="N761">
        <v>8607.5</v>
      </c>
      <c r="O761" t="s">
        <v>2746</v>
      </c>
      <c r="P761">
        <v>352.4233959</v>
      </c>
      <c r="Q761">
        <v>3033484.38</v>
      </c>
      <c r="R761">
        <v>4.21307108</v>
      </c>
      <c r="S761">
        <v>36264.00932</v>
      </c>
      <c r="T761">
        <v>1111468.7</v>
      </c>
    </row>
    <row r="762" spans="1:20">
      <c r="A762" t="s">
        <v>20</v>
      </c>
      <c r="B762" t="s">
        <v>311</v>
      </c>
      <c r="C762">
        <v>301049751</v>
      </c>
      <c r="D762">
        <v>73239990</v>
      </c>
      <c r="E762" t="s">
        <v>1494</v>
      </c>
      <c r="N762">
        <v>9676</v>
      </c>
      <c r="O762" t="s">
        <v>2746</v>
      </c>
      <c r="P762">
        <v>339.3530891</v>
      </c>
      <c r="Q762">
        <v>3283580.49</v>
      </c>
      <c r="R762">
        <v>4.056821149</v>
      </c>
      <c r="S762">
        <v>39253.80143</v>
      </c>
      <c r="T762">
        <v>1203103.9</v>
      </c>
    </row>
    <row r="763" spans="1:20">
      <c r="A763" t="s">
        <v>20</v>
      </c>
      <c r="B763" t="s">
        <v>312</v>
      </c>
      <c r="C763">
        <v>301049751</v>
      </c>
      <c r="D763">
        <v>73231000</v>
      </c>
      <c r="E763" t="s">
        <v>1516</v>
      </c>
      <c r="N763">
        <v>7615.3</v>
      </c>
      <c r="O763" t="s">
        <v>2746</v>
      </c>
      <c r="P763">
        <v>225.4696558</v>
      </c>
      <c r="Q763">
        <v>1717019.07</v>
      </c>
      <c r="R763">
        <v>2.724708832</v>
      </c>
      <c r="S763">
        <v>20749.47517</v>
      </c>
      <c r="T763">
        <v>754801.6</v>
      </c>
    </row>
    <row r="764" spans="1:20">
      <c r="A764" t="s">
        <v>20</v>
      </c>
      <c r="B764" t="s">
        <v>313</v>
      </c>
      <c r="C764">
        <v>301049751</v>
      </c>
      <c r="D764">
        <v>73239990</v>
      </c>
      <c r="E764" t="s">
        <v>1517</v>
      </c>
      <c r="N764">
        <v>7875</v>
      </c>
      <c r="O764" t="s">
        <v>2746</v>
      </c>
      <c r="P764">
        <v>502.0332444</v>
      </c>
      <c r="Q764">
        <v>3953511.8</v>
      </c>
      <c r="R764">
        <v>6.100039422</v>
      </c>
      <c r="S764">
        <v>48037.81045</v>
      </c>
      <c r="T764">
        <v>1448566.7</v>
      </c>
    </row>
    <row r="765" spans="1:20">
      <c r="A765" t="s">
        <v>20</v>
      </c>
      <c r="B765" t="s">
        <v>314</v>
      </c>
      <c r="C765">
        <v>301049751</v>
      </c>
      <c r="D765">
        <v>73239990</v>
      </c>
      <c r="E765" t="s">
        <v>1518</v>
      </c>
      <c r="N765">
        <v>9676</v>
      </c>
      <c r="O765" t="s">
        <v>2746</v>
      </c>
      <c r="P765">
        <v>334.404105</v>
      </c>
      <c r="Q765">
        <v>3235694.12</v>
      </c>
      <c r="R765">
        <v>4.063233354</v>
      </c>
      <c r="S765">
        <v>39315.84593</v>
      </c>
      <c r="T765">
        <v>1185558.3</v>
      </c>
    </row>
    <row r="766" spans="1:20">
      <c r="A766" t="s">
        <v>20</v>
      </c>
      <c r="B766" t="s">
        <v>315</v>
      </c>
      <c r="C766">
        <v>301049751</v>
      </c>
      <c r="D766">
        <v>73239990</v>
      </c>
      <c r="E766" t="s">
        <v>1519</v>
      </c>
      <c r="N766">
        <v>5785.5</v>
      </c>
      <c r="O766" t="s">
        <v>2746</v>
      </c>
      <c r="P766">
        <v>573.3275274</v>
      </c>
      <c r="Q766">
        <v>3316986.41</v>
      </c>
      <c r="R766">
        <v>6.966312606</v>
      </c>
      <c r="S766">
        <v>40303.60158</v>
      </c>
      <c r="T766">
        <v>1215343.8</v>
      </c>
    </row>
    <row r="767" spans="1:20">
      <c r="A767" t="s">
        <v>20</v>
      </c>
      <c r="B767" t="s">
        <v>315</v>
      </c>
      <c r="C767">
        <v>301049751</v>
      </c>
      <c r="D767">
        <v>73239990</v>
      </c>
      <c r="E767" t="s">
        <v>1520</v>
      </c>
      <c r="N767">
        <v>672</v>
      </c>
      <c r="O767" t="s">
        <v>2746</v>
      </c>
      <c r="P767">
        <v>473.2573661</v>
      </c>
      <c r="Q767">
        <v>318028.95</v>
      </c>
      <c r="R767">
        <v>5.750393269</v>
      </c>
      <c r="S767">
        <v>3864.264277</v>
      </c>
      <c r="T767">
        <v>116525.8</v>
      </c>
    </row>
    <row r="768" spans="1:20">
      <c r="A768" t="s">
        <v>20</v>
      </c>
      <c r="B768" t="s">
        <v>315</v>
      </c>
      <c r="C768">
        <v>301049751</v>
      </c>
      <c r="D768">
        <v>73239990</v>
      </c>
      <c r="E768" t="s">
        <v>1521</v>
      </c>
      <c r="N768">
        <v>842.4</v>
      </c>
      <c r="O768" t="s">
        <v>2746</v>
      </c>
      <c r="P768">
        <v>573.3872270000001</v>
      </c>
      <c r="Q768">
        <v>483021.4</v>
      </c>
      <c r="R768">
        <v>6.967037995</v>
      </c>
      <c r="S768">
        <v>5869.032807</v>
      </c>
      <c r="T768">
        <v>176979</v>
      </c>
    </row>
    <row r="769" spans="1:20">
      <c r="A769" t="s">
        <v>20</v>
      </c>
      <c r="B769" t="s">
        <v>315</v>
      </c>
      <c r="C769">
        <v>301049751</v>
      </c>
      <c r="D769">
        <v>73239990</v>
      </c>
      <c r="E769" t="s">
        <v>1522</v>
      </c>
      <c r="N769">
        <v>6850</v>
      </c>
      <c r="O769" t="s">
        <v>2746</v>
      </c>
      <c r="P769">
        <v>486.241981</v>
      </c>
      <c r="Q769">
        <v>3330757.57</v>
      </c>
      <c r="R769">
        <v>5.908165018</v>
      </c>
      <c r="S769">
        <v>40470.93038</v>
      </c>
      <c r="T769">
        <v>1220389.6</v>
      </c>
    </row>
    <row r="770" spans="1:20">
      <c r="A770" t="s">
        <v>20</v>
      </c>
      <c r="B770" t="s">
        <v>316</v>
      </c>
      <c r="C770">
        <v>301049751</v>
      </c>
      <c r="D770">
        <v>73239990</v>
      </c>
      <c r="E770" t="s">
        <v>1523</v>
      </c>
      <c r="N770">
        <v>45576</v>
      </c>
      <c r="O770" t="s">
        <v>2747</v>
      </c>
      <c r="P770">
        <v>125.617523</v>
      </c>
      <c r="Q770">
        <v>5725144.23</v>
      </c>
      <c r="R770">
        <v>1.526336853</v>
      </c>
      <c r="S770">
        <v>69564.32842999999</v>
      </c>
      <c r="T770">
        <v>2097692.8</v>
      </c>
    </row>
    <row r="771" spans="1:20">
      <c r="A771" t="s">
        <v>20</v>
      </c>
      <c r="B771" t="s">
        <v>316</v>
      </c>
      <c r="C771">
        <v>301049751</v>
      </c>
      <c r="D771">
        <v>73239990</v>
      </c>
      <c r="E771" t="s">
        <v>1524</v>
      </c>
      <c r="N771">
        <v>88800</v>
      </c>
      <c r="O771" t="s">
        <v>2747</v>
      </c>
      <c r="P771">
        <v>77.04541408</v>
      </c>
      <c r="Q771">
        <v>6841632.77</v>
      </c>
      <c r="R771">
        <v>0.936153269</v>
      </c>
      <c r="S771">
        <v>83130.41033</v>
      </c>
      <c r="T771">
        <v>2506774.3</v>
      </c>
    </row>
    <row r="772" spans="1:20">
      <c r="A772" t="s">
        <v>20</v>
      </c>
      <c r="B772" t="s">
        <v>316</v>
      </c>
      <c r="C772">
        <v>301049751</v>
      </c>
      <c r="D772">
        <v>73239990</v>
      </c>
      <c r="E772" t="s">
        <v>1525</v>
      </c>
      <c r="N772">
        <v>55200</v>
      </c>
      <c r="O772" t="s">
        <v>2747</v>
      </c>
      <c r="P772">
        <v>81.23266486</v>
      </c>
      <c r="Q772">
        <v>4484043.1</v>
      </c>
      <c r="R772">
        <v>0.987031165</v>
      </c>
      <c r="S772">
        <v>54484.12029</v>
      </c>
      <c r="T772">
        <v>1642953.4</v>
      </c>
    </row>
    <row r="773" spans="1:20">
      <c r="A773" t="s">
        <v>20</v>
      </c>
      <c r="B773" t="s">
        <v>316</v>
      </c>
      <c r="C773">
        <v>301049751</v>
      </c>
      <c r="D773">
        <v>73239990</v>
      </c>
      <c r="E773" t="s">
        <v>1526</v>
      </c>
      <c r="N773">
        <v>70560</v>
      </c>
      <c r="O773" t="s">
        <v>2747</v>
      </c>
      <c r="P773">
        <v>63.64621173</v>
      </c>
      <c r="Q773">
        <v>4490876.7</v>
      </c>
      <c r="R773">
        <v>0.773344006</v>
      </c>
      <c r="S773">
        <v>54567.1531</v>
      </c>
      <c r="T773">
        <v>1645457.2</v>
      </c>
    </row>
    <row r="774" spans="1:20">
      <c r="A774" t="s">
        <v>20</v>
      </c>
      <c r="B774" t="s">
        <v>316</v>
      </c>
      <c r="C774">
        <v>301049751</v>
      </c>
      <c r="D774">
        <v>73239990</v>
      </c>
      <c r="E774" t="s">
        <v>1527</v>
      </c>
      <c r="N774">
        <v>25680</v>
      </c>
      <c r="O774" t="s">
        <v>2747</v>
      </c>
      <c r="P774">
        <v>159.1155292</v>
      </c>
      <c r="Q774">
        <v>4086086.79</v>
      </c>
      <c r="R774">
        <v>1.933360015</v>
      </c>
      <c r="S774">
        <v>49648.68518</v>
      </c>
      <c r="T774">
        <v>1497142.2</v>
      </c>
    </row>
    <row r="775" spans="1:20">
      <c r="A775" t="s">
        <v>20</v>
      </c>
      <c r="B775" t="s">
        <v>316</v>
      </c>
      <c r="C775">
        <v>301049751</v>
      </c>
      <c r="D775">
        <v>73239990</v>
      </c>
      <c r="E775" t="s">
        <v>1528</v>
      </c>
      <c r="N775">
        <v>16800</v>
      </c>
      <c r="O775" t="s">
        <v>2747</v>
      </c>
      <c r="P775">
        <v>288.920303</v>
      </c>
      <c r="Q775">
        <v>4853861.09</v>
      </c>
      <c r="R775">
        <v>3.510574763</v>
      </c>
      <c r="S775">
        <v>58977.65601</v>
      </c>
      <c r="T775">
        <v>1778454.7</v>
      </c>
    </row>
    <row r="776" spans="1:20">
      <c r="A776" t="s">
        <v>20</v>
      </c>
      <c r="B776" t="s">
        <v>317</v>
      </c>
      <c r="C776">
        <v>301049751</v>
      </c>
      <c r="D776">
        <v>73239990</v>
      </c>
      <c r="E776" t="s">
        <v>1529</v>
      </c>
      <c r="N776">
        <v>6930</v>
      </c>
      <c r="O776" t="s">
        <v>2746</v>
      </c>
      <c r="P776">
        <v>567.9730346</v>
      </c>
      <c r="Q776">
        <v>3936053.13</v>
      </c>
      <c r="R776">
        <v>6.785818813</v>
      </c>
      <c r="S776">
        <v>47025.72437</v>
      </c>
      <c r="T776">
        <v>1442169.9</v>
      </c>
    </row>
    <row r="777" spans="1:20">
      <c r="A777" t="s">
        <v>20</v>
      </c>
      <c r="B777" t="s">
        <v>317</v>
      </c>
      <c r="C777">
        <v>301049751</v>
      </c>
      <c r="D777">
        <v>73239990</v>
      </c>
      <c r="E777" t="s">
        <v>1530</v>
      </c>
      <c r="N777">
        <v>535.8</v>
      </c>
      <c r="O777" t="s">
        <v>2746</v>
      </c>
      <c r="P777">
        <v>402.9685704</v>
      </c>
      <c r="Q777">
        <v>215910.56</v>
      </c>
      <c r="R777">
        <v>4.814439311</v>
      </c>
      <c r="S777">
        <v>2579.576583</v>
      </c>
      <c r="T777">
        <v>79109.60000000001</v>
      </c>
    </row>
    <row r="778" spans="1:20">
      <c r="A778" t="s">
        <v>20</v>
      </c>
      <c r="B778" t="s">
        <v>318</v>
      </c>
      <c r="C778">
        <v>301049751</v>
      </c>
      <c r="D778">
        <v>73239990</v>
      </c>
      <c r="E778" t="s">
        <v>1531</v>
      </c>
      <c r="N778">
        <v>11434.2</v>
      </c>
      <c r="O778" t="s">
        <v>2746</v>
      </c>
      <c r="P778">
        <v>417.0152551</v>
      </c>
      <c r="Q778">
        <v>4768235.83</v>
      </c>
      <c r="R778">
        <v>4.982261112</v>
      </c>
      <c r="S778">
        <v>56968.17001</v>
      </c>
      <c r="T778">
        <v>1747081.6</v>
      </c>
    </row>
    <row r="779" spans="1:20">
      <c r="A779" t="s">
        <v>20</v>
      </c>
      <c r="B779" t="s">
        <v>318</v>
      </c>
      <c r="C779">
        <v>301049751</v>
      </c>
      <c r="D779">
        <v>73239990</v>
      </c>
      <c r="E779" t="s">
        <v>1532</v>
      </c>
      <c r="N779">
        <v>7875</v>
      </c>
      <c r="O779" t="s">
        <v>2746</v>
      </c>
      <c r="P779">
        <v>522.3504508</v>
      </c>
      <c r="Q779">
        <v>4113509.8</v>
      </c>
      <c r="R779">
        <v>6.240746127</v>
      </c>
      <c r="S779">
        <v>49145.87575</v>
      </c>
      <c r="T779">
        <v>1507190</v>
      </c>
    </row>
    <row r="780" spans="1:20">
      <c r="A780" t="s">
        <v>20</v>
      </c>
      <c r="B780" t="s">
        <v>319</v>
      </c>
      <c r="C780">
        <v>301049751</v>
      </c>
      <c r="D780">
        <v>73239990</v>
      </c>
      <c r="E780" t="s">
        <v>1533</v>
      </c>
      <c r="N780">
        <v>2500</v>
      </c>
      <c r="O780" t="s">
        <v>2746</v>
      </c>
      <c r="P780">
        <v>559.0221</v>
      </c>
      <c r="Q780">
        <v>1397555.25</v>
      </c>
      <c r="R780">
        <v>6.678878136</v>
      </c>
      <c r="S780">
        <v>16697.19534</v>
      </c>
      <c r="T780">
        <v>512064.2</v>
      </c>
    </row>
    <row r="781" spans="1:20">
      <c r="A781" t="s">
        <v>20</v>
      </c>
      <c r="B781" t="s">
        <v>320</v>
      </c>
      <c r="C781">
        <v>301049751</v>
      </c>
      <c r="D781">
        <v>73231000</v>
      </c>
      <c r="E781" t="s">
        <v>1534</v>
      </c>
      <c r="N781">
        <v>7207.2</v>
      </c>
      <c r="O781" t="s">
        <v>2746</v>
      </c>
      <c r="P781">
        <v>231.5006521</v>
      </c>
      <c r="Q781">
        <v>1668471.5</v>
      </c>
      <c r="R781">
        <v>2.770803736</v>
      </c>
      <c r="S781">
        <v>19969.73668</v>
      </c>
      <c r="T781">
        <v>733460</v>
      </c>
    </row>
    <row r="782" spans="1:20">
      <c r="A782" t="s">
        <v>20</v>
      </c>
      <c r="B782" t="s">
        <v>320</v>
      </c>
      <c r="C782">
        <v>301049751</v>
      </c>
      <c r="D782">
        <v>73239990</v>
      </c>
      <c r="E782" t="s">
        <v>1535</v>
      </c>
      <c r="N782">
        <v>2057.7</v>
      </c>
      <c r="O782" t="s">
        <v>2746</v>
      </c>
      <c r="P782">
        <v>583.6131943</v>
      </c>
      <c r="Q782">
        <v>1200900.87</v>
      </c>
      <c r="R782">
        <v>6.98519682</v>
      </c>
      <c r="S782">
        <v>14373.4395</v>
      </c>
      <c r="T782">
        <v>440010.1</v>
      </c>
    </row>
    <row r="783" spans="1:20">
      <c r="A783" t="s">
        <v>20</v>
      </c>
      <c r="B783" t="s">
        <v>320</v>
      </c>
      <c r="C783">
        <v>301049751</v>
      </c>
      <c r="D783">
        <v>73239990</v>
      </c>
      <c r="E783" t="s">
        <v>1536</v>
      </c>
      <c r="N783">
        <v>5075.2</v>
      </c>
      <c r="O783" t="s">
        <v>2746</v>
      </c>
      <c r="P783">
        <v>505.4401423</v>
      </c>
      <c r="Q783">
        <v>2565209.81</v>
      </c>
      <c r="R783">
        <v>6.04955287</v>
      </c>
      <c r="S783">
        <v>30702.69072</v>
      </c>
      <c r="T783">
        <v>939892.9</v>
      </c>
    </row>
    <row r="784" spans="1:20">
      <c r="A784" t="s">
        <v>20</v>
      </c>
      <c r="B784" t="s">
        <v>320</v>
      </c>
      <c r="C784">
        <v>301049751</v>
      </c>
      <c r="D784">
        <v>73239990</v>
      </c>
      <c r="E784" t="s">
        <v>1532</v>
      </c>
      <c r="N784">
        <v>7875</v>
      </c>
      <c r="O784" t="s">
        <v>2746</v>
      </c>
      <c r="P784">
        <v>521.4145651</v>
      </c>
      <c r="Q784">
        <v>4106139.7</v>
      </c>
      <c r="R784">
        <v>6.240748834</v>
      </c>
      <c r="S784">
        <v>49145.89707</v>
      </c>
      <c r="T784">
        <v>1504489.6</v>
      </c>
    </row>
    <row r="785" spans="1:20">
      <c r="A785" t="s">
        <v>20</v>
      </c>
      <c r="B785" t="s">
        <v>320</v>
      </c>
      <c r="C785">
        <v>301049751</v>
      </c>
      <c r="D785">
        <v>73231000</v>
      </c>
      <c r="E785" t="s">
        <v>1537</v>
      </c>
      <c r="N785">
        <v>223.3</v>
      </c>
      <c r="O785" t="s">
        <v>2746</v>
      </c>
      <c r="P785">
        <v>251.9271384</v>
      </c>
      <c r="Q785">
        <v>56255.33</v>
      </c>
      <c r="R785">
        <v>3.015285917</v>
      </c>
      <c r="S785">
        <v>673.3133453</v>
      </c>
      <c r="T785">
        <v>24729.9</v>
      </c>
    </row>
    <row r="786" spans="1:20">
      <c r="A786" t="s">
        <v>20</v>
      </c>
      <c r="B786" t="s">
        <v>321</v>
      </c>
      <c r="C786">
        <v>301049751</v>
      </c>
      <c r="D786">
        <v>73239990</v>
      </c>
      <c r="E786" t="s">
        <v>1538</v>
      </c>
      <c r="N786">
        <v>427.5</v>
      </c>
      <c r="O786" t="s">
        <v>2746</v>
      </c>
      <c r="P786">
        <v>583.3426433</v>
      </c>
      <c r="Q786">
        <v>249378.98</v>
      </c>
      <c r="R786">
        <v>6.981958627</v>
      </c>
      <c r="S786">
        <v>2984.787313</v>
      </c>
      <c r="T786">
        <v>91372.5</v>
      </c>
    </row>
    <row r="787" spans="1:20">
      <c r="A787" t="s">
        <v>20</v>
      </c>
      <c r="B787" t="s">
        <v>321</v>
      </c>
      <c r="C787">
        <v>301049751</v>
      </c>
      <c r="D787">
        <v>73239990</v>
      </c>
      <c r="E787" t="s">
        <v>1539</v>
      </c>
      <c r="N787">
        <v>3801.6</v>
      </c>
      <c r="O787" t="s">
        <v>2746</v>
      </c>
      <c r="P787">
        <v>493.8711963</v>
      </c>
      <c r="Q787">
        <v>1877500.74</v>
      </c>
      <c r="R787">
        <v>5.911085534</v>
      </c>
      <c r="S787">
        <v>22471.58276</v>
      </c>
      <c r="T787">
        <v>687916.2</v>
      </c>
    </row>
    <row r="788" spans="1:20">
      <c r="A788" t="s">
        <v>20</v>
      </c>
      <c r="B788" t="s">
        <v>321</v>
      </c>
      <c r="C788">
        <v>301049751</v>
      </c>
      <c r="D788">
        <v>73239990</v>
      </c>
      <c r="E788" t="s">
        <v>1540</v>
      </c>
      <c r="N788">
        <v>3545.6</v>
      </c>
      <c r="O788" t="s">
        <v>2746</v>
      </c>
      <c r="P788">
        <v>492.2466212</v>
      </c>
      <c r="Q788">
        <v>1745309.62</v>
      </c>
      <c r="R788">
        <v>5.891641187</v>
      </c>
      <c r="S788">
        <v>20889.40299</v>
      </c>
      <c r="T788">
        <v>639481.4</v>
      </c>
    </row>
    <row r="789" spans="1:20">
      <c r="A789" t="s">
        <v>20</v>
      </c>
      <c r="B789" t="s">
        <v>322</v>
      </c>
      <c r="C789">
        <v>301049751</v>
      </c>
      <c r="D789">
        <v>73239990</v>
      </c>
      <c r="E789" t="s">
        <v>1541</v>
      </c>
      <c r="N789">
        <v>8232</v>
      </c>
      <c r="O789" t="s">
        <v>2746</v>
      </c>
      <c r="P789">
        <v>562.4123141</v>
      </c>
      <c r="Q789">
        <v>4629778.17</v>
      </c>
      <c r="R789">
        <v>6.73144601</v>
      </c>
      <c r="S789">
        <v>55413.26355</v>
      </c>
      <c r="T789">
        <v>1696350.7</v>
      </c>
    </row>
    <row r="790" spans="1:20">
      <c r="A790" t="s">
        <v>21</v>
      </c>
      <c r="B790" t="s">
        <v>323</v>
      </c>
      <c r="C790">
        <v>301049751</v>
      </c>
      <c r="D790">
        <v>73239990</v>
      </c>
      <c r="E790" t="s">
        <v>1542</v>
      </c>
      <c r="N790">
        <v>22080</v>
      </c>
      <c r="O790" t="s">
        <v>2748</v>
      </c>
      <c r="P790">
        <v>214.1640168</v>
      </c>
      <c r="Q790">
        <v>4728741.49</v>
      </c>
      <c r="R790">
        <v>2.563303612</v>
      </c>
      <c r="S790">
        <v>56597.74375</v>
      </c>
      <c r="T790">
        <v>1732610.9</v>
      </c>
    </row>
    <row r="791" spans="1:20">
      <c r="A791" t="s">
        <v>21</v>
      </c>
      <c r="B791" t="s">
        <v>323</v>
      </c>
      <c r="C791">
        <v>301049751</v>
      </c>
      <c r="D791">
        <v>73239990</v>
      </c>
      <c r="E791" t="s">
        <v>1543</v>
      </c>
      <c r="N791">
        <v>16800</v>
      </c>
      <c r="O791" t="s">
        <v>2748</v>
      </c>
      <c r="P791">
        <v>297.9297815</v>
      </c>
      <c r="Q791">
        <v>5005220.33</v>
      </c>
      <c r="R791">
        <v>3.565886075</v>
      </c>
      <c r="S791">
        <v>59906.88606</v>
      </c>
      <c r="T791">
        <v>1833912.8</v>
      </c>
    </row>
    <row r="792" spans="1:20">
      <c r="A792" t="s">
        <v>20</v>
      </c>
      <c r="B792" t="s">
        <v>324</v>
      </c>
      <c r="C792">
        <v>301049751</v>
      </c>
      <c r="D792">
        <v>73239990</v>
      </c>
      <c r="E792" t="s">
        <v>1544</v>
      </c>
      <c r="N792">
        <v>5108.4</v>
      </c>
      <c r="O792" t="s">
        <v>2746</v>
      </c>
      <c r="P792">
        <v>583.0224317</v>
      </c>
      <c r="Q792">
        <v>2978311.79</v>
      </c>
      <c r="R792">
        <v>6.978126052</v>
      </c>
      <c r="S792">
        <v>35647.05913</v>
      </c>
      <c r="T792">
        <v>1091253.5</v>
      </c>
    </row>
    <row r="793" spans="1:20">
      <c r="A793" t="s">
        <v>20</v>
      </c>
      <c r="B793" t="s">
        <v>324</v>
      </c>
      <c r="C793">
        <v>301049751</v>
      </c>
      <c r="D793">
        <v>73239990</v>
      </c>
      <c r="E793" t="s">
        <v>1545</v>
      </c>
      <c r="N793">
        <v>2166</v>
      </c>
      <c r="O793" t="s">
        <v>2746</v>
      </c>
      <c r="P793">
        <v>582.9617359</v>
      </c>
      <c r="Q793">
        <v>1262695.12</v>
      </c>
      <c r="R793">
        <v>6.977399592</v>
      </c>
      <c r="S793">
        <v>15113.04752</v>
      </c>
      <c r="T793">
        <v>462651.5</v>
      </c>
    </row>
    <row r="794" spans="1:20">
      <c r="A794" t="s">
        <v>20</v>
      </c>
      <c r="B794" t="s">
        <v>324</v>
      </c>
      <c r="C794">
        <v>301049751</v>
      </c>
      <c r="D794">
        <v>73239990</v>
      </c>
      <c r="E794" t="s">
        <v>1546</v>
      </c>
      <c r="N794">
        <v>7747.2</v>
      </c>
      <c r="O794" t="s">
        <v>2746</v>
      </c>
      <c r="P794">
        <v>493.548717</v>
      </c>
      <c r="Q794">
        <v>3823620.62</v>
      </c>
      <c r="R794">
        <v>5.907225816</v>
      </c>
      <c r="S794">
        <v>45764.45984</v>
      </c>
      <c r="T794">
        <v>1400974.6</v>
      </c>
    </row>
    <row r="795" spans="1:20">
      <c r="A795" t="s">
        <v>20</v>
      </c>
      <c r="B795" t="s">
        <v>325</v>
      </c>
      <c r="C795">
        <v>301049751</v>
      </c>
      <c r="D795">
        <v>73239990</v>
      </c>
      <c r="E795" t="s">
        <v>1547</v>
      </c>
      <c r="N795">
        <v>7875</v>
      </c>
      <c r="O795" t="s">
        <v>2746</v>
      </c>
      <c r="P795">
        <v>260.8923251</v>
      </c>
      <c r="Q795">
        <v>2054527.06</v>
      </c>
      <c r="R795">
        <v>3.122589169</v>
      </c>
      <c r="S795">
        <v>24590.38971</v>
      </c>
      <c r="T795">
        <v>752778.7</v>
      </c>
    </row>
    <row r="796" spans="1:20">
      <c r="A796" t="s">
        <v>20</v>
      </c>
      <c r="B796" t="s">
        <v>325</v>
      </c>
      <c r="C796">
        <v>301049751</v>
      </c>
      <c r="D796">
        <v>73239990</v>
      </c>
      <c r="E796" t="s">
        <v>1548</v>
      </c>
      <c r="N796">
        <v>3819</v>
      </c>
      <c r="O796" t="s">
        <v>2746</v>
      </c>
      <c r="P796">
        <v>583.8899974</v>
      </c>
      <c r="Q796">
        <v>2229875.9</v>
      </c>
      <c r="R796">
        <v>6.988509843</v>
      </c>
      <c r="S796">
        <v>26689.11909</v>
      </c>
      <c r="T796">
        <v>817026.5</v>
      </c>
    </row>
    <row r="797" spans="1:20">
      <c r="A797" t="s">
        <v>20</v>
      </c>
      <c r="B797" t="s">
        <v>325</v>
      </c>
      <c r="C797">
        <v>301049751</v>
      </c>
      <c r="D797">
        <v>73239990</v>
      </c>
      <c r="E797" t="s">
        <v>1549</v>
      </c>
      <c r="N797">
        <v>3888</v>
      </c>
      <c r="O797" t="s">
        <v>2746</v>
      </c>
      <c r="P797">
        <v>494.3346065</v>
      </c>
      <c r="Q797">
        <v>1921972.95</v>
      </c>
      <c r="R797">
        <v>5.916632034</v>
      </c>
      <c r="S797">
        <v>23003.86535</v>
      </c>
      <c r="T797">
        <v>704210.9</v>
      </c>
    </row>
    <row r="798" spans="1:20">
      <c r="A798" t="s">
        <v>20</v>
      </c>
      <c r="B798" t="s">
        <v>326</v>
      </c>
      <c r="C798">
        <v>301049751</v>
      </c>
      <c r="D798">
        <v>73239990</v>
      </c>
      <c r="E798" t="s">
        <v>1550</v>
      </c>
      <c r="N798">
        <v>2931.2</v>
      </c>
      <c r="O798" t="s">
        <v>2746</v>
      </c>
      <c r="P798">
        <v>472.8601767</v>
      </c>
      <c r="Q798">
        <v>1386047.75</v>
      </c>
      <c r="R798">
        <v>5.766587521</v>
      </c>
      <c r="S798">
        <v>16903.02134</v>
      </c>
      <c r="T798">
        <v>507848</v>
      </c>
    </row>
    <row r="799" spans="1:20">
      <c r="A799" t="s">
        <v>20</v>
      </c>
      <c r="B799" t="s">
        <v>326</v>
      </c>
      <c r="C799">
        <v>301049751</v>
      </c>
      <c r="D799">
        <v>73239990</v>
      </c>
      <c r="E799" t="s">
        <v>1551</v>
      </c>
      <c r="N799">
        <v>43.2</v>
      </c>
      <c r="O799" t="s">
        <v>2746</v>
      </c>
      <c r="P799">
        <v>572.9060185</v>
      </c>
      <c r="Q799">
        <v>24749.54</v>
      </c>
      <c r="R799">
        <v>6.986658762</v>
      </c>
      <c r="S799">
        <v>301.8236585</v>
      </c>
      <c r="T799">
        <v>9068.200000000001</v>
      </c>
    </row>
    <row r="800" spans="1:20">
      <c r="A800" t="s">
        <v>20</v>
      </c>
      <c r="B800" t="s">
        <v>326</v>
      </c>
      <c r="C800">
        <v>301049751</v>
      </c>
      <c r="D800">
        <v>73239990</v>
      </c>
      <c r="E800" t="s">
        <v>1552</v>
      </c>
      <c r="N800">
        <v>889.2</v>
      </c>
      <c r="O800" t="s">
        <v>2746</v>
      </c>
      <c r="P800">
        <v>572.8467836</v>
      </c>
      <c r="Q800">
        <v>509375.36</v>
      </c>
      <c r="R800">
        <v>6.985936386</v>
      </c>
      <c r="S800">
        <v>6211.894634</v>
      </c>
      <c r="T800">
        <v>186635.2</v>
      </c>
    </row>
    <row r="801" spans="1:20">
      <c r="A801" t="s">
        <v>20</v>
      </c>
      <c r="B801" t="s">
        <v>326</v>
      </c>
      <c r="C801">
        <v>301049751</v>
      </c>
      <c r="D801">
        <v>73239990</v>
      </c>
      <c r="E801" t="s">
        <v>1553</v>
      </c>
      <c r="N801">
        <v>3628.8</v>
      </c>
      <c r="O801" t="s">
        <v>2746</v>
      </c>
      <c r="P801">
        <v>483.3895392</v>
      </c>
      <c r="Q801">
        <v>1754123.96</v>
      </c>
      <c r="R801">
        <v>5.894994381</v>
      </c>
      <c r="S801">
        <v>21391.75561</v>
      </c>
      <c r="T801">
        <v>642711.1</v>
      </c>
    </row>
    <row r="802" spans="1:20">
      <c r="A802" t="s">
        <v>20</v>
      </c>
      <c r="B802" t="s">
        <v>327</v>
      </c>
      <c r="C802">
        <v>301049751</v>
      </c>
      <c r="D802">
        <v>73231000</v>
      </c>
      <c r="E802" t="s">
        <v>1554</v>
      </c>
      <c r="N802">
        <v>7653.8</v>
      </c>
      <c r="O802" t="s">
        <v>2746</v>
      </c>
      <c r="P802">
        <v>247.1884136</v>
      </c>
      <c r="Q802">
        <v>1891930.68</v>
      </c>
      <c r="R802">
        <v>3.014492849</v>
      </c>
      <c r="S802">
        <v>23072.32537</v>
      </c>
      <c r="T802">
        <v>831692.7</v>
      </c>
    </row>
    <row r="803" spans="1:20">
      <c r="A803" t="s">
        <v>20</v>
      </c>
      <c r="B803" t="s">
        <v>327</v>
      </c>
      <c r="C803">
        <v>301049751</v>
      </c>
      <c r="D803">
        <v>73231000</v>
      </c>
      <c r="E803" t="s">
        <v>1555</v>
      </c>
      <c r="N803">
        <v>8677.15</v>
      </c>
      <c r="O803" t="s">
        <v>2746</v>
      </c>
      <c r="P803">
        <v>252.8131898</v>
      </c>
      <c r="Q803">
        <v>2193697.97</v>
      </c>
      <c r="R803">
        <v>3.083087681</v>
      </c>
      <c r="S803">
        <v>26752.41427</v>
      </c>
      <c r="T803">
        <v>964349.7</v>
      </c>
    </row>
    <row r="804" spans="1:20">
      <c r="A804" t="s">
        <v>20</v>
      </c>
      <c r="B804" t="s">
        <v>328</v>
      </c>
      <c r="C804">
        <v>301049751</v>
      </c>
      <c r="D804">
        <v>73239990</v>
      </c>
      <c r="E804" t="s">
        <v>1556</v>
      </c>
      <c r="N804">
        <v>6975</v>
      </c>
      <c r="O804" t="s">
        <v>2746</v>
      </c>
      <c r="P804">
        <v>502.1159857</v>
      </c>
      <c r="Q804">
        <v>3502259</v>
      </c>
      <c r="R804">
        <v>6.123365679</v>
      </c>
      <c r="S804">
        <v>42710.47561</v>
      </c>
      <c r="T804">
        <v>1283227.7</v>
      </c>
    </row>
    <row r="805" spans="1:20">
      <c r="A805" t="s">
        <v>20</v>
      </c>
      <c r="B805" t="s">
        <v>329</v>
      </c>
      <c r="C805">
        <v>301049751</v>
      </c>
      <c r="D805">
        <v>73239990</v>
      </c>
      <c r="E805" t="s">
        <v>1557</v>
      </c>
      <c r="N805">
        <v>5709.6</v>
      </c>
      <c r="O805" t="s">
        <v>2746</v>
      </c>
      <c r="P805">
        <v>1041.580969</v>
      </c>
      <c r="Q805">
        <v>5947010.7</v>
      </c>
      <c r="R805">
        <v>12.60993909</v>
      </c>
      <c r="S805">
        <v>71997.70823</v>
      </c>
      <c r="T805">
        <v>2178984.7</v>
      </c>
    </row>
    <row r="806" spans="1:20">
      <c r="A806" t="s">
        <v>20</v>
      </c>
      <c r="B806" t="s">
        <v>330</v>
      </c>
      <c r="C806">
        <v>301049751</v>
      </c>
      <c r="D806">
        <v>73239990</v>
      </c>
      <c r="E806" t="s">
        <v>1558</v>
      </c>
      <c r="N806">
        <v>8232</v>
      </c>
      <c r="O806" t="s">
        <v>2746</v>
      </c>
      <c r="P806">
        <v>556.0189699</v>
      </c>
      <c r="Q806">
        <v>4577148.16</v>
      </c>
      <c r="R806">
        <v>6.731464526</v>
      </c>
      <c r="S806">
        <v>55413.41598</v>
      </c>
      <c r="T806">
        <v>1677067.1</v>
      </c>
    </row>
    <row r="807" spans="1:20">
      <c r="A807" t="s">
        <v>20</v>
      </c>
      <c r="B807" t="s">
        <v>330</v>
      </c>
      <c r="C807">
        <v>301049751</v>
      </c>
      <c r="D807">
        <v>73239990</v>
      </c>
      <c r="E807" t="s">
        <v>1559</v>
      </c>
      <c r="N807">
        <v>4620</v>
      </c>
      <c r="O807" t="s">
        <v>2746</v>
      </c>
      <c r="P807">
        <v>563.2033570999999</v>
      </c>
      <c r="Q807">
        <v>2601999.51</v>
      </c>
      <c r="R807">
        <v>6.81844258</v>
      </c>
      <c r="S807">
        <v>31501.20472</v>
      </c>
      <c r="T807">
        <v>953372.6</v>
      </c>
    </row>
    <row r="808" spans="1:20">
      <c r="A808" t="s">
        <v>20</v>
      </c>
      <c r="B808" t="s">
        <v>331</v>
      </c>
      <c r="C808">
        <v>301049751</v>
      </c>
      <c r="D808">
        <v>73239990</v>
      </c>
      <c r="E808" t="s">
        <v>1560</v>
      </c>
      <c r="N808">
        <v>8153</v>
      </c>
      <c r="O808" t="s">
        <v>2746</v>
      </c>
      <c r="P808">
        <v>517.3384092</v>
      </c>
      <c r="Q808">
        <v>4217860.05</v>
      </c>
      <c r="R808">
        <v>6.263176867</v>
      </c>
      <c r="S808">
        <v>51063.68099</v>
      </c>
      <c r="T808">
        <v>1545423.9</v>
      </c>
    </row>
    <row r="809" spans="1:20">
      <c r="A809" t="s">
        <v>20</v>
      </c>
      <c r="B809" t="s">
        <v>331</v>
      </c>
      <c r="C809">
        <v>301049751</v>
      </c>
      <c r="D809">
        <v>73239990</v>
      </c>
      <c r="E809" t="s">
        <v>1561</v>
      </c>
      <c r="N809">
        <v>5766.4</v>
      </c>
      <c r="O809" t="s">
        <v>2746</v>
      </c>
      <c r="P809">
        <v>512.1461466</v>
      </c>
      <c r="Q809">
        <v>2953239.54</v>
      </c>
      <c r="R809">
        <v>6.200316545</v>
      </c>
      <c r="S809">
        <v>35753.50533</v>
      </c>
      <c r="T809">
        <v>1082067</v>
      </c>
    </row>
    <row r="810" spans="1:20">
      <c r="A810" t="s">
        <v>20</v>
      </c>
      <c r="B810" t="s">
        <v>331</v>
      </c>
      <c r="C810">
        <v>301049751</v>
      </c>
      <c r="D810">
        <v>73239990</v>
      </c>
      <c r="E810" t="s">
        <v>1562</v>
      </c>
      <c r="N810">
        <v>570</v>
      </c>
      <c r="O810" t="s">
        <v>2746</v>
      </c>
      <c r="P810">
        <v>607.9007544</v>
      </c>
      <c r="Q810">
        <v>346503.43</v>
      </c>
      <c r="R810">
        <v>7.359573298</v>
      </c>
      <c r="S810">
        <v>4194.95678</v>
      </c>
      <c r="T810">
        <v>126958.9</v>
      </c>
    </row>
    <row r="811" spans="1:20">
      <c r="A811" t="s">
        <v>20</v>
      </c>
      <c r="B811" t="s">
        <v>331</v>
      </c>
      <c r="C811">
        <v>301049751</v>
      </c>
      <c r="D811">
        <v>73239990</v>
      </c>
      <c r="E811" t="s">
        <v>1563</v>
      </c>
      <c r="N811">
        <v>90</v>
      </c>
      <c r="O811" t="s">
        <v>2746</v>
      </c>
      <c r="P811">
        <v>608.7222222</v>
      </c>
      <c r="Q811">
        <v>54785</v>
      </c>
      <c r="R811">
        <v>7.369518429</v>
      </c>
      <c r="S811">
        <v>663.2566586</v>
      </c>
      <c r="T811">
        <v>20073.2</v>
      </c>
    </row>
    <row r="812" spans="1:20">
      <c r="A812" t="s">
        <v>20</v>
      </c>
      <c r="B812" t="s">
        <v>331</v>
      </c>
      <c r="C812">
        <v>301049751</v>
      </c>
      <c r="D812">
        <v>73239990</v>
      </c>
      <c r="E812" t="s">
        <v>1564</v>
      </c>
      <c r="N812">
        <v>96</v>
      </c>
      <c r="O812" t="s">
        <v>2746</v>
      </c>
      <c r="P812">
        <v>634.0857291999999</v>
      </c>
      <c r="Q812">
        <v>60872.23</v>
      </c>
      <c r="R812">
        <v>7.676582678</v>
      </c>
      <c r="S812">
        <v>736.951937</v>
      </c>
      <c r="T812">
        <v>22303.5</v>
      </c>
    </row>
    <row r="813" spans="1:20">
      <c r="A813" t="s">
        <v>20</v>
      </c>
      <c r="B813" t="s">
        <v>331</v>
      </c>
      <c r="C813">
        <v>301049751</v>
      </c>
      <c r="D813">
        <v>73231000</v>
      </c>
      <c r="E813" t="s">
        <v>1565</v>
      </c>
      <c r="N813">
        <v>4900</v>
      </c>
      <c r="O813" t="s">
        <v>2746</v>
      </c>
      <c r="P813">
        <v>491.7607633</v>
      </c>
      <c r="Q813">
        <v>2409627.74</v>
      </c>
      <c r="R813">
        <v>5.953520136</v>
      </c>
      <c r="S813">
        <v>29172.24867</v>
      </c>
      <c r="T813">
        <v>1059272.4</v>
      </c>
    </row>
    <row r="814" spans="1:20">
      <c r="A814" t="s">
        <v>20</v>
      </c>
      <c r="B814" t="s">
        <v>332</v>
      </c>
      <c r="C814">
        <v>301049751</v>
      </c>
      <c r="D814">
        <v>73239990</v>
      </c>
      <c r="E814" t="s">
        <v>1566</v>
      </c>
      <c r="N814">
        <v>10561.6</v>
      </c>
      <c r="O814" t="s">
        <v>2746</v>
      </c>
      <c r="P814">
        <v>442.4214447</v>
      </c>
      <c r="Q814">
        <v>4672678.33</v>
      </c>
      <c r="R814">
        <v>5.356191824</v>
      </c>
      <c r="S814">
        <v>56569.95557</v>
      </c>
      <c r="T814">
        <v>1712069.4</v>
      </c>
    </row>
    <row r="815" spans="1:20">
      <c r="A815" t="s">
        <v>20</v>
      </c>
      <c r="B815" t="s">
        <v>332</v>
      </c>
      <c r="C815">
        <v>301049751</v>
      </c>
      <c r="D815">
        <v>73239990</v>
      </c>
      <c r="E815" t="s">
        <v>1567</v>
      </c>
      <c r="N815">
        <v>8945.200000000001</v>
      </c>
      <c r="O815" t="s">
        <v>2746</v>
      </c>
      <c r="P815">
        <v>465.4506741</v>
      </c>
      <c r="Q815">
        <v>4163549.37</v>
      </c>
      <c r="R815">
        <v>5.634996055</v>
      </c>
      <c r="S815">
        <v>50406.16671</v>
      </c>
      <c r="T815">
        <v>1525524.5</v>
      </c>
    </row>
    <row r="816" spans="1:20">
      <c r="A816" t="s">
        <v>20</v>
      </c>
      <c r="B816" t="s">
        <v>333</v>
      </c>
      <c r="C816">
        <v>301049751</v>
      </c>
      <c r="D816">
        <v>73239990</v>
      </c>
      <c r="E816" t="s">
        <v>1568</v>
      </c>
      <c r="N816">
        <v>6310.4</v>
      </c>
      <c r="O816" t="s">
        <v>2746</v>
      </c>
      <c r="P816">
        <v>518.7085224</v>
      </c>
      <c r="Q816">
        <v>3273258.26</v>
      </c>
      <c r="R816">
        <v>6.18983917</v>
      </c>
      <c r="S816">
        <v>39060.3611</v>
      </c>
      <c r="T816">
        <v>1199321.9</v>
      </c>
    </row>
    <row r="817" spans="1:20">
      <c r="A817" t="s">
        <v>20</v>
      </c>
      <c r="B817" t="s">
        <v>333</v>
      </c>
      <c r="C817">
        <v>301049751</v>
      </c>
      <c r="D817">
        <v>73239990</v>
      </c>
      <c r="E817" t="s">
        <v>1569</v>
      </c>
      <c r="N817">
        <v>1362.3</v>
      </c>
      <c r="O817" t="s">
        <v>2746</v>
      </c>
      <c r="P817">
        <v>615.6900903</v>
      </c>
      <c r="Q817">
        <v>838754.61</v>
      </c>
      <c r="R817">
        <v>7.347137116</v>
      </c>
      <c r="S817">
        <v>10009.00489</v>
      </c>
      <c r="T817">
        <v>307319.7</v>
      </c>
    </row>
    <row r="818" spans="1:20">
      <c r="A818" t="s">
        <v>20</v>
      </c>
      <c r="B818" t="s">
        <v>333</v>
      </c>
      <c r="C818">
        <v>301049751</v>
      </c>
      <c r="D818">
        <v>73239990</v>
      </c>
      <c r="E818" t="s">
        <v>1556</v>
      </c>
      <c r="N818">
        <v>6975</v>
      </c>
      <c r="O818" t="s">
        <v>2746</v>
      </c>
      <c r="P818">
        <v>518.5417921</v>
      </c>
      <c r="Q818">
        <v>3616829</v>
      </c>
      <c r="R818">
        <v>6.187849548</v>
      </c>
      <c r="S818">
        <v>43160.2506</v>
      </c>
      <c r="T818">
        <v>1325206.2</v>
      </c>
    </row>
    <row r="819" spans="1:20">
      <c r="A819" t="s">
        <v>20</v>
      </c>
      <c r="B819" t="s">
        <v>334</v>
      </c>
      <c r="C819">
        <v>301049751</v>
      </c>
      <c r="D819">
        <v>73239990</v>
      </c>
      <c r="E819" t="s">
        <v>1570</v>
      </c>
      <c r="N819">
        <v>4050</v>
      </c>
      <c r="O819" t="s">
        <v>2746</v>
      </c>
      <c r="P819">
        <v>251.5588593</v>
      </c>
      <c r="Q819">
        <v>1018813.38</v>
      </c>
      <c r="R819">
        <v>3.001895695</v>
      </c>
      <c r="S819">
        <v>12157.67757</v>
      </c>
      <c r="T819">
        <v>373293.3</v>
      </c>
    </row>
    <row r="820" spans="1:20">
      <c r="A820" t="s">
        <v>20</v>
      </c>
      <c r="B820" t="s">
        <v>335</v>
      </c>
      <c r="C820">
        <v>301049751</v>
      </c>
      <c r="D820">
        <v>73239990</v>
      </c>
      <c r="E820" t="s">
        <v>1571</v>
      </c>
      <c r="N820">
        <v>8451</v>
      </c>
      <c r="O820" t="s">
        <v>2746</v>
      </c>
      <c r="P820">
        <v>381.445597</v>
      </c>
      <c r="Q820">
        <v>3223596.74</v>
      </c>
      <c r="R820">
        <v>4.551856766</v>
      </c>
      <c r="S820">
        <v>38467.74153</v>
      </c>
      <c r="T820">
        <v>1181125.8</v>
      </c>
    </row>
    <row r="821" spans="1:20">
      <c r="A821" t="s">
        <v>20</v>
      </c>
      <c r="B821" t="s">
        <v>335</v>
      </c>
      <c r="C821">
        <v>301049751</v>
      </c>
      <c r="D821">
        <v>73239990</v>
      </c>
      <c r="E821" t="s">
        <v>1572</v>
      </c>
      <c r="N821">
        <v>9512</v>
      </c>
      <c r="O821" t="s">
        <v>2746</v>
      </c>
      <c r="P821">
        <v>365.9008221</v>
      </c>
      <c r="Q821">
        <v>3480448.62</v>
      </c>
      <c r="R821">
        <v>4.366358259</v>
      </c>
      <c r="S821">
        <v>41532.79976</v>
      </c>
      <c r="T821">
        <v>1275236.4</v>
      </c>
    </row>
    <row r="822" spans="1:20">
      <c r="A822" t="s">
        <v>20</v>
      </c>
      <c r="B822" t="s">
        <v>336</v>
      </c>
      <c r="C822">
        <v>301049751</v>
      </c>
      <c r="D822">
        <v>73231000</v>
      </c>
      <c r="E822" t="s">
        <v>1555</v>
      </c>
      <c r="N822">
        <v>8677.15</v>
      </c>
      <c r="O822" t="s">
        <v>2746</v>
      </c>
      <c r="P822">
        <v>260.7683133</v>
      </c>
      <c r="Q822">
        <v>2262725.77</v>
      </c>
      <c r="R822">
        <v>3.111793715</v>
      </c>
      <c r="S822">
        <v>27001.50084</v>
      </c>
      <c r="T822">
        <v>994694.3</v>
      </c>
    </row>
    <row r="823" spans="1:20">
      <c r="A823" t="s">
        <v>20</v>
      </c>
      <c r="B823" t="s">
        <v>337</v>
      </c>
      <c r="C823">
        <v>301049751</v>
      </c>
      <c r="D823">
        <v>73239990</v>
      </c>
      <c r="E823" t="s">
        <v>1573</v>
      </c>
      <c r="N823">
        <v>4620</v>
      </c>
      <c r="O823" t="s">
        <v>2746</v>
      </c>
      <c r="P823">
        <v>554.0316688</v>
      </c>
      <c r="Q823">
        <v>2559626.31</v>
      </c>
      <c r="R823">
        <v>6.61135643</v>
      </c>
      <c r="S823">
        <v>30544.46671</v>
      </c>
      <c r="T823">
        <v>937847.1</v>
      </c>
    </row>
    <row r="824" spans="1:20">
      <c r="A824" t="s">
        <v>20</v>
      </c>
      <c r="B824" t="s">
        <v>337</v>
      </c>
      <c r="C824">
        <v>301049751</v>
      </c>
      <c r="D824">
        <v>73239990</v>
      </c>
      <c r="E824" t="s">
        <v>1574</v>
      </c>
      <c r="N824">
        <v>6930</v>
      </c>
      <c r="O824" t="s">
        <v>2746</v>
      </c>
      <c r="P824">
        <v>250.0677821</v>
      </c>
      <c r="Q824">
        <v>1732969.73</v>
      </c>
      <c r="R824">
        <v>2.984102412</v>
      </c>
      <c r="S824">
        <v>20679.82971</v>
      </c>
      <c r="T824">
        <v>634960.1</v>
      </c>
    </row>
    <row r="825" spans="1:20">
      <c r="A825" t="s">
        <v>20</v>
      </c>
      <c r="B825" t="s">
        <v>337</v>
      </c>
      <c r="C825">
        <v>301049751</v>
      </c>
      <c r="D825">
        <v>73231000</v>
      </c>
      <c r="E825" t="s">
        <v>1575</v>
      </c>
      <c r="N825">
        <v>4942</v>
      </c>
      <c r="O825" t="s">
        <v>2746</v>
      </c>
      <c r="P825">
        <v>497.448883</v>
      </c>
      <c r="Q825">
        <v>2458392.38</v>
      </c>
      <c r="R825">
        <v>5.936144189</v>
      </c>
      <c r="S825">
        <v>29336.42458</v>
      </c>
      <c r="T825">
        <v>1080709.3</v>
      </c>
    </row>
    <row r="826" spans="1:20">
      <c r="A826" t="s">
        <v>20</v>
      </c>
      <c r="B826" t="s">
        <v>338</v>
      </c>
      <c r="C826">
        <v>301049751</v>
      </c>
      <c r="D826">
        <v>73239990</v>
      </c>
      <c r="E826" t="s">
        <v>1576</v>
      </c>
      <c r="N826">
        <v>2450</v>
      </c>
      <c r="O826" t="s">
        <v>2746</v>
      </c>
      <c r="P826">
        <v>490.6718122</v>
      </c>
      <c r="Q826">
        <v>1202145.94</v>
      </c>
      <c r="R826">
        <v>5.848293352</v>
      </c>
      <c r="S826">
        <v>14328.31871</v>
      </c>
      <c r="T826">
        <v>440466.3</v>
      </c>
    </row>
    <row r="827" spans="1:20">
      <c r="A827" t="s">
        <v>20</v>
      </c>
      <c r="B827" t="s">
        <v>338</v>
      </c>
      <c r="C827">
        <v>301049751</v>
      </c>
      <c r="D827">
        <v>73239990</v>
      </c>
      <c r="E827" t="s">
        <v>1577</v>
      </c>
      <c r="N827">
        <v>4143.9</v>
      </c>
      <c r="O827" t="s">
        <v>2746</v>
      </c>
      <c r="P827">
        <v>613.4219914</v>
      </c>
      <c r="Q827">
        <v>2541959.39</v>
      </c>
      <c r="R827">
        <v>7.311346739</v>
      </c>
      <c r="S827">
        <v>30297.48975</v>
      </c>
      <c r="T827">
        <v>931374</v>
      </c>
    </row>
    <row r="828" spans="1:20">
      <c r="A828" t="s">
        <v>20</v>
      </c>
      <c r="B828" t="s">
        <v>338</v>
      </c>
      <c r="C828">
        <v>301049751</v>
      </c>
      <c r="D828">
        <v>73239990</v>
      </c>
      <c r="E828" t="s">
        <v>1578</v>
      </c>
      <c r="N828">
        <v>11970</v>
      </c>
      <c r="O828" t="s">
        <v>2746</v>
      </c>
      <c r="P828">
        <v>397.2742498</v>
      </c>
      <c r="Q828">
        <v>4755372.77</v>
      </c>
      <c r="R828">
        <v>4.735092369</v>
      </c>
      <c r="S828">
        <v>56679.05566</v>
      </c>
      <c r="T828">
        <v>1742368.7</v>
      </c>
    </row>
    <row r="829" spans="1:20">
      <c r="A829" t="s">
        <v>20</v>
      </c>
      <c r="B829" t="s">
        <v>338</v>
      </c>
      <c r="C829">
        <v>301049751</v>
      </c>
      <c r="D829">
        <v>73239990</v>
      </c>
      <c r="E829" t="s">
        <v>1579</v>
      </c>
      <c r="N829">
        <v>3251.2</v>
      </c>
      <c r="O829" t="s">
        <v>2746</v>
      </c>
      <c r="P829">
        <v>522.7040354</v>
      </c>
      <c r="Q829">
        <v>1699415.36</v>
      </c>
      <c r="R829">
        <v>6.230083855</v>
      </c>
      <c r="S829">
        <v>20255.24863</v>
      </c>
      <c r="T829">
        <v>622665.8</v>
      </c>
    </row>
    <row r="830" spans="1:20">
      <c r="A830" t="s">
        <v>20</v>
      </c>
      <c r="B830" t="s">
        <v>339</v>
      </c>
      <c r="C830">
        <v>301049751</v>
      </c>
      <c r="D830">
        <v>73239990</v>
      </c>
      <c r="E830" t="s">
        <v>1580</v>
      </c>
      <c r="N830">
        <v>1700</v>
      </c>
      <c r="O830" t="s">
        <v>2746</v>
      </c>
      <c r="P830">
        <v>600.5886118</v>
      </c>
      <c r="Q830">
        <v>1021000.64</v>
      </c>
      <c r="R830">
        <v>7.158386314</v>
      </c>
      <c r="S830">
        <v>12169.25673</v>
      </c>
      <c r="T830">
        <v>374094.6</v>
      </c>
    </row>
    <row r="831" spans="1:20">
      <c r="A831" t="s">
        <v>20</v>
      </c>
      <c r="B831" t="s">
        <v>340</v>
      </c>
      <c r="C831">
        <v>301049751</v>
      </c>
      <c r="D831">
        <v>73239990</v>
      </c>
      <c r="E831" t="s">
        <v>1581</v>
      </c>
      <c r="N831">
        <v>3481.6</v>
      </c>
      <c r="O831" t="s">
        <v>2746</v>
      </c>
      <c r="P831">
        <v>515.4764534</v>
      </c>
      <c r="Q831">
        <v>1794682.82</v>
      </c>
      <c r="R831">
        <v>6.143938657</v>
      </c>
      <c r="S831">
        <v>21390.73683</v>
      </c>
      <c r="T831">
        <v>657571.9</v>
      </c>
    </row>
    <row r="832" spans="1:20">
      <c r="A832" t="s">
        <v>20</v>
      </c>
      <c r="B832" t="s">
        <v>340</v>
      </c>
      <c r="C832">
        <v>301049751</v>
      </c>
      <c r="D832">
        <v>73239990</v>
      </c>
      <c r="E832" t="s">
        <v>1582</v>
      </c>
      <c r="N832">
        <v>10561.6</v>
      </c>
      <c r="O832" t="s">
        <v>2746</v>
      </c>
      <c r="P832">
        <v>467.0604217</v>
      </c>
      <c r="Q832">
        <v>4932905.35</v>
      </c>
      <c r="R832">
        <v>5.566870342</v>
      </c>
      <c r="S832">
        <v>58795.05781</v>
      </c>
      <c r="T832">
        <v>1807416.5</v>
      </c>
    </row>
    <row r="833" spans="1:20">
      <c r="A833" t="s">
        <v>20</v>
      </c>
      <c r="B833" t="s">
        <v>340</v>
      </c>
      <c r="C833">
        <v>301049751</v>
      </c>
      <c r="D833">
        <v>73239990</v>
      </c>
      <c r="E833" t="s">
        <v>1583</v>
      </c>
      <c r="N833">
        <v>3978.6</v>
      </c>
      <c r="O833" t="s">
        <v>2746</v>
      </c>
      <c r="P833">
        <v>611.8537274</v>
      </c>
      <c r="Q833">
        <v>2434321.24</v>
      </c>
      <c r="R833">
        <v>7.292654677</v>
      </c>
      <c r="S833">
        <v>29014.5559</v>
      </c>
      <c r="T833">
        <v>891935.2</v>
      </c>
    </row>
    <row r="834" spans="1:20">
      <c r="A834" t="s">
        <v>20</v>
      </c>
      <c r="B834" t="s">
        <v>340</v>
      </c>
      <c r="C834">
        <v>301049751</v>
      </c>
      <c r="D834">
        <v>73231000</v>
      </c>
      <c r="E834" t="s">
        <v>1584</v>
      </c>
      <c r="N834">
        <v>4809</v>
      </c>
      <c r="O834" t="s">
        <v>2746</v>
      </c>
      <c r="P834">
        <v>503.6067727</v>
      </c>
      <c r="Q834">
        <v>2421844.97</v>
      </c>
      <c r="R834">
        <v>6.002464514</v>
      </c>
      <c r="S834">
        <v>28865.85185</v>
      </c>
      <c r="T834">
        <v>1064643.1</v>
      </c>
    </row>
    <row r="835" spans="1:20">
      <c r="A835" t="s">
        <v>20</v>
      </c>
      <c r="B835" t="s">
        <v>340</v>
      </c>
      <c r="C835">
        <v>301049751</v>
      </c>
      <c r="D835">
        <v>73239990</v>
      </c>
      <c r="E835" t="s">
        <v>1585</v>
      </c>
      <c r="N835">
        <v>8945.200000000001</v>
      </c>
      <c r="O835" t="s">
        <v>2746</v>
      </c>
      <c r="P835">
        <v>491.471322</v>
      </c>
      <c r="Q835">
        <v>4396309.27</v>
      </c>
      <c r="R835">
        <v>5.85782267</v>
      </c>
      <c r="S835">
        <v>52399.39535</v>
      </c>
      <c r="T835">
        <v>1610807.8</v>
      </c>
    </row>
    <row r="836" spans="1:20">
      <c r="A836" t="s">
        <v>20</v>
      </c>
      <c r="B836" t="s">
        <v>340</v>
      </c>
      <c r="C836">
        <v>301049751</v>
      </c>
      <c r="D836">
        <v>73239990</v>
      </c>
      <c r="E836" t="s">
        <v>1586</v>
      </c>
      <c r="N836">
        <v>6987.6</v>
      </c>
      <c r="O836" t="s">
        <v>2746</v>
      </c>
      <c r="P836">
        <v>610.9350564</v>
      </c>
      <c r="Q836">
        <v>4268969.8</v>
      </c>
      <c r="R836">
        <v>7.281705082</v>
      </c>
      <c r="S836">
        <v>50881.64243</v>
      </c>
      <c r="T836">
        <v>1564150.6</v>
      </c>
    </row>
    <row r="837" spans="1:20">
      <c r="A837" t="s">
        <v>20</v>
      </c>
      <c r="B837" t="s">
        <v>340</v>
      </c>
      <c r="C837">
        <v>301049751</v>
      </c>
      <c r="D837">
        <v>73239990</v>
      </c>
      <c r="E837" t="s">
        <v>1587</v>
      </c>
      <c r="N837">
        <v>5568</v>
      </c>
      <c r="O837" t="s">
        <v>2746</v>
      </c>
      <c r="P837">
        <v>701.3125647000001</v>
      </c>
      <c r="Q837">
        <v>3904908.36</v>
      </c>
      <c r="R837">
        <v>8.358910186999999</v>
      </c>
      <c r="S837">
        <v>46542.41192</v>
      </c>
      <c r="T837">
        <v>1430758.5</v>
      </c>
    </row>
    <row r="838" spans="1:20">
      <c r="A838" t="s">
        <v>20</v>
      </c>
      <c r="B838" t="s">
        <v>340</v>
      </c>
      <c r="C838">
        <v>301049751</v>
      </c>
      <c r="D838">
        <v>73239990</v>
      </c>
      <c r="E838" t="s">
        <v>1588</v>
      </c>
      <c r="N838">
        <v>5760</v>
      </c>
      <c r="O838" t="s">
        <v>2746</v>
      </c>
      <c r="P838">
        <v>540.9788472</v>
      </c>
      <c r="Q838">
        <v>3116038.16</v>
      </c>
      <c r="R838">
        <v>6.447900444</v>
      </c>
      <c r="S838">
        <v>37139.90656</v>
      </c>
      <c r="T838">
        <v>1141716.4</v>
      </c>
    </row>
    <row r="839" spans="1:20">
      <c r="A839" t="s">
        <v>20</v>
      </c>
      <c r="B839" t="s">
        <v>341</v>
      </c>
      <c r="C839">
        <v>301049751</v>
      </c>
      <c r="D839">
        <v>73239990</v>
      </c>
      <c r="E839" t="s">
        <v>1589</v>
      </c>
      <c r="N839">
        <v>4363.2</v>
      </c>
      <c r="O839" t="s">
        <v>2746</v>
      </c>
      <c r="P839">
        <v>530.4587734</v>
      </c>
      <c r="Q839">
        <v>2314497.72</v>
      </c>
      <c r="R839">
        <v>6.433702527</v>
      </c>
      <c r="S839">
        <v>28071.53087</v>
      </c>
      <c r="T839">
        <v>848032</v>
      </c>
    </row>
    <row r="840" spans="1:20">
      <c r="A840" t="s">
        <v>20</v>
      </c>
      <c r="B840" t="s">
        <v>341</v>
      </c>
      <c r="C840">
        <v>301049751</v>
      </c>
      <c r="D840">
        <v>73239990</v>
      </c>
      <c r="E840" t="s">
        <v>1590</v>
      </c>
      <c r="N840">
        <v>3526.4</v>
      </c>
      <c r="O840" t="s">
        <v>2746</v>
      </c>
      <c r="P840">
        <v>511.1012194</v>
      </c>
      <c r="Q840">
        <v>1802347.34</v>
      </c>
      <c r="R840">
        <v>6.198923219</v>
      </c>
      <c r="S840">
        <v>21859.88284</v>
      </c>
      <c r="T840">
        <v>660380.1</v>
      </c>
    </row>
    <row r="841" spans="1:20">
      <c r="A841" t="s">
        <v>20</v>
      </c>
      <c r="B841" t="s">
        <v>341</v>
      </c>
      <c r="C841">
        <v>301049751</v>
      </c>
      <c r="D841">
        <v>73239990</v>
      </c>
      <c r="E841" t="s">
        <v>1591</v>
      </c>
      <c r="N841">
        <v>7318.8</v>
      </c>
      <c r="O841" t="s">
        <v>2746</v>
      </c>
      <c r="P841">
        <v>608.2894805</v>
      </c>
      <c r="Q841">
        <v>4451949.05</v>
      </c>
      <c r="R841">
        <v>7.377677144</v>
      </c>
      <c r="S841">
        <v>53995.74348</v>
      </c>
      <c r="T841">
        <v>1631194.1</v>
      </c>
    </row>
    <row r="842" spans="1:20">
      <c r="A842" t="s">
        <v>20</v>
      </c>
      <c r="B842" t="s">
        <v>342</v>
      </c>
      <c r="C842">
        <v>301049751</v>
      </c>
      <c r="D842">
        <v>73239990</v>
      </c>
      <c r="E842" t="s">
        <v>1592</v>
      </c>
      <c r="N842">
        <v>3355.2</v>
      </c>
      <c r="O842" t="s">
        <v>2746</v>
      </c>
      <c r="P842">
        <v>531.0812738</v>
      </c>
      <c r="Q842">
        <v>1781883.89</v>
      </c>
      <c r="R842">
        <v>6.441252563</v>
      </c>
      <c r="S842">
        <v>21611.6906</v>
      </c>
      <c r="T842">
        <v>652882.3</v>
      </c>
    </row>
    <row r="843" spans="1:20">
      <c r="A843" t="s">
        <v>20</v>
      </c>
      <c r="B843" t="s">
        <v>342</v>
      </c>
      <c r="C843">
        <v>301049751</v>
      </c>
      <c r="D843">
        <v>73239990</v>
      </c>
      <c r="E843" t="s">
        <v>1593</v>
      </c>
      <c r="N843">
        <v>4280.7</v>
      </c>
      <c r="O843" t="s">
        <v>2746</v>
      </c>
      <c r="P843">
        <v>627.5595532999999</v>
      </c>
      <c r="Q843">
        <v>2686394.18</v>
      </c>
      <c r="R843">
        <v>7.611395432</v>
      </c>
      <c r="S843">
        <v>32582.10042</v>
      </c>
      <c r="T843">
        <v>984294.8</v>
      </c>
    </row>
    <row r="844" spans="1:20">
      <c r="A844" t="s">
        <v>20</v>
      </c>
      <c r="B844" t="s">
        <v>343</v>
      </c>
      <c r="C844">
        <v>301049751</v>
      </c>
      <c r="D844">
        <v>73231000</v>
      </c>
      <c r="E844" t="s">
        <v>1594</v>
      </c>
      <c r="N844">
        <v>8677.15</v>
      </c>
      <c r="O844" t="s">
        <v>2746</v>
      </c>
      <c r="P844">
        <v>255.3805017</v>
      </c>
      <c r="Q844">
        <v>2215974.92</v>
      </c>
      <c r="R844">
        <v>3.097398443</v>
      </c>
      <c r="S844">
        <v>26876.5909</v>
      </c>
      <c r="T844">
        <v>974142.6</v>
      </c>
    </row>
    <row r="845" spans="1:20">
      <c r="A845" t="s">
        <v>20</v>
      </c>
      <c r="B845" t="s">
        <v>344</v>
      </c>
      <c r="C845">
        <v>301049751</v>
      </c>
      <c r="D845">
        <v>73239990</v>
      </c>
      <c r="E845" t="s">
        <v>1595</v>
      </c>
      <c r="N845">
        <v>7003.8</v>
      </c>
      <c r="O845" t="s">
        <v>2746</v>
      </c>
      <c r="P845">
        <v>631.1250907</v>
      </c>
      <c r="Q845">
        <v>4420273.91</v>
      </c>
      <c r="R845">
        <v>7.654640275</v>
      </c>
      <c r="S845">
        <v>53611.56956</v>
      </c>
      <c r="T845">
        <v>1619588.4</v>
      </c>
    </row>
    <row r="846" spans="1:20">
      <c r="A846" t="s">
        <v>20</v>
      </c>
      <c r="B846" t="s">
        <v>345</v>
      </c>
      <c r="C846">
        <v>301049751</v>
      </c>
      <c r="D846">
        <v>73239990</v>
      </c>
      <c r="E846" t="s">
        <v>1596</v>
      </c>
      <c r="N846">
        <v>3840</v>
      </c>
      <c r="O846" t="s">
        <v>2746</v>
      </c>
      <c r="P846">
        <v>515.298487</v>
      </c>
      <c r="Q846">
        <v>1978746.19</v>
      </c>
      <c r="R846">
        <v>6.409185161</v>
      </c>
      <c r="S846">
        <v>24611.27102</v>
      </c>
      <c r="T846">
        <v>725012.5</v>
      </c>
    </row>
    <row r="847" spans="1:20">
      <c r="A847" t="s">
        <v>20</v>
      </c>
      <c r="B847" t="s">
        <v>345</v>
      </c>
      <c r="C847">
        <v>301049751</v>
      </c>
      <c r="D847">
        <v>73239990</v>
      </c>
      <c r="E847" t="s">
        <v>1597</v>
      </c>
      <c r="N847">
        <v>940.5</v>
      </c>
      <c r="O847" t="s">
        <v>2746</v>
      </c>
      <c r="P847">
        <v>615.7373418</v>
      </c>
      <c r="Q847">
        <v>579100.97</v>
      </c>
      <c r="R847">
        <v>7.65842465</v>
      </c>
      <c r="S847">
        <v>7202.748383</v>
      </c>
      <c r="T847">
        <v>212182.6</v>
      </c>
    </row>
    <row r="848" spans="1:20">
      <c r="A848" t="s">
        <v>20</v>
      </c>
      <c r="B848" t="s">
        <v>345</v>
      </c>
      <c r="C848">
        <v>301049751</v>
      </c>
      <c r="D848">
        <v>73239990</v>
      </c>
      <c r="E848" t="s">
        <v>1598</v>
      </c>
      <c r="N848">
        <v>1817.6</v>
      </c>
      <c r="O848" t="s">
        <v>2746</v>
      </c>
      <c r="P848">
        <v>505.3708847</v>
      </c>
      <c r="Q848">
        <v>918562.12</v>
      </c>
      <c r="R848">
        <v>6.285707521</v>
      </c>
      <c r="S848">
        <v>11424.90199</v>
      </c>
      <c r="T848">
        <v>336561.1</v>
      </c>
    </row>
    <row r="849" spans="1:20">
      <c r="A849" t="s">
        <v>20</v>
      </c>
      <c r="B849" t="s">
        <v>345</v>
      </c>
      <c r="C849">
        <v>301049751</v>
      </c>
      <c r="D849">
        <v>73239990</v>
      </c>
      <c r="E849" t="s">
        <v>1599</v>
      </c>
      <c r="N849">
        <v>1029.6</v>
      </c>
      <c r="O849" t="s">
        <v>2746</v>
      </c>
      <c r="P849">
        <v>525.2787879</v>
      </c>
      <c r="Q849">
        <v>540827.04</v>
      </c>
      <c r="R849">
        <v>6.533318257</v>
      </c>
      <c r="S849">
        <v>6726.704478</v>
      </c>
      <c r="T849">
        <v>198159</v>
      </c>
    </row>
    <row r="850" spans="1:20">
      <c r="A850" t="s">
        <v>20</v>
      </c>
      <c r="B850" t="s">
        <v>346</v>
      </c>
      <c r="C850">
        <v>301049751</v>
      </c>
      <c r="D850">
        <v>73231000</v>
      </c>
      <c r="E850" t="s">
        <v>1600</v>
      </c>
      <c r="N850">
        <v>4847</v>
      </c>
      <c r="O850" t="s">
        <v>2746</v>
      </c>
      <c r="P850">
        <v>482.9116257</v>
      </c>
      <c r="Q850">
        <v>2340672.65</v>
      </c>
      <c r="R850">
        <v>6.006363504</v>
      </c>
      <c r="S850">
        <v>29112.84391</v>
      </c>
      <c r="T850">
        <v>1028959.7</v>
      </c>
    </row>
    <row r="851" spans="1:20">
      <c r="A851" t="s">
        <v>20</v>
      </c>
      <c r="B851" t="s">
        <v>347</v>
      </c>
      <c r="C851">
        <v>301049751</v>
      </c>
      <c r="D851">
        <v>73239990</v>
      </c>
      <c r="E851" t="s">
        <v>1601</v>
      </c>
      <c r="N851">
        <v>6930</v>
      </c>
      <c r="O851" t="s">
        <v>2746</v>
      </c>
      <c r="P851">
        <v>558.1866133</v>
      </c>
      <c r="Q851">
        <v>3868233.23</v>
      </c>
      <c r="R851">
        <v>6.942619568</v>
      </c>
      <c r="S851">
        <v>48112.35361</v>
      </c>
      <c r="T851">
        <v>1417320.6</v>
      </c>
    </row>
    <row r="852" spans="1:20">
      <c r="A852" t="s">
        <v>20</v>
      </c>
      <c r="B852" t="s">
        <v>348</v>
      </c>
      <c r="C852">
        <v>301049751</v>
      </c>
      <c r="D852">
        <v>73239990</v>
      </c>
      <c r="E852" t="s">
        <v>1602</v>
      </c>
      <c r="N852">
        <v>1687.2</v>
      </c>
      <c r="O852" t="s">
        <v>2746</v>
      </c>
      <c r="P852">
        <v>626.9541311</v>
      </c>
      <c r="Q852">
        <v>1057797.01</v>
      </c>
      <c r="R852">
        <v>7.797936954</v>
      </c>
      <c r="S852">
        <v>13156.67923</v>
      </c>
      <c r="T852">
        <v>387576.8</v>
      </c>
    </row>
    <row r="853" spans="1:20">
      <c r="A853" t="s">
        <v>20</v>
      </c>
      <c r="B853" t="s">
        <v>348</v>
      </c>
      <c r="C853">
        <v>301049751</v>
      </c>
      <c r="D853">
        <v>73239990</v>
      </c>
      <c r="E853" t="s">
        <v>1603</v>
      </c>
      <c r="N853">
        <v>3532.8</v>
      </c>
      <c r="O853" t="s">
        <v>2746</v>
      </c>
      <c r="P853">
        <v>524.6856007</v>
      </c>
      <c r="Q853">
        <v>1853609.29</v>
      </c>
      <c r="R853">
        <v>6.525940307</v>
      </c>
      <c r="S853">
        <v>23054.84192</v>
      </c>
      <c r="T853">
        <v>679162.5</v>
      </c>
    </row>
    <row r="854" spans="1:20">
      <c r="A854" t="s">
        <v>20</v>
      </c>
      <c r="B854" t="s">
        <v>348</v>
      </c>
      <c r="C854">
        <v>301049751</v>
      </c>
      <c r="D854">
        <v>73239990</v>
      </c>
      <c r="E854" t="s">
        <v>1604</v>
      </c>
      <c r="N854">
        <v>2252.8</v>
      </c>
      <c r="O854" t="s">
        <v>2746</v>
      </c>
      <c r="P854">
        <v>514.5770641</v>
      </c>
      <c r="Q854">
        <v>1159239.21</v>
      </c>
      <c r="R854">
        <v>6.40021224</v>
      </c>
      <c r="S854">
        <v>14418.39813</v>
      </c>
      <c r="T854">
        <v>424745.2</v>
      </c>
    </row>
    <row r="855" spans="1:20">
      <c r="A855" t="s">
        <v>20</v>
      </c>
      <c r="B855" t="s">
        <v>349</v>
      </c>
      <c r="C855">
        <v>301049751</v>
      </c>
      <c r="D855">
        <v>73239990</v>
      </c>
      <c r="E855" t="s">
        <v>1605</v>
      </c>
      <c r="N855">
        <v>6850</v>
      </c>
      <c r="O855" t="s">
        <v>2746</v>
      </c>
      <c r="P855">
        <v>528.6389547</v>
      </c>
      <c r="Q855">
        <v>3621176.84</v>
      </c>
      <c r="R855">
        <v>6.575111377</v>
      </c>
      <c r="S855">
        <v>45039.51294</v>
      </c>
      <c r="T855">
        <v>1326799.2</v>
      </c>
    </row>
    <row r="856" spans="1:20">
      <c r="A856" t="s">
        <v>20</v>
      </c>
      <c r="B856" t="s">
        <v>349</v>
      </c>
      <c r="C856">
        <v>301049751</v>
      </c>
      <c r="D856">
        <v>73239990</v>
      </c>
      <c r="E856" t="s">
        <v>1606</v>
      </c>
      <c r="N856">
        <v>5612</v>
      </c>
      <c r="O856" t="s">
        <v>2746</v>
      </c>
      <c r="P856">
        <v>1059.935713</v>
      </c>
      <c r="Q856">
        <v>5948359.22</v>
      </c>
      <c r="R856">
        <v>13.18328001</v>
      </c>
      <c r="S856">
        <v>73984.56741</v>
      </c>
      <c r="T856">
        <v>2179478.8</v>
      </c>
    </row>
    <row r="857" spans="1:20">
      <c r="A857" t="s">
        <v>20</v>
      </c>
      <c r="B857" t="s">
        <v>349</v>
      </c>
      <c r="C857">
        <v>301049751</v>
      </c>
      <c r="D857">
        <v>73239990</v>
      </c>
      <c r="E857" t="s">
        <v>1607</v>
      </c>
      <c r="N857">
        <v>4620</v>
      </c>
      <c r="O857" t="s">
        <v>2746</v>
      </c>
      <c r="P857">
        <v>569.0503052</v>
      </c>
      <c r="Q857">
        <v>2629012.41</v>
      </c>
      <c r="R857">
        <v>7.077740114</v>
      </c>
      <c r="S857">
        <v>32699.15933</v>
      </c>
      <c r="T857">
        <v>963270.1</v>
      </c>
    </row>
    <row r="858" spans="1:20">
      <c r="A858" t="s">
        <v>20</v>
      </c>
      <c r="B858" t="s">
        <v>349</v>
      </c>
      <c r="C858">
        <v>301049751</v>
      </c>
      <c r="D858">
        <v>73239990</v>
      </c>
      <c r="E858" t="s">
        <v>1608</v>
      </c>
      <c r="N858">
        <v>2975</v>
      </c>
      <c r="O858" t="s">
        <v>2746</v>
      </c>
      <c r="P858">
        <v>601.8892168</v>
      </c>
      <c r="Q858">
        <v>1790620.42</v>
      </c>
      <c r="R858">
        <v>7.486184289</v>
      </c>
      <c r="S858">
        <v>22271.39826</v>
      </c>
      <c r="T858">
        <v>656083.3</v>
      </c>
    </row>
    <row r="859" spans="1:20">
      <c r="A859" t="s">
        <v>20</v>
      </c>
      <c r="B859" t="s">
        <v>350</v>
      </c>
      <c r="C859">
        <v>301049751</v>
      </c>
      <c r="D859">
        <v>73239990</v>
      </c>
      <c r="E859" t="s">
        <v>1609</v>
      </c>
      <c r="N859">
        <v>4132.8</v>
      </c>
      <c r="O859" t="s">
        <v>2746</v>
      </c>
      <c r="P859">
        <v>542.4083067</v>
      </c>
      <c r="Q859">
        <v>2241665.05</v>
      </c>
      <c r="R859">
        <v>6.742179077</v>
      </c>
      <c r="S859">
        <v>27864.07769</v>
      </c>
      <c r="T859">
        <v>821346.1</v>
      </c>
    </row>
    <row r="860" spans="1:20">
      <c r="A860" t="s">
        <v>20</v>
      </c>
      <c r="B860" t="s">
        <v>350</v>
      </c>
      <c r="C860">
        <v>301049751</v>
      </c>
      <c r="D860">
        <v>73239990</v>
      </c>
      <c r="E860" t="s">
        <v>1610</v>
      </c>
      <c r="N860">
        <v>159.6</v>
      </c>
      <c r="O860" t="s">
        <v>2746</v>
      </c>
      <c r="P860">
        <v>635.8167293</v>
      </c>
      <c r="Q860">
        <v>101476.35</v>
      </c>
      <c r="R860">
        <v>7.903253317</v>
      </c>
      <c r="S860">
        <v>1261.359229</v>
      </c>
      <c r="T860">
        <v>37180.9</v>
      </c>
    </row>
    <row r="861" spans="1:20">
      <c r="A861" t="s">
        <v>20</v>
      </c>
      <c r="B861" t="s">
        <v>350</v>
      </c>
      <c r="C861">
        <v>301049751</v>
      </c>
      <c r="D861">
        <v>73239990</v>
      </c>
      <c r="E861" t="s">
        <v>1611</v>
      </c>
      <c r="N861">
        <v>3539.2</v>
      </c>
      <c r="O861" t="s">
        <v>2746</v>
      </c>
      <c r="P861">
        <v>532.1025486</v>
      </c>
      <c r="Q861">
        <v>1883217.34</v>
      </c>
      <c r="R861">
        <v>6.614077671</v>
      </c>
      <c r="S861">
        <v>23408.54369</v>
      </c>
      <c r="T861">
        <v>690010.8</v>
      </c>
    </row>
    <row r="862" spans="1:20">
      <c r="A862" t="s">
        <v>20</v>
      </c>
      <c r="B862" t="s">
        <v>350</v>
      </c>
      <c r="C862">
        <v>301049751</v>
      </c>
      <c r="D862">
        <v>73239990</v>
      </c>
      <c r="E862" t="s">
        <v>1612</v>
      </c>
      <c r="N862">
        <v>7875</v>
      </c>
      <c r="O862" t="s">
        <v>2746</v>
      </c>
      <c r="P862">
        <v>543.853873</v>
      </c>
      <c r="Q862">
        <v>4282849.25</v>
      </c>
      <c r="R862">
        <v>6.760147583</v>
      </c>
      <c r="S862">
        <v>53236.16221</v>
      </c>
      <c r="T862">
        <v>1569236</v>
      </c>
    </row>
    <row r="863" spans="1:20">
      <c r="A863" t="s">
        <v>20</v>
      </c>
      <c r="B863" t="s">
        <v>351</v>
      </c>
      <c r="C863">
        <v>301049751</v>
      </c>
      <c r="D863">
        <v>73239990</v>
      </c>
      <c r="E863" t="s">
        <v>1613</v>
      </c>
      <c r="N863">
        <v>21784</v>
      </c>
      <c r="O863" t="s">
        <v>2746</v>
      </c>
      <c r="P863">
        <v>468.6002745</v>
      </c>
      <c r="Q863">
        <v>10207988.38</v>
      </c>
      <c r="R863">
        <v>5.824739273</v>
      </c>
      <c r="S863">
        <v>126886.1203</v>
      </c>
      <c r="T863">
        <v>3740207</v>
      </c>
    </row>
    <row r="864" spans="1:20">
      <c r="A864" t="s">
        <v>20</v>
      </c>
      <c r="B864" t="s">
        <v>351</v>
      </c>
      <c r="C864">
        <v>301049751</v>
      </c>
      <c r="D864">
        <v>73239990</v>
      </c>
      <c r="E864" t="s">
        <v>1614</v>
      </c>
      <c r="N864">
        <v>8945.200000000001</v>
      </c>
      <c r="O864" t="s">
        <v>2746</v>
      </c>
      <c r="P864">
        <v>480.5396403</v>
      </c>
      <c r="Q864">
        <v>4298523.19</v>
      </c>
      <c r="R864">
        <v>5.973146554</v>
      </c>
      <c r="S864">
        <v>53430.99055</v>
      </c>
      <c r="T864">
        <v>1574978.9</v>
      </c>
    </row>
    <row r="865" spans="1:20">
      <c r="A865" t="s">
        <v>20</v>
      </c>
      <c r="B865" t="s">
        <v>351</v>
      </c>
      <c r="C865">
        <v>301049751</v>
      </c>
      <c r="D865">
        <v>73239990</v>
      </c>
      <c r="E865" t="s">
        <v>1615</v>
      </c>
      <c r="N865">
        <v>5532</v>
      </c>
      <c r="O865" t="s">
        <v>2746</v>
      </c>
      <c r="P865">
        <v>642.7697993</v>
      </c>
      <c r="Q865">
        <v>3555802.53</v>
      </c>
      <c r="R865">
        <v>7.989680539</v>
      </c>
      <c r="S865">
        <v>44198.91274</v>
      </c>
      <c r="T865">
        <v>1302846.1</v>
      </c>
    </row>
    <row r="866" spans="1:20">
      <c r="A866" t="s">
        <v>20</v>
      </c>
      <c r="B866" t="s">
        <v>351</v>
      </c>
      <c r="C866">
        <v>301049751</v>
      </c>
      <c r="D866">
        <v>73239990</v>
      </c>
      <c r="E866" t="s">
        <v>1616</v>
      </c>
      <c r="N866">
        <v>4498.2</v>
      </c>
      <c r="O866" t="s">
        <v>2746</v>
      </c>
      <c r="P866">
        <v>538.2672313</v>
      </c>
      <c r="Q866">
        <v>2421233.66</v>
      </c>
      <c r="R866">
        <v>6.690705175</v>
      </c>
      <c r="S866">
        <v>30096.13002</v>
      </c>
      <c r="T866">
        <v>887140</v>
      </c>
    </row>
    <row r="867" spans="1:20">
      <c r="A867" t="s">
        <v>20</v>
      </c>
      <c r="B867" t="s">
        <v>351</v>
      </c>
      <c r="C867">
        <v>301049751</v>
      </c>
      <c r="D867">
        <v>73239990</v>
      </c>
      <c r="E867" t="s">
        <v>1617</v>
      </c>
      <c r="N867">
        <v>10847.7</v>
      </c>
      <c r="O867" t="s">
        <v>2746</v>
      </c>
      <c r="P867">
        <v>511.9917549</v>
      </c>
      <c r="Q867">
        <v>5553932.96</v>
      </c>
      <c r="R867">
        <v>6.36409888</v>
      </c>
      <c r="S867">
        <v>69035.83543000001</v>
      </c>
      <c r="T867">
        <v>2034961.1</v>
      </c>
    </row>
    <row r="868" spans="1:20">
      <c r="A868" t="s">
        <v>20</v>
      </c>
      <c r="B868" t="s">
        <v>351</v>
      </c>
      <c r="C868">
        <v>301049751</v>
      </c>
      <c r="D868">
        <v>73239990</v>
      </c>
      <c r="E868" t="s">
        <v>1618</v>
      </c>
      <c r="N868">
        <v>10348.75</v>
      </c>
      <c r="O868" t="s">
        <v>2746</v>
      </c>
      <c r="P868">
        <v>692.9243397</v>
      </c>
      <c r="Q868">
        <v>7170900.76</v>
      </c>
      <c r="R868">
        <v>8.613105527</v>
      </c>
      <c r="S868">
        <v>89134.87582</v>
      </c>
      <c r="T868">
        <v>2627418.1</v>
      </c>
    </row>
    <row r="869" spans="1:20">
      <c r="A869" t="s">
        <v>20</v>
      </c>
      <c r="B869" t="s">
        <v>352</v>
      </c>
      <c r="C869">
        <v>301049751</v>
      </c>
      <c r="D869">
        <v>73239990</v>
      </c>
      <c r="E869" t="s">
        <v>1619</v>
      </c>
      <c r="N869">
        <v>7875</v>
      </c>
      <c r="O869" t="s">
        <v>2746</v>
      </c>
      <c r="P869">
        <v>543.853873</v>
      </c>
      <c r="Q869">
        <v>4282849.25</v>
      </c>
      <c r="R869">
        <v>6.760147583</v>
      </c>
      <c r="S869">
        <v>53236.16221</v>
      </c>
      <c r="T869">
        <v>1569236</v>
      </c>
    </row>
    <row r="870" spans="1:20">
      <c r="A870" t="s">
        <v>20</v>
      </c>
      <c r="B870" t="s">
        <v>353</v>
      </c>
      <c r="C870">
        <v>301049751</v>
      </c>
      <c r="D870">
        <v>73239990</v>
      </c>
      <c r="E870" t="s">
        <v>1620</v>
      </c>
      <c r="N870">
        <v>15568</v>
      </c>
      <c r="O870" t="s">
        <v>2746</v>
      </c>
      <c r="P870">
        <v>426.7317652</v>
      </c>
      <c r="Q870">
        <v>6643360.12</v>
      </c>
      <c r="R870">
        <v>5.301015716</v>
      </c>
      <c r="S870">
        <v>82526.21266999999</v>
      </c>
      <c r="T870">
        <v>2434127.1</v>
      </c>
    </row>
    <row r="871" spans="1:20">
      <c r="A871" t="s">
        <v>20</v>
      </c>
      <c r="B871" t="s">
        <v>354</v>
      </c>
      <c r="C871">
        <v>301049751</v>
      </c>
      <c r="D871">
        <v>73239990</v>
      </c>
      <c r="E871" t="s">
        <v>1621</v>
      </c>
      <c r="N871">
        <v>3392</v>
      </c>
      <c r="O871" t="s">
        <v>2746</v>
      </c>
      <c r="P871">
        <v>526.3105513</v>
      </c>
      <c r="Q871">
        <v>1785245.39</v>
      </c>
      <c r="R871">
        <v>6.538019271</v>
      </c>
      <c r="S871">
        <v>22176.96137</v>
      </c>
      <c r="T871">
        <v>654113.9</v>
      </c>
    </row>
    <row r="872" spans="1:20">
      <c r="A872" t="s">
        <v>20</v>
      </c>
      <c r="B872" t="s">
        <v>354</v>
      </c>
      <c r="C872">
        <v>301049751</v>
      </c>
      <c r="D872">
        <v>73239990</v>
      </c>
      <c r="E872" t="s">
        <v>1622</v>
      </c>
      <c r="N872">
        <v>3636</v>
      </c>
      <c r="O872" t="s">
        <v>2746</v>
      </c>
      <c r="P872">
        <v>543.1752695</v>
      </c>
      <c r="Q872">
        <v>1974985.28</v>
      </c>
      <c r="R872">
        <v>6.747518876</v>
      </c>
      <c r="S872">
        <v>24533.97863</v>
      </c>
      <c r="T872">
        <v>723634.6</v>
      </c>
    </row>
    <row r="873" spans="1:20">
      <c r="A873" t="s">
        <v>20</v>
      </c>
      <c r="B873" t="s">
        <v>354</v>
      </c>
      <c r="C873">
        <v>301049751</v>
      </c>
      <c r="D873">
        <v>73239990</v>
      </c>
      <c r="E873" t="s">
        <v>1623</v>
      </c>
      <c r="N873">
        <v>302.1</v>
      </c>
      <c r="O873" t="s">
        <v>2746</v>
      </c>
      <c r="P873">
        <v>641.8505793</v>
      </c>
      <c r="Q873">
        <v>193903.06</v>
      </c>
      <c r="R873">
        <v>7.973299121</v>
      </c>
      <c r="S873">
        <v>2408.733665</v>
      </c>
      <c r="T873">
        <v>71046.10000000001</v>
      </c>
    </row>
    <row r="874" spans="1:20">
      <c r="A874" t="s">
        <v>20</v>
      </c>
      <c r="B874" t="s">
        <v>354</v>
      </c>
      <c r="C874">
        <v>301049751</v>
      </c>
      <c r="D874">
        <v>73239990</v>
      </c>
      <c r="E874" t="s">
        <v>1624</v>
      </c>
      <c r="N874">
        <v>604.8</v>
      </c>
      <c r="O874" t="s">
        <v>2746</v>
      </c>
      <c r="P874">
        <v>633.933879</v>
      </c>
      <c r="Q874">
        <v>383403.21</v>
      </c>
      <c r="R874">
        <v>7.874955018</v>
      </c>
      <c r="S874">
        <v>4762.772795</v>
      </c>
      <c r="T874">
        <v>140478.9</v>
      </c>
    </row>
    <row r="875" spans="1:20">
      <c r="A875" t="s">
        <v>20</v>
      </c>
      <c r="B875" t="s">
        <v>354</v>
      </c>
      <c r="C875">
        <v>301049751</v>
      </c>
      <c r="D875">
        <v>73239990</v>
      </c>
      <c r="E875" t="s">
        <v>1625</v>
      </c>
      <c r="N875">
        <v>3038.4</v>
      </c>
      <c r="O875" t="s">
        <v>2746</v>
      </c>
      <c r="P875">
        <v>542.0133853</v>
      </c>
      <c r="Q875">
        <v>1646853.47</v>
      </c>
      <c r="R875">
        <v>6.733085532</v>
      </c>
      <c r="S875">
        <v>20457.80708</v>
      </c>
      <c r="T875">
        <v>603407.2</v>
      </c>
    </row>
    <row r="876" spans="1:20">
      <c r="A876" t="s">
        <v>20</v>
      </c>
      <c r="B876" t="s">
        <v>354</v>
      </c>
      <c r="C876">
        <v>301049751</v>
      </c>
      <c r="D876">
        <v>73239990</v>
      </c>
      <c r="E876" t="s">
        <v>1626</v>
      </c>
      <c r="N876">
        <v>356.4</v>
      </c>
      <c r="O876" t="s">
        <v>2746</v>
      </c>
      <c r="P876">
        <v>639.5450617</v>
      </c>
      <c r="Q876">
        <v>227933.86</v>
      </c>
      <c r="R876">
        <v>7.944659152</v>
      </c>
      <c r="S876">
        <v>2831.476522</v>
      </c>
      <c r="T876">
        <v>83515</v>
      </c>
    </row>
    <row r="877" spans="1:20">
      <c r="A877" t="s">
        <v>20</v>
      </c>
      <c r="B877" t="s">
        <v>354</v>
      </c>
      <c r="C877">
        <v>301049751</v>
      </c>
      <c r="D877">
        <v>73239990</v>
      </c>
      <c r="E877" t="s">
        <v>1627</v>
      </c>
      <c r="N877">
        <v>4128</v>
      </c>
      <c r="O877" t="s">
        <v>2746</v>
      </c>
      <c r="P877">
        <v>532.4393338</v>
      </c>
      <c r="Q877">
        <v>2197909.57</v>
      </c>
      <c r="R877">
        <v>6.614153215</v>
      </c>
      <c r="S877">
        <v>27303.22447</v>
      </c>
      <c r="T877">
        <v>805314.1</v>
      </c>
    </row>
    <row r="878" spans="1:20">
      <c r="A878" t="s">
        <v>20</v>
      </c>
      <c r="B878" t="s">
        <v>355</v>
      </c>
      <c r="C878">
        <v>301049751</v>
      </c>
      <c r="D878">
        <v>73239990</v>
      </c>
      <c r="E878" t="s">
        <v>1628</v>
      </c>
      <c r="N878">
        <v>5768.16</v>
      </c>
      <c r="O878" t="s">
        <v>2746</v>
      </c>
      <c r="P878">
        <v>1077.822415</v>
      </c>
      <c r="Q878">
        <v>6217052.14</v>
      </c>
      <c r="R878">
        <v>13.38909832</v>
      </c>
      <c r="S878">
        <v>77230.46137</v>
      </c>
      <c r="T878">
        <v>2277927.8</v>
      </c>
    </row>
    <row r="879" spans="1:20">
      <c r="A879" t="s">
        <v>20</v>
      </c>
      <c r="B879" t="s">
        <v>356</v>
      </c>
      <c r="C879">
        <v>301049751</v>
      </c>
      <c r="D879">
        <v>73239990</v>
      </c>
      <c r="E879" t="s">
        <v>1629</v>
      </c>
      <c r="N879">
        <v>6850</v>
      </c>
      <c r="O879" t="s">
        <v>2746</v>
      </c>
      <c r="P879">
        <v>611.5153737000001</v>
      </c>
      <c r="Q879">
        <v>4188880.31</v>
      </c>
      <c r="R879">
        <v>7.59646427</v>
      </c>
      <c r="S879">
        <v>52035.78025</v>
      </c>
      <c r="T879">
        <v>1534805.8</v>
      </c>
    </row>
    <row r="880" spans="1:20">
      <c r="A880" t="s">
        <v>20</v>
      </c>
      <c r="B880" t="s">
        <v>357</v>
      </c>
      <c r="C880">
        <v>301049751</v>
      </c>
      <c r="D880">
        <v>73239990</v>
      </c>
      <c r="E880" t="s">
        <v>1630</v>
      </c>
      <c r="N880">
        <v>1248.3</v>
      </c>
      <c r="O880" t="s">
        <v>2746</v>
      </c>
      <c r="P880">
        <v>421.305848</v>
      </c>
      <c r="Q880">
        <v>525916.09</v>
      </c>
      <c r="R880">
        <v>5.249917108</v>
      </c>
      <c r="S880">
        <v>6553.471526</v>
      </c>
      <c r="T880">
        <v>192695.6</v>
      </c>
    </row>
    <row r="881" spans="1:20">
      <c r="A881" t="s">
        <v>20</v>
      </c>
      <c r="B881" t="s">
        <v>358</v>
      </c>
      <c r="C881">
        <v>301049751</v>
      </c>
      <c r="D881">
        <v>73239990</v>
      </c>
      <c r="E881" t="s">
        <v>1631</v>
      </c>
      <c r="N881">
        <v>4004</v>
      </c>
      <c r="O881" t="s">
        <v>2746</v>
      </c>
      <c r="P881">
        <v>461.0523926</v>
      </c>
      <c r="Q881">
        <v>1846053.78</v>
      </c>
      <c r="R881">
        <v>5.745201154</v>
      </c>
      <c r="S881">
        <v>23003.78542</v>
      </c>
      <c r="T881">
        <v>676394.2</v>
      </c>
    </row>
    <row r="882" spans="1:20">
      <c r="A882" t="s">
        <v>20</v>
      </c>
      <c r="B882" t="s">
        <v>359</v>
      </c>
      <c r="C882">
        <v>301049751</v>
      </c>
      <c r="D882">
        <v>73239990</v>
      </c>
      <c r="E882" t="s">
        <v>1632</v>
      </c>
      <c r="N882">
        <v>2310</v>
      </c>
      <c r="O882" t="s">
        <v>2746</v>
      </c>
      <c r="P882">
        <v>590.0823853000001</v>
      </c>
      <c r="Q882">
        <v>1363090.31</v>
      </c>
      <c r="R882">
        <v>7.35305153</v>
      </c>
      <c r="S882">
        <v>16985.54903</v>
      </c>
      <c r="T882">
        <v>499436.3</v>
      </c>
    </row>
    <row r="883" spans="1:20">
      <c r="A883" t="s">
        <v>20</v>
      </c>
      <c r="B883" t="s">
        <v>359</v>
      </c>
      <c r="C883">
        <v>301049751</v>
      </c>
      <c r="D883">
        <v>73239990</v>
      </c>
      <c r="E883" t="s">
        <v>1633</v>
      </c>
      <c r="N883">
        <v>5038.8</v>
      </c>
      <c r="O883" t="s">
        <v>2746</v>
      </c>
      <c r="P883">
        <v>424.3783996</v>
      </c>
      <c r="Q883">
        <v>2138357.88</v>
      </c>
      <c r="R883">
        <v>5.288204357</v>
      </c>
      <c r="S883">
        <v>26646.20411</v>
      </c>
      <c r="T883">
        <v>783494.4</v>
      </c>
    </row>
    <row r="884" spans="1:20">
      <c r="A884" t="s">
        <v>20</v>
      </c>
      <c r="B884" t="s">
        <v>360</v>
      </c>
      <c r="C884">
        <v>301049751</v>
      </c>
      <c r="D884">
        <v>73239990</v>
      </c>
      <c r="E884" t="s">
        <v>1634</v>
      </c>
      <c r="N884">
        <v>422.4</v>
      </c>
      <c r="O884" t="s">
        <v>2746</v>
      </c>
      <c r="P884">
        <v>535.8829072</v>
      </c>
      <c r="Q884">
        <v>226356.94</v>
      </c>
      <c r="R884">
        <v>6.677668626</v>
      </c>
      <c r="S884">
        <v>2820.647227</v>
      </c>
      <c r="T884">
        <v>82937.2</v>
      </c>
    </row>
    <row r="885" spans="1:20">
      <c r="A885" t="s">
        <v>20</v>
      </c>
      <c r="B885" t="s">
        <v>360</v>
      </c>
      <c r="C885">
        <v>301049751</v>
      </c>
      <c r="D885">
        <v>73239990</v>
      </c>
      <c r="E885" t="s">
        <v>1635</v>
      </c>
      <c r="N885">
        <v>7232</v>
      </c>
      <c r="O885" t="s">
        <v>2746</v>
      </c>
      <c r="P885">
        <v>575.2420243</v>
      </c>
      <c r="Q885">
        <v>4160150.32</v>
      </c>
      <c r="R885">
        <v>7.168124914</v>
      </c>
      <c r="S885">
        <v>51839.87938</v>
      </c>
      <c r="T885">
        <v>1524279.1</v>
      </c>
    </row>
    <row r="886" spans="1:20">
      <c r="A886" t="s">
        <v>20</v>
      </c>
      <c r="B886" t="s">
        <v>360</v>
      </c>
      <c r="C886">
        <v>301049751</v>
      </c>
      <c r="D886">
        <v>73231000</v>
      </c>
      <c r="E886" t="s">
        <v>1636</v>
      </c>
      <c r="N886">
        <v>8677.15</v>
      </c>
      <c r="O886" t="s">
        <v>2746</v>
      </c>
      <c r="P886">
        <v>288.3185297</v>
      </c>
      <c r="Q886">
        <v>2501783.13</v>
      </c>
      <c r="R886">
        <v>3.592754264</v>
      </c>
      <c r="S886">
        <v>31174.86766</v>
      </c>
      <c r="T886">
        <v>1099783.9</v>
      </c>
    </row>
    <row r="887" spans="1:20">
      <c r="A887" t="s">
        <v>20</v>
      </c>
      <c r="B887" t="s">
        <v>361</v>
      </c>
      <c r="C887">
        <v>301049751</v>
      </c>
      <c r="D887">
        <v>73239990</v>
      </c>
      <c r="E887" t="s">
        <v>1619</v>
      </c>
      <c r="N887">
        <v>7875</v>
      </c>
      <c r="O887" t="s">
        <v>2746</v>
      </c>
      <c r="P887">
        <v>552.1657079</v>
      </c>
      <c r="Q887">
        <v>4348304.95</v>
      </c>
      <c r="R887">
        <v>6.880569569</v>
      </c>
      <c r="S887">
        <v>54184.48536</v>
      </c>
      <c r="T887">
        <v>1593218.9</v>
      </c>
    </row>
    <row r="888" spans="1:20">
      <c r="A888" t="s">
        <v>20</v>
      </c>
      <c r="B888" t="s">
        <v>361</v>
      </c>
      <c r="C888">
        <v>301049751</v>
      </c>
      <c r="D888">
        <v>73231000</v>
      </c>
      <c r="E888" t="s">
        <v>1637</v>
      </c>
      <c r="N888">
        <v>7707.7</v>
      </c>
      <c r="O888" t="s">
        <v>2746</v>
      </c>
      <c r="P888">
        <v>298.0790521</v>
      </c>
      <c r="Q888">
        <v>2297503.91</v>
      </c>
      <c r="R888">
        <v>3.714380712</v>
      </c>
      <c r="S888">
        <v>28629.33221</v>
      </c>
      <c r="T888">
        <v>1009982.8</v>
      </c>
    </row>
    <row r="889" spans="1:20">
      <c r="A889" t="s">
        <v>20</v>
      </c>
      <c r="B889" t="s">
        <v>362</v>
      </c>
      <c r="C889">
        <v>301049751</v>
      </c>
      <c r="D889">
        <v>73239990</v>
      </c>
      <c r="E889" t="s">
        <v>1638</v>
      </c>
      <c r="N889">
        <v>10836</v>
      </c>
      <c r="O889" t="s">
        <v>2746</v>
      </c>
      <c r="P889">
        <v>583.9064046</v>
      </c>
      <c r="Q889">
        <v>6327209.8</v>
      </c>
      <c r="R889">
        <v>7.276092269</v>
      </c>
      <c r="S889">
        <v>78843.73583000001</v>
      </c>
      <c r="T889">
        <v>2318289.7</v>
      </c>
    </row>
    <row r="890" spans="1:20">
      <c r="A890" t="s">
        <v>20</v>
      </c>
      <c r="B890" t="s">
        <v>363</v>
      </c>
      <c r="C890">
        <v>301049751</v>
      </c>
      <c r="D890">
        <v>73239990</v>
      </c>
      <c r="E890" t="s">
        <v>1631</v>
      </c>
      <c r="N890">
        <v>4004</v>
      </c>
      <c r="O890" t="s">
        <v>2746</v>
      </c>
      <c r="P890">
        <v>474.1710789</v>
      </c>
      <c r="Q890">
        <v>1898581</v>
      </c>
      <c r="R890">
        <v>5.857579727</v>
      </c>
      <c r="S890">
        <v>23453.74923</v>
      </c>
      <c r="T890">
        <v>695640.1</v>
      </c>
    </row>
    <row r="891" spans="1:20">
      <c r="A891" t="s">
        <v>20</v>
      </c>
      <c r="B891" t="s">
        <v>364</v>
      </c>
      <c r="C891">
        <v>301049751</v>
      </c>
      <c r="D891">
        <v>73239990</v>
      </c>
      <c r="E891" t="s">
        <v>1639</v>
      </c>
      <c r="N891">
        <v>2310</v>
      </c>
      <c r="O891" t="s">
        <v>2746</v>
      </c>
      <c r="P891">
        <v>603.3303983</v>
      </c>
      <c r="Q891">
        <v>1393693.22</v>
      </c>
      <c r="R891">
        <v>7.453124129</v>
      </c>
      <c r="S891">
        <v>17216.71674</v>
      </c>
      <c r="T891">
        <v>510649.2</v>
      </c>
    </row>
    <row r="892" spans="1:20">
      <c r="A892" t="s">
        <v>20</v>
      </c>
      <c r="B892" t="s">
        <v>364</v>
      </c>
      <c r="C892">
        <v>301049751</v>
      </c>
      <c r="D892">
        <v>73239990</v>
      </c>
      <c r="E892" t="s">
        <v>1640</v>
      </c>
      <c r="N892">
        <v>10770</v>
      </c>
      <c r="O892" t="s">
        <v>2746</v>
      </c>
      <c r="P892">
        <v>280.7376462</v>
      </c>
      <c r="Q892">
        <v>3023544.45</v>
      </c>
      <c r="R892">
        <v>3.468037631</v>
      </c>
      <c r="S892">
        <v>37350.76529</v>
      </c>
      <c r="T892">
        <v>1107826.7</v>
      </c>
    </row>
    <row r="893" spans="1:20">
      <c r="A893" t="s">
        <v>20</v>
      </c>
      <c r="B893" t="s">
        <v>364</v>
      </c>
      <c r="C893">
        <v>301049751</v>
      </c>
      <c r="D893">
        <v>73239990</v>
      </c>
      <c r="E893" t="s">
        <v>1641</v>
      </c>
      <c r="N893">
        <v>5375.1</v>
      </c>
      <c r="O893" t="s">
        <v>2746</v>
      </c>
      <c r="P893">
        <v>662.4860169999999</v>
      </c>
      <c r="Q893">
        <v>3560928.59</v>
      </c>
      <c r="R893">
        <v>8.183891501</v>
      </c>
      <c r="S893">
        <v>43989.23521</v>
      </c>
      <c r="T893">
        <v>1304724.3</v>
      </c>
    </row>
    <row r="894" spans="1:20">
      <c r="A894" t="s">
        <v>20</v>
      </c>
      <c r="B894" t="s">
        <v>364</v>
      </c>
      <c r="C894">
        <v>301049751</v>
      </c>
      <c r="D894">
        <v>73239990</v>
      </c>
      <c r="E894" t="s">
        <v>1642</v>
      </c>
      <c r="N894">
        <v>5950.8</v>
      </c>
      <c r="O894" t="s">
        <v>2746</v>
      </c>
      <c r="P894">
        <v>660.0485464</v>
      </c>
      <c r="Q894">
        <v>3927816.89</v>
      </c>
      <c r="R894">
        <v>8.153780684999999</v>
      </c>
      <c r="S894">
        <v>48521.5181</v>
      </c>
      <c r="T894">
        <v>1439152.1</v>
      </c>
    </row>
    <row r="895" spans="1:20">
      <c r="A895" t="s">
        <v>20</v>
      </c>
      <c r="B895" t="s">
        <v>364</v>
      </c>
      <c r="C895">
        <v>301049751</v>
      </c>
      <c r="D895">
        <v>73239990</v>
      </c>
      <c r="E895" t="s">
        <v>1643</v>
      </c>
      <c r="N895">
        <v>4392</v>
      </c>
      <c r="O895" t="s">
        <v>2746</v>
      </c>
      <c r="P895">
        <v>565.7021243</v>
      </c>
      <c r="Q895">
        <v>2484563.73</v>
      </c>
      <c r="R895">
        <v>6.988290603</v>
      </c>
      <c r="S895">
        <v>30692.57233</v>
      </c>
      <c r="T895">
        <v>910344.1</v>
      </c>
    </row>
    <row r="896" spans="1:20">
      <c r="A896" t="s">
        <v>20</v>
      </c>
      <c r="B896" t="s">
        <v>364</v>
      </c>
      <c r="C896">
        <v>301049751</v>
      </c>
      <c r="D896">
        <v>73239990</v>
      </c>
      <c r="E896" t="s">
        <v>1644</v>
      </c>
      <c r="N896">
        <v>3340</v>
      </c>
      <c r="O896" t="s">
        <v>2746</v>
      </c>
      <c r="P896">
        <v>582.2727725</v>
      </c>
      <c r="Q896">
        <v>1944791.06</v>
      </c>
      <c r="R896">
        <v>7.192992865</v>
      </c>
      <c r="S896">
        <v>24024.59617</v>
      </c>
      <c r="T896">
        <v>712571.4</v>
      </c>
    </row>
    <row r="897" spans="1:20">
      <c r="A897" t="s">
        <v>20</v>
      </c>
      <c r="B897" t="s">
        <v>364</v>
      </c>
      <c r="C897">
        <v>301049751</v>
      </c>
      <c r="D897">
        <v>73239990</v>
      </c>
      <c r="E897" t="s">
        <v>1645</v>
      </c>
      <c r="N897">
        <v>1017.6</v>
      </c>
      <c r="O897" t="s">
        <v>2746</v>
      </c>
      <c r="P897">
        <v>540.1323703</v>
      </c>
      <c r="Q897">
        <v>549638.7</v>
      </c>
      <c r="R897">
        <v>6.672419645</v>
      </c>
      <c r="S897">
        <v>6789.854231</v>
      </c>
      <c r="T897">
        <v>201387.6</v>
      </c>
    </row>
    <row r="898" spans="1:20">
      <c r="A898" t="s">
        <v>20</v>
      </c>
      <c r="B898" t="s">
        <v>364</v>
      </c>
      <c r="C898">
        <v>301049751</v>
      </c>
      <c r="D898">
        <v>73239990</v>
      </c>
      <c r="E898" t="s">
        <v>1646</v>
      </c>
      <c r="N898">
        <v>2975</v>
      </c>
      <c r="O898" t="s">
        <v>2746</v>
      </c>
      <c r="P898">
        <v>526.4134587999999</v>
      </c>
      <c r="Q898">
        <v>1566080.04</v>
      </c>
      <c r="R898">
        <v>6.502945754</v>
      </c>
      <c r="S898">
        <v>19346.26362</v>
      </c>
      <c r="T898">
        <v>573811.7</v>
      </c>
    </row>
    <row r="899" spans="1:20">
      <c r="A899" t="s">
        <v>20</v>
      </c>
      <c r="B899" t="s">
        <v>364</v>
      </c>
      <c r="C899">
        <v>301049751</v>
      </c>
      <c r="D899">
        <v>73239990</v>
      </c>
      <c r="E899" t="s">
        <v>1647</v>
      </c>
      <c r="N899">
        <v>7673.6</v>
      </c>
      <c r="O899" t="s">
        <v>2746</v>
      </c>
      <c r="P899">
        <v>579.8029178</v>
      </c>
      <c r="Q899">
        <v>4449175.67</v>
      </c>
      <c r="R899">
        <v>7.162481999</v>
      </c>
      <c r="S899">
        <v>54962.02187</v>
      </c>
      <c r="T899">
        <v>1630177.9</v>
      </c>
    </row>
    <row r="900" spans="1:20">
      <c r="A900" t="s">
        <v>20</v>
      </c>
      <c r="B900" t="s">
        <v>364</v>
      </c>
      <c r="C900">
        <v>301049751</v>
      </c>
      <c r="D900">
        <v>73239990</v>
      </c>
      <c r="E900" t="s">
        <v>1648</v>
      </c>
      <c r="N900">
        <v>5318.4</v>
      </c>
      <c r="O900" t="s">
        <v>2746</v>
      </c>
      <c r="P900">
        <v>540.1795183</v>
      </c>
      <c r="Q900">
        <v>2872890.75</v>
      </c>
      <c r="R900">
        <v>6.673002079</v>
      </c>
      <c r="S900">
        <v>35489.69426</v>
      </c>
      <c r="T900">
        <v>1052627.1</v>
      </c>
    </row>
    <row r="901" spans="1:20">
      <c r="A901" t="s">
        <v>20</v>
      </c>
      <c r="B901" t="s">
        <v>364</v>
      </c>
      <c r="C901">
        <v>301049751</v>
      </c>
      <c r="D901">
        <v>73239990</v>
      </c>
      <c r="E901" t="s">
        <v>1649</v>
      </c>
      <c r="N901">
        <v>5682.9</v>
      </c>
      <c r="O901" t="s">
        <v>2746</v>
      </c>
      <c r="P901">
        <v>433.8151754</v>
      </c>
      <c r="Q901">
        <v>2465328.26</v>
      </c>
      <c r="R901">
        <v>5.359050962</v>
      </c>
      <c r="S901">
        <v>30454.95071</v>
      </c>
      <c r="T901">
        <v>903296.4</v>
      </c>
    </row>
    <row r="902" spans="1:20">
      <c r="A902" t="s">
        <v>20</v>
      </c>
      <c r="B902" t="s">
        <v>365</v>
      </c>
      <c r="C902">
        <v>301049751</v>
      </c>
      <c r="D902">
        <v>73239990</v>
      </c>
      <c r="E902" t="s">
        <v>1650</v>
      </c>
      <c r="N902">
        <v>8767.5</v>
      </c>
      <c r="O902" t="s">
        <v>2746</v>
      </c>
      <c r="P902">
        <v>289.12198</v>
      </c>
      <c r="Q902">
        <v>2534876.96</v>
      </c>
      <c r="R902">
        <v>3.57161186</v>
      </c>
      <c r="S902">
        <v>31314.10698</v>
      </c>
      <c r="T902">
        <v>928778.9</v>
      </c>
    </row>
    <row r="903" spans="1:20">
      <c r="A903" t="s">
        <v>20</v>
      </c>
      <c r="B903" t="s">
        <v>366</v>
      </c>
      <c r="C903">
        <v>301049751</v>
      </c>
      <c r="D903">
        <v>73239990</v>
      </c>
      <c r="E903" t="s">
        <v>1651</v>
      </c>
      <c r="N903">
        <v>8856.9</v>
      </c>
      <c r="O903" t="s">
        <v>2746</v>
      </c>
      <c r="P903">
        <v>548.5822229</v>
      </c>
      <c r="Q903">
        <v>4858737.89</v>
      </c>
      <c r="R903">
        <v>6.776803248</v>
      </c>
      <c r="S903">
        <v>60021.46868</v>
      </c>
      <c r="T903">
        <v>1780241.6</v>
      </c>
    </row>
    <row r="904" spans="1:20">
      <c r="A904" t="s">
        <v>20</v>
      </c>
      <c r="B904" t="s">
        <v>366</v>
      </c>
      <c r="C904">
        <v>301049751</v>
      </c>
      <c r="D904">
        <v>73239990</v>
      </c>
      <c r="E904" t="s">
        <v>1652</v>
      </c>
      <c r="N904">
        <v>21123.2</v>
      </c>
      <c r="O904" t="s">
        <v>2746</v>
      </c>
      <c r="P904">
        <v>481.5967595</v>
      </c>
      <c r="Q904">
        <v>10172864.67</v>
      </c>
      <c r="R904">
        <v>5.94931142</v>
      </c>
      <c r="S904">
        <v>125668.495</v>
      </c>
      <c r="T904">
        <v>3727337.6</v>
      </c>
    </row>
    <row r="905" spans="1:20">
      <c r="A905" t="s">
        <v>20</v>
      </c>
      <c r="B905" t="s">
        <v>366</v>
      </c>
      <c r="C905">
        <v>301049751</v>
      </c>
      <c r="D905">
        <v>73239990</v>
      </c>
      <c r="E905" t="s">
        <v>1653</v>
      </c>
      <c r="N905">
        <v>10374</v>
      </c>
      <c r="O905" t="s">
        <v>2746</v>
      </c>
      <c r="P905">
        <v>644.021497</v>
      </c>
      <c r="Q905">
        <v>6681079.01</v>
      </c>
      <c r="R905">
        <v>7.955793663</v>
      </c>
      <c r="S905">
        <v>82533.40346</v>
      </c>
      <c r="T905">
        <v>2447947.4</v>
      </c>
    </row>
    <row r="906" spans="1:20">
      <c r="A906" t="s">
        <v>20</v>
      </c>
      <c r="B906" t="s">
        <v>367</v>
      </c>
      <c r="C906">
        <v>301049751</v>
      </c>
      <c r="D906">
        <v>73239990</v>
      </c>
      <c r="E906" t="s">
        <v>1654</v>
      </c>
      <c r="N906">
        <v>6850</v>
      </c>
      <c r="O906" t="s">
        <v>2746</v>
      </c>
      <c r="P906">
        <v>581.3007679</v>
      </c>
      <c r="Q906">
        <v>3981910.26</v>
      </c>
      <c r="R906">
        <v>7.180985397</v>
      </c>
      <c r="S906">
        <v>49189.74997</v>
      </c>
      <c r="T906">
        <v>1458972</v>
      </c>
    </row>
    <row r="907" spans="1:20">
      <c r="A907" t="s">
        <v>20</v>
      </c>
      <c r="B907" t="s">
        <v>367</v>
      </c>
      <c r="C907">
        <v>301049751</v>
      </c>
      <c r="D907">
        <v>73239990</v>
      </c>
      <c r="E907" t="s">
        <v>1655</v>
      </c>
      <c r="N907">
        <v>2662.4</v>
      </c>
      <c r="O907" t="s">
        <v>2746</v>
      </c>
      <c r="P907">
        <v>565.232159</v>
      </c>
      <c r="Q907">
        <v>1504874.1</v>
      </c>
      <c r="R907">
        <v>6.982484978</v>
      </c>
      <c r="S907">
        <v>18590.168</v>
      </c>
      <c r="T907">
        <v>551385.9</v>
      </c>
    </row>
    <row r="908" spans="1:20">
      <c r="A908" t="s">
        <v>20</v>
      </c>
      <c r="B908" t="s">
        <v>367</v>
      </c>
      <c r="C908">
        <v>301049751</v>
      </c>
      <c r="D908">
        <v>73239990</v>
      </c>
      <c r="E908" t="s">
        <v>1656</v>
      </c>
      <c r="N908">
        <v>786.6</v>
      </c>
      <c r="O908" t="s">
        <v>2746</v>
      </c>
      <c r="P908">
        <v>687.1060514</v>
      </c>
      <c r="Q908">
        <v>540477.62</v>
      </c>
      <c r="R908">
        <v>8.488030282</v>
      </c>
      <c r="S908">
        <v>6676.68462</v>
      </c>
      <c r="T908">
        <v>198031</v>
      </c>
    </row>
    <row r="909" spans="1:20">
      <c r="A909" t="s">
        <v>20</v>
      </c>
      <c r="B909" t="s">
        <v>367</v>
      </c>
      <c r="C909">
        <v>301049751</v>
      </c>
      <c r="D909">
        <v>73239990</v>
      </c>
      <c r="E909" t="s">
        <v>1657</v>
      </c>
      <c r="N909">
        <v>4108.8</v>
      </c>
      <c r="O909" t="s">
        <v>2746</v>
      </c>
      <c r="P909">
        <v>578.9438985</v>
      </c>
      <c r="Q909">
        <v>2378764.69</v>
      </c>
      <c r="R909">
        <v>7.151870271</v>
      </c>
      <c r="S909">
        <v>29385.60457</v>
      </c>
      <c r="T909">
        <v>871579.4</v>
      </c>
    </row>
    <row r="910" spans="1:20">
      <c r="A910" t="s">
        <v>20</v>
      </c>
      <c r="B910" t="s">
        <v>368</v>
      </c>
      <c r="C910">
        <v>301049751</v>
      </c>
      <c r="D910">
        <v>73239990</v>
      </c>
      <c r="E910" t="s">
        <v>1658</v>
      </c>
      <c r="N910">
        <v>9676</v>
      </c>
      <c r="O910" t="s">
        <v>2746</v>
      </c>
      <c r="P910">
        <v>378.0898946</v>
      </c>
      <c r="Q910">
        <v>3658397.82</v>
      </c>
      <c r="R910">
        <v>4.732038731</v>
      </c>
      <c r="S910">
        <v>45787.20676</v>
      </c>
      <c r="T910">
        <v>1608231.8</v>
      </c>
    </row>
    <row r="911" spans="1:20">
      <c r="A911" t="s">
        <v>20</v>
      </c>
      <c r="B911" t="s">
        <v>369</v>
      </c>
      <c r="C911">
        <v>301049751</v>
      </c>
      <c r="D911">
        <v>73231000</v>
      </c>
      <c r="E911" t="s">
        <v>1659</v>
      </c>
      <c r="N911">
        <v>8677.15</v>
      </c>
      <c r="O911" t="s">
        <v>2746</v>
      </c>
      <c r="P911">
        <v>297.3856266</v>
      </c>
      <c r="Q911">
        <v>2580459.69</v>
      </c>
      <c r="R911">
        <v>3.721972799</v>
      </c>
      <c r="S911">
        <v>32296.11627</v>
      </c>
      <c r="T911">
        <v>1134370.1</v>
      </c>
    </row>
    <row r="912" spans="1:20">
      <c r="A912" t="s">
        <v>20</v>
      </c>
      <c r="B912" t="s">
        <v>370</v>
      </c>
      <c r="C912">
        <v>301049751</v>
      </c>
      <c r="D912">
        <v>73239990</v>
      </c>
      <c r="E912" t="s">
        <v>1660</v>
      </c>
      <c r="N912">
        <v>7718.4</v>
      </c>
      <c r="O912" t="s">
        <v>2746</v>
      </c>
      <c r="P912">
        <v>576.9107963</v>
      </c>
      <c r="Q912">
        <v>4452828.29</v>
      </c>
      <c r="R912">
        <v>7.220410467</v>
      </c>
      <c r="S912">
        <v>55730.01615</v>
      </c>
      <c r="T912">
        <v>1631516.4</v>
      </c>
    </row>
    <row r="913" spans="1:20">
      <c r="A913" t="s">
        <v>20</v>
      </c>
      <c r="B913" t="s">
        <v>370</v>
      </c>
      <c r="C913">
        <v>301049751</v>
      </c>
      <c r="D913">
        <v>73231000</v>
      </c>
      <c r="E913" t="s">
        <v>1661</v>
      </c>
      <c r="N913">
        <v>4840</v>
      </c>
      <c r="O913" t="s">
        <v>2746</v>
      </c>
      <c r="P913">
        <v>568.0112831</v>
      </c>
      <c r="Q913">
        <v>2749174.61</v>
      </c>
      <c r="R913">
        <v>7.109027322</v>
      </c>
      <c r="S913">
        <v>34407.69224</v>
      </c>
      <c r="T913">
        <v>1208537.1</v>
      </c>
    </row>
    <row r="914" spans="1:20">
      <c r="A914" t="s">
        <v>20</v>
      </c>
      <c r="B914" t="s">
        <v>370</v>
      </c>
      <c r="C914">
        <v>301049751</v>
      </c>
      <c r="D914">
        <v>73239990</v>
      </c>
      <c r="E914" t="s">
        <v>1662</v>
      </c>
      <c r="N914">
        <v>296.4</v>
      </c>
      <c r="O914" t="s">
        <v>2746</v>
      </c>
      <c r="P914">
        <v>675.4760796</v>
      </c>
      <c r="Q914">
        <v>200211.11</v>
      </c>
      <c r="R914">
        <v>8.454018518</v>
      </c>
      <c r="S914">
        <v>2505.771089</v>
      </c>
      <c r="T914">
        <v>73357.3</v>
      </c>
    </row>
    <row r="915" spans="1:20">
      <c r="A915" t="s">
        <v>20</v>
      </c>
      <c r="B915" t="s">
        <v>371</v>
      </c>
      <c r="C915">
        <v>301049751</v>
      </c>
      <c r="D915">
        <v>73239990</v>
      </c>
      <c r="E915" t="s">
        <v>1663</v>
      </c>
      <c r="N915">
        <v>8607.5</v>
      </c>
      <c r="O915" t="s">
        <v>2746</v>
      </c>
      <c r="P915">
        <v>388.5427139</v>
      </c>
      <c r="Q915">
        <v>3344381.41</v>
      </c>
      <c r="R915">
        <v>4.921376997</v>
      </c>
      <c r="S915">
        <v>42360.7525</v>
      </c>
      <c r="T915">
        <v>1225381.3</v>
      </c>
    </row>
    <row r="916" spans="1:20">
      <c r="A916" t="s">
        <v>20</v>
      </c>
      <c r="B916" t="s">
        <v>371</v>
      </c>
      <c r="C916">
        <v>301049751</v>
      </c>
      <c r="D916">
        <v>73239990</v>
      </c>
      <c r="E916" t="s">
        <v>1664</v>
      </c>
      <c r="N916">
        <v>9676</v>
      </c>
      <c r="O916" t="s">
        <v>2746</v>
      </c>
      <c r="P916">
        <v>372.8537691</v>
      </c>
      <c r="Q916">
        <v>3607733.07</v>
      </c>
      <c r="R916">
        <v>4.722656987</v>
      </c>
      <c r="S916">
        <v>45696.42901</v>
      </c>
      <c r="T916">
        <v>1321873.4</v>
      </c>
    </row>
    <row r="917" spans="1:20">
      <c r="A917" t="s">
        <v>20</v>
      </c>
      <c r="B917" t="s">
        <v>372</v>
      </c>
      <c r="C917">
        <v>301049751</v>
      </c>
      <c r="D917">
        <v>73239990</v>
      </c>
      <c r="E917" t="s">
        <v>1665</v>
      </c>
      <c r="N917">
        <v>11202.2</v>
      </c>
      <c r="O917" t="s">
        <v>2746</v>
      </c>
      <c r="P917">
        <v>528.7779927</v>
      </c>
      <c r="Q917">
        <v>5923476.83</v>
      </c>
      <c r="R917">
        <v>6.69763132</v>
      </c>
      <c r="S917">
        <v>75028.20557000001</v>
      </c>
      <c r="T917">
        <v>2170361.9</v>
      </c>
    </row>
    <row r="918" spans="1:20">
      <c r="A918" t="s">
        <v>20</v>
      </c>
      <c r="B918" t="s">
        <v>372</v>
      </c>
      <c r="C918">
        <v>301049751</v>
      </c>
      <c r="D918">
        <v>73239990</v>
      </c>
      <c r="E918" t="s">
        <v>1666</v>
      </c>
      <c r="N918">
        <v>8232</v>
      </c>
      <c r="O918" t="s">
        <v>2746</v>
      </c>
      <c r="P918">
        <v>626.2055418</v>
      </c>
      <c r="Q918">
        <v>5154924.02</v>
      </c>
      <c r="R918">
        <v>7.931672474</v>
      </c>
      <c r="S918">
        <v>65293.5278</v>
      </c>
      <c r="T918">
        <v>1888764.2</v>
      </c>
    </row>
    <row r="919" spans="1:20">
      <c r="A919" t="s">
        <v>20</v>
      </c>
      <c r="B919" t="s">
        <v>372</v>
      </c>
      <c r="C919">
        <v>301049751</v>
      </c>
      <c r="D919">
        <v>73239990</v>
      </c>
      <c r="E919" t="s">
        <v>1667</v>
      </c>
      <c r="N919">
        <v>9129.9</v>
      </c>
      <c r="O919" t="s">
        <v>2746</v>
      </c>
      <c r="P919">
        <v>566.0937436</v>
      </c>
      <c r="Q919">
        <v>5168379.27</v>
      </c>
      <c r="R919">
        <v>7.170281743</v>
      </c>
      <c r="S919">
        <v>65463.95529</v>
      </c>
      <c r="T919">
        <v>1893694.2</v>
      </c>
    </row>
    <row r="920" spans="1:20">
      <c r="A920" t="s">
        <v>20</v>
      </c>
      <c r="B920" t="s">
        <v>372</v>
      </c>
      <c r="C920">
        <v>301049751</v>
      </c>
      <c r="D920">
        <v>73239990</v>
      </c>
      <c r="E920" t="s">
        <v>1668</v>
      </c>
      <c r="N920">
        <v>8903.4</v>
      </c>
      <c r="O920" t="s">
        <v>2746</v>
      </c>
      <c r="P920">
        <v>513.2253083000001</v>
      </c>
      <c r="Q920">
        <v>4569450.21</v>
      </c>
      <c r="R920">
        <v>6.500637217</v>
      </c>
      <c r="S920">
        <v>57877.7734</v>
      </c>
      <c r="T920">
        <v>1674246.5</v>
      </c>
    </row>
    <row r="921" spans="1:20">
      <c r="A921" t="s">
        <v>20</v>
      </c>
      <c r="B921" t="s">
        <v>372</v>
      </c>
      <c r="C921">
        <v>301049751</v>
      </c>
      <c r="D921">
        <v>73239990</v>
      </c>
      <c r="E921" t="s">
        <v>1669</v>
      </c>
      <c r="N921">
        <v>5100</v>
      </c>
      <c r="O921" t="s">
        <v>2746</v>
      </c>
      <c r="P921">
        <v>565.8267118</v>
      </c>
      <c r="Q921">
        <v>2885716.23</v>
      </c>
      <c r="R921">
        <v>7.166899452</v>
      </c>
      <c r="S921">
        <v>36551.18721</v>
      </c>
      <c r="T921">
        <v>1057326.4</v>
      </c>
    </row>
    <row r="922" spans="1:20">
      <c r="A922" t="s">
        <v>20</v>
      </c>
      <c r="B922" t="s">
        <v>372</v>
      </c>
      <c r="C922">
        <v>301049751</v>
      </c>
      <c r="D922">
        <v>73239990</v>
      </c>
      <c r="E922" t="s">
        <v>1670</v>
      </c>
      <c r="N922">
        <v>10892</v>
      </c>
      <c r="O922" t="s">
        <v>2746</v>
      </c>
      <c r="P922">
        <v>501.9596291</v>
      </c>
      <c r="Q922">
        <v>5467344.28</v>
      </c>
      <c r="R922">
        <v>6.35794337</v>
      </c>
      <c r="S922">
        <v>69250.71919</v>
      </c>
      <c r="T922">
        <v>2003235</v>
      </c>
    </row>
    <row r="923" spans="1:20">
      <c r="A923" t="s">
        <v>20</v>
      </c>
      <c r="B923" t="s">
        <v>373</v>
      </c>
      <c r="C923">
        <v>301049751</v>
      </c>
      <c r="D923">
        <v>73239990</v>
      </c>
      <c r="E923" t="s">
        <v>1671</v>
      </c>
      <c r="N923">
        <v>15568</v>
      </c>
      <c r="O923" t="s">
        <v>2746</v>
      </c>
      <c r="P923">
        <v>440.6186421</v>
      </c>
      <c r="Q923">
        <v>6859551.02</v>
      </c>
      <c r="R923">
        <v>5.580983434</v>
      </c>
      <c r="S923">
        <v>86884.75009</v>
      </c>
      <c r="T923">
        <v>2513339.5</v>
      </c>
    </row>
    <row r="924" spans="1:20">
      <c r="A924" t="s">
        <v>20</v>
      </c>
      <c r="B924" t="s">
        <v>374</v>
      </c>
      <c r="C924">
        <v>301049751</v>
      </c>
      <c r="D924">
        <v>73239990</v>
      </c>
      <c r="E924" t="s">
        <v>1672</v>
      </c>
      <c r="N924">
        <v>5985</v>
      </c>
      <c r="O924" t="s">
        <v>2746</v>
      </c>
      <c r="P924">
        <v>425.4705564</v>
      </c>
      <c r="Q924">
        <v>2546441.28</v>
      </c>
      <c r="R924">
        <v>5.389114077</v>
      </c>
      <c r="S924">
        <v>32253.84775</v>
      </c>
      <c r="T924">
        <v>933016.1</v>
      </c>
    </row>
    <row r="925" spans="1:20">
      <c r="A925" t="s">
        <v>20</v>
      </c>
      <c r="B925" t="s">
        <v>374</v>
      </c>
      <c r="C925">
        <v>301049751</v>
      </c>
      <c r="D925">
        <v>73239990</v>
      </c>
      <c r="E925" t="s">
        <v>1673</v>
      </c>
      <c r="N925">
        <v>7882.5</v>
      </c>
      <c r="O925" t="s">
        <v>2746</v>
      </c>
      <c r="P925">
        <v>275.3669864</v>
      </c>
      <c r="Q925">
        <v>2170580.27</v>
      </c>
      <c r="R925">
        <v>3.487865565</v>
      </c>
      <c r="S925">
        <v>27493.10032</v>
      </c>
      <c r="T925">
        <v>795300.7</v>
      </c>
    </row>
    <row r="926" spans="1:20">
      <c r="A926" t="s">
        <v>20</v>
      </c>
      <c r="B926" t="s">
        <v>374</v>
      </c>
      <c r="C926">
        <v>301049751</v>
      </c>
      <c r="D926">
        <v>73239990</v>
      </c>
      <c r="E926" t="s">
        <v>1674</v>
      </c>
      <c r="N926">
        <v>2310</v>
      </c>
      <c r="O926" t="s">
        <v>2746</v>
      </c>
      <c r="P926">
        <v>591.6087576</v>
      </c>
      <c r="Q926">
        <v>1366616.23</v>
      </c>
      <c r="R926">
        <v>7.493461147</v>
      </c>
      <c r="S926">
        <v>17309.89525</v>
      </c>
      <c r="T926">
        <v>500728.1</v>
      </c>
    </row>
    <row r="927" spans="1:20">
      <c r="A927" t="s">
        <v>20</v>
      </c>
      <c r="B927" t="s">
        <v>375</v>
      </c>
      <c r="C927">
        <v>301049751</v>
      </c>
      <c r="D927">
        <v>73239990</v>
      </c>
      <c r="E927" t="s">
        <v>1675</v>
      </c>
      <c r="N927">
        <v>847</v>
      </c>
      <c r="O927" t="s">
        <v>2746</v>
      </c>
      <c r="P927">
        <v>516.4145809</v>
      </c>
      <c r="Q927">
        <v>437403.15</v>
      </c>
      <c r="R927">
        <v>6.578529693</v>
      </c>
      <c r="S927">
        <v>5572.01465</v>
      </c>
      <c r="T927">
        <v>160264.5</v>
      </c>
    </row>
    <row r="928" spans="1:20">
      <c r="A928" t="s">
        <v>20</v>
      </c>
      <c r="B928" t="s">
        <v>375</v>
      </c>
      <c r="C928">
        <v>301049751</v>
      </c>
      <c r="D928">
        <v>73239990</v>
      </c>
      <c r="E928" t="s">
        <v>1676</v>
      </c>
      <c r="N928">
        <v>102.4</v>
      </c>
      <c r="O928" t="s">
        <v>2746</v>
      </c>
      <c r="P928">
        <v>543.1566405999999</v>
      </c>
      <c r="Q928">
        <v>55619.24</v>
      </c>
      <c r="R928">
        <v>6.919192874</v>
      </c>
      <c r="S928">
        <v>708.5253503</v>
      </c>
      <c r="T928">
        <v>20378.9</v>
      </c>
    </row>
    <row r="929" spans="1:20">
      <c r="A929" t="s">
        <v>20</v>
      </c>
      <c r="B929" t="s">
        <v>375</v>
      </c>
      <c r="C929">
        <v>301049751</v>
      </c>
      <c r="D929">
        <v>73239990</v>
      </c>
      <c r="E929" t="s">
        <v>1677</v>
      </c>
      <c r="N929">
        <v>4004</v>
      </c>
      <c r="O929" t="s">
        <v>2746</v>
      </c>
      <c r="P929">
        <v>457.862008</v>
      </c>
      <c r="Q929">
        <v>1833279.48</v>
      </c>
      <c r="R929">
        <v>5.832637044</v>
      </c>
      <c r="S929">
        <v>23353.87873</v>
      </c>
      <c r="T929">
        <v>671713.6</v>
      </c>
    </row>
    <row r="930" spans="1:20">
      <c r="A930" t="s">
        <v>20</v>
      </c>
      <c r="B930" t="s">
        <v>375</v>
      </c>
      <c r="C930">
        <v>301049751</v>
      </c>
      <c r="D930">
        <v>73239990</v>
      </c>
      <c r="E930" t="s">
        <v>1678</v>
      </c>
      <c r="N930">
        <v>3539.2</v>
      </c>
      <c r="O930" t="s">
        <v>2746</v>
      </c>
      <c r="P930">
        <v>556.3311624</v>
      </c>
      <c r="Q930">
        <v>1968967.25</v>
      </c>
      <c r="R930">
        <v>7.087021177</v>
      </c>
      <c r="S930">
        <v>25082.38535</v>
      </c>
      <c r="T930">
        <v>721429.6</v>
      </c>
    </row>
    <row r="931" spans="1:20">
      <c r="A931" t="s">
        <v>20</v>
      </c>
      <c r="B931" t="s">
        <v>375</v>
      </c>
      <c r="C931">
        <v>301049751</v>
      </c>
      <c r="D931">
        <v>73239990</v>
      </c>
      <c r="E931" t="s">
        <v>1679</v>
      </c>
      <c r="N931">
        <v>3666.6</v>
      </c>
      <c r="O931" t="s">
        <v>2746</v>
      </c>
      <c r="P931">
        <v>659.3554519</v>
      </c>
      <c r="Q931">
        <v>2417592.7</v>
      </c>
      <c r="R931">
        <v>8.399432509</v>
      </c>
      <c r="S931">
        <v>30797.35924</v>
      </c>
      <c r="T931">
        <v>885806</v>
      </c>
    </row>
    <row r="932" spans="1:20">
      <c r="A932" t="s">
        <v>20</v>
      </c>
      <c r="B932" t="s">
        <v>376</v>
      </c>
      <c r="C932">
        <v>301049751</v>
      </c>
      <c r="D932">
        <v>73239990</v>
      </c>
      <c r="E932" t="s">
        <v>1680</v>
      </c>
      <c r="N932">
        <v>6750</v>
      </c>
      <c r="O932" t="s">
        <v>2746</v>
      </c>
      <c r="P932">
        <v>565.6657778</v>
      </c>
      <c r="Q932">
        <v>3818244</v>
      </c>
      <c r="R932">
        <v>7.205933475</v>
      </c>
      <c r="S932">
        <v>48640.05096</v>
      </c>
      <c r="T932">
        <v>1399004.6</v>
      </c>
    </row>
    <row r="933" spans="1:20">
      <c r="A933" t="s">
        <v>20</v>
      </c>
      <c r="B933" t="s">
        <v>377</v>
      </c>
      <c r="C933">
        <v>301049751</v>
      </c>
      <c r="D933">
        <v>73239990</v>
      </c>
      <c r="E933" t="s">
        <v>1681</v>
      </c>
      <c r="N933">
        <v>3206.4</v>
      </c>
      <c r="O933" t="s">
        <v>2746</v>
      </c>
      <c r="P933">
        <v>540.0129647</v>
      </c>
      <c r="Q933">
        <v>1731497.57</v>
      </c>
      <c r="R933">
        <v>6.879146047</v>
      </c>
      <c r="S933">
        <v>22057.29389</v>
      </c>
      <c r="T933">
        <v>634420.7</v>
      </c>
    </row>
    <row r="934" spans="1:20">
      <c r="A934" t="s">
        <v>20</v>
      </c>
      <c r="B934" t="s">
        <v>377</v>
      </c>
      <c r="C934">
        <v>301049751</v>
      </c>
      <c r="D934">
        <v>73239990</v>
      </c>
      <c r="E934" t="s">
        <v>1682</v>
      </c>
      <c r="N934">
        <v>3526.4</v>
      </c>
      <c r="O934" t="s">
        <v>2746</v>
      </c>
      <c r="P934">
        <v>553.1129197</v>
      </c>
      <c r="Q934">
        <v>1950497.4</v>
      </c>
      <c r="R934">
        <v>7.046024455</v>
      </c>
      <c r="S934">
        <v>24847.10064</v>
      </c>
      <c r="T934">
        <v>714662.2</v>
      </c>
    </row>
    <row r="935" spans="1:20">
      <c r="A935" t="s">
        <v>20</v>
      </c>
      <c r="B935" t="s">
        <v>377</v>
      </c>
      <c r="C935">
        <v>301049751</v>
      </c>
      <c r="D935">
        <v>73239990</v>
      </c>
      <c r="E935" t="s">
        <v>1683</v>
      </c>
      <c r="N935">
        <v>1468.8</v>
      </c>
      <c r="O935" t="s">
        <v>2748</v>
      </c>
      <c r="P935">
        <v>655.5411491999999</v>
      </c>
      <c r="Q935">
        <v>962858.84</v>
      </c>
      <c r="R935">
        <v>8.350842665</v>
      </c>
      <c r="S935">
        <v>12265.71771</v>
      </c>
      <c r="T935">
        <v>352791.5</v>
      </c>
    </row>
    <row r="936" spans="1:20">
      <c r="A936" t="s">
        <v>20</v>
      </c>
      <c r="B936" t="s">
        <v>377</v>
      </c>
      <c r="C936">
        <v>301049751</v>
      </c>
      <c r="D936">
        <v>73239990</v>
      </c>
      <c r="E936" t="s">
        <v>1684</v>
      </c>
      <c r="N936">
        <v>3592.8</v>
      </c>
      <c r="O936" t="s">
        <v>2746</v>
      </c>
      <c r="P936">
        <v>560.6602705</v>
      </c>
      <c r="Q936">
        <v>2014340.22</v>
      </c>
      <c r="R936">
        <v>7.142169051</v>
      </c>
      <c r="S936">
        <v>25660.38497</v>
      </c>
      <c r="T936">
        <v>738054.2</v>
      </c>
    </row>
    <row r="937" spans="1:20">
      <c r="A937" t="s">
        <v>20</v>
      </c>
      <c r="B937" t="s">
        <v>377</v>
      </c>
      <c r="C937">
        <v>301049751</v>
      </c>
      <c r="D937">
        <v>73239990</v>
      </c>
      <c r="E937" t="s">
        <v>1685</v>
      </c>
      <c r="N937">
        <v>3402.9</v>
      </c>
      <c r="O937" t="s">
        <v>2746</v>
      </c>
      <c r="P937">
        <v>656.4491639</v>
      </c>
      <c r="Q937">
        <v>2233830.86</v>
      </c>
      <c r="R937">
        <v>8.362409732</v>
      </c>
      <c r="S937">
        <v>28456.44408</v>
      </c>
      <c r="T937">
        <v>818475.6</v>
      </c>
    </row>
    <row r="938" spans="1:20">
      <c r="A938" t="s">
        <v>20</v>
      </c>
      <c r="B938" t="s">
        <v>378</v>
      </c>
      <c r="C938">
        <v>301049751</v>
      </c>
      <c r="D938">
        <v>73231000</v>
      </c>
      <c r="E938" t="s">
        <v>1686</v>
      </c>
      <c r="N938">
        <v>8677.15</v>
      </c>
      <c r="O938" t="s">
        <v>2746</v>
      </c>
      <c r="P938">
        <v>284.8484468</v>
      </c>
      <c r="Q938">
        <v>2471672.7</v>
      </c>
      <c r="R938">
        <v>3.62402604</v>
      </c>
      <c r="S938">
        <v>31446.21756</v>
      </c>
      <c r="T938">
        <v>1086547.3</v>
      </c>
    </row>
    <row r="939" spans="1:20">
      <c r="A939" t="s">
        <v>20</v>
      </c>
      <c r="B939" t="s">
        <v>379</v>
      </c>
      <c r="C939">
        <v>301049751</v>
      </c>
      <c r="D939">
        <v>73239990</v>
      </c>
      <c r="E939" t="s">
        <v>1687</v>
      </c>
      <c r="N939">
        <v>4004</v>
      </c>
      <c r="O939" t="s">
        <v>2746</v>
      </c>
      <c r="P939">
        <v>450.593017</v>
      </c>
      <c r="Q939">
        <v>1804174.44</v>
      </c>
      <c r="R939">
        <v>5.732735585</v>
      </c>
      <c r="S939">
        <v>22953.87328</v>
      </c>
      <c r="T939">
        <v>661049.5</v>
      </c>
    </row>
    <row r="940" spans="1:20">
      <c r="A940" t="s">
        <v>20</v>
      </c>
      <c r="B940" t="s">
        <v>380</v>
      </c>
      <c r="C940">
        <v>301049751</v>
      </c>
      <c r="D940">
        <v>73239990</v>
      </c>
      <c r="E940" t="s">
        <v>1688</v>
      </c>
      <c r="N940">
        <v>3784.8</v>
      </c>
      <c r="O940" t="s">
        <v>2746</v>
      </c>
      <c r="P940">
        <v>651.9549778000001</v>
      </c>
      <c r="Q940">
        <v>2467519.2</v>
      </c>
      <c r="R940">
        <v>8.294592593000001</v>
      </c>
      <c r="S940">
        <v>31393.37405</v>
      </c>
      <c r="T940">
        <v>904099</v>
      </c>
    </row>
    <row r="941" spans="1:20">
      <c r="A941" t="s">
        <v>20</v>
      </c>
      <c r="B941" t="s">
        <v>380</v>
      </c>
      <c r="C941">
        <v>301049751</v>
      </c>
      <c r="D941">
        <v>73239990</v>
      </c>
      <c r="E941" t="s">
        <v>1689</v>
      </c>
      <c r="N941">
        <v>5985</v>
      </c>
      <c r="O941" t="s">
        <v>2746</v>
      </c>
      <c r="P941">
        <v>415.261213</v>
      </c>
      <c r="Q941">
        <v>2485338.36</v>
      </c>
      <c r="R941">
        <v>5.28322154</v>
      </c>
      <c r="S941">
        <v>31620.08092</v>
      </c>
      <c r="T941">
        <v>910628</v>
      </c>
    </row>
    <row r="942" spans="1:20">
      <c r="A942" t="s">
        <v>20</v>
      </c>
      <c r="B942" t="s">
        <v>380</v>
      </c>
      <c r="C942">
        <v>301049751</v>
      </c>
      <c r="D942">
        <v>73239990</v>
      </c>
      <c r="E942" t="s">
        <v>1690</v>
      </c>
      <c r="N942">
        <v>3712</v>
      </c>
      <c r="O942" t="s">
        <v>2746</v>
      </c>
      <c r="P942">
        <v>536.3158378000001</v>
      </c>
      <c r="Q942">
        <v>1990804.39</v>
      </c>
      <c r="R942">
        <v>6.823356715</v>
      </c>
      <c r="S942">
        <v>25328.30013</v>
      </c>
      <c r="T942">
        <v>729430.8</v>
      </c>
    </row>
    <row r="943" spans="1:20">
      <c r="A943" t="s">
        <v>20</v>
      </c>
      <c r="B943" t="s">
        <v>380</v>
      </c>
      <c r="C943">
        <v>301049751</v>
      </c>
      <c r="D943">
        <v>73239990</v>
      </c>
      <c r="E943" t="s">
        <v>1691</v>
      </c>
      <c r="N943">
        <v>7875</v>
      </c>
      <c r="O943" t="s">
        <v>2746</v>
      </c>
      <c r="P943">
        <v>268.7382273</v>
      </c>
      <c r="Q943">
        <v>2116313.54</v>
      </c>
      <c r="R943">
        <v>3.419061416</v>
      </c>
      <c r="S943">
        <v>26925.10865</v>
      </c>
      <c r="T943">
        <v>775417.3</v>
      </c>
    </row>
    <row r="944" spans="1:20">
      <c r="A944" t="s">
        <v>20</v>
      </c>
      <c r="B944" t="s">
        <v>380</v>
      </c>
      <c r="C944">
        <v>301049751</v>
      </c>
      <c r="D944">
        <v>73239990</v>
      </c>
      <c r="E944" t="s">
        <v>1692</v>
      </c>
      <c r="N944">
        <v>2633.4</v>
      </c>
      <c r="O944" t="s">
        <v>2746</v>
      </c>
      <c r="P944">
        <v>651.3647072</v>
      </c>
      <c r="Q944">
        <v>1715303.82</v>
      </c>
      <c r="R944">
        <v>8.287082788999999</v>
      </c>
      <c r="S944">
        <v>21823.20382</v>
      </c>
      <c r="T944">
        <v>628487.4</v>
      </c>
    </row>
    <row r="945" spans="1:20">
      <c r="A945" t="s">
        <v>20</v>
      </c>
      <c r="B945" t="s">
        <v>380</v>
      </c>
      <c r="C945">
        <v>301049751</v>
      </c>
      <c r="D945">
        <v>73239990</v>
      </c>
      <c r="E945" t="s">
        <v>1693</v>
      </c>
      <c r="N945">
        <v>3068.1</v>
      </c>
      <c r="O945" t="s">
        <v>2746</v>
      </c>
      <c r="P945">
        <v>557.5404387</v>
      </c>
      <c r="Q945">
        <v>1710589.82</v>
      </c>
      <c r="R945">
        <v>7.093389805</v>
      </c>
      <c r="S945">
        <v>21763.22926</v>
      </c>
      <c r="T945">
        <v>626760.2</v>
      </c>
    </row>
    <row r="946" spans="1:20">
      <c r="A946" t="s">
        <v>20</v>
      </c>
      <c r="B946" t="s">
        <v>380</v>
      </c>
      <c r="C946">
        <v>301049751</v>
      </c>
      <c r="D946">
        <v>73239990</v>
      </c>
      <c r="E946" t="s">
        <v>1694</v>
      </c>
      <c r="N946">
        <v>1679.4</v>
      </c>
      <c r="O946" t="s">
        <v>2746</v>
      </c>
      <c r="P946">
        <v>650.4638145</v>
      </c>
      <c r="Q946">
        <v>1092388.93</v>
      </c>
      <c r="R946">
        <v>8.275621049</v>
      </c>
      <c r="S946">
        <v>13898.07799</v>
      </c>
      <c r="T946">
        <v>400251.3</v>
      </c>
    </row>
    <row r="947" spans="1:20">
      <c r="A947" t="s">
        <v>20</v>
      </c>
      <c r="B947" t="s">
        <v>380</v>
      </c>
      <c r="C947">
        <v>301049751</v>
      </c>
      <c r="D947">
        <v>73239990</v>
      </c>
      <c r="E947" t="s">
        <v>1695</v>
      </c>
      <c r="N947">
        <v>434</v>
      </c>
      <c r="O947" t="s">
        <v>2746</v>
      </c>
      <c r="P947">
        <v>534.1403226</v>
      </c>
      <c r="Q947">
        <v>231816.9</v>
      </c>
      <c r="R947">
        <v>6.795678404</v>
      </c>
      <c r="S947">
        <v>2949.324427</v>
      </c>
      <c r="T947">
        <v>84937.7</v>
      </c>
    </row>
    <row r="948" spans="1:20">
      <c r="A948" t="s">
        <v>20</v>
      </c>
      <c r="B948" t="s">
        <v>380</v>
      </c>
      <c r="C948">
        <v>301049751</v>
      </c>
      <c r="D948">
        <v>73239990</v>
      </c>
      <c r="E948" t="s">
        <v>1696</v>
      </c>
      <c r="N948">
        <v>9520</v>
      </c>
      <c r="O948" t="s">
        <v>2746</v>
      </c>
      <c r="P948">
        <v>409.0300903</v>
      </c>
      <c r="Q948">
        <v>3893966.46</v>
      </c>
      <c r="R948">
        <v>5.20394517</v>
      </c>
      <c r="S948">
        <v>49541.55802</v>
      </c>
      <c r="T948">
        <v>1426749.3</v>
      </c>
    </row>
    <row r="949" spans="1:20">
      <c r="A949" t="s">
        <v>20</v>
      </c>
      <c r="B949" t="s">
        <v>380</v>
      </c>
      <c r="C949">
        <v>301049751</v>
      </c>
      <c r="D949">
        <v>73239990</v>
      </c>
      <c r="E949" t="s">
        <v>1697</v>
      </c>
      <c r="N949">
        <v>2310</v>
      </c>
      <c r="O949" t="s">
        <v>2746</v>
      </c>
      <c r="P949">
        <v>577.5182338</v>
      </c>
      <c r="Q949">
        <v>1334067.12</v>
      </c>
      <c r="R949">
        <v>7.347560226</v>
      </c>
      <c r="S949">
        <v>16972.86412</v>
      </c>
      <c r="T949">
        <v>488802.1</v>
      </c>
    </row>
    <row r="950" spans="1:20">
      <c r="A950" t="s">
        <v>20</v>
      </c>
      <c r="B950" t="s">
        <v>380</v>
      </c>
      <c r="C950">
        <v>301049751</v>
      </c>
      <c r="D950">
        <v>73239990</v>
      </c>
      <c r="E950" t="s">
        <v>1698</v>
      </c>
      <c r="N950">
        <v>1452</v>
      </c>
      <c r="O950" t="s">
        <v>2746</v>
      </c>
      <c r="P950">
        <v>587.8648691</v>
      </c>
      <c r="Q950">
        <v>853579.79</v>
      </c>
      <c r="R950">
        <v>7.479196808</v>
      </c>
      <c r="S950">
        <v>10859.79377</v>
      </c>
      <c r="T950">
        <v>312751.7</v>
      </c>
    </row>
    <row r="951" spans="1:20">
      <c r="A951" t="s">
        <v>20</v>
      </c>
      <c r="B951" t="s">
        <v>381</v>
      </c>
      <c r="C951">
        <v>301049751</v>
      </c>
      <c r="D951">
        <v>73239990</v>
      </c>
      <c r="E951" t="s">
        <v>1699</v>
      </c>
      <c r="N951">
        <v>3893.4</v>
      </c>
      <c r="O951" t="s">
        <v>2746</v>
      </c>
      <c r="P951">
        <v>558.338013</v>
      </c>
      <c r="Q951">
        <v>2173833.22</v>
      </c>
      <c r="R951">
        <v>7.103537062</v>
      </c>
      <c r="S951">
        <v>27656.9112</v>
      </c>
      <c r="T951">
        <v>796492.5</v>
      </c>
    </row>
    <row r="952" spans="1:20">
      <c r="A952" t="s">
        <v>20</v>
      </c>
      <c r="B952" t="s">
        <v>381</v>
      </c>
      <c r="C952">
        <v>301049751</v>
      </c>
      <c r="D952">
        <v>73239990</v>
      </c>
      <c r="E952" t="s">
        <v>1700</v>
      </c>
      <c r="N952">
        <v>2473.2</v>
      </c>
      <c r="O952" t="s">
        <v>2746</v>
      </c>
      <c r="P952">
        <v>651.3943191</v>
      </c>
      <c r="Q952">
        <v>1611028.43</v>
      </c>
      <c r="R952">
        <v>8.287459531</v>
      </c>
      <c r="S952">
        <v>20496.54491</v>
      </c>
      <c r="T952">
        <v>590280.9</v>
      </c>
    </row>
    <row r="953" spans="1:20">
      <c r="A953" t="s">
        <v>20</v>
      </c>
      <c r="B953" t="s">
        <v>381</v>
      </c>
      <c r="C953">
        <v>301049751</v>
      </c>
      <c r="D953">
        <v>73231000</v>
      </c>
      <c r="E953" t="s">
        <v>1701</v>
      </c>
      <c r="N953">
        <v>4830</v>
      </c>
      <c r="O953" t="s">
        <v>2746</v>
      </c>
      <c r="P953">
        <v>511.8293747</v>
      </c>
      <c r="Q953">
        <v>2472135.88</v>
      </c>
      <c r="R953">
        <v>6.511824106</v>
      </c>
      <c r="S953">
        <v>31452.11043</v>
      </c>
      <c r="T953">
        <v>1086750.9</v>
      </c>
    </row>
    <row r="954" spans="1:20">
      <c r="A954" t="s">
        <v>20</v>
      </c>
      <c r="B954" t="s">
        <v>381</v>
      </c>
      <c r="C954">
        <v>301049751</v>
      </c>
      <c r="D954">
        <v>73239990</v>
      </c>
      <c r="E954" t="s">
        <v>1702</v>
      </c>
      <c r="N954">
        <v>980.4</v>
      </c>
      <c r="O954" t="s">
        <v>2746</v>
      </c>
      <c r="P954">
        <v>652.2964198</v>
      </c>
      <c r="Q954">
        <v>639511.41</v>
      </c>
      <c r="R954">
        <v>8.298936639000001</v>
      </c>
      <c r="S954">
        <v>8136.277481</v>
      </c>
      <c r="T954">
        <v>234317</v>
      </c>
    </row>
    <row r="955" spans="1:20">
      <c r="A955" t="s">
        <v>20</v>
      </c>
      <c r="B955" t="s">
        <v>381</v>
      </c>
      <c r="C955">
        <v>301049751</v>
      </c>
      <c r="D955">
        <v>73239990</v>
      </c>
      <c r="E955" t="s">
        <v>1703</v>
      </c>
      <c r="N955">
        <v>10836</v>
      </c>
      <c r="O955" t="s">
        <v>2746</v>
      </c>
      <c r="P955">
        <v>592.3425729000001</v>
      </c>
      <c r="Q955">
        <v>6418624.12</v>
      </c>
      <c r="R955">
        <v>7.53616505</v>
      </c>
      <c r="S955">
        <v>81661.88447999999</v>
      </c>
      <c r="T955">
        <v>2351783.9</v>
      </c>
    </row>
    <row r="956" spans="1:20">
      <c r="A956" t="s">
        <v>20</v>
      </c>
      <c r="B956" t="s">
        <v>382</v>
      </c>
      <c r="C956">
        <v>301049751</v>
      </c>
      <c r="D956">
        <v>73239990</v>
      </c>
      <c r="E956" t="s">
        <v>1704</v>
      </c>
      <c r="N956">
        <v>4042.1</v>
      </c>
      <c r="O956" t="s">
        <v>2746</v>
      </c>
      <c r="P956">
        <v>703.616338</v>
      </c>
      <c r="Q956">
        <v>2844087.6</v>
      </c>
      <c r="R956">
        <v>9.131944686000001</v>
      </c>
      <c r="S956">
        <v>36912.23361</v>
      </c>
      <c r="T956">
        <v>1042073.7</v>
      </c>
    </row>
    <row r="957" spans="1:20">
      <c r="A957" t="s">
        <v>20</v>
      </c>
      <c r="B957" t="s">
        <v>382</v>
      </c>
      <c r="C957">
        <v>301049751</v>
      </c>
      <c r="D957">
        <v>73239990</v>
      </c>
      <c r="E957" t="s">
        <v>1705</v>
      </c>
      <c r="N957">
        <v>2048</v>
      </c>
      <c r="O957" t="s">
        <v>2746</v>
      </c>
      <c r="P957">
        <v>653.6311328</v>
      </c>
      <c r="Q957">
        <v>1338636.56</v>
      </c>
      <c r="R957">
        <v>8.483207434000001</v>
      </c>
      <c r="S957">
        <v>17373.60883</v>
      </c>
      <c r="T957">
        <v>490476.4</v>
      </c>
    </row>
    <row r="958" spans="1:20">
      <c r="A958" t="s">
        <v>20</v>
      </c>
      <c r="B958" t="s">
        <v>382</v>
      </c>
      <c r="C958">
        <v>301049751</v>
      </c>
      <c r="D958">
        <v>73239990</v>
      </c>
      <c r="E958" t="s">
        <v>1706</v>
      </c>
      <c r="N958">
        <v>4260</v>
      </c>
      <c r="O958" t="s">
        <v>2746</v>
      </c>
      <c r="P958">
        <v>548.0456995</v>
      </c>
      <c r="Q958">
        <v>2334674.68</v>
      </c>
      <c r="R958">
        <v>7.112857878</v>
      </c>
      <c r="S958">
        <v>30300.77456</v>
      </c>
      <c r="T958">
        <v>855424.8</v>
      </c>
    </row>
    <row r="959" spans="1:20">
      <c r="A959" t="s">
        <v>20</v>
      </c>
      <c r="B959" t="s">
        <v>382</v>
      </c>
      <c r="C959">
        <v>301049751</v>
      </c>
      <c r="D959">
        <v>73239990</v>
      </c>
      <c r="E959" t="s">
        <v>1707</v>
      </c>
      <c r="N959">
        <v>8888.1</v>
      </c>
      <c r="O959" t="s">
        <v>2746</v>
      </c>
      <c r="P959">
        <v>538.3442198</v>
      </c>
      <c r="Q959">
        <v>4784857.26</v>
      </c>
      <c r="R959">
        <v>6.986946396</v>
      </c>
      <c r="S959">
        <v>62100.67826</v>
      </c>
      <c r="T959">
        <v>1753171.7</v>
      </c>
    </row>
    <row r="960" spans="1:20">
      <c r="A960" t="s">
        <v>20</v>
      </c>
      <c r="B960" t="s">
        <v>382</v>
      </c>
      <c r="C960">
        <v>301049751</v>
      </c>
      <c r="D960">
        <v>73239990</v>
      </c>
      <c r="E960" t="s">
        <v>1708</v>
      </c>
      <c r="N960">
        <v>10561.6</v>
      </c>
      <c r="O960" t="s">
        <v>2746</v>
      </c>
      <c r="P960">
        <v>474.470923</v>
      </c>
      <c r="Q960">
        <v>5011172.1</v>
      </c>
      <c r="R960">
        <v>6.157961362</v>
      </c>
      <c r="S960">
        <v>65037.92472</v>
      </c>
      <c r="T960">
        <v>1836093.4</v>
      </c>
    </row>
    <row r="961" spans="1:20">
      <c r="A961" t="s">
        <v>20</v>
      </c>
      <c r="B961" t="s">
        <v>382</v>
      </c>
      <c r="C961">
        <v>301049751</v>
      </c>
      <c r="D961">
        <v>73239990</v>
      </c>
      <c r="E961" t="s">
        <v>1709</v>
      </c>
      <c r="N961">
        <v>3809.7</v>
      </c>
      <c r="O961" t="s">
        <v>2746</v>
      </c>
      <c r="P961">
        <v>550.1945849</v>
      </c>
      <c r="Q961">
        <v>2096076.31</v>
      </c>
      <c r="R961">
        <v>7.14074737</v>
      </c>
      <c r="S961">
        <v>27204.10526</v>
      </c>
      <c r="T961">
        <v>768002.4</v>
      </c>
    </row>
    <row r="962" spans="1:20">
      <c r="A962" t="s">
        <v>20</v>
      </c>
      <c r="B962" t="s">
        <v>382</v>
      </c>
      <c r="C962">
        <v>301049751</v>
      </c>
      <c r="D962">
        <v>73239990</v>
      </c>
      <c r="E962" t="s">
        <v>1710</v>
      </c>
      <c r="N962">
        <v>2947.5</v>
      </c>
      <c r="O962" t="s">
        <v>2746</v>
      </c>
      <c r="P962">
        <v>540.0255165</v>
      </c>
      <c r="Q962">
        <v>1591725.21</v>
      </c>
      <c r="R962">
        <v>7.008767249</v>
      </c>
      <c r="S962">
        <v>20658.34147</v>
      </c>
      <c r="T962">
        <v>583208.1</v>
      </c>
    </row>
    <row r="963" spans="1:20">
      <c r="A963" t="s">
        <v>20</v>
      </c>
      <c r="B963" t="s">
        <v>382</v>
      </c>
      <c r="C963">
        <v>301049751</v>
      </c>
      <c r="D963">
        <v>73239990</v>
      </c>
      <c r="E963" t="s">
        <v>1711</v>
      </c>
      <c r="N963">
        <v>4457.4</v>
      </c>
      <c r="O963" t="s">
        <v>2746</v>
      </c>
      <c r="P963">
        <v>640.1367590999999</v>
      </c>
      <c r="Q963">
        <v>2853345.59</v>
      </c>
      <c r="R963">
        <v>8.308069553999999</v>
      </c>
      <c r="S963">
        <v>37032.38923</v>
      </c>
      <c r="T963">
        <v>1045465.8</v>
      </c>
    </row>
    <row r="964" spans="1:20">
      <c r="A964" t="s">
        <v>20</v>
      </c>
      <c r="B964" t="s">
        <v>382</v>
      </c>
      <c r="C964">
        <v>301049751</v>
      </c>
      <c r="D964">
        <v>73239990</v>
      </c>
      <c r="E964" t="s">
        <v>1712</v>
      </c>
      <c r="N964">
        <v>135</v>
      </c>
      <c r="O964" t="s">
        <v>2746</v>
      </c>
      <c r="P964">
        <v>639.2514073999999</v>
      </c>
      <c r="Q964">
        <v>86298.94</v>
      </c>
      <c r="R964">
        <v>8.296578941</v>
      </c>
      <c r="S964">
        <v>1120.038157</v>
      </c>
      <c r="T964">
        <v>31620</v>
      </c>
    </row>
    <row r="965" spans="1:20">
      <c r="A965" t="s">
        <v>20</v>
      </c>
      <c r="B965" t="s">
        <v>382</v>
      </c>
      <c r="C965">
        <v>301049751</v>
      </c>
      <c r="D965">
        <v>73239990</v>
      </c>
      <c r="E965" t="s">
        <v>1713</v>
      </c>
      <c r="N965">
        <v>3132</v>
      </c>
      <c r="O965" t="s">
        <v>2746</v>
      </c>
      <c r="P965">
        <v>546.7281673</v>
      </c>
      <c r="Q965">
        <v>1712352.62</v>
      </c>
      <c r="R965">
        <v>7.095758174</v>
      </c>
      <c r="S965">
        <v>22223.9146</v>
      </c>
      <c r="T965">
        <v>627406</v>
      </c>
    </row>
    <row r="966" spans="1:20">
      <c r="A966" t="s">
        <v>20</v>
      </c>
      <c r="B966" t="s">
        <v>383</v>
      </c>
      <c r="C966">
        <v>301049751</v>
      </c>
      <c r="D966">
        <v>73231000</v>
      </c>
      <c r="E966" t="s">
        <v>1714</v>
      </c>
      <c r="N966">
        <v>7869.4</v>
      </c>
      <c r="O966" t="s">
        <v>2746</v>
      </c>
      <c r="P966">
        <v>280.2241988</v>
      </c>
      <c r="Q966">
        <v>2205196.31</v>
      </c>
      <c r="R966">
        <v>3.636913677</v>
      </c>
      <c r="S966">
        <v>28620.32849</v>
      </c>
      <c r="T966">
        <v>969404.3</v>
      </c>
    </row>
    <row r="967" spans="1:20">
      <c r="A967" t="s">
        <v>20</v>
      </c>
      <c r="B967" t="s">
        <v>384</v>
      </c>
      <c r="C967">
        <v>301049751</v>
      </c>
      <c r="D967">
        <v>73239990</v>
      </c>
      <c r="E967" t="s">
        <v>1715</v>
      </c>
      <c r="N967">
        <v>5526.6</v>
      </c>
      <c r="O967" t="s">
        <v>2746</v>
      </c>
      <c r="P967">
        <v>1060.087654</v>
      </c>
      <c r="Q967">
        <v>5858680.43</v>
      </c>
      <c r="R967">
        <v>13.75843808</v>
      </c>
      <c r="S967">
        <v>76037.38391</v>
      </c>
      <c r="T967">
        <v>2146620.5</v>
      </c>
    </row>
    <row r="968" spans="1:20">
      <c r="A968" t="s">
        <v>20</v>
      </c>
      <c r="B968" t="s">
        <v>385</v>
      </c>
      <c r="C968">
        <v>301049751</v>
      </c>
      <c r="D968">
        <v>73239990</v>
      </c>
      <c r="E968" t="s">
        <v>1716</v>
      </c>
      <c r="N968">
        <v>4750</v>
      </c>
      <c r="O968" t="s">
        <v>2746</v>
      </c>
      <c r="P968">
        <v>553.4751263000001</v>
      </c>
      <c r="Q968">
        <v>2629006.85</v>
      </c>
      <c r="R968">
        <v>7.183324157</v>
      </c>
      <c r="S968">
        <v>34120.78975</v>
      </c>
      <c r="T968">
        <v>963268.1</v>
      </c>
    </row>
    <row r="969" spans="1:20">
      <c r="A969" t="s">
        <v>20</v>
      </c>
      <c r="B969" t="s">
        <v>385</v>
      </c>
      <c r="C969">
        <v>301049751</v>
      </c>
      <c r="D969">
        <v>73239990</v>
      </c>
      <c r="E969" t="s">
        <v>1717</v>
      </c>
      <c r="N969">
        <v>2350</v>
      </c>
      <c r="O969" t="s">
        <v>2746</v>
      </c>
      <c r="P969">
        <v>579.8973447</v>
      </c>
      <c r="Q969">
        <v>1362758.76</v>
      </c>
      <c r="R969">
        <v>7.526247173</v>
      </c>
      <c r="S969">
        <v>17686.68086</v>
      </c>
      <c r="T969">
        <v>499314.9</v>
      </c>
    </row>
    <row r="970" spans="1:20">
      <c r="A970" t="s">
        <v>20</v>
      </c>
      <c r="B970" t="s">
        <v>386</v>
      </c>
      <c r="C970">
        <v>301049751</v>
      </c>
      <c r="D970">
        <v>73239990</v>
      </c>
      <c r="E970" t="s">
        <v>1718</v>
      </c>
      <c r="N970">
        <v>10599.5</v>
      </c>
      <c r="O970" t="s">
        <v>2746</v>
      </c>
      <c r="P970">
        <v>691.7499354</v>
      </c>
      <c r="Q970">
        <v>7332203.44</v>
      </c>
      <c r="R970">
        <v>9.007160617</v>
      </c>
      <c r="S970">
        <v>95471.39896000001</v>
      </c>
      <c r="T970">
        <v>2686519.4</v>
      </c>
    </row>
    <row r="971" spans="1:20">
      <c r="A971" t="s">
        <v>20</v>
      </c>
      <c r="B971" t="s">
        <v>386</v>
      </c>
      <c r="C971">
        <v>301049751</v>
      </c>
      <c r="D971">
        <v>73239990</v>
      </c>
      <c r="E971" t="s">
        <v>1719</v>
      </c>
      <c r="N971">
        <v>10561.6</v>
      </c>
      <c r="O971" t="s">
        <v>2746</v>
      </c>
      <c r="P971">
        <v>471.1267687</v>
      </c>
      <c r="Q971">
        <v>4975852.48</v>
      </c>
      <c r="R971">
        <v>6.134463134</v>
      </c>
      <c r="S971">
        <v>64789.74583</v>
      </c>
      <c r="T971">
        <v>1823152.3</v>
      </c>
    </row>
    <row r="972" spans="1:20">
      <c r="A972" t="s">
        <v>20</v>
      </c>
      <c r="B972" t="s">
        <v>386</v>
      </c>
      <c r="C972">
        <v>301049751</v>
      </c>
      <c r="D972">
        <v>73239990</v>
      </c>
      <c r="E972" t="s">
        <v>1720</v>
      </c>
      <c r="N972">
        <v>5700</v>
      </c>
      <c r="O972" t="s">
        <v>2746</v>
      </c>
      <c r="P972">
        <v>534.2977228</v>
      </c>
      <c r="Q972">
        <v>3045497.02</v>
      </c>
      <c r="R972">
        <v>6.957001599</v>
      </c>
      <c r="S972">
        <v>39654.90911</v>
      </c>
      <c r="T972">
        <v>1115870.1</v>
      </c>
    </row>
    <row r="973" spans="1:20">
      <c r="A973" t="s">
        <v>20</v>
      </c>
      <c r="B973" t="s">
        <v>386</v>
      </c>
      <c r="C973">
        <v>301049751</v>
      </c>
      <c r="D973">
        <v>73239990</v>
      </c>
      <c r="E973" t="s">
        <v>1721</v>
      </c>
      <c r="N973">
        <v>5080</v>
      </c>
      <c r="O973" t="s">
        <v>2746</v>
      </c>
      <c r="P973">
        <v>649.0242283</v>
      </c>
      <c r="Q973">
        <v>3297043.08</v>
      </c>
      <c r="R973">
        <v>8.450836306999999</v>
      </c>
      <c r="S973">
        <v>42930.24844</v>
      </c>
      <c r="T973">
        <v>1208036.6</v>
      </c>
    </row>
    <row r="974" spans="1:20">
      <c r="A974" t="s">
        <v>20</v>
      </c>
      <c r="B974" t="s">
        <v>386</v>
      </c>
      <c r="C974">
        <v>301049751</v>
      </c>
      <c r="D974">
        <v>73239990</v>
      </c>
      <c r="E974" t="s">
        <v>1722</v>
      </c>
      <c r="N974">
        <v>9041.34</v>
      </c>
      <c r="O974" t="s">
        <v>2746</v>
      </c>
      <c r="P974">
        <v>484.6273738</v>
      </c>
      <c r="Q974">
        <v>4381680.86</v>
      </c>
      <c r="R974">
        <v>6.310252263</v>
      </c>
      <c r="S974">
        <v>57053.1362</v>
      </c>
      <c r="T974">
        <v>1605447.9</v>
      </c>
    </row>
    <row r="975" spans="1:20">
      <c r="A975" t="s">
        <v>20</v>
      </c>
      <c r="B975" t="s">
        <v>387</v>
      </c>
      <c r="C975">
        <v>301049751</v>
      </c>
      <c r="D975">
        <v>73239990</v>
      </c>
      <c r="E975" t="s">
        <v>1723</v>
      </c>
      <c r="N975">
        <v>5610</v>
      </c>
      <c r="O975" t="s">
        <v>2746</v>
      </c>
      <c r="P975">
        <v>592.7696168</v>
      </c>
      <c r="Q975">
        <v>3325437.55</v>
      </c>
      <c r="R975">
        <v>7.708317513</v>
      </c>
      <c r="S975">
        <v>43243.66125</v>
      </c>
      <c r="T975">
        <v>1218440.4</v>
      </c>
    </row>
    <row r="976" spans="1:20">
      <c r="A976" t="s">
        <v>20</v>
      </c>
      <c r="B976" t="s">
        <v>387</v>
      </c>
      <c r="C976">
        <v>301049751</v>
      </c>
      <c r="D976">
        <v>73239990</v>
      </c>
      <c r="E976" t="s">
        <v>1724</v>
      </c>
      <c r="N976">
        <v>1972.5</v>
      </c>
      <c r="O976" t="s">
        <v>2746</v>
      </c>
      <c r="P976">
        <v>275.7715285</v>
      </c>
      <c r="Q976">
        <v>543959.34</v>
      </c>
      <c r="R976">
        <v>3.586105702</v>
      </c>
      <c r="S976">
        <v>7073.593498</v>
      </c>
      <c r="T976">
        <v>199306.8</v>
      </c>
    </row>
    <row r="977" spans="1:20">
      <c r="A977" t="s">
        <v>20</v>
      </c>
      <c r="B977" t="s">
        <v>387</v>
      </c>
      <c r="C977">
        <v>301049751</v>
      </c>
      <c r="D977">
        <v>73239990</v>
      </c>
      <c r="E977" t="s">
        <v>1725</v>
      </c>
      <c r="N977">
        <v>5985</v>
      </c>
      <c r="O977" t="s">
        <v>2746</v>
      </c>
      <c r="P977">
        <v>426.2356541</v>
      </c>
      <c r="Q977">
        <v>2551020.39</v>
      </c>
      <c r="R977">
        <v>5.542726322</v>
      </c>
      <c r="S977">
        <v>33173.21704</v>
      </c>
      <c r="T977">
        <v>934693.9</v>
      </c>
    </row>
    <row r="978" spans="1:20">
      <c r="A978" t="s">
        <v>20</v>
      </c>
      <c r="B978" t="s">
        <v>387</v>
      </c>
      <c r="C978">
        <v>301049751</v>
      </c>
      <c r="D978">
        <v>73239990</v>
      </c>
      <c r="E978" t="s">
        <v>1726</v>
      </c>
      <c r="N978">
        <v>3356</v>
      </c>
      <c r="O978" t="s">
        <v>2746</v>
      </c>
      <c r="P978">
        <v>595.4763051</v>
      </c>
      <c r="Q978">
        <v>1998418.48</v>
      </c>
      <c r="R978">
        <v>7.743515021</v>
      </c>
      <c r="S978">
        <v>25987.23641</v>
      </c>
      <c r="T978">
        <v>732220.6</v>
      </c>
    </row>
    <row r="979" spans="1:20">
      <c r="A979" t="s">
        <v>20</v>
      </c>
      <c r="B979" t="s">
        <v>388</v>
      </c>
      <c r="C979">
        <v>301049751</v>
      </c>
      <c r="D979">
        <v>73239990</v>
      </c>
      <c r="E979" t="s">
        <v>1727</v>
      </c>
      <c r="N979">
        <v>4352.4</v>
      </c>
      <c r="O979" t="s">
        <v>2746</v>
      </c>
      <c r="P979">
        <v>644.3864213000001</v>
      </c>
      <c r="Q979">
        <v>2804627.46</v>
      </c>
      <c r="R979">
        <v>8.379537338</v>
      </c>
      <c r="S979">
        <v>36471.09831</v>
      </c>
      <c r="T979">
        <v>1027615.5</v>
      </c>
    </row>
    <row r="980" spans="1:20">
      <c r="A980" t="s">
        <v>20</v>
      </c>
      <c r="B980" t="s">
        <v>388</v>
      </c>
      <c r="C980">
        <v>301049751</v>
      </c>
      <c r="D980">
        <v>73239990</v>
      </c>
      <c r="E980" t="s">
        <v>1728</v>
      </c>
      <c r="N980">
        <v>2662.4</v>
      </c>
      <c r="O980" t="s">
        <v>2746</v>
      </c>
      <c r="P980">
        <v>543.7010404</v>
      </c>
      <c r="Q980">
        <v>1447549.65</v>
      </c>
      <c r="R980">
        <v>7.070234596</v>
      </c>
      <c r="S980">
        <v>18823.79259</v>
      </c>
      <c r="T980">
        <v>530382.2</v>
      </c>
    </row>
    <row r="981" spans="1:20">
      <c r="A981" t="s">
        <v>20</v>
      </c>
      <c r="B981" t="s">
        <v>389</v>
      </c>
      <c r="C981">
        <v>301049751</v>
      </c>
      <c r="D981">
        <v>73239990</v>
      </c>
      <c r="E981" t="s">
        <v>1729</v>
      </c>
      <c r="N981">
        <v>10892</v>
      </c>
      <c r="O981" t="s">
        <v>2746</v>
      </c>
      <c r="P981">
        <v>486.8938414</v>
      </c>
      <c r="Q981">
        <v>5303247.72</v>
      </c>
      <c r="R981">
        <v>6.331519393</v>
      </c>
      <c r="S981">
        <v>68962.90923</v>
      </c>
      <c r="T981">
        <v>1943110</v>
      </c>
    </row>
    <row r="982" spans="1:20">
      <c r="A982" t="s">
        <v>20</v>
      </c>
      <c r="B982" t="s">
        <v>389</v>
      </c>
      <c r="C982">
        <v>301049751</v>
      </c>
      <c r="D982">
        <v>73239990</v>
      </c>
      <c r="E982" t="s">
        <v>1730</v>
      </c>
      <c r="N982">
        <v>8723.66</v>
      </c>
      <c r="O982" t="s">
        <v>2746</v>
      </c>
      <c r="P982">
        <v>497.8213926</v>
      </c>
      <c r="Q982">
        <v>4342824.57</v>
      </c>
      <c r="R982">
        <v>6.47362019</v>
      </c>
      <c r="S982">
        <v>56473.66151</v>
      </c>
      <c r="T982">
        <v>1591210.9</v>
      </c>
    </row>
    <row r="983" spans="1:20">
      <c r="A983" t="s">
        <v>20</v>
      </c>
      <c r="B983" t="s">
        <v>389</v>
      </c>
      <c r="C983">
        <v>301049751</v>
      </c>
      <c r="D983">
        <v>73239990</v>
      </c>
      <c r="E983" t="s">
        <v>1731</v>
      </c>
      <c r="N983">
        <v>11202.2</v>
      </c>
      <c r="O983" t="s">
        <v>2746</v>
      </c>
      <c r="P983">
        <v>512.9072798</v>
      </c>
      <c r="Q983">
        <v>5745689.93</v>
      </c>
      <c r="R983">
        <v>6.669795576</v>
      </c>
      <c r="S983">
        <v>74716.38400999999</v>
      </c>
      <c r="T983">
        <v>2105220.8</v>
      </c>
    </row>
    <row r="984" spans="1:20">
      <c r="A984" t="s">
        <v>20</v>
      </c>
      <c r="B984" t="s">
        <v>390</v>
      </c>
      <c r="C984">
        <v>301049751</v>
      </c>
      <c r="D984">
        <v>73239990</v>
      </c>
      <c r="E984" t="s">
        <v>1732</v>
      </c>
      <c r="N984">
        <v>7560</v>
      </c>
      <c r="O984" t="s">
        <v>2746</v>
      </c>
      <c r="P984">
        <v>566.6417844</v>
      </c>
      <c r="Q984">
        <v>4283811.89</v>
      </c>
      <c r="R984">
        <v>7.344676402</v>
      </c>
      <c r="S984">
        <v>55525.7536</v>
      </c>
      <c r="T984">
        <v>1569588.7</v>
      </c>
    </row>
    <row r="985" spans="1:20">
      <c r="A985" t="s">
        <v>20</v>
      </c>
      <c r="B985" t="s">
        <v>390</v>
      </c>
      <c r="C985">
        <v>301049751</v>
      </c>
      <c r="D985">
        <v>73231000</v>
      </c>
      <c r="E985" t="s">
        <v>1733</v>
      </c>
      <c r="N985">
        <v>4833</v>
      </c>
      <c r="O985" t="s">
        <v>2746</v>
      </c>
      <c r="P985">
        <v>518.1228223000001</v>
      </c>
      <c r="Q985">
        <v>2504087.6</v>
      </c>
      <c r="R985">
        <v>6.715785123</v>
      </c>
      <c r="S985">
        <v>32457.3895</v>
      </c>
      <c r="T985">
        <v>1100796.9</v>
      </c>
    </row>
    <row r="986" spans="1:20">
      <c r="A986" t="s">
        <v>20</v>
      </c>
      <c r="B986" t="s">
        <v>390</v>
      </c>
      <c r="C986">
        <v>301049751</v>
      </c>
      <c r="D986">
        <v>73239990</v>
      </c>
      <c r="E986" t="s">
        <v>1734</v>
      </c>
      <c r="N986">
        <v>7673.6</v>
      </c>
      <c r="O986" t="s">
        <v>2746</v>
      </c>
      <c r="P986">
        <v>544.4483802</v>
      </c>
      <c r="Q986">
        <v>4177879.09</v>
      </c>
      <c r="R986">
        <v>7.05701076</v>
      </c>
      <c r="S986">
        <v>54152.67777</v>
      </c>
      <c r="T986">
        <v>1530774.9</v>
      </c>
    </row>
    <row r="987" spans="1:20">
      <c r="A987" t="s">
        <v>20</v>
      </c>
      <c r="B987" t="s">
        <v>391</v>
      </c>
      <c r="C987">
        <v>301049751</v>
      </c>
      <c r="D987">
        <v>73231000</v>
      </c>
      <c r="E987" t="s">
        <v>1735</v>
      </c>
      <c r="N987">
        <v>6953.1</v>
      </c>
      <c r="O987" t="s">
        <v>2746</v>
      </c>
      <c r="P987">
        <v>286.6600365</v>
      </c>
      <c r="Q987">
        <v>1993175.9</v>
      </c>
      <c r="R987">
        <v>3.715619398</v>
      </c>
      <c r="S987">
        <v>25835.07323</v>
      </c>
      <c r="T987">
        <v>876200.1</v>
      </c>
    </row>
    <row r="988" spans="1:20">
      <c r="A988" t="s">
        <v>20</v>
      </c>
      <c r="B988" t="s">
        <v>392</v>
      </c>
      <c r="C988">
        <v>301049751</v>
      </c>
      <c r="D988">
        <v>73239990</v>
      </c>
      <c r="E988" t="s">
        <v>1736</v>
      </c>
      <c r="N988">
        <v>5849.6</v>
      </c>
      <c r="O988" t="s">
        <v>2746</v>
      </c>
      <c r="P988">
        <v>531.5230630999999</v>
      </c>
      <c r="Q988">
        <v>3109197.31</v>
      </c>
      <c r="R988">
        <v>6.920873218</v>
      </c>
      <c r="S988">
        <v>40484.33997</v>
      </c>
      <c r="T988">
        <v>1139209.9</v>
      </c>
    </row>
    <row r="989" spans="1:20">
      <c r="A989" t="s">
        <v>20</v>
      </c>
      <c r="B989" t="s">
        <v>392</v>
      </c>
      <c r="C989">
        <v>301049751</v>
      </c>
      <c r="D989">
        <v>73239990</v>
      </c>
      <c r="E989" t="s">
        <v>1737</v>
      </c>
      <c r="N989">
        <v>1516.8</v>
      </c>
      <c r="O989" t="s">
        <v>2746</v>
      </c>
      <c r="P989">
        <v>544.4170688</v>
      </c>
      <c r="Q989">
        <v>825771.8100000001</v>
      </c>
      <c r="R989">
        <v>7.088763917</v>
      </c>
      <c r="S989">
        <v>10752.23711</v>
      </c>
      <c r="T989">
        <v>302562.8</v>
      </c>
    </row>
    <row r="990" spans="1:20">
      <c r="A990" t="s">
        <v>20</v>
      </c>
      <c r="B990" t="s">
        <v>393</v>
      </c>
      <c r="C990">
        <v>301049751</v>
      </c>
      <c r="D990">
        <v>73239990</v>
      </c>
      <c r="E990" t="s">
        <v>1738</v>
      </c>
      <c r="N990">
        <v>3443.2</v>
      </c>
      <c r="O990" t="s">
        <v>2746</v>
      </c>
      <c r="P990">
        <v>545.4156308</v>
      </c>
      <c r="Q990">
        <v>1877975.1</v>
      </c>
      <c r="R990">
        <v>7.101766026</v>
      </c>
      <c r="S990">
        <v>24452.80078</v>
      </c>
      <c r="T990">
        <v>688090.1</v>
      </c>
    </row>
    <row r="991" spans="1:20">
      <c r="A991" t="s">
        <v>20</v>
      </c>
      <c r="B991" t="s">
        <v>393</v>
      </c>
      <c r="C991">
        <v>301049751</v>
      </c>
      <c r="D991">
        <v>73231000</v>
      </c>
      <c r="E991" t="s">
        <v>1739</v>
      </c>
      <c r="N991">
        <v>8537.799999999999</v>
      </c>
      <c r="O991" t="s">
        <v>2746</v>
      </c>
      <c r="P991">
        <v>283.9476329</v>
      </c>
      <c r="Q991">
        <v>2424288.1</v>
      </c>
      <c r="R991">
        <v>3.697234803</v>
      </c>
      <c r="S991">
        <v>31566.2513</v>
      </c>
      <c r="T991">
        <v>1065717.1</v>
      </c>
    </row>
    <row r="992" spans="1:20">
      <c r="A992" t="s">
        <v>20</v>
      </c>
      <c r="B992" t="s">
        <v>393</v>
      </c>
      <c r="C992">
        <v>301049751</v>
      </c>
      <c r="D992">
        <v>73239990</v>
      </c>
      <c r="E992" t="s">
        <v>1740</v>
      </c>
      <c r="N992">
        <v>4041.3</v>
      </c>
      <c r="O992" t="s">
        <v>2746</v>
      </c>
      <c r="P992">
        <v>647.3138149</v>
      </c>
      <c r="Q992">
        <v>2615989.32</v>
      </c>
      <c r="R992">
        <v>8.428565298000001</v>
      </c>
      <c r="S992">
        <v>34062.36094</v>
      </c>
      <c r="T992">
        <v>958498.5</v>
      </c>
    </row>
    <row r="993" spans="1:20">
      <c r="A993" t="s">
        <v>20</v>
      </c>
      <c r="B993" t="s">
        <v>394</v>
      </c>
      <c r="C993">
        <v>301049751</v>
      </c>
      <c r="D993">
        <v>73239990</v>
      </c>
      <c r="E993" t="s">
        <v>1741</v>
      </c>
      <c r="N993">
        <v>4057.5</v>
      </c>
      <c r="O993" t="s">
        <v>2746</v>
      </c>
      <c r="P993">
        <v>295.6624892</v>
      </c>
      <c r="Q993">
        <v>1199650.55</v>
      </c>
      <c r="R993">
        <v>3.84476579</v>
      </c>
      <c r="S993">
        <v>15600.13719</v>
      </c>
      <c r="T993">
        <v>439551.9</v>
      </c>
    </row>
    <row r="994" spans="1:20">
      <c r="A994" t="s">
        <v>20</v>
      </c>
      <c r="B994" t="s">
        <v>394</v>
      </c>
      <c r="C994">
        <v>301049751</v>
      </c>
      <c r="D994">
        <v>73239990</v>
      </c>
      <c r="E994" t="s">
        <v>1742</v>
      </c>
      <c r="N994">
        <v>5017.6</v>
      </c>
      <c r="O994" t="s">
        <v>2746</v>
      </c>
      <c r="P994">
        <v>536.3013891000001</v>
      </c>
      <c r="Q994">
        <v>2690945.85</v>
      </c>
      <c r="R994">
        <v>6.974010262</v>
      </c>
      <c r="S994">
        <v>34992.79389</v>
      </c>
      <c r="T994">
        <v>985962.6</v>
      </c>
    </row>
    <row r="995" spans="1:20">
      <c r="A995" t="s">
        <v>20</v>
      </c>
      <c r="B995" t="s">
        <v>394</v>
      </c>
      <c r="C995">
        <v>301049751</v>
      </c>
      <c r="D995">
        <v>73239990</v>
      </c>
      <c r="E995" t="s">
        <v>1743</v>
      </c>
      <c r="N995">
        <v>2700.8</v>
      </c>
      <c r="O995" t="s">
        <v>2746</v>
      </c>
      <c r="P995">
        <v>549.3113966</v>
      </c>
      <c r="Q995">
        <v>1483580.22</v>
      </c>
      <c r="R995">
        <v>7.143191113</v>
      </c>
      <c r="S995">
        <v>19292.33056</v>
      </c>
      <c r="T995">
        <v>543583.7</v>
      </c>
    </row>
    <row r="996" spans="1:20">
      <c r="A996" t="s">
        <v>20</v>
      </c>
      <c r="B996" t="s">
        <v>394</v>
      </c>
      <c r="C996">
        <v>301049751</v>
      </c>
      <c r="D996">
        <v>73239990</v>
      </c>
      <c r="E996" t="s">
        <v>1744</v>
      </c>
      <c r="N996">
        <v>7639.2</v>
      </c>
      <c r="O996" t="s">
        <v>2746</v>
      </c>
      <c r="P996">
        <v>556.8068737999999</v>
      </c>
      <c r="Q996">
        <v>4253559.07</v>
      </c>
      <c r="R996">
        <v>7.240661557</v>
      </c>
      <c r="S996">
        <v>55312.86177</v>
      </c>
      <c r="T996">
        <v>1558504.1</v>
      </c>
    </row>
    <row r="997" spans="1:20">
      <c r="A997" t="s">
        <v>20</v>
      </c>
      <c r="B997" t="s">
        <v>394</v>
      </c>
      <c r="C997">
        <v>301049751</v>
      </c>
      <c r="D997">
        <v>73239990</v>
      </c>
      <c r="E997" t="s">
        <v>1745</v>
      </c>
      <c r="N997">
        <v>5985</v>
      </c>
      <c r="O997" t="s">
        <v>2746</v>
      </c>
      <c r="P997">
        <v>456.5900418</v>
      </c>
      <c r="Q997">
        <v>2732691.4</v>
      </c>
      <c r="R997">
        <v>5.937451779</v>
      </c>
      <c r="S997">
        <v>35535.64889</v>
      </c>
      <c r="T997">
        <v>1001258.1</v>
      </c>
    </row>
    <row r="998" spans="1:20">
      <c r="A998" t="s">
        <v>20</v>
      </c>
      <c r="B998" t="s">
        <v>395</v>
      </c>
      <c r="C998">
        <v>301049751</v>
      </c>
      <c r="D998">
        <v>73239990</v>
      </c>
      <c r="E998" t="s">
        <v>1746</v>
      </c>
      <c r="N998">
        <v>2210.1</v>
      </c>
      <c r="O998" t="s">
        <v>2746</v>
      </c>
      <c r="P998">
        <v>399.9055744</v>
      </c>
      <c r="Q998">
        <v>883831.3100000001</v>
      </c>
      <c r="R998">
        <v>5.200332567</v>
      </c>
      <c r="S998">
        <v>11493.25501</v>
      </c>
      <c r="T998">
        <v>323835.8</v>
      </c>
    </row>
    <row r="999" spans="1:20">
      <c r="A999" t="s">
        <v>20</v>
      </c>
      <c r="B999" t="s">
        <v>395</v>
      </c>
      <c r="C999">
        <v>301049751</v>
      </c>
      <c r="D999">
        <v>73239990</v>
      </c>
      <c r="E999" t="s">
        <v>1747</v>
      </c>
      <c r="N999">
        <v>6862.8</v>
      </c>
      <c r="O999" t="s">
        <v>2746</v>
      </c>
      <c r="P999">
        <v>382.4660488</v>
      </c>
      <c r="Q999">
        <v>2624788</v>
      </c>
      <c r="R999">
        <v>4.9735507</v>
      </c>
      <c r="S999">
        <v>34132.48375</v>
      </c>
      <c r="T999">
        <v>961722.4</v>
      </c>
    </row>
    <row r="1000" spans="1:20">
      <c r="A1000" t="s">
        <v>20</v>
      </c>
      <c r="B1000" t="s">
        <v>396</v>
      </c>
      <c r="C1000">
        <v>301049751</v>
      </c>
      <c r="D1000">
        <v>73239990</v>
      </c>
      <c r="E1000" t="s">
        <v>1748</v>
      </c>
      <c r="N1000">
        <v>11.6</v>
      </c>
      <c r="O1000" t="s">
        <v>2746</v>
      </c>
      <c r="P1000">
        <v>687.9517241</v>
      </c>
      <c r="Q1000">
        <v>7980.24</v>
      </c>
      <c r="R1000">
        <v>8.946056231</v>
      </c>
      <c r="S1000">
        <v>103.7742523</v>
      </c>
      <c r="T1000">
        <v>2923.9</v>
      </c>
    </row>
    <row r="1001" spans="1:20">
      <c r="A1001" t="s">
        <v>20</v>
      </c>
      <c r="B1001" t="s">
        <v>396</v>
      </c>
      <c r="C1001">
        <v>301049751</v>
      </c>
      <c r="D1001">
        <v>73239990</v>
      </c>
      <c r="E1001" t="s">
        <v>1749</v>
      </c>
      <c r="N1001">
        <v>5250</v>
      </c>
      <c r="O1001" t="s">
        <v>2746</v>
      </c>
      <c r="P1001">
        <v>288.867501</v>
      </c>
      <c r="Q1001">
        <v>1516554.38</v>
      </c>
      <c r="R1001">
        <v>3.756404434</v>
      </c>
      <c r="S1001">
        <v>19721.12328</v>
      </c>
      <c r="T1001">
        <v>555665.6</v>
      </c>
    </row>
    <row r="1002" spans="1:20">
      <c r="A1002" t="s">
        <v>20</v>
      </c>
      <c r="B1002" t="s">
        <v>397</v>
      </c>
      <c r="C1002">
        <v>301049751</v>
      </c>
      <c r="D1002">
        <v>73231000</v>
      </c>
      <c r="E1002" t="s">
        <v>1750</v>
      </c>
      <c r="N1002">
        <v>4809</v>
      </c>
      <c r="O1002" t="s">
        <v>2746</v>
      </c>
      <c r="P1002">
        <v>544.1351695</v>
      </c>
      <c r="Q1002">
        <v>2616746.03</v>
      </c>
      <c r="R1002">
        <v>7.075879967</v>
      </c>
      <c r="S1002">
        <v>34027.90676</v>
      </c>
      <c r="T1002">
        <v>1150321.5</v>
      </c>
    </row>
    <row r="1003" spans="1:20">
      <c r="A1003" t="s">
        <v>20</v>
      </c>
      <c r="B1003" t="s">
        <v>398</v>
      </c>
      <c r="C1003">
        <v>301049751</v>
      </c>
      <c r="D1003">
        <v>73239990</v>
      </c>
      <c r="E1003" t="s">
        <v>1751</v>
      </c>
      <c r="N1003">
        <v>8094.8</v>
      </c>
      <c r="O1003" t="s">
        <v>2746</v>
      </c>
      <c r="P1003">
        <v>602.0942309</v>
      </c>
      <c r="Q1003">
        <v>4873832.38</v>
      </c>
      <c r="R1003">
        <v>7.829573873</v>
      </c>
      <c r="S1003">
        <v>63378.83459</v>
      </c>
      <c r="T1003">
        <v>1785772.2</v>
      </c>
    </row>
    <row r="1004" spans="1:20">
      <c r="A1004" t="s">
        <v>20</v>
      </c>
      <c r="B1004" t="s">
        <v>398</v>
      </c>
      <c r="C1004">
        <v>301049751</v>
      </c>
      <c r="D1004">
        <v>73239990</v>
      </c>
      <c r="E1004" t="s">
        <v>1752</v>
      </c>
      <c r="N1004">
        <v>10892</v>
      </c>
      <c r="O1004" t="s">
        <v>2746</v>
      </c>
      <c r="P1004">
        <v>482.6322613</v>
      </c>
      <c r="Q1004">
        <v>5256830.59</v>
      </c>
      <c r="R1004">
        <v>6.276102227</v>
      </c>
      <c r="S1004">
        <v>68359.30546</v>
      </c>
      <c r="T1004">
        <v>1926102.7</v>
      </c>
    </row>
    <row r="1005" spans="1:20">
      <c r="A1005" t="s">
        <v>20</v>
      </c>
      <c r="B1005" t="s">
        <v>399</v>
      </c>
      <c r="C1005">
        <v>301049751</v>
      </c>
      <c r="D1005">
        <v>73239990</v>
      </c>
      <c r="E1005" t="s">
        <v>1753</v>
      </c>
      <c r="N1005">
        <v>19008</v>
      </c>
      <c r="O1005" t="s">
        <v>2746</v>
      </c>
      <c r="P1005">
        <v>280.4434512</v>
      </c>
      <c r="Q1005">
        <v>5330669.12</v>
      </c>
      <c r="R1005">
        <v>3.65875344</v>
      </c>
      <c r="S1005">
        <v>69545.58538999999</v>
      </c>
      <c r="T1005">
        <v>1953157.2</v>
      </c>
    </row>
    <row r="1006" spans="1:20">
      <c r="A1006" t="s">
        <v>20</v>
      </c>
      <c r="B1006" t="s">
        <v>399</v>
      </c>
      <c r="C1006">
        <v>301049751</v>
      </c>
      <c r="D1006">
        <v>73239990</v>
      </c>
      <c r="E1006" t="s">
        <v>1754</v>
      </c>
      <c r="N1006">
        <v>8008</v>
      </c>
      <c r="O1006" t="s">
        <v>2746</v>
      </c>
      <c r="P1006">
        <v>514.9878497</v>
      </c>
      <c r="Q1006">
        <v>4124022.7</v>
      </c>
      <c r="R1006">
        <v>6.718693407</v>
      </c>
      <c r="S1006">
        <v>53803.2968</v>
      </c>
      <c r="T1006">
        <v>1511041.9</v>
      </c>
    </row>
    <row r="1007" spans="1:20">
      <c r="A1007" t="s">
        <v>20</v>
      </c>
      <c r="B1007" t="s">
        <v>400</v>
      </c>
      <c r="C1007">
        <v>301049751</v>
      </c>
      <c r="D1007">
        <v>73239990</v>
      </c>
      <c r="E1007" t="s">
        <v>1755</v>
      </c>
      <c r="N1007">
        <v>9348</v>
      </c>
      <c r="O1007" t="s">
        <v>2746</v>
      </c>
      <c r="P1007">
        <v>384.1449412</v>
      </c>
      <c r="Q1007">
        <v>3590986.91</v>
      </c>
      <c r="R1007">
        <v>5.051215531</v>
      </c>
      <c r="S1007">
        <v>47218.76279</v>
      </c>
      <c r="T1007">
        <v>1315737.6</v>
      </c>
    </row>
    <row r="1008" spans="1:20">
      <c r="A1008" t="s">
        <v>20</v>
      </c>
      <c r="B1008" t="s">
        <v>401</v>
      </c>
      <c r="C1008">
        <v>301049751</v>
      </c>
      <c r="D1008">
        <v>73239990</v>
      </c>
      <c r="E1008" t="s">
        <v>1756</v>
      </c>
      <c r="N1008">
        <v>15568</v>
      </c>
      <c r="O1008" t="s">
        <v>2746</v>
      </c>
      <c r="P1008">
        <v>418.6168294</v>
      </c>
      <c r="Q1008">
        <v>6517026.8</v>
      </c>
      <c r="R1008">
        <v>5.546797792</v>
      </c>
      <c r="S1008">
        <v>86352.54803000001</v>
      </c>
      <c r="T1008">
        <v>2387838.6</v>
      </c>
    </row>
    <row r="1009" spans="1:20">
      <c r="A1009" t="s">
        <v>20</v>
      </c>
      <c r="B1009" t="s">
        <v>402</v>
      </c>
      <c r="C1009">
        <v>301049751</v>
      </c>
      <c r="D1009">
        <v>73239990</v>
      </c>
      <c r="E1009" t="s">
        <v>1757</v>
      </c>
      <c r="N1009">
        <v>8892</v>
      </c>
      <c r="O1009" t="s">
        <v>2746</v>
      </c>
      <c r="P1009">
        <v>569.8737573</v>
      </c>
      <c r="Q1009">
        <v>5067317.45</v>
      </c>
      <c r="R1009">
        <v>7.550997182</v>
      </c>
      <c r="S1009">
        <v>67143.46694</v>
      </c>
      <c r="T1009">
        <v>1856665.1</v>
      </c>
    </row>
    <row r="1010" spans="1:20">
      <c r="A1010" t="s">
        <v>20</v>
      </c>
      <c r="B1010" t="s">
        <v>402</v>
      </c>
      <c r="C1010">
        <v>301049751</v>
      </c>
      <c r="D1010">
        <v>73239990</v>
      </c>
      <c r="E1010" t="s">
        <v>1758</v>
      </c>
      <c r="N1010">
        <v>10561.6</v>
      </c>
      <c r="O1010" t="s">
        <v>2746</v>
      </c>
      <c r="P1010">
        <v>502.2595544</v>
      </c>
      <c r="Q1010">
        <v>5304664.51</v>
      </c>
      <c r="R1010">
        <v>6.655088836</v>
      </c>
      <c r="S1010">
        <v>70288.38625</v>
      </c>
      <c r="T1010">
        <v>1943629.1</v>
      </c>
    </row>
    <row r="1011" spans="1:20">
      <c r="A1011" t="s">
        <v>20</v>
      </c>
      <c r="B1011" t="s">
        <v>403</v>
      </c>
      <c r="C1011">
        <v>301049751</v>
      </c>
      <c r="D1011">
        <v>73239990</v>
      </c>
      <c r="E1011" t="s">
        <v>1759</v>
      </c>
      <c r="N1011">
        <v>5100</v>
      </c>
      <c r="O1011" t="s">
        <v>2746</v>
      </c>
      <c r="P1011">
        <v>549.2623941000001</v>
      </c>
      <c r="Q1011">
        <v>2801238.21</v>
      </c>
      <c r="R1011">
        <v>7.277890475</v>
      </c>
      <c r="S1011">
        <v>37117.24142</v>
      </c>
      <c r="T1011">
        <v>1026373.7</v>
      </c>
    </row>
    <row r="1012" spans="1:20">
      <c r="A1012" t="s">
        <v>20</v>
      </c>
      <c r="B1012" t="s">
        <v>403</v>
      </c>
      <c r="C1012">
        <v>301049751</v>
      </c>
      <c r="D1012">
        <v>73239990</v>
      </c>
      <c r="E1012" t="s">
        <v>1760</v>
      </c>
      <c r="N1012">
        <v>10561.6</v>
      </c>
      <c r="O1012" t="s">
        <v>2746</v>
      </c>
      <c r="P1012">
        <v>484.3221415</v>
      </c>
      <c r="Q1012">
        <v>5115216.73</v>
      </c>
      <c r="R1012">
        <v>6.417412767</v>
      </c>
      <c r="S1012">
        <v>67778.14668000001</v>
      </c>
      <c r="T1012">
        <v>1874215.3</v>
      </c>
    </row>
    <row r="1013" spans="1:20">
      <c r="A1013" t="s">
        <v>20</v>
      </c>
      <c r="B1013" t="s">
        <v>403</v>
      </c>
      <c r="C1013">
        <v>301049751</v>
      </c>
      <c r="D1013">
        <v>73239990</v>
      </c>
      <c r="E1013" t="s">
        <v>1761</v>
      </c>
      <c r="N1013">
        <v>11202.2</v>
      </c>
      <c r="O1013" t="s">
        <v>2746</v>
      </c>
      <c r="P1013">
        <v>513.2982602</v>
      </c>
      <c r="Q1013">
        <v>5750069.77</v>
      </c>
      <c r="R1013">
        <v>6.801354978</v>
      </c>
      <c r="S1013">
        <v>76190.13873000001</v>
      </c>
      <c r="T1013">
        <v>2106825.6</v>
      </c>
    </row>
    <row r="1014" spans="1:20">
      <c r="A1014" t="s">
        <v>20</v>
      </c>
      <c r="B1014" t="s">
        <v>404</v>
      </c>
      <c r="C1014">
        <v>301049751</v>
      </c>
      <c r="D1014">
        <v>73239990</v>
      </c>
      <c r="E1014" t="s">
        <v>1762</v>
      </c>
      <c r="N1014">
        <v>2432</v>
      </c>
      <c r="O1014" t="s">
        <v>2746</v>
      </c>
      <c r="P1014">
        <v>560.8412582</v>
      </c>
      <c r="Q1014">
        <v>1363965.94</v>
      </c>
      <c r="R1014">
        <v>7.431313876</v>
      </c>
      <c r="S1014">
        <v>18072.95535</v>
      </c>
      <c r="T1014">
        <v>499757.1</v>
      </c>
    </row>
    <row r="1015" spans="1:20">
      <c r="A1015" t="s">
        <v>20</v>
      </c>
      <c r="B1015" t="s">
        <v>404</v>
      </c>
      <c r="C1015">
        <v>301049751</v>
      </c>
      <c r="D1015">
        <v>73239990</v>
      </c>
      <c r="E1015" t="s">
        <v>1763</v>
      </c>
      <c r="N1015">
        <v>10024</v>
      </c>
      <c r="O1015" t="s">
        <v>2746</v>
      </c>
      <c r="P1015">
        <v>434.8732961</v>
      </c>
      <c r="Q1015">
        <v>4359169.92</v>
      </c>
      <c r="R1015">
        <v>5.762200823</v>
      </c>
      <c r="S1015">
        <v>57760.30105</v>
      </c>
      <c r="T1015">
        <v>1597199.9</v>
      </c>
    </row>
    <row r="1016" spans="1:20">
      <c r="A1016" t="s">
        <v>20</v>
      </c>
      <c r="B1016" t="s">
        <v>404</v>
      </c>
      <c r="C1016">
        <v>301049751</v>
      </c>
      <c r="D1016">
        <v>73239990</v>
      </c>
      <c r="E1016" t="s">
        <v>1764</v>
      </c>
      <c r="N1016">
        <v>4536</v>
      </c>
      <c r="O1016" t="s">
        <v>2746</v>
      </c>
      <c r="P1016">
        <v>659.6221142000001</v>
      </c>
      <c r="Q1016">
        <v>2992045.91</v>
      </c>
      <c r="R1016">
        <v>8.740189666999999</v>
      </c>
      <c r="S1016">
        <v>39645.50033</v>
      </c>
      <c r="T1016">
        <v>1096285.6</v>
      </c>
    </row>
    <row r="1017" spans="1:20">
      <c r="A1017" t="s">
        <v>20</v>
      </c>
      <c r="B1017" t="s">
        <v>404</v>
      </c>
      <c r="C1017">
        <v>301049751</v>
      </c>
      <c r="D1017">
        <v>73239990</v>
      </c>
      <c r="E1017" t="s">
        <v>1765</v>
      </c>
      <c r="N1017">
        <v>2224.8</v>
      </c>
      <c r="O1017" t="s">
        <v>2746</v>
      </c>
      <c r="P1017">
        <v>568.4940624</v>
      </c>
      <c r="Q1017">
        <v>1264785.59</v>
      </c>
      <c r="R1017">
        <v>7.532715813</v>
      </c>
      <c r="S1017">
        <v>16758.78614</v>
      </c>
      <c r="T1017">
        <v>463417.4</v>
      </c>
    </row>
    <row r="1018" spans="1:20">
      <c r="A1018" t="s">
        <v>20</v>
      </c>
      <c r="B1018" t="s">
        <v>404</v>
      </c>
      <c r="C1018">
        <v>301049751</v>
      </c>
      <c r="D1018">
        <v>73239990</v>
      </c>
      <c r="E1018" t="s">
        <v>1766</v>
      </c>
      <c r="N1018">
        <v>2867.2</v>
      </c>
      <c r="O1018" t="s">
        <v>2746</v>
      </c>
      <c r="P1018">
        <v>547.558088</v>
      </c>
      <c r="Q1018">
        <v>1569958.55</v>
      </c>
      <c r="R1018">
        <v>7.255307911</v>
      </c>
      <c r="S1018">
        <v>20802.41884</v>
      </c>
      <c r="T1018">
        <v>575232.8</v>
      </c>
    </row>
    <row r="1019" spans="1:20">
      <c r="A1019" t="s">
        <v>20</v>
      </c>
      <c r="B1019" t="s">
        <v>404</v>
      </c>
      <c r="C1019">
        <v>301049751</v>
      </c>
      <c r="D1019">
        <v>73239990</v>
      </c>
      <c r="E1019" t="s">
        <v>1767</v>
      </c>
      <c r="N1019">
        <v>2450</v>
      </c>
      <c r="O1019" t="s">
        <v>2746</v>
      </c>
      <c r="P1019">
        <v>531.6896367000001</v>
      </c>
      <c r="Q1019">
        <v>1302639.61</v>
      </c>
      <c r="R1019">
        <v>7.0450462</v>
      </c>
      <c r="S1019">
        <v>17260.36319</v>
      </c>
      <c r="T1019">
        <v>477287.1</v>
      </c>
    </row>
    <row r="1020" spans="1:20">
      <c r="A1020" t="s">
        <v>20</v>
      </c>
      <c r="B1020" t="s">
        <v>404</v>
      </c>
      <c r="C1020">
        <v>301049751</v>
      </c>
      <c r="D1020">
        <v>73239990</v>
      </c>
      <c r="E1020" t="s">
        <v>1768</v>
      </c>
      <c r="N1020">
        <v>4088</v>
      </c>
      <c r="O1020" t="s">
        <v>2746</v>
      </c>
      <c r="P1020">
        <v>458.667478</v>
      </c>
      <c r="Q1020">
        <v>1875032.65</v>
      </c>
      <c r="R1020">
        <v>6.077480827</v>
      </c>
      <c r="S1020">
        <v>24844.74162</v>
      </c>
      <c r="T1020">
        <v>687012</v>
      </c>
    </row>
    <row r="1021" spans="1:20">
      <c r="A1021" t="s">
        <v>20</v>
      </c>
      <c r="B1021" t="s">
        <v>404</v>
      </c>
      <c r="C1021">
        <v>301049751</v>
      </c>
      <c r="D1021">
        <v>73239990</v>
      </c>
      <c r="E1021" t="s">
        <v>1769</v>
      </c>
      <c r="N1021">
        <v>2991.6</v>
      </c>
      <c r="O1021" t="s">
        <v>2746</v>
      </c>
      <c r="P1021">
        <v>685.2819561</v>
      </c>
      <c r="Q1021">
        <v>2050089.5</v>
      </c>
      <c r="R1021">
        <v>9.080190223000001</v>
      </c>
      <c r="S1021">
        <v>27164.29707</v>
      </c>
      <c r="T1021">
        <v>751152.8</v>
      </c>
    </row>
    <row r="1022" spans="1:20">
      <c r="A1022" t="s">
        <v>20</v>
      </c>
      <c r="B1022" t="s">
        <v>404</v>
      </c>
      <c r="C1022">
        <v>301049751</v>
      </c>
      <c r="D1022">
        <v>73239990</v>
      </c>
      <c r="E1022" t="s">
        <v>1770</v>
      </c>
      <c r="N1022">
        <v>4894.4</v>
      </c>
      <c r="O1022" t="s">
        <v>2746</v>
      </c>
      <c r="P1022">
        <v>433.3478465</v>
      </c>
      <c r="Q1022">
        <v>2120977.7</v>
      </c>
      <c r="R1022">
        <v>5.741988161</v>
      </c>
      <c r="S1022">
        <v>28103.58686</v>
      </c>
      <c r="T1022">
        <v>777126.2</v>
      </c>
    </row>
    <row r="1023" spans="1:20">
      <c r="A1023" t="s">
        <v>20</v>
      </c>
      <c r="B1023" t="s">
        <v>404</v>
      </c>
      <c r="C1023">
        <v>301049751</v>
      </c>
      <c r="D1023">
        <v>73239990</v>
      </c>
      <c r="E1023" t="s">
        <v>1771</v>
      </c>
      <c r="N1023">
        <v>2440.8</v>
      </c>
      <c r="O1023" t="s">
        <v>2746</v>
      </c>
      <c r="P1023">
        <v>564.1504916</v>
      </c>
      <c r="Q1023">
        <v>1376978.52</v>
      </c>
      <c r="R1023">
        <v>7.475162205</v>
      </c>
      <c r="S1023">
        <v>18245.37591</v>
      </c>
      <c r="T1023">
        <v>504525</v>
      </c>
    </row>
    <row r="1024" spans="1:20">
      <c r="A1024" t="s">
        <v>20</v>
      </c>
      <c r="B1024" t="s">
        <v>404</v>
      </c>
      <c r="C1024">
        <v>301049751</v>
      </c>
      <c r="D1024">
        <v>73239990</v>
      </c>
      <c r="E1024" t="s">
        <v>1772</v>
      </c>
      <c r="N1024">
        <v>4620</v>
      </c>
      <c r="O1024" t="s">
        <v>2746</v>
      </c>
      <c r="P1024">
        <v>609.1444632</v>
      </c>
      <c r="Q1024">
        <v>2814247.42</v>
      </c>
      <c r="R1024">
        <v>8.071345743</v>
      </c>
      <c r="S1024">
        <v>37289.61733</v>
      </c>
      <c r="T1024">
        <v>1031140.2</v>
      </c>
    </row>
    <row r="1025" spans="1:20">
      <c r="A1025" t="s">
        <v>20</v>
      </c>
      <c r="B1025" t="s">
        <v>404</v>
      </c>
      <c r="C1025">
        <v>301049751</v>
      </c>
      <c r="D1025">
        <v>73239990</v>
      </c>
      <c r="E1025" t="s">
        <v>1773</v>
      </c>
      <c r="N1025">
        <v>2923.2</v>
      </c>
      <c r="O1025" t="s">
        <v>2746</v>
      </c>
      <c r="P1025">
        <v>669.6022441</v>
      </c>
      <c r="Q1025">
        <v>1957381.28</v>
      </c>
      <c r="R1025">
        <v>8.872429364</v>
      </c>
      <c r="S1025">
        <v>25935.88552</v>
      </c>
      <c r="T1025">
        <v>717184.5</v>
      </c>
    </row>
    <row r="1026" spans="1:20">
      <c r="A1026" t="s">
        <v>20</v>
      </c>
      <c r="B1026" t="s">
        <v>404</v>
      </c>
      <c r="C1026">
        <v>301049751</v>
      </c>
      <c r="D1026">
        <v>73239990</v>
      </c>
      <c r="E1026" t="s">
        <v>1774</v>
      </c>
      <c r="N1026">
        <v>166.4</v>
      </c>
      <c r="O1026" t="s">
        <v>2746</v>
      </c>
      <c r="P1026">
        <v>543.375601</v>
      </c>
      <c r="Q1026">
        <v>90417.7</v>
      </c>
      <c r="R1026">
        <v>7.19988871</v>
      </c>
      <c r="S1026">
        <v>1198.061481</v>
      </c>
      <c r="T1026">
        <v>33129.1</v>
      </c>
    </row>
    <row r="1027" spans="1:20">
      <c r="A1027" t="s">
        <v>20</v>
      </c>
      <c r="B1027" t="s">
        <v>404</v>
      </c>
      <c r="C1027">
        <v>301049751</v>
      </c>
      <c r="D1027">
        <v>73239990</v>
      </c>
      <c r="E1027" t="s">
        <v>1775</v>
      </c>
      <c r="N1027">
        <v>9508.799999999999</v>
      </c>
      <c r="O1027" t="s">
        <v>2746</v>
      </c>
      <c r="P1027">
        <v>442.2558009</v>
      </c>
      <c r="Q1027">
        <v>4205321.96</v>
      </c>
      <c r="R1027">
        <v>5.860021213</v>
      </c>
      <c r="S1027">
        <v>55721.76971</v>
      </c>
      <c r="T1027">
        <v>1540829.9</v>
      </c>
    </row>
    <row r="1028" spans="1:20">
      <c r="A1028" t="s">
        <v>20</v>
      </c>
      <c r="B1028" t="s">
        <v>405</v>
      </c>
      <c r="C1028">
        <v>301049751</v>
      </c>
      <c r="D1028">
        <v>73239990</v>
      </c>
      <c r="E1028" t="s">
        <v>1776</v>
      </c>
      <c r="N1028">
        <v>6975</v>
      </c>
      <c r="O1028" t="s">
        <v>2746</v>
      </c>
      <c r="P1028">
        <v>550.6945004</v>
      </c>
      <c r="Q1028">
        <v>3841094.14</v>
      </c>
      <c r="R1028">
        <v>7.313339978</v>
      </c>
      <c r="S1028">
        <v>51010.54635</v>
      </c>
      <c r="T1028">
        <v>1407376.9</v>
      </c>
    </row>
    <row r="1029" spans="1:20">
      <c r="A1029" t="s">
        <v>20</v>
      </c>
      <c r="B1029" t="s">
        <v>406</v>
      </c>
      <c r="C1029">
        <v>301049751</v>
      </c>
      <c r="D1029">
        <v>73239990</v>
      </c>
      <c r="E1029" t="s">
        <v>1777</v>
      </c>
      <c r="N1029">
        <v>4620</v>
      </c>
      <c r="O1029" t="s">
        <v>2746</v>
      </c>
      <c r="P1029">
        <v>591.3082121</v>
      </c>
      <c r="Q1029">
        <v>2731843.94</v>
      </c>
      <c r="R1029">
        <v>7.8526987</v>
      </c>
      <c r="S1029">
        <v>36279.46799</v>
      </c>
      <c r="T1029">
        <v>1000947.7</v>
      </c>
    </row>
    <row r="1030" spans="1:20">
      <c r="A1030" t="s">
        <v>20</v>
      </c>
      <c r="B1030" t="s">
        <v>406</v>
      </c>
      <c r="C1030">
        <v>301049751</v>
      </c>
      <c r="D1030">
        <v>73239990</v>
      </c>
      <c r="E1030" t="s">
        <v>1778</v>
      </c>
      <c r="N1030">
        <v>2988</v>
      </c>
      <c r="O1030" t="s">
        <v>2746</v>
      </c>
      <c r="P1030">
        <v>634.1588989000001</v>
      </c>
      <c r="Q1030">
        <v>1894866.79</v>
      </c>
      <c r="R1030">
        <v>8.421764926</v>
      </c>
      <c r="S1030">
        <v>25164.2336</v>
      </c>
      <c r="T1030">
        <v>694279.2</v>
      </c>
    </row>
    <row r="1031" spans="1:20">
      <c r="A1031" t="s">
        <v>20</v>
      </c>
      <c r="B1031" t="s">
        <v>406</v>
      </c>
      <c r="C1031">
        <v>301049751</v>
      </c>
      <c r="D1031">
        <v>73239990</v>
      </c>
      <c r="E1031" t="s">
        <v>1779</v>
      </c>
      <c r="N1031">
        <v>18524.8</v>
      </c>
      <c r="O1031" t="s">
        <v>2746</v>
      </c>
      <c r="P1031">
        <v>411.591411</v>
      </c>
      <c r="Q1031">
        <v>7624648.57</v>
      </c>
      <c r="R1031">
        <v>5.466021394</v>
      </c>
      <c r="S1031">
        <v>101256.9531</v>
      </c>
      <c r="T1031">
        <v>2793671.3</v>
      </c>
    </row>
    <row r="1032" spans="1:20">
      <c r="A1032" t="s">
        <v>20</v>
      </c>
      <c r="B1032" t="s">
        <v>407</v>
      </c>
      <c r="C1032">
        <v>301049751</v>
      </c>
      <c r="D1032">
        <v>73239990</v>
      </c>
      <c r="E1032" t="s">
        <v>1780</v>
      </c>
      <c r="N1032">
        <v>6790</v>
      </c>
      <c r="O1032" t="s">
        <v>2746</v>
      </c>
      <c r="P1032">
        <v>629.2272533</v>
      </c>
      <c r="Q1032">
        <v>4272453.05</v>
      </c>
      <c r="R1032">
        <v>8.345189036000001</v>
      </c>
      <c r="S1032">
        <v>56663.83355</v>
      </c>
      <c r="T1032">
        <v>1565426.8</v>
      </c>
    </row>
    <row r="1033" spans="1:20">
      <c r="A1033" t="s">
        <v>20</v>
      </c>
      <c r="B1033" t="s">
        <v>407</v>
      </c>
      <c r="C1033">
        <v>301049751</v>
      </c>
      <c r="D1033">
        <v>73239990</v>
      </c>
      <c r="E1033" t="s">
        <v>1781</v>
      </c>
      <c r="N1033">
        <v>3609.6</v>
      </c>
      <c r="O1033" t="s">
        <v>2746</v>
      </c>
      <c r="P1033">
        <v>547.1768201</v>
      </c>
      <c r="Q1033">
        <v>1975089.45</v>
      </c>
      <c r="R1033">
        <v>7.256987005</v>
      </c>
      <c r="S1033">
        <v>26194.82029</v>
      </c>
      <c r="T1033">
        <v>723672.8</v>
      </c>
    </row>
    <row r="1034" spans="1:20">
      <c r="A1034" t="s">
        <v>20</v>
      </c>
      <c r="B1034" t="s">
        <v>407</v>
      </c>
      <c r="C1034">
        <v>301049751</v>
      </c>
      <c r="D1034">
        <v>73239990</v>
      </c>
      <c r="E1034" t="s">
        <v>1782</v>
      </c>
      <c r="N1034">
        <v>2338.2</v>
      </c>
      <c r="O1034" t="s">
        <v>2746</v>
      </c>
      <c r="P1034">
        <v>658.6929048</v>
      </c>
      <c r="Q1034">
        <v>1540155.75</v>
      </c>
      <c r="R1034">
        <v>8.735980169999999</v>
      </c>
      <c r="S1034">
        <v>20426.46883</v>
      </c>
      <c r="T1034">
        <v>564313.1</v>
      </c>
    </row>
    <row r="1035" spans="1:20">
      <c r="A1035" t="s">
        <v>20</v>
      </c>
      <c r="B1035" t="s">
        <v>407</v>
      </c>
      <c r="C1035">
        <v>301049751</v>
      </c>
      <c r="D1035">
        <v>73239990</v>
      </c>
      <c r="E1035" t="s">
        <v>1782</v>
      </c>
      <c r="N1035">
        <v>2338.2</v>
      </c>
      <c r="O1035" t="s">
        <v>2746</v>
      </c>
      <c r="P1035">
        <v>658.6929048</v>
      </c>
      <c r="Q1035">
        <v>1540155.75</v>
      </c>
      <c r="R1035">
        <v>8.735980169999999</v>
      </c>
      <c r="S1035">
        <v>20426.46883</v>
      </c>
      <c r="T1035">
        <v>564313.1</v>
      </c>
    </row>
    <row r="1036" spans="1:20">
      <c r="A1036" t="s">
        <v>20</v>
      </c>
      <c r="B1036" t="s">
        <v>407</v>
      </c>
      <c r="C1036">
        <v>301049751</v>
      </c>
      <c r="D1036">
        <v>73239990</v>
      </c>
      <c r="E1036" t="s">
        <v>1783</v>
      </c>
      <c r="N1036">
        <v>2980.8</v>
      </c>
      <c r="O1036" t="s">
        <v>2746</v>
      </c>
      <c r="P1036">
        <v>568.0982152</v>
      </c>
      <c r="Q1036">
        <v>1693387.16</v>
      </c>
      <c r="R1036">
        <v>7.534459088</v>
      </c>
      <c r="S1036">
        <v>22458.71565</v>
      </c>
      <c r="T1036">
        <v>620457</v>
      </c>
    </row>
    <row r="1037" spans="1:20">
      <c r="A1037" t="s">
        <v>20</v>
      </c>
      <c r="B1037" t="s">
        <v>407</v>
      </c>
      <c r="C1037">
        <v>301049751</v>
      </c>
      <c r="D1037">
        <v>73239990</v>
      </c>
      <c r="E1037" t="s">
        <v>1784</v>
      </c>
      <c r="N1037">
        <v>864</v>
      </c>
      <c r="O1037" t="s">
        <v>2746</v>
      </c>
      <c r="P1037">
        <v>560.4507407</v>
      </c>
      <c r="Q1037">
        <v>484229.44</v>
      </c>
      <c r="R1037">
        <v>7.433033697</v>
      </c>
      <c r="S1037">
        <v>6422.141114</v>
      </c>
      <c r="T1037">
        <v>177421.7</v>
      </c>
    </row>
    <row r="1038" spans="1:20">
      <c r="A1038" t="s">
        <v>20</v>
      </c>
      <c r="B1038" t="s">
        <v>407</v>
      </c>
      <c r="C1038">
        <v>301049751</v>
      </c>
      <c r="D1038">
        <v>73239990</v>
      </c>
      <c r="E1038" t="s">
        <v>1785</v>
      </c>
      <c r="N1038">
        <v>4192</v>
      </c>
      <c r="O1038" t="s">
        <v>2746</v>
      </c>
      <c r="P1038">
        <v>555.7721398</v>
      </c>
      <c r="Q1038">
        <v>2329796.81</v>
      </c>
      <c r="R1038">
        <v>7.370983286</v>
      </c>
      <c r="S1038">
        <v>30899.16194</v>
      </c>
      <c r="T1038">
        <v>853637.6</v>
      </c>
    </row>
    <row r="1039" spans="1:20">
      <c r="A1039" t="s">
        <v>20</v>
      </c>
      <c r="B1039" t="s">
        <v>407</v>
      </c>
      <c r="C1039">
        <v>301049751</v>
      </c>
      <c r="D1039">
        <v>73239990</v>
      </c>
      <c r="E1039" t="s">
        <v>1784</v>
      </c>
      <c r="N1039">
        <v>864</v>
      </c>
      <c r="O1039" t="s">
        <v>2746</v>
      </c>
      <c r="P1039">
        <v>560.4507407</v>
      </c>
      <c r="Q1039">
        <v>484229.44</v>
      </c>
      <c r="R1039">
        <v>7.433033697</v>
      </c>
      <c r="S1039">
        <v>6422.141114</v>
      </c>
      <c r="T1039">
        <v>177421.7</v>
      </c>
    </row>
    <row r="1040" spans="1:20">
      <c r="A1040" t="s">
        <v>20</v>
      </c>
      <c r="B1040" t="s">
        <v>407</v>
      </c>
      <c r="C1040">
        <v>301049751</v>
      </c>
      <c r="D1040">
        <v>73239990</v>
      </c>
      <c r="E1040" t="s">
        <v>1786</v>
      </c>
      <c r="N1040">
        <v>843.6</v>
      </c>
      <c r="O1040" t="s">
        <v>2746</v>
      </c>
      <c r="P1040">
        <v>659.605192</v>
      </c>
      <c r="Q1040">
        <v>556442.9399999999</v>
      </c>
      <c r="R1040">
        <v>8.74807947</v>
      </c>
      <c r="S1040">
        <v>7379.879841</v>
      </c>
      <c r="T1040">
        <v>203880.8</v>
      </c>
    </row>
    <row r="1041" spans="1:20">
      <c r="A1041" t="s">
        <v>20</v>
      </c>
      <c r="B1041" t="s">
        <v>407</v>
      </c>
      <c r="C1041">
        <v>301049751</v>
      </c>
      <c r="D1041">
        <v>73239990</v>
      </c>
      <c r="E1041" t="s">
        <v>1785</v>
      </c>
      <c r="N1041">
        <v>4192</v>
      </c>
      <c r="O1041" t="s">
        <v>2746</v>
      </c>
      <c r="P1041">
        <v>555.7721398</v>
      </c>
      <c r="Q1041">
        <v>2329796.81</v>
      </c>
      <c r="R1041">
        <v>7.370983286</v>
      </c>
      <c r="S1041">
        <v>30899.16194</v>
      </c>
      <c r="T1041">
        <v>853637.6</v>
      </c>
    </row>
    <row r="1042" spans="1:20">
      <c r="A1042" t="s">
        <v>20</v>
      </c>
      <c r="B1042" t="s">
        <v>407</v>
      </c>
      <c r="C1042">
        <v>301049751</v>
      </c>
      <c r="D1042">
        <v>73231000</v>
      </c>
      <c r="E1042" t="s">
        <v>1787</v>
      </c>
      <c r="N1042">
        <v>8537.799999999999</v>
      </c>
      <c r="O1042" t="s">
        <v>2746</v>
      </c>
      <c r="P1042">
        <v>296.346847</v>
      </c>
      <c r="Q1042">
        <v>2530150.11</v>
      </c>
      <c r="R1042">
        <v>3.930329535</v>
      </c>
      <c r="S1042">
        <v>33556.36751</v>
      </c>
      <c r="T1042">
        <v>1112254</v>
      </c>
    </row>
    <row r="1043" spans="1:20">
      <c r="A1043" t="s">
        <v>20</v>
      </c>
      <c r="B1043" t="s">
        <v>407</v>
      </c>
      <c r="C1043">
        <v>301049751</v>
      </c>
      <c r="D1043">
        <v>73239990</v>
      </c>
      <c r="E1043" t="s">
        <v>1781</v>
      </c>
      <c r="N1043">
        <v>3609.6</v>
      </c>
      <c r="O1043" t="s">
        <v>2746</v>
      </c>
      <c r="P1043">
        <v>547.1768201</v>
      </c>
      <c r="Q1043">
        <v>1975089.45</v>
      </c>
      <c r="R1043">
        <v>7.256987005</v>
      </c>
      <c r="S1043">
        <v>26194.82029</v>
      </c>
      <c r="T1043">
        <v>723672.8</v>
      </c>
    </row>
    <row r="1044" spans="1:20">
      <c r="A1044" t="s">
        <v>20</v>
      </c>
      <c r="B1044" t="s">
        <v>407</v>
      </c>
      <c r="C1044">
        <v>301049751</v>
      </c>
      <c r="D1044">
        <v>73231000</v>
      </c>
      <c r="E1044" t="s">
        <v>1787</v>
      </c>
      <c r="N1044">
        <v>8537.799999999999</v>
      </c>
      <c r="O1044" t="s">
        <v>2746</v>
      </c>
      <c r="P1044">
        <v>296.346847</v>
      </c>
      <c r="Q1044">
        <v>2530150.11</v>
      </c>
      <c r="R1044">
        <v>3.930329535</v>
      </c>
      <c r="S1044">
        <v>33556.36751</v>
      </c>
      <c r="T1044">
        <v>1112254</v>
      </c>
    </row>
    <row r="1045" spans="1:20">
      <c r="A1045" t="s">
        <v>20</v>
      </c>
      <c r="B1045" t="s">
        <v>407</v>
      </c>
      <c r="C1045">
        <v>301049751</v>
      </c>
      <c r="D1045">
        <v>73239990</v>
      </c>
      <c r="E1045" t="s">
        <v>1786</v>
      </c>
      <c r="N1045">
        <v>843.6</v>
      </c>
      <c r="O1045" t="s">
        <v>2746</v>
      </c>
      <c r="P1045">
        <v>659.605192</v>
      </c>
      <c r="Q1045">
        <v>556442.9399999999</v>
      </c>
      <c r="R1045">
        <v>8.74807947</v>
      </c>
      <c r="S1045">
        <v>7379.879841</v>
      </c>
      <c r="T1045">
        <v>203880.8</v>
      </c>
    </row>
    <row r="1046" spans="1:20">
      <c r="A1046" t="s">
        <v>20</v>
      </c>
      <c r="B1046" t="s">
        <v>407</v>
      </c>
      <c r="C1046">
        <v>301049751</v>
      </c>
      <c r="D1046">
        <v>73239990</v>
      </c>
      <c r="E1046" t="s">
        <v>1780</v>
      </c>
      <c r="N1046">
        <v>6790</v>
      </c>
      <c r="O1046" t="s">
        <v>2746</v>
      </c>
      <c r="P1046">
        <v>629.2272533</v>
      </c>
      <c r="Q1046">
        <v>4272453.05</v>
      </c>
      <c r="R1046">
        <v>8.345189036000001</v>
      </c>
      <c r="S1046">
        <v>56663.83355</v>
      </c>
      <c r="T1046">
        <v>1565426.8</v>
      </c>
    </row>
    <row r="1047" spans="1:20">
      <c r="A1047" t="s">
        <v>20</v>
      </c>
      <c r="B1047" t="s">
        <v>407</v>
      </c>
      <c r="C1047">
        <v>301049751</v>
      </c>
      <c r="D1047">
        <v>73239990</v>
      </c>
      <c r="E1047" t="s">
        <v>1783</v>
      </c>
      <c r="N1047">
        <v>2980.8</v>
      </c>
      <c r="O1047" t="s">
        <v>2746</v>
      </c>
      <c r="P1047">
        <v>568.0982152</v>
      </c>
      <c r="Q1047">
        <v>1693387.16</v>
      </c>
      <c r="R1047">
        <v>7.534459088</v>
      </c>
      <c r="S1047">
        <v>22458.71565</v>
      </c>
      <c r="T1047">
        <v>620457</v>
      </c>
    </row>
    <row r="1048" spans="1:20">
      <c r="A1048" t="s">
        <v>20</v>
      </c>
      <c r="B1048" t="s">
        <v>408</v>
      </c>
      <c r="C1048">
        <v>301049751</v>
      </c>
      <c r="D1048">
        <v>73239990</v>
      </c>
      <c r="E1048" t="s">
        <v>1788</v>
      </c>
      <c r="N1048">
        <v>5673</v>
      </c>
      <c r="O1048" t="s">
        <v>2746</v>
      </c>
      <c r="P1048">
        <v>1068.739716</v>
      </c>
      <c r="Q1048">
        <v>6062960.41</v>
      </c>
      <c r="R1048">
        <v>14.17426679</v>
      </c>
      <c r="S1048">
        <v>80410.61552000001</v>
      </c>
      <c r="T1048">
        <v>2221468.7</v>
      </c>
    </row>
    <row r="1049" spans="1:20">
      <c r="A1049" t="s">
        <v>20</v>
      </c>
      <c r="B1049" t="s">
        <v>408</v>
      </c>
      <c r="C1049">
        <v>301049751</v>
      </c>
      <c r="D1049">
        <v>73239990</v>
      </c>
      <c r="E1049" t="s">
        <v>1788</v>
      </c>
      <c r="N1049">
        <v>5673</v>
      </c>
      <c r="O1049" t="s">
        <v>2746</v>
      </c>
      <c r="P1049">
        <v>1068.739716</v>
      </c>
      <c r="Q1049">
        <v>6062960.41</v>
      </c>
      <c r="R1049">
        <v>14.17426679</v>
      </c>
      <c r="S1049">
        <v>80410.61552000001</v>
      </c>
      <c r="T1049">
        <v>2221468.7</v>
      </c>
    </row>
    <row r="1050" spans="1:20">
      <c r="A1050" t="s">
        <v>20</v>
      </c>
      <c r="B1050" t="s">
        <v>409</v>
      </c>
      <c r="C1050">
        <v>301049751</v>
      </c>
      <c r="D1050">
        <v>73239990</v>
      </c>
      <c r="E1050" t="s">
        <v>1789</v>
      </c>
      <c r="N1050">
        <v>723.2</v>
      </c>
      <c r="O1050" t="s">
        <v>2746</v>
      </c>
      <c r="P1050">
        <v>537.8743224999999</v>
      </c>
      <c r="Q1050">
        <v>388990.71</v>
      </c>
      <c r="R1050">
        <v>7.133611704</v>
      </c>
      <c r="S1050">
        <v>5159.027984</v>
      </c>
      <c r="T1050">
        <v>142526.1</v>
      </c>
    </row>
    <row r="1051" spans="1:20">
      <c r="A1051" t="s">
        <v>20</v>
      </c>
      <c r="B1051" t="s">
        <v>409</v>
      </c>
      <c r="C1051">
        <v>301049751</v>
      </c>
      <c r="D1051">
        <v>73239990</v>
      </c>
      <c r="E1051" t="s">
        <v>1790</v>
      </c>
      <c r="N1051">
        <v>6680.4</v>
      </c>
      <c r="O1051" t="s">
        <v>2746</v>
      </c>
      <c r="P1051">
        <v>653.8498188999999</v>
      </c>
      <c r="Q1051">
        <v>4367978.33</v>
      </c>
      <c r="R1051">
        <v>8.671748260999999</v>
      </c>
      <c r="S1051">
        <v>57930.74708</v>
      </c>
      <c r="T1051">
        <v>1600427.3</v>
      </c>
    </row>
    <row r="1052" spans="1:20">
      <c r="A1052" t="s">
        <v>20</v>
      </c>
      <c r="B1052" t="s">
        <v>410</v>
      </c>
      <c r="C1052">
        <v>301049751</v>
      </c>
      <c r="D1052">
        <v>73239990</v>
      </c>
      <c r="E1052" t="s">
        <v>1703</v>
      </c>
      <c r="N1052">
        <v>10836</v>
      </c>
      <c r="O1052" t="s">
        <v>2746</v>
      </c>
      <c r="P1052">
        <v>573.6070949</v>
      </c>
      <c r="Q1052">
        <v>6215606.48</v>
      </c>
      <c r="R1052">
        <v>7.434959104</v>
      </c>
      <c r="S1052">
        <v>80565.21685</v>
      </c>
      <c r="T1052">
        <v>2277398.2</v>
      </c>
    </row>
    <row r="1053" spans="1:20">
      <c r="A1053" t="s">
        <v>20</v>
      </c>
      <c r="B1053" t="s">
        <v>410</v>
      </c>
      <c r="C1053">
        <v>301049751</v>
      </c>
      <c r="D1053">
        <v>73239990</v>
      </c>
      <c r="E1053" t="s">
        <v>1791</v>
      </c>
      <c r="N1053">
        <v>2900</v>
      </c>
      <c r="O1053" t="s">
        <v>2746</v>
      </c>
      <c r="P1053">
        <v>698.4413862</v>
      </c>
      <c r="Q1053">
        <v>2025480.02</v>
      </c>
      <c r="R1053">
        <v>9.053031578000001</v>
      </c>
      <c r="S1053">
        <v>26253.79157</v>
      </c>
      <c r="T1053">
        <v>742135.9</v>
      </c>
    </row>
    <row r="1054" spans="1:20">
      <c r="A1054" t="s">
        <v>20</v>
      </c>
      <c r="B1054" t="s">
        <v>410</v>
      </c>
      <c r="C1054">
        <v>301049751</v>
      </c>
      <c r="D1054">
        <v>73239990</v>
      </c>
      <c r="E1054" t="s">
        <v>1792</v>
      </c>
      <c r="N1054">
        <v>3554.1</v>
      </c>
      <c r="O1054" t="s">
        <v>2746</v>
      </c>
      <c r="P1054">
        <v>622.6673251</v>
      </c>
      <c r="Q1054">
        <v>2213021.94</v>
      </c>
      <c r="R1054">
        <v>8.070866171</v>
      </c>
      <c r="S1054">
        <v>28684.66546</v>
      </c>
      <c r="T1054">
        <v>810851.2</v>
      </c>
    </row>
    <row r="1055" spans="1:20">
      <c r="A1055" t="s">
        <v>20</v>
      </c>
      <c r="B1055" t="s">
        <v>410</v>
      </c>
      <c r="C1055">
        <v>301049751</v>
      </c>
      <c r="D1055">
        <v>73231000</v>
      </c>
      <c r="E1055" t="s">
        <v>1793</v>
      </c>
      <c r="N1055">
        <v>4795</v>
      </c>
      <c r="O1055" t="s">
        <v>2746</v>
      </c>
      <c r="P1055">
        <v>485.1613097</v>
      </c>
      <c r="Q1055">
        <v>2326348.48</v>
      </c>
      <c r="R1055">
        <v>6.288545816</v>
      </c>
      <c r="S1055">
        <v>30153.57719</v>
      </c>
      <c r="T1055">
        <v>1022662.8</v>
      </c>
    </row>
    <row r="1056" spans="1:20">
      <c r="A1056" t="s">
        <v>20</v>
      </c>
      <c r="B1056" t="s">
        <v>410</v>
      </c>
      <c r="C1056">
        <v>301049751</v>
      </c>
      <c r="D1056">
        <v>73239990</v>
      </c>
      <c r="E1056" t="s">
        <v>1794</v>
      </c>
      <c r="N1056">
        <v>1402.5</v>
      </c>
      <c r="O1056" t="s">
        <v>2746</v>
      </c>
      <c r="P1056">
        <v>673.7507807</v>
      </c>
      <c r="Q1056">
        <v>944935.47</v>
      </c>
      <c r="R1056">
        <v>8.732997806</v>
      </c>
      <c r="S1056">
        <v>12248.02942</v>
      </c>
      <c r="T1056">
        <v>346224.4</v>
      </c>
    </row>
    <row r="1057" spans="1:20">
      <c r="A1057" t="s">
        <v>20</v>
      </c>
      <c r="B1057" t="s">
        <v>410</v>
      </c>
      <c r="C1057">
        <v>301049751</v>
      </c>
      <c r="D1057">
        <v>73239990</v>
      </c>
      <c r="E1057" t="s">
        <v>1795</v>
      </c>
      <c r="N1057">
        <v>1695</v>
      </c>
      <c r="O1057" t="s">
        <v>2746</v>
      </c>
      <c r="P1057">
        <v>281.0625959</v>
      </c>
      <c r="Q1057">
        <v>476401.1</v>
      </c>
      <c r="R1057">
        <v>3.6430667</v>
      </c>
      <c r="S1057">
        <v>6174.998056</v>
      </c>
      <c r="T1057">
        <v>174553.3</v>
      </c>
    </row>
    <row r="1058" spans="1:20">
      <c r="A1058" t="s">
        <v>20</v>
      </c>
      <c r="B1058" t="s">
        <v>410</v>
      </c>
      <c r="C1058">
        <v>301049751</v>
      </c>
      <c r="D1058">
        <v>73239990</v>
      </c>
      <c r="E1058" t="s">
        <v>1796</v>
      </c>
      <c r="N1058">
        <v>8607.5</v>
      </c>
      <c r="O1058" t="s">
        <v>2746</v>
      </c>
      <c r="P1058">
        <v>405.1068324</v>
      </c>
      <c r="Q1058">
        <v>3486957.06</v>
      </c>
      <c r="R1058">
        <v>5.25089867</v>
      </c>
      <c r="S1058">
        <v>45197.1103</v>
      </c>
      <c r="T1058">
        <v>1277621</v>
      </c>
    </row>
    <row r="1059" spans="1:20">
      <c r="A1059" t="s">
        <v>20</v>
      </c>
      <c r="B1059" t="s">
        <v>410</v>
      </c>
      <c r="C1059">
        <v>301049751</v>
      </c>
      <c r="D1059">
        <v>73231000</v>
      </c>
      <c r="E1059" t="s">
        <v>1797</v>
      </c>
      <c r="N1059">
        <v>4823</v>
      </c>
      <c r="O1059" t="s">
        <v>2746</v>
      </c>
      <c r="P1059">
        <v>482.3446797</v>
      </c>
      <c r="Q1059">
        <v>2326348.39</v>
      </c>
      <c r="R1059">
        <v>6.252037325</v>
      </c>
      <c r="S1059">
        <v>30153.57602</v>
      </c>
      <c r="T1059">
        <v>1022662.8</v>
      </c>
    </row>
    <row r="1060" spans="1:20">
      <c r="A1060" t="s">
        <v>20</v>
      </c>
      <c r="B1060" t="s">
        <v>411</v>
      </c>
      <c r="C1060">
        <v>301049751</v>
      </c>
      <c r="D1060">
        <v>73239990</v>
      </c>
      <c r="E1060" t="s">
        <v>1798</v>
      </c>
      <c r="N1060">
        <v>14256</v>
      </c>
      <c r="O1060" t="s">
        <v>2746</v>
      </c>
      <c r="P1060">
        <v>285.7386911</v>
      </c>
      <c r="Q1060">
        <v>4073490.78</v>
      </c>
      <c r="R1060">
        <v>3.703677136</v>
      </c>
      <c r="S1060">
        <v>52799.62126</v>
      </c>
      <c r="T1060">
        <v>1492527.1</v>
      </c>
    </row>
    <row r="1061" spans="1:20">
      <c r="A1061" t="s">
        <v>20</v>
      </c>
      <c r="B1061" t="s">
        <v>411</v>
      </c>
      <c r="C1061">
        <v>301049751</v>
      </c>
      <c r="D1061">
        <v>73239990</v>
      </c>
      <c r="E1061" t="s">
        <v>1799</v>
      </c>
      <c r="N1061">
        <v>8008</v>
      </c>
      <c r="O1061" t="s">
        <v>2746</v>
      </c>
      <c r="P1061">
        <v>524.7117907000001</v>
      </c>
      <c r="Q1061">
        <v>4201892.02</v>
      </c>
      <c r="R1061">
        <v>6.801189769</v>
      </c>
      <c r="S1061">
        <v>54463.92767</v>
      </c>
      <c r="T1061">
        <v>1539573.2</v>
      </c>
    </row>
    <row r="1062" spans="1:20">
      <c r="A1062" t="s">
        <v>20</v>
      </c>
      <c r="B1062" t="s">
        <v>412</v>
      </c>
      <c r="C1062">
        <v>301049751</v>
      </c>
      <c r="D1062">
        <v>73239990</v>
      </c>
      <c r="E1062" t="s">
        <v>1800</v>
      </c>
      <c r="N1062">
        <v>2453.5</v>
      </c>
      <c r="O1062" t="s">
        <v>2746</v>
      </c>
      <c r="P1062">
        <v>544.3990422000001</v>
      </c>
      <c r="Q1062">
        <v>1335683.05</v>
      </c>
      <c r="R1062">
        <v>7.056371253</v>
      </c>
      <c r="S1062">
        <v>17312.80687</v>
      </c>
      <c r="T1062">
        <v>489394.3</v>
      </c>
    </row>
    <row r="1063" spans="1:20">
      <c r="A1063" t="s">
        <v>20</v>
      </c>
      <c r="B1063" t="s">
        <v>413</v>
      </c>
      <c r="C1063">
        <v>301049751</v>
      </c>
      <c r="D1063">
        <v>73231000</v>
      </c>
      <c r="E1063" t="s">
        <v>1801</v>
      </c>
      <c r="N1063">
        <v>7931</v>
      </c>
      <c r="O1063" t="s">
        <v>2746</v>
      </c>
      <c r="P1063">
        <v>293.8736313</v>
      </c>
      <c r="Q1063">
        <v>2330711.77</v>
      </c>
      <c r="R1063">
        <v>3.87185285</v>
      </c>
      <c r="S1063">
        <v>30707.66495</v>
      </c>
      <c r="T1063">
        <v>1024580.9</v>
      </c>
    </row>
    <row r="1064" spans="1:20">
      <c r="A1064" t="s">
        <v>20</v>
      </c>
      <c r="B1064" t="s">
        <v>414</v>
      </c>
      <c r="C1064">
        <v>301049751</v>
      </c>
      <c r="D1064">
        <v>73231000</v>
      </c>
      <c r="E1064" t="s">
        <v>1802</v>
      </c>
      <c r="N1064">
        <v>4823</v>
      </c>
      <c r="O1064" t="s">
        <v>2746</v>
      </c>
      <c r="P1064">
        <v>477.0702115</v>
      </c>
      <c r="Q1064">
        <v>2300909.63</v>
      </c>
      <c r="R1064">
        <v>6.285510033</v>
      </c>
      <c r="S1064">
        <v>30315.01489</v>
      </c>
      <c r="T1064">
        <v>1011479.9</v>
      </c>
    </row>
    <row r="1065" spans="1:20">
      <c r="A1065" t="s">
        <v>20</v>
      </c>
      <c r="B1065" t="s">
        <v>415</v>
      </c>
      <c r="C1065">
        <v>301049751</v>
      </c>
      <c r="D1065">
        <v>73239990</v>
      </c>
      <c r="E1065" t="s">
        <v>1803</v>
      </c>
      <c r="N1065">
        <v>6217.5</v>
      </c>
      <c r="O1065" t="s">
        <v>2746</v>
      </c>
      <c r="P1065">
        <v>273.2852336</v>
      </c>
      <c r="Q1065">
        <v>1699150.94</v>
      </c>
      <c r="R1065">
        <v>3.600595963</v>
      </c>
      <c r="S1065">
        <v>22386.7054</v>
      </c>
      <c r="T1065">
        <v>622568.9</v>
      </c>
    </row>
    <row r="1066" spans="1:20">
      <c r="A1066" t="s">
        <v>20</v>
      </c>
      <c r="B1066" t="s">
        <v>415</v>
      </c>
      <c r="C1066">
        <v>301049751</v>
      </c>
      <c r="D1066">
        <v>73239990</v>
      </c>
      <c r="E1066" t="s">
        <v>1804</v>
      </c>
      <c r="N1066">
        <v>291.2</v>
      </c>
      <c r="O1066" t="s">
        <v>2746</v>
      </c>
      <c r="P1066">
        <v>433.6225618</v>
      </c>
      <c r="Q1066">
        <v>126270.89</v>
      </c>
      <c r="R1066">
        <v>5.713077231</v>
      </c>
      <c r="S1066">
        <v>1663.64809</v>
      </c>
      <c r="T1066">
        <v>46265.7</v>
      </c>
    </row>
    <row r="1067" spans="1:20">
      <c r="A1067" t="s">
        <v>20</v>
      </c>
      <c r="B1067" t="s">
        <v>415</v>
      </c>
      <c r="C1067">
        <v>301049751</v>
      </c>
      <c r="D1067">
        <v>73239990</v>
      </c>
      <c r="E1067" t="s">
        <v>1805</v>
      </c>
      <c r="N1067">
        <v>7125</v>
      </c>
      <c r="O1067" t="s">
        <v>2746</v>
      </c>
      <c r="P1067">
        <v>440.4563228</v>
      </c>
      <c r="Q1067">
        <v>3138251.3</v>
      </c>
      <c r="R1067">
        <v>5.803113607</v>
      </c>
      <c r="S1067">
        <v>41347.18445</v>
      </c>
      <c r="T1067">
        <v>1149855.3</v>
      </c>
    </row>
    <row r="1068" spans="1:20">
      <c r="A1068" t="s">
        <v>20</v>
      </c>
      <c r="B1068" t="s">
        <v>415</v>
      </c>
      <c r="C1068">
        <v>301049751</v>
      </c>
      <c r="D1068">
        <v>73239990</v>
      </c>
      <c r="E1068" t="s">
        <v>1806</v>
      </c>
      <c r="N1068">
        <v>17964.8</v>
      </c>
      <c r="O1068" t="s">
        <v>2746</v>
      </c>
      <c r="P1068">
        <v>428.908741</v>
      </c>
      <c r="Q1068">
        <v>7705259.75</v>
      </c>
      <c r="R1068">
        <v>5.650971554</v>
      </c>
      <c r="S1068">
        <v>101518.5738</v>
      </c>
      <c r="T1068">
        <v>2823207.2</v>
      </c>
    </row>
    <row r="1069" spans="1:20">
      <c r="A1069" t="s">
        <v>20</v>
      </c>
      <c r="B1069" t="s">
        <v>415</v>
      </c>
      <c r="C1069">
        <v>301049751</v>
      </c>
      <c r="D1069">
        <v>73231000</v>
      </c>
      <c r="E1069" t="s">
        <v>1807</v>
      </c>
      <c r="N1069">
        <v>8537.799999999999</v>
      </c>
      <c r="O1069" t="s">
        <v>2746</v>
      </c>
      <c r="P1069">
        <v>296.5336632</v>
      </c>
      <c r="Q1069">
        <v>2531745.11</v>
      </c>
      <c r="R1069">
        <v>3.906899384</v>
      </c>
      <c r="S1069">
        <v>33356.32556</v>
      </c>
      <c r="T1069">
        <v>1112955.1</v>
      </c>
    </row>
    <row r="1070" spans="1:20">
      <c r="A1070" t="s">
        <v>20</v>
      </c>
      <c r="B1070" t="s">
        <v>416</v>
      </c>
      <c r="C1070">
        <v>301049751</v>
      </c>
      <c r="D1070">
        <v>73239990</v>
      </c>
      <c r="E1070" t="s">
        <v>1808</v>
      </c>
      <c r="N1070">
        <v>5641.28</v>
      </c>
      <c r="O1070" t="s">
        <v>2746</v>
      </c>
      <c r="P1070">
        <v>1076.269045</v>
      </c>
      <c r="Q1070">
        <v>6071535.04</v>
      </c>
      <c r="R1070">
        <v>14.18009282</v>
      </c>
      <c r="S1070">
        <v>79993.87404</v>
      </c>
      <c r="T1070">
        <v>2224610.4</v>
      </c>
    </row>
    <row r="1071" spans="1:20">
      <c r="A1071" t="s">
        <v>20</v>
      </c>
      <c r="B1071" t="s">
        <v>417</v>
      </c>
      <c r="C1071">
        <v>301049751</v>
      </c>
      <c r="D1071">
        <v>73239990</v>
      </c>
      <c r="E1071" t="s">
        <v>1809</v>
      </c>
      <c r="N1071">
        <v>3340</v>
      </c>
      <c r="O1071" t="s">
        <v>2746</v>
      </c>
      <c r="P1071">
        <v>597.0276527</v>
      </c>
      <c r="Q1071">
        <v>1994072.36</v>
      </c>
      <c r="R1071">
        <v>7.949769011</v>
      </c>
      <c r="S1071">
        <v>26552.2285</v>
      </c>
      <c r="T1071">
        <v>730628.1</v>
      </c>
    </row>
    <row r="1072" spans="1:20">
      <c r="A1072" t="s">
        <v>20</v>
      </c>
      <c r="B1072" t="s">
        <v>418</v>
      </c>
      <c r="C1072">
        <v>301049751</v>
      </c>
      <c r="D1072">
        <v>73239990</v>
      </c>
      <c r="E1072" t="s">
        <v>1810</v>
      </c>
      <c r="N1072">
        <v>3000</v>
      </c>
      <c r="O1072" t="s">
        <v>2746</v>
      </c>
      <c r="P1072">
        <v>619.23315</v>
      </c>
      <c r="Q1072">
        <v>1857699.45</v>
      </c>
      <c r="R1072">
        <v>8.245448069</v>
      </c>
      <c r="S1072">
        <v>24736.34421</v>
      </c>
      <c r="T1072">
        <v>680661.1</v>
      </c>
    </row>
    <row r="1073" spans="1:20">
      <c r="A1073" t="s">
        <v>20</v>
      </c>
      <c r="B1073" t="s">
        <v>418</v>
      </c>
      <c r="C1073">
        <v>301049751</v>
      </c>
      <c r="D1073">
        <v>73239990</v>
      </c>
      <c r="E1073" t="s">
        <v>1811</v>
      </c>
      <c r="N1073">
        <v>3465</v>
      </c>
      <c r="O1073" t="s">
        <v>2746</v>
      </c>
      <c r="P1073">
        <v>577.3835671000001</v>
      </c>
      <c r="Q1073">
        <v>2000634.06</v>
      </c>
      <c r="R1073">
        <v>7.688196632</v>
      </c>
      <c r="S1073">
        <v>26639.60133</v>
      </c>
      <c r="T1073">
        <v>733032.3</v>
      </c>
    </row>
    <row r="1074" spans="1:20">
      <c r="A1074" t="s">
        <v>20</v>
      </c>
      <c r="B1074" t="s">
        <v>419</v>
      </c>
      <c r="C1074">
        <v>301049751</v>
      </c>
      <c r="D1074">
        <v>73239990</v>
      </c>
      <c r="E1074" t="s">
        <v>1812</v>
      </c>
      <c r="N1074">
        <v>6975</v>
      </c>
      <c r="O1074" t="s">
        <v>2746</v>
      </c>
      <c r="P1074">
        <v>551.3855397999999</v>
      </c>
      <c r="Q1074">
        <v>3845914.14</v>
      </c>
      <c r="R1074">
        <v>7.34201784</v>
      </c>
      <c r="S1074">
        <v>51210.57443</v>
      </c>
      <c r="T1074">
        <v>1409142.9</v>
      </c>
    </row>
    <row r="1075" spans="1:20">
      <c r="A1075" t="s">
        <v>20</v>
      </c>
      <c r="B1075" t="s">
        <v>420</v>
      </c>
      <c r="C1075">
        <v>301049751</v>
      </c>
      <c r="D1075">
        <v>73239990</v>
      </c>
      <c r="E1075" t="s">
        <v>1813</v>
      </c>
      <c r="N1075">
        <v>9840</v>
      </c>
      <c r="O1075" t="s">
        <v>2746</v>
      </c>
      <c r="P1075">
        <v>377.7894268</v>
      </c>
      <c r="Q1075">
        <v>3717447.96</v>
      </c>
      <c r="R1075">
        <v>5.030485044</v>
      </c>
      <c r="S1075">
        <v>49499.97284</v>
      </c>
      <c r="T1075">
        <v>1362073</v>
      </c>
    </row>
    <row r="1076" spans="1:20">
      <c r="A1076" t="s">
        <v>20</v>
      </c>
      <c r="B1076" t="s">
        <v>421</v>
      </c>
      <c r="C1076">
        <v>301049751</v>
      </c>
      <c r="D1076">
        <v>73239990</v>
      </c>
      <c r="E1076" t="s">
        <v>1814</v>
      </c>
      <c r="N1076">
        <v>3951.5</v>
      </c>
      <c r="O1076" t="s">
        <v>2746</v>
      </c>
      <c r="P1076">
        <v>506.9444085</v>
      </c>
      <c r="Q1076">
        <v>2003190.83</v>
      </c>
      <c r="R1076">
        <v>6.710051733</v>
      </c>
      <c r="S1076">
        <v>26514.76942</v>
      </c>
      <c r="T1076">
        <v>733969.1</v>
      </c>
    </row>
    <row r="1077" spans="1:20">
      <c r="A1077" t="s">
        <v>20</v>
      </c>
      <c r="B1077" t="s">
        <v>422</v>
      </c>
      <c r="C1077">
        <v>301049751</v>
      </c>
      <c r="D1077">
        <v>73239990</v>
      </c>
      <c r="E1077" t="s">
        <v>1815</v>
      </c>
      <c r="N1077">
        <v>255.42</v>
      </c>
      <c r="O1077" t="s">
        <v>2746</v>
      </c>
      <c r="P1077">
        <v>672.695482</v>
      </c>
      <c r="Q1077">
        <v>171819.88</v>
      </c>
      <c r="R1077">
        <v>8.874610580000001</v>
      </c>
      <c r="S1077">
        <v>2266.753034</v>
      </c>
      <c r="T1077">
        <v>62954.8</v>
      </c>
    </row>
    <row r="1078" spans="1:20">
      <c r="A1078" t="s">
        <v>20</v>
      </c>
      <c r="B1078" t="s">
        <v>422</v>
      </c>
      <c r="C1078">
        <v>301049751</v>
      </c>
      <c r="D1078">
        <v>73239990</v>
      </c>
      <c r="E1078" t="s">
        <v>1816</v>
      </c>
      <c r="N1078">
        <v>9212.700000000001</v>
      </c>
      <c r="O1078" t="s">
        <v>2746</v>
      </c>
      <c r="P1078">
        <v>471.0257134</v>
      </c>
      <c r="Q1078">
        <v>4339418.59</v>
      </c>
      <c r="R1078">
        <v>6.214059544</v>
      </c>
      <c r="S1078">
        <v>57248.26636</v>
      </c>
      <c r="T1078">
        <v>1589963</v>
      </c>
    </row>
    <row r="1079" spans="1:20">
      <c r="A1079" t="s">
        <v>20</v>
      </c>
      <c r="B1079" t="s">
        <v>423</v>
      </c>
      <c r="C1079">
        <v>301049751</v>
      </c>
      <c r="D1079">
        <v>73239990</v>
      </c>
      <c r="E1079" t="s">
        <v>1817</v>
      </c>
      <c r="N1079">
        <v>7560</v>
      </c>
      <c r="O1079" t="s">
        <v>2746</v>
      </c>
      <c r="P1079">
        <v>525.7446032</v>
      </c>
      <c r="Q1079">
        <v>3974629.2</v>
      </c>
      <c r="R1079">
        <v>6.935944633</v>
      </c>
      <c r="S1079">
        <v>52435.74142</v>
      </c>
      <c r="T1079">
        <v>1456304.1</v>
      </c>
    </row>
    <row r="1080" spans="1:20">
      <c r="A1080" t="s">
        <v>20</v>
      </c>
      <c r="B1080" t="s">
        <v>424</v>
      </c>
      <c r="C1080">
        <v>301049751</v>
      </c>
      <c r="D1080">
        <v>73231000</v>
      </c>
      <c r="E1080" t="s">
        <v>1818</v>
      </c>
      <c r="N1080">
        <v>7700</v>
      </c>
      <c r="O1080" t="s">
        <v>2746</v>
      </c>
      <c r="P1080">
        <v>298.3306532</v>
      </c>
      <c r="Q1080">
        <v>2297146.03</v>
      </c>
      <c r="R1080">
        <v>3.935760597</v>
      </c>
      <c r="S1080">
        <v>30305.3566</v>
      </c>
      <c r="T1080">
        <v>1009825.4</v>
      </c>
    </row>
    <row r="1081" spans="1:20">
      <c r="A1081" t="s">
        <v>20</v>
      </c>
      <c r="B1081" t="s">
        <v>425</v>
      </c>
      <c r="C1081">
        <v>301049751</v>
      </c>
      <c r="D1081">
        <v>73239990</v>
      </c>
      <c r="E1081" t="s">
        <v>1819</v>
      </c>
      <c r="N1081">
        <v>142.5</v>
      </c>
      <c r="O1081" t="s">
        <v>2746</v>
      </c>
      <c r="P1081">
        <v>409.1124211</v>
      </c>
      <c r="Q1081">
        <v>58298.52</v>
      </c>
      <c r="R1081">
        <v>5.404391295</v>
      </c>
      <c r="S1081">
        <v>770.1257596</v>
      </c>
      <c r="T1081">
        <v>21360.6</v>
      </c>
    </row>
    <row r="1082" spans="1:20">
      <c r="A1082" t="s">
        <v>20</v>
      </c>
      <c r="B1082" t="s">
        <v>425</v>
      </c>
      <c r="C1082">
        <v>301049751</v>
      </c>
      <c r="D1082">
        <v>73239990</v>
      </c>
      <c r="E1082" t="s">
        <v>1820</v>
      </c>
      <c r="N1082">
        <v>3340</v>
      </c>
      <c r="O1082" t="s">
        <v>2746</v>
      </c>
      <c r="P1082">
        <v>561.0326976</v>
      </c>
      <c r="Q1082">
        <v>1873849.21</v>
      </c>
      <c r="R1082">
        <v>7.411264169</v>
      </c>
      <c r="S1082">
        <v>24753.62232</v>
      </c>
      <c r="T1082">
        <v>686578.3</v>
      </c>
    </row>
    <row r="1083" spans="1:20">
      <c r="A1083" t="s">
        <v>20</v>
      </c>
      <c r="B1083" t="s">
        <v>426</v>
      </c>
      <c r="C1083">
        <v>301049751</v>
      </c>
      <c r="D1083">
        <v>73239990</v>
      </c>
      <c r="E1083" t="s">
        <v>1821</v>
      </c>
      <c r="N1083">
        <v>5791.2</v>
      </c>
      <c r="O1083" t="s">
        <v>2746</v>
      </c>
      <c r="P1083">
        <v>414.9579569</v>
      </c>
      <c r="Q1083">
        <v>2403104.52</v>
      </c>
      <c r="R1083">
        <v>5.481611055</v>
      </c>
      <c r="S1083">
        <v>31745.10594</v>
      </c>
      <c r="T1083">
        <v>880497.5</v>
      </c>
    </row>
    <row r="1084" spans="1:20">
      <c r="A1084" t="s">
        <v>20</v>
      </c>
      <c r="B1084" t="s">
        <v>427</v>
      </c>
      <c r="C1084">
        <v>301049751</v>
      </c>
      <c r="D1084">
        <v>73231000</v>
      </c>
      <c r="E1084" t="s">
        <v>1739</v>
      </c>
      <c r="N1084">
        <v>8537.799999999999</v>
      </c>
      <c r="O1084" t="s">
        <v>2746</v>
      </c>
      <c r="P1084">
        <v>256.7326583</v>
      </c>
      <c r="Q1084">
        <v>2191932.09</v>
      </c>
      <c r="R1084">
        <v>3.450707773</v>
      </c>
      <c r="S1084">
        <v>29461.45282</v>
      </c>
      <c r="T1084">
        <v>963573.3</v>
      </c>
    </row>
    <row r="1085" spans="1:20">
      <c r="A1085" t="s">
        <v>20</v>
      </c>
      <c r="B1085" t="s">
        <v>428</v>
      </c>
      <c r="C1085">
        <v>301049751</v>
      </c>
      <c r="D1085">
        <v>73239990</v>
      </c>
      <c r="E1085" t="s">
        <v>1822</v>
      </c>
      <c r="N1085">
        <v>15568</v>
      </c>
      <c r="O1085" t="s">
        <v>2746</v>
      </c>
      <c r="P1085">
        <v>400.8235573</v>
      </c>
      <c r="Q1085">
        <v>6240021.14</v>
      </c>
      <c r="R1085">
        <v>5.420196853</v>
      </c>
      <c r="S1085">
        <v>84381.62461</v>
      </c>
      <c r="T1085">
        <v>2286343.7</v>
      </c>
    </row>
    <row r="1086" spans="1:20">
      <c r="A1086" t="s">
        <v>20</v>
      </c>
      <c r="B1086" t="s">
        <v>429</v>
      </c>
      <c r="C1086">
        <v>301049751</v>
      </c>
      <c r="D1086">
        <v>73239990</v>
      </c>
      <c r="E1086" t="s">
        <v>1823</v>
      </c>
      <c r="N1086">
        <v>4843.2</v>
      </c>
      <c r="O1086" t="s">
        <v>2746</v>
      </c>
      <c r="P1086">
        <v>606.3599025</v>
      </c>
      <c r="Q1086">
        <v>2936722.28</v>
      </c>
      <c r="R1086">
        <v>8.199593003</v>
      </c>
      <c r="S1086">
        <v>39712.26883</v>
      </c>
      <c r="T1086">
        <v>1076015</v>
      </c>
    </row>
    <row r="1087" spans="1:20">
      <c r="A1087" t="s">
        <v>20</v>
      </c>
      <c r="B1087" t="s">
        <v>429</v>
      </c>
      <c r="C1087">
        <v>301049751</v>
      </c>
      <c r="D1087">
        <v>73239990</v>
      </c>
      <c r="E1087" t="s">
        <v>1824</v>
      </c>
      <c r="N1087">
        <v>5962.2</v>
      </c>
      <c r="O1087" t="s">
        <v>2746</v>
      </c>
      <c r="P1087">
        <v>397.4067207</v>
      </c>
      <c r="Q1087">
        <v>2369418.35</v>
      </c>
      <c r="R1087">
        <v>5.373992166</v>
      </c>
      <c r="S1087">
        <v>32040.81609</v>
      </c>
      <c r="T1087">
        <v>868155</v>
      </c>
    </row>
    <row r="1088" spans="1:20">
      <c r="A1088" t="s">
        <v>20</v>
      </c>
      <c r="B1088" t="s">
        <v>429</v>
      </c>
      <c r="C1088">
        <v>301049751</v>
      </c>
      <c r="D1088">
        <v>73239990</v>
      </c>
      <c r="E1088" t="s">
        <v>1825</v>
      </c>
      <c r="N1088">
        <v>1995</v>
      </c>
      <c r="O1088" t="s">
        <v>2746</v>
      </c>
      <c r="P1088">
        <v>406.5805063</v>
      </c>
      <c r="Q1088">
        <v>811128.11</v>
      </c>
      <c r="R1088">
        <v>5.498046062</v>
      </c>
      <c r="S1088">
        <v>10968.60189</v>
      </c>
      <c r="T1088">
        <v>297197.4</v>
      </c>
    </row>
    <row r="1089" spans="1:20">
      <c r="A1089" t="s">
        <v>20</v>
      </c>
      <c r="B1089" t="s">
        <v>429</v>
      </c>
      <c r="C1089">
        <v>301049751</v>
      </c>
      <c r="D1089">
        <v>73239990</v>
      </c>
      <c r="E1089" t="s">
        <v>1826</v>
      </c>
      <c r="N1089">
        <v>4620</v>
      </c>
      <c r="O1089" t="s">
        <v>2746</v>
      </c>
      <c r="P1089">
        <v>552.5549242</v>
      </c>
      <c r="Q1089">
        <v>2552803.75</v>
      </c>
      <c r="R1089">
        <v>7.472007089</v>
      </c>
      <c r="S1089">
        <v>34520.67275</v>
      </c>
      <c r="T1089">
        <v>935347.3</v>
      </c>
    </row>
    <row r="1090" spans="1:20">
      <c r="A1090" t="s">
        <v>20</v>
      </c>
      <c r="B1090" t="s">
        <v>429</v>
      </c>
      <c r="C1090">
        <v>301049751</v>
      </c>
      <c r="D1090">
        <v>73239990</v>
      </c>
      <c r="E1090" t="s">
        <v>1827</v>
      </c>
      <c r="N1090">
        <v>23520</v>
      </c>
      <c r="O1090" t="s">
        <v>2746</v>
      </c>
      <c r="P1090">
        <v>391.4276756</v>
      </c>
      <c r="Q1090">
        <v>9206378.93</v>
      </c>
      <c r="R1090">
        <v>5.293139629</v>
      </c>
      <c r="S1090">
        <v>124494.6441</v>
      </c>
      <c r="T1090">
        <v>3373217.3</v>
      </c>
    </row>
    <row r="1091" spans="1:20">
      <c r="A1091" t="s">
        <v>20</v>
      </c>
      <c r="B1091" t="s">
        <v>430</v>
      </c>
      <c r="C1091">
        <v>301049751</v>
      </c>
      <c r="D1091">
        <v>73231000</v>
      </c>
      <c r="E1091" t="s">
        <v>1828</v>
      </c>
      <c r="N1091">
        <v>7507.5</v>
      </c>
      <c r="O1091" t="s">
        <v>2746</v>
      </c>
      <c r="P1091">
        <v>269.1878868</v>
      </c>
      <c r="Q1091">
        <v>2020928.06</v>
      </c>
      <c r="R1091">
        <v>3.640133695</v>
      </c>
      <c r="S1091">
        <v>27328.30372</v>
      </c>
      <c r="T1091">
        <v>888400</v>
      </c>
    </row>
    <row r="1092" spans="1:20">
      <c r="A1092" t="s">
        <v>20</v>
      </c>
      <c r="B1092" t="s">
        <v>431</v>
      </c>
      <c r="C1092">
        <v>301049751</v>
      </c>
      <c r="D1092">
        <v>73239990</v>
      </c>
      <c r="E1092" t="s">
        <v>1829</v>
      </c>
      <c r="N1092">
        <v>4642.5</v>
      </c>
      <c r="O1092" t="s">
        <v>2746</v>
      </c>
      <c r="P1092">
        <v>257.9022186</v>
      </c>
      <c r="Q1092">
        <v>1197311.05</v>
      </c>
      <c r="R1092">
        <v>3.42955078</v>
      </c>
      <c r="S1092">
        <v>15921.68949</v>
      </c>
      <c r="T1092">
        <v>438694.7</v>
      </c>
    </row>
    <row r="1093" spans="1:20">
      <c r="A1093" t="s">
        <v>20</v>
      </c>
      <c r="B1093" t="s">
        <v>431</v>
      </c>
      <c r="C1093">
        <v>301049751</v>
      </c>
      <c r="D1093">
        <v>73239990</v>
      </c>
      <c r="E1093" t="s">
        <v>1830</v>
      </c>
      <c r="N1093">
        <v>1414.4</v>
      </c>
      <c r="O1093" t="s">
        <v>2746</v>
      </c>
      <c r="P1093">
        <v>502.7224335</v>
      </c>
      <c r="Q1093">
        <v>711050.61</v>
      </c>
      <c r="R1093">
        <v>6.685138744</v>
      </c>
      <c r="S1093">
        <v>9455.460239</v>
      </c>
      <c r="T1093">
        <v>260528.9</v>
      </c>
    </row>
    <row r="1094" spans="1:20">
      <c r="A1094" t="s">
        <v>20</v>
      </c>
      <c r="B1094" t="s">
        <v>431</v>
      </c>
      <c r="C1094">
        <v>301049751</v>
      </c>
      <c r="D1094">
        <v>73239990</v>
      </c>
      <c r="E1094" t="s">
        <v>1831</v>
      </c>
      <c r="N1094">
        <v>1156.8</v>
      </c>
      <c r="O1094" t="s">
        <v>2746</v>
      </c>
      <c r="P1094">
        <v>612.8668136</v>
      </c>
      <c r="Q1094">
        <v>708964.33</v>
      </c>
      <c r="R1094">
        <v>8.149824648999999</v>
      </c>
      <c r="S1094">
        <v>9427.717154</v>
      </c>
      <c r="T1094">
        <v>259764.6</v>
      </c>
    </row>
    <row r="1095" spans="1:20">
      <c r="A1095" t="s">
        <v>20</v>
      </c>
      <c r="B1095" t="s">
        <v>431</v>
      </c>
      <c r="C1095">
        <v>301049751</v>
      </c>
      <c r="D1095">
        <v>73239990</v>
      </c>
      <c r="E1095" t="s">
        <v>1832</v>
      </c>
      <c r="N1095">
        <v>2310</v>
      </c>
      <c r="O1095" t="s">
        <v>2746</v>
      </c>
      <c r="P1095">
        <v>568.5403117</v>
      </c>
      <c r="Q1095">
        <v>1313328.12</v>
      </c>
      <c r="R1095">
        <v>7.560376485</v>
      </c>
      <c r="S1095">
        <v>17464.46968</v>
      </c>
      <c r="T1095">
        <v>481203.4</v>
      </c>
    </row>
    <row r="1096" spans="1:20">
      <c r="A1096" t="s">
        <v>20</v>
      </c>
      <c r="B1096" t="s">
        <v>431</v>
      </c>
      <c r="C1096">
        <v>301049751</v>
      </c>
      <c r="D1096">
        <v>73239990</v>
      </c>
      <c r="E1096" t="s">
        <v>1833</v>
      </c>
      <c r="N1096">
        <v>4881.6</v>
      </c>
      <c r="O1096" t="s">
        <v>2746</v>
      </c>
      <c r="P1096">
        <v>501.2127581</v>
      </c>
      <c r="Q1096">
        <v>2446720.2</v>
      </c>
      <c r="R1096">
        <v>6.665063273</v>
      </c>
      <c r="S1096">
        <v>32536.17287</v>
      </c>
      <c r="T1096">
        <v>896478.2</v>
      </c>
    </row>
    <row r="1097" spans="1:20">
      <c r="A1097" t="s">
        <v>20</v>
      </c>
      <c r="B1097" t="s">
        <v>431</v>
      </c>
      <c r="C1097">
        <v>301049751</v>
      </c>
      <c r="D1097">
        <v>73239990</v>
      </c>
      <c r="E1097" t="s">
        <v>1834</v>
      </c>
      <c r="N1097">
        <v>2677.5</v>
      </c>
      <c r="O1097" t="s">
        <v>2746</v>
      </c>
      <c r="P1097">
        <v>256.6194883</v>
      </c>
      <c r="Q1097">
        <v>687098.6800000001</v>
      </c>
      <c r="R1097">
        <v>3.412493196</v>
      </c>
      <c r="S1097">
        <v>9136.950532000001</v>
      </c>
      <c r="T1097">
        <v>251753</v>
      </c>
    </row>
    <row r="1098" spans="1:20">
      <c r="A1098" t="s">
        <v>20</v>
      </c>
      <c r="B1098" t="s">
        <v>431</v>
      </c>
      <c r="C1098">
        <v>301049751</v>
      </c>
      <c r="D1098">
        <v>73239990</v>
      </c>
      <c r="E1098" t="s">
        <v>1835</v>
      </c>
      <c r="N1098">
        <v>3705</v>
      </c>
      <c r="O1098" t="s">
        <v>2746</v>
      </c>
      <c r="P1098">
        <v>410.9383563</v>
      </c>
      <c r="Q1098">
        <v>1522526.61</v>
      </c>
      <c r="R1098">
        <v>5.464605802</v>
      </c>
      <c r="S1098">
        <v>20246.36449</v>
      </c>
      <c r="T1098">
        <v>557853.7</v>
      </c>
    </row>
    <row r="1099" spans="1:20">
      <c r="A1099" t="s">
        <v>20</v>
      </c>
      <c r="B1099" t="s">
        <v>431</v>
      </c>
      <c r="C1099">
        <v>301049751</v>
      </c>
      <c r="D1099">
        <v>73239990</v>
      </c>
      <c r="E1099" t="s">
        <v>1836</v>
      </c>
      <c r="N1099">
        <v>5936</v>
      </c>
      <c r="O1099" t="s">
        <v>2746</v>
      </c>
      <c r="P1099">
        <v>393.3195131</v>
      </c>
      <c r="Q1099">
        <v>2334744.63</v>
      </c>
      <c r="R1099">
        <v>5.230312675</v>
      </c>
      <c r="S1099">
        <v>31047.13604</v>
      </c>
      <c r="T1099">
        <v>855450.4</v>
      </c>
    </row>
    <row r="1100" spans="1:20">
      <c r="A1100" t="s">
        <v>20</v>
      </c>
      <c r="B1100" t="s">
        <v>431</v>
      </c>
      <c r="C1100">
        <v>301049751</v>
      </c>
      <c r="D1100">
        <v>73239990</v>
      </c>
      <c r="E1100" t="s">
        <v>1837</v>
      </c>
      <c r="N1100">
        <v>2895</v>
      </c>
      <c r="O1100" t="s">
        <v>2746</v>
      </c>
      <c r="P1100">
        <v>609.2615233</v>
      </c>
      <c r="Q1100">
        <v>1763812.11</v>
      </c>
      <c r="R1100">
        <v>8.101881959</v>
      </c>
      <c r="S1100">
        <v>23454.94827</v>
      </c>
      <c r="T1100">
        <v>646260.7</v>
      </c>
    </row>
    <row r="1101" spans="1:20">
      <c r="A1101" t="s">
        <v>20</v>
      </c>
      <c r="B1101" t="s">
        <v>431</v>
      </c>
      <c r="C1101">
        <v>301049751</v>
      </c>
      <c r="D1101">
        <v>73239990</v>
      </c>
      <c r="E1101" t="s">
        <v>1832</v>
      </c>
      <c r="N1101">
        <v>2310</v>
      </c>
      <c r="O1101" t="s">
        <v>2746</v>
      </c>
      <c r="P1101">
        <v>571.3820173</v>
      </c>
      <c r="Q1101">
        <v>1319892.46</v>
      </c>
      <c r="R1101">
        <v>7.598165124</v>
      </c>
      <c r="S1101">
        <v>17551.76144</v>
      </c>
      <c r="T1101">
        <v>483608.6</v>
      </c>
    </row>
    <row r="1102" spans="1:20">
      <c r="A1102" t="s">
        <v>20</v>
      </c>
      <c r="B1102" t="s">
        <v>431</v>
      </c>
      <c r="C1102">
        <v>301049751</v>
      </c>
      <c r="D1102">
        <v>73239990</v>
      </c>
      <c r="E1102" t="s">
        <v>1838</v>
      </c>
      <c r="N1102">
        <v>1436.4</v>
      </c>
      <c r="O1102" t="s">
        <v>2746</v>
      </c>
      <c r="P1102">
        <v>584.8011974</v>
      </c>
      <c r="Q1102">
        <v>840008.4399999999</v>
      </c>
      <c r="R1102">
        <v>7.776611668</v>
      </c>
      <c r="S1102">
        <v>11170.325</v>
      </c>
      <c r="T1102">
        <v>307779.1</v>
      </c>
    </row>
    <row r="1103" spans="1:20">
      <c r="A1103" t="s">
        <v>20</v>
      </c>
      <c r="B1103" t="s">
        <v>431</v>
      </c>
      <c r="C1103">
        <v>301049751</v>
      </c>
      <c r="D1103">
        <v>73239990</v>
      </c>
      <c r="E1103" t="s">
        <v>1839</v>
      </c>
      <c r="N1103">
        <v>14560</v>
      </c>
      <c r="O1103" t="s">
        <v>2746</v>
      </c>
      <c r="P1103">
        <v>406.5014141</v>
      </c>
      <c r="Q1103">
        <v>5918660.59</v>
      </c>
      <c r="R1103">
        <v>5.405603912</v>
      </c>
      <c r="S1103">
        <v>78705.59295000001</v>
      </c>
      <c r="T1103">
        <v>2168597.2</v>
      </c>
    </row>
    <row r="1104" spans="1:20">
      <c r="A1104" t="s">
        <v>20</v>
      </c>
      <c r="B1104" t="s">
        <v>431</v>
      </c>
      <c r="C1104">
        <v>301049751</v>
      </c>
      <c r="D1104">
        <v>73239990</v>
      </c>
      <c r="E1104" t="s">
        <v>1840</v>
      </c>
      <c r="N1104">
        <v>4152</v>
      </c>
      <c r="O1104" t="s">
        <v>2746</v>
      </c>
      <c r="P1104">
        <v>609.8190246</v>
      </c>
      <c r="Q1104">
        <v>2531968.59</v>
      </c>
      <c r="R1104">
        <v>8.109295539</v>
      </c>
      <c r="S1104">
        <v>33669.79508</v>
      </c>
      <c r="T1104">
        <v>927713.3</v>
      </c>
    </row>
    <row r="1105" spans="1:20">
      <c r="A1105" t="s">
        <v>20</v>
      </c>
      <c r="B1105" t="s">
        <v>431</v>
      </c>
      <c r="C1105">
        <v>301049751</v>
      </c>
      <c r="D1105">
        <v>73239990</v>
      </c>
      <c r="E1105" t="s">
        <v>1841</v>
      </c>
      <c r="N1105">
        <v>6270</v>
      </c>
      <c r="O1105" t="s">
        <v>2746</v>
      </c>
      <c r="P1105">
        <v>408.8945965</v>
      </c>
      <c r="Q1105">
        <v>2563769.12</v>
      </c>
      <c r="R1105">
        <v>5.437428145</v>
      </c>
      <c r="S1105">
        <v>34092.67447</v>
      </c>
      <c r="T1105">
        <v>939365</v>
      </c>
    </row>
    <row r="1106" spans="1:20">
      <c r="A1106" t="s">
        <v>20</v>
      </c>
      <c r="B1106" t="s">
        <v>432</v>
      </c>
      <c r="C1106">
        <v>301049751</v>
      </c>
      <c r="D1106">
        <v>73239990</v>
      </c>
      <c r="E1106" t="s">
        <v>1842</v>
      </c>
      <c r="N1106">
        <v>6975</v>
      </c>
      <c r="O1106" t="s">
        <v>2746</v>
      </c>
      <c r="P1106">
        <v>449.0338194</v>
      </c>
      <c r="Q1106">
        <v>3132010.89</v>
      </c>
      <c r="R1106">
        <v>5.971194406</v>
      </c>
      <c r="S1106">
        <v>41649.08098</v>
      </c>
      <c r="T1106">
        <v>1147568.8</v>
      </c>
    </row>
    <row r="1107" spans="1:20">
      <c r="A1107" t="s">
        <v>20</v>
      </c>
      <c r="B1107" t="s">
        <v>433</v>
      </c>
      <c r="C1107">
        <v>301049751</v>
      </c>
      <c r="D1107">
        <v>73231000</v>
      </c>
      <c r="E1107" t="s">
        <v>1739</v>
      </c>
      <c r="N1107">
        <v>8537.799999999999</v>
      </c>
      <c r="O1107" t="s">
        <v>2746</v>
      </c>
      <c r="P1107">
        <v>260.1826103</v>
      </c>
      <c r="Q1107">
        <v>2221387.09</v>
      </c>
      <c r="R1107">
        <v>3.450697749</v>
      </c>
      <c r="S1107">
        <v>29461.36724</v>
      </c>
      <c r="T1107">
        <v>976521.7</v>
      </c>
    </row>
    <row r="1108" spans="1:20">
      <c r="A1108" t="s">
        <v>20</v>
      </c>
      <c r="B1108" t="s">
        <v>434</v>
      </c>
      <c r="C1108">
        <v>301049751</v>
      </c>
      <c r="D1108">
        <v>73231000</v>
      </c>
      <c r="E1108" t="s">
        <v>1843</v>
      </c>
      <c r="N1108">
        <v>8537.799999999999</v>
      </c>
      <c r="O1108" t="s">
        <v>2746</v>
      </c>
      <c r="P1108">
        <v>265.0518389</v>
      </c>
      <c r="Q1108">
        <v>2262959.59</v>
      </c>
      <c r="R1108">
        <v>3.515276378</v>
      </c>
      <c r="S1108">
        <v>30012.72666</v>
      </c>
      <c r="T1108">
        <v>994797</v>
      </c>
    </row>
    <row r="1109" spans="1:20">
      <c r="A1109" t="s">
        <v>20</v>
      </c>
      <c r="B1109" t="s">
        <v>435</v>
      </c>
      <c r="C1109">
        <v>301049751</v>
      </c>
      <c r="D1109">
        <v>73239990</v>
      </c>
      <c r="E1109" t="s">
        <v>1844</v>
      </c>
      <c r="N1109">
        <v>21784</v>
      </c>
      <c r="O1109" t="s">
        <v>2746</v>
      </c>
      <c r="P1109">
        <v>424.8198389</v>
      </c>
      <c r="Q1109">
        <v>9254275.369999999</v>
      </c>
      <c r="R1109">
        <v>5.63421537</v>
      </c>
      <c r="S1109">
        <v>122735.7476</v>
      </c>
      <c r="T1109">
        <v>3390766.5</v>
      </c>
    </row>
    <row r="1110" spans="1:20">
      <c r="A1110" t="s">
        <v>20</v>
      </c>
      <c r="B1110" t="s">
        <v>435</v>
      </c>
      <c r="C1110">
        <v>301049751</v>
      </c>
      <c r="D1110">
        <v>73239990</v>
      </c>
      <c r="E1110" t="s">
        <v>1845</v>
      </c>
      <c r="N1110">
        <v>8094.8</v>
      </c>
      <c r="O1110" t="s">
        <v>2746</v>
      </c>
      <c r="P1110">
        <v>532.0667625999999</v>
      </c>
      <c r="Q1110">
        <v>4306974.03</v>
      </c>
      <c r="R1110">
        <v>7.056588364</v>
      </c>
      <c r="S1110">
        <v>57121.67149</v>
      </c>
      <c r="T1110">
        <v>1578075.3</v>
      </c>
    </row>
    <row r="1111" spans="1:20">
      <c r="A1111" t="s">
        <v>20</v>
      </c>
      <c r="B1111" t="s">
        <v>435</v>
      </c>
      <c r="C1111">
        <v>301049751</v>
      </c>
      <c r="D1111">
        <v>73239990</v>
      </c>
      <c r="E1111" t="s">
        <v>1846</v>
      </c>
      <c r="N1111">
        <v>11325.02</v>
      </c>
      <c r="O1111" t="s">
        <v>2746</v>
      </c>
      <c r="P1111">
        <v>415.5781773</v>
      </c>
      <c r="Q1111">
        <v>4706431.17</v>
      </c>
      <c r="R1111">
        <v>5.511646914</v>
      </c>
      <c r="S1111">
        <v>62419.51154</v>
      </c>
      <c r="T1111">
        <v>1724436.3</v>
      </c>
    </row>
    <row r="1112" spans="1:20">
      <c r="A1112" t="s">
        <v>20</v>
      </c>
      <c r="B1112" t="s">
        <v>436</v>
      </c>
      <c r="C1112">
        <v>301049751</v>
      </c>
      <c r="D1112">
        <v>73239990</v>
      </c>
      <c r="E1112" t="s">
        <v>1847</v>
      </c>
      <c r="N1112">
        <v>16800</v>
      </c>
      <c r="O1112" t="s">
        <v>2746</v>
      </c>
      <c r="P1112">
        <v>391.9686208</v>
      </c>
      <c r="Q1112">
        <v>6585072.83</v>
      </c>
      <c r="R1112">
        <v>5.198522823</v>
      </c>
      <c r="S1112">
        <v>87335.18342</v>
      </c>
      <c r="T1112">
        <v>2412770.8</v>
      </c>
    </row>
    <row r="1113" spans="1:20">
      <c r="A1113" t="s">
        <v>20</v>
      </c>
      <c r="B1113" t="s">
        <v>436</v>
      </c>
      <c r="C1113">
        <v>301049751</v>
      </c>
      <c r="D1113">
        <v>73239990</v>
      </c>
      <c r="E1113" t="s">
        <v>1817</v>
      </c>
      <c r="N1113">
        <v>7560</v>
      </c>
      <c r="O1113" t="s">
        <v>2746</v>
      </c>
      <c r="P1113">
        <v>530.6704233</v>
      </c>
      <c r="Q1113">
        <v>4011868.4</v>
      </c>
      <c r="R1113">
        <v>7.038069274</v>
      </c>
      <c r="S1113">
        <v>53207.80371</v>
      </c>
      <c r="T1113">
        <v>1469948.6</v>
      </c>
    </row>
    <row r="1114" spans="1:20">
      <c r="A1114" t="s">
        <v>20</v>
      </c>
      <c r="B1114" t="s">
        <v>436</v>
      </c>
      <c r="C1114">
        <v>301049751</v>
      </c>
      <c r="D1114">
        <v>73239990</v>
      </c>
      <c r="E1114" t="s">
        <v>1848</v>
      </c>
      <c r="N1114">
        <v>90</v>
      </c>
      <c r="O1114" t="s">
        <v>2746</v>
      </c>
      <c r="P1114">
        <v>541.6734444</v>
      </c>
      <c r="Q1114">
        <v>48750.61</v>
      </c>
      <c r="R1114">
        <v>7.183997937</v>
      </c>
      <c r="S1114">
        <v>646.5598143</v>
      </c>
      <c r="T1114">
        <v>17862.2</v>
      </c>
    </row>
    <row r="1115" spans="1:20">
      <c r="A1115" t="s">
        <v>20</v>
      </c>
      <c r="B1115" t="s">
        <v>436</v>
      </c>
      <c r="C1115">
        <v>301049751</v>
      </c>
      <c r="D1115">
        <v>73239990</v>
      </c>
      <c r="E1115" t="s">
        <v>1849</v>
      </c>
      <c r="N1115">
        <v>4620</v>
      </c>
      <c r="O1115" t="s">
        <v>2746</v>
      </c>
      <c r="P1115">
        <v>566.5876039</v>
      </c>
      <c r="Q1115">
        <v>2617634.73</v>
      </c>
      <c r="R1115">
        <v>7.514424455</v>
      </c>
      <c r="S1115">
        <v>34716.64098</v>
      </c>
      <c r="T1115">
        <v>959101.3</v>
      </c>
    </row>
    <row r="1116" spans="1:20">
      <c r="A1116" t="s">
        <v>20</v>
      </c>
      <c r="B1116" t="s">
        <v>436</v>
      </c>
      <c r="C1116">
        <v>301049751</v>
      </c>
      <c r="D1116">
        <v>73239990</v>
      </c>
      <c r="E1116" t="s">
        <v>1850</v>
      </c>
      <c r="N1116">
        <v>3000</v>
      </c>
      <c r="O1116" t="s">
        <v>2746</v>
      </c>
      <c r="P1116">
        <v>607.7245433000001</v>
      </c>
      <c r="Q1116">
        <v>1823173.63</v>
      </c>
      <c r="R1116">
        <v>8.060007206</v>
      </c>
      <c r="S1116">
        <v>24180.02162</v>
      </c>
      <c r="T1116">
        <v>668010.8</v>
      </c>
    </row>
    <row r="1117" spans="1:20">
      <c r="A1117" t="s">
        <v>20</v>
      </c>
      <c r="B1117" t="s">
        <v>436</v>
      </c>
      <c r="C1117">
        <v>301049751</v>
      </c>
      <c r="D1117">
        <v>73239990</v>
      </c>
      <c r="E1117" t="s">
        <v>1851</v>
      </c>
      <c r="N1117">
        <v>23760</v>
      </c>
      <c r="O1117" t="s">
        <v>2746</v>
      </c>
      <c r="P1117">
        <v>236.7723308</v>
      </c>
      <c r="Q1117">
        <v>5625710.58</v>
      </c>
      <c r="R1117">
        <v>3.140216589</v>
      </c>
      <c r="S1117">
        <v>74611.54614999999</v>
      </c>
      <c r="T1117">
        <v>2061260.3</v>
      </c>
    </row>
    <row r="1118" spans="1:20">
      <c r="A1118" t="s">
        <v>20</v>
      </c>
      <c r="B1118" t="s">
        <v>436</v>
      </c>
      <c r="C1118">
        <v>301049751</v>
      </c>
      <c r="D1118">
        <v>73239990</v>
      </c>
      <c r="E1118" t="s">
        <v>1852</v>
      </c>
      <c r="N1118">
        <v>4102.5</v>
      </c>
      <c r="O1118" t="s">
        <v>2746</v>
      </c>
      <c r="P1118">
        <v>255.738184</v>
      </c>
      <c r="Q1118">
        <v>1049165.9</v>
      </c>
      <c r="R1118">
        <v>3.391753104</v>
      </c>
      <c r="S1118">
        <v>13914.66711</v>
      </c>
      <c r="T1118">
        <v>384414.4</v>
      </c>
    </row>
    <row r="1119" spans="1:20">
      <c r="A1119" t="s">
        <v>20</v>
      </c>
      <c r="B1119" t="s">
        <v>437</v>
      </c>
      <c r="C1119">
        <v>301049751</v>
      </c>
      <c r="D1119">
        <v>73239990</v>
      </c>
      <c r="E1119" t="s">
        <v>1853</v>
      </c>
      <c r="N1119">
        <v>2095.2</v>
      </c>
      <c r="O1119" t="s">
        <v>2746</v>
      </c>
      <c r="P1119">
        <v>502.4950649</v>
      </c>
      <c r="Q1119">
        <v>1052827.66</v>
      </c>
      <c r="R1119">
        <v>6.664390781</v>
      </c>
      <c r="S1119">
        <v>13963.23156</v>
      </c>
      <c r="T1119">
        <v>385756.1</v>
      </c>
    </row>
    <row r="1120" spans="1:20">
      <c r="A1120" t="s">
        <v>20</v>
      </c>
      <c r="B1120" t="s">
        <v>437</v>
      </c>
      <c r="C1120">
        <v>301049751</v>
      </c>
      <c r="D1120">
        <v>73239990</v>
      </c>
      <c r="E1120" t="s">
        <v>1854</v>
      </c>
      <c r="N1120">
        <v>7680</v>
      </c>
      <c r="O1120" t="s">
        <v>2746</v>
      </c>
      <c r="P1120">
        <v>504.0086029</v>
      </c>
      <c r="Q1120">
        <v>3870786.07</v>
      </c>
      <c r="R1120">
        <v>6.684464229</v>
      </c>
      <c r="S1120">
        <v>51336.68528</v>
      </c>
      <c r="T1120">
        <v>1418256</v>
      </c>
    </row>
    <row r="1121" spans="1:20">
      <c r="A1121" t="s">
        <v>20</v>
      </c>
      <c r="B1121" t="s">
        <v>437</v>
      </c>
      <c r="C1121">
        <v>301049751</v>
      </c>
      <c r="D1121">
        <v>73239990</v>
      </c>
      <c r="E1121" t="s">
        <v>1855</v>
      </c>
      <c r="N1121">
        <v>3636.6</v>
      </c>
      <c r="O1121" t="s">
        <v>2746</v>
      </c>
      <c r="P1121">
        <v>586.2973574</v>
      </c>
      <c r="Q1121">
        <v>2132128.97</v>
      </c>
      <c r="R1121">
        <v>7.775827022</v>
      </c>
      <c r="S1121">
        <v>28277.57255</v>
      </c>
      <c r="T1121">
        <v>781212.1</v>
      </c>
    </row>
    <row r="1122" spans="1:20">
      <c r="A1122" t="s">
        <v>20</v>
      </c>
      <c r="B1122" t="s">
        <v>437</v>
      </c>
      <c r="C1122">
        <v>301049751</v>
      </c>
      <c r="D1122">
        <v>73239990</v>
      </c>
      <c r="E1122" t="s">
        <v>1856</v>
      </c>
      <c r="N1122">
        <v>1636.2</v>
      </c>
      <c r="O1122" t="s">
        <v>2746</v>
      </c>
      <c r="P1122">
        <v>597.3435277</v>
      </c>
      <c r="Q1122">
        <v>977373.48</v>
      </c>
      <c r="R1122">
        <v>7.922327953</v>
      </c>
      <c r="S1122">
        <v>12962.513</v>
      </c>
      <c r="T1122">
        <v>358109.7</v>
      </c>
    </row>
    <row r="1123" spans="1:20">
      <c r="A1123" t="s">
        <v>20</v>
      </c>
      <c r="B1123" t="s">
        <v>438</v>
      </c>
      <c r="C1123">
        <v>301049751</v>
      </c>
      <c r="D1123">
        <v>73239990</v>
      </c>
      <c r="E1123" t="s">
        <v>1857</v>
      </c>
      <c r="N1123">
        <v>4950</v>
      </c>
      <c r="O1123" t="s">
        <v>2746</v>
      </c>
      <c r="P1123">
        <v>255.4479737</v>
      </c>
      <c r="Q1123">
        <v>1264467.47</v>
      </c>
      <c r="R1123">
        <v>3.39240337</v>
      </c>
      <c r="S1123">
        <v>16792.39668</v>
      </c>
      <c r="T1123">
        <v>463300.8</v>
      </c>
    </row>
    <row r="1124" spans="1:20">
      <c r="A1124" t="s">
        <v>20</v>
      </c>
      <c r="B1124" t="s">
        <v>439</v>
      </c>
      <c r="C1124">
        <v>301049751</v>
      </c>
      <c r="D1124">
        <v>73239990</v>
      </c>
      <c r="E1124" t="s">
        <v>1858</v>
      </c>
      <c r="N1124">
        <v>663.6799999999999</v>
      </c>
      <c r="O1124" t="s">
        <v>2746</v>
      </c>
      <c r="P1124">
        <v>1014.719021</v>
      </c>
      <c r="Q1124">
        <v>673448.72</v>
      </c>
      <c r="R1124">
        <v>13.47568421</v>
      </c>
      <c r="S1124">
        <v>8943.542098</v>
      </c>
      <c r="T1124">
        <v>246751.6</v>
      </c>
    </row>
    <row r="1125" spans="1:20">
      <c r="A1125" t="s">
        <v>20</v>
      </c>
      <c r="B1125" t="s">
        <v>440</v>
      </c>
      <c r="C1125">
        <v>301049751</v>
      </c>
      <c r="D1125">
        <v>73239990</v>
      </c>
      <c r="E1125" t="s">
        <v>1859</v>
      </c>
      <c r="N1125">
        <v>8008</v>
      </c>
      <c r="O1125" t="s">
        <v>2746</v>
      </c>
      <c r="P1125">
        <v>395.8428834</v>
      </c>
      <c r="Q1125">
        <v>3169909.81</v>
      </c>
      <c r="R1125">
        <v>5.256877601</v>
      </c>
      <c r="S1125">
        <v>42097.07583</v>
      </c>
      <c r="T1125">
        <v>1161455</v>
      </c>
    </row>
    <row r="1126" spans="1:20">
      <c r="A1126" t="s">
        <v>20</v>
      </c>
      <c r="B1126" t="s">
        <v>441</v>
      </c>
      <c r="C1126">
        <v>301049751</v>
      </c>
      <c r="D1126">
        <v>73239990</v>
      </c>
      <c r="E1126" t="s">
        <v>1860</v>
      </c>
      <c r="N1126">
        <v>5600</v>
      </c>
      <c r="O1126" t="s">
        <v>2746</v>
      </c>
      <c r="P1126">
        <v>389.1574946</v>
      </c>
      <c r="Q1126">
        <v>2179281.97</v>
      </c>
      <c r="R1126">
        <v>5.220087118</v>
      </c>
      <c r="S1126">
        <v>29232.48786</v>
      </c>
      <c r="T1126">
        <v>798488.9</v>
      </c>
    </row>
    <row r="1127" spans="1:20">
      <c r="A1127" t="s">
        <v>20</v>
      </c>
      <c r="B1127" t="s">
        <v>442</v>
      </c>
      <c r="C1127">
        <v>301049751</v>
      </c>
      <c r="D1127">
        <v>73239990</v>
      </c>
      <c r="E1127" t="s">
        <v>1861</v>
      </c>
      <c r="N1127">
        <v>23760</v>
      </c>
      <c r="O1127" t="s">
        <v>2746</v>
      </c>
      <c r="P1127">
        <v>235.6724444</v>
      </c>
      <c r="Q1127">
        <v>5599577.28</v>
      </c>
      <c r="R1127">
        <v>3.16126686</v>
      </c>
      <c r="S1127">
        <v>75111.7006</v>
      </c>
      <c r="T1127">
        <v>2051685.1</v>
      </c>
    </row>
    <row r="1128" spans="1:20">
      <c r="A1128" t="s">
        <v>20</v>
      </c>
      <c r="B1128" t="s">
        <v>443</v>
      </c>
      <c r="C1128">
        <v>301049751</v>
      </c>
      <c r="D1128">
        <v>73239990</v>
      </c>
      <c r="E1128" t="s">
        <v>1862</v>
      </c>
      <c r="N1128">
        <v>7582.5</v>
      </c>
      <c r="O1128" t="s">
        <v>2746</v>
      </c>
      <c r="P1128">
        <v>260.1883244</v>
      </c>
      <c r="Q1128">
        <v>1972877.97</v>
      </c>
      <c r="R1128">
        <v>3.490118369</v>
      </c>
      <c r="S1128">
        <v>26463.82254</v>
      </c>
      <c r="T1128">
        <v>722862.5</v>
      </c>
    </row>
    <row r="1129" spans="1:20">
      <c r="A1129" t="s">
        <v>20</v>
      </c>
      <c r="B1129" t="s">
        <v>443</v>
      </c>
      <c r="C1129">
        <v>301049751</v>
      </c>
      <c r="D1129">
        <v>73239990</v>
      </c>
      <c r="E1129" t="s">
        <v>1863</v>
      </c>
      <c r="N1129">
        <v>696</v>
      </c>
      <c r="O1129" t="s">
        <v>2746</v>
      </c>
      <c r="P1129">
        <v>618.2340374</v>
      </c>
      <c r="Q1129">
        <v>430290.89</v>
      </c>
      <c r="R1129">
        <v>8.292877765</v>
      </c>
      <c r="S1129">
        <v>5771.842924</v>
      </c>
      <c r="T1129">
        <v>157658.6</v>
      </c>
    </row>
    <row r="1130" spans="1:20">
      <c r="A1130" t="s">
        <v>20</v>
      </c>
      <c r="B1130" t="s">
        <v>443</v>
      </c>
      <c r="C1130">
        <v>301049751</v>
      </c>
      <c r="D1130">
        <v>73239990</v>
      </c>
      <c r="E1130" t="s">
        <v>1864</v>
      </c>
      <c r="N1130">
        <v>9714</v>
      </c>
      <c r="O1130" t="s">
        <v>2746</v>
      </c>
      <c r="P1130">
        <v>323.3617068</v>
      </c>
      <c r="Q1130">
        <v>3141135.62</v>
      </c>
      <c r="R1130">
        <v>4.337514511</v>
      </c>
      <c r="S1130">
        <v>42134.61596</v>
      </c>
      <c r="T1130">
        <v>1150912.1</v>
      </c>
    </row>
    <row r="1131" spans="1:20">
      <c r="A1131" t="s">
        <v>20</v>
      </c>
      <c r="B1131" t="s">
        <v>444</v>
      </c>
      <c r="C1131">
        <v>301049751</v>
      </c>
      <c r="D1131">
        <v>73239990</v>
      </c>
      <c r="E1131" t="s">
        <v>1865</v>
      </c>
      <c r="N1131">
        <v>4582.4</v>
      </c>
      <c r="O1131" t="s">
        <v>2746</v>
      </c>
      <c r="P1131">
        <v>502.7609157</v>
      </c>
      <c r="Q1131">
        <v>2303851.62</v>
      </c>
      <c r="R1131">
        <v>6.743942531</v>
      </c>
      <c r="S1131">
        <v>30903.44225</v>
      </c>
      <c r="T1131">
        <v>844131.2</v>
      </c>
    </row>
    <row r="1132" spans="1:20">
      <c r="A1132" t="s">
        <v>20</v>
      </c>
      <c r="B1132" t="s">
        <v>444</v>
      </c>
      <c r="C1132">
        <v>301049751</v>
      </c>
      <c r="D1132">
        <v>73239990</v>
      </c>
      <c r="E1132" t="s">
        <v>1866</v>
      </c>
      <c r="N1132">
        <v>7273.2</v>
      </c>
      <c r="O1132" t="s">
        <v>2746</v>
      </c>
      <c r="P1132">
        <v>584.8459605</v>
      </c>
      <c r="Q1132">
        <v>4253701.64</v>
      </c>
      <c r="R1132">
        <v>7.845016238</v>
      </c>
      <c r="S1132">
        <v>57058.3721</v>
      </c>
      <c r="T1132">
        <v>1558556.2</v>
      </c>
    </row>
    <row r="1133" spans="1:20">
      <c r="A1133" t="s">
        <v>20</v>
      </c>
      <c r="B1133" t="s">
        <v>444</v>
      </c>
      <c r="C1133">
        <v>301049751</v>
      </c>
      <c r="D1133">
        <v>73239990</v>
      </c>
      <c r="E1133" t="s">
        <v>1867</v>
      </c>
      <c r="N1133">
        <v>2829.6</v>
      </c>
      <c r="O1133" t="s">
        <v>2746</v>
      </c>
      <c r="P1133">
        <v>595.8647901000001</v>
      </c>
      <c r="Q1133">
        <v>1686059.01</v>
      </c>
      <c r="R1133">
        <v>7.992820792</v>
      </c>
      <c r="S1133">
        <v>22616.48571</v>
      </c>
      <c r="T1133">
        <v>617772</v>
      </c>
    </row>
    <row r="1134" spans="1:20">
      <c r="A1134" t="s">
        <v>20</v>
      </c>
      <c r="B1134" t="s">
        <v>445</v>
      </c>
      <c r="C1134">
        <v>301049751</v>
      </c>
      <c r="D1134">
        <v>73239990</v>
      </c>
      <c r="E1134" t="s">
        <v>1868</v>
      </c>
      <c r="N1134">
        <v>8094.8</v>
      </c>
      <c r="O1134" t="s">
        <v>2746</v>
      </c>
      <c r="P1134">
        <v>525.6576111000001</v>
      </c>
      <c r="Q1134">
        <v>4255093.23</v>
      </c>
      <c r="R1134">
        <v>7.108284125</v>
      </c>
      <c r="S1134">
        <v>57540.13834</v>
      </c>
      <c r="T1134">
        <v>1559066.2</v>
      </c>
    </row>
    <row r="1135" spans="1:20">
      <c r="A1135" t="s">
        <v>20</v>
      </c>
      <c r="B1135" t="s">
        <v>445</v>
      </c>
      <c r="C1135">
        <v>301049751</v>
      </c>
      <c r="D1135">
        <v>73239990</v>
      </c>
      <c r="E1135" t="s">
        <v>1869</v>
      </c>
      <c r="N1135">
        <v>10599.93</v>
      </c>
      <c r="O1135" t="s">
        <v>2746</v>
      </c>
      <c r="P1135">
        <v>586.3588005</v>
      </c>
      <c r="Q1135">
        <v>6215362.24</v>
      </c>
      <c r="R1135">
        <v>7.929125091</v>
      </c>
      <c r="S1135">
        <v>84048.17092999999</v>
      </c>
      <c r="T1135">
        <v>2277308.6</v>
      </c>
    </row>
    <row r="1136" spans="1:20">
      <c r="A1136" t="s">
        <v>20</v>
      </c>
      <c r="B1136" t="s">
        <v>445</v>
      </c>
      <c r="C1136">
        <v>301049751</v>
      </c>
      <c r="D1136">
        <v>73239990</v>
      </c>
      <c r="E1136" t="s">
        <v>1870</v>
      </c>
      <c r="N1136">
        <v>4304</v>
      </c>
      <c r="O1136" t="s">
        <v>2746</v>
      </c>
      <c r="P1136">
        <v>577.340381</v>
      </c>
      <c r="Q1136">
        <v>2484873</v>
      </c>
      <c r="R1136">
        <v>7.807172157</v>
      </c>
      <c r="S1136">
        <v>33602.06897</v>
      </c>
      <c r="T1136">
        <v>910457.5</v>
      </c>
    </row>
    <row r="1137" spans="1:20">
      <c r="A1137" t="s">
        <v>20</v>
      </c>
      <c r="B1137" t="s">
        <v>445</v>
      </c>
      <c r="C1137">
        <v>301049751</v>
      </c>
      <c r="D1137">
        <v>73239990</v>
      </c>
      <c r="E1137" t="s">
        <v>1871</v>
      </c>
      <c r="N1137">
        <v>8970</v>
      </c>
      <c r="O1137" t="s">
        <v>2746</v>
      </c>
      <c r="P1137">
        <v>480.5103032</v>
      </c>
      <c r="Q1137">
        <v>4310177.42</v>
      </c>
      <c r="R1137">
        <v>6.497772863</v>
      </c>
      <c r="S1137">
        <v>58285.02258</v>
      </c>
      <c r="T1137">
        <v>1579249</v>
      </c>
    </row>
    <row r="1138" spans="1:20">
      <c r="A1138" t="s">
        <v>20</v>
      </c>
      <c r="B1138" t="s">
        <v>446</v>
      </c>
      <c r="C1138">
        <v>301049751</v>
      </c>
      <c r="D1138">
        <v>73239990</v>
      </c>
      <c r="E1138" t="s">
        <v>1872</v>
      </c>
      <c r="N1138">
        <v>1386</v>
      </c>
      <c r="O1138" t="s">
        <v>2746</v>
      </c>
      <c r="P1138">
        <v>610.0127273000001</v>
      </c>
      <c r="Q1138">
        <v>845477.64</v>
      </c>
      <c r="R1138">
        <v>8.248988875</v>
      </c>
      <c r="S1138">
        <v>11433.09858</v>
      </c>
      <c r="T1138">
        <v>309783</v>
      </c>
    </row>
    <row r="1139" spans="1:20">
      <c r="A1139" t="s">
        <v>20</v>
      </c>
      <c r="B1139" t="s">
        <v>446</v>
      </c>
      <c r="C1139">
        <v>301049751</v>
      </c>
      <c r="D1139">
        <v>73239990</v>
      </c>
      <c r="E1139" t="s">
        <v>1873</v>
      </c>
      <c r="N1139">
        <v>708</v>
      </c>
      <c r="O1139" t="s">
        <v>2746</v>
      </c>
      <c r="P1139">
        <v>544.2564124</v>
      </c>
      <c r="Q1139">
        <v>385333.54</v>
      </c>
      <c r="R1139">
        <v>7.359789215</v>
      </c>
      <c r="S1139">
        <v>5210.730764</v>
      </c>
      <c r="T1139">
        <v>141186.2</v>
      </c>
    </row>
    <row r="1140" spans="1:20">
      <c r="A1140" t="s">
        <v>20</v>
      </c>
      <c r="B1140" t="s">
        <v>446</v>
      </c>
      <c r="C1140">
        <v>301049751</v>
      </c>
      <c r="D1140">
        <v>73231000</v>
      </c>
      <c r="E1140" t="s">
        <v>1874</v>
      </c>
      <c r="N1140">
        <v>4823</v>
      </c>
      <c r="O1140" t="s">
        <v>2746</v>
      </c>
      <c r="P1140">
        <v>463.3901617</v>
      </c>
      <c r="Q1140">
        <v>2234930.75</v>
      </c>
      <c r="R1140">
        <v>6.266263174</v>
      </c>
      <c r="S1140">
        <v>30222.18729</v>
      </c>
      <c r="T1140">
        <v>982475.6</v>
      </c>
    </row>
    <row r="1141" spans="1:20">
      <c r="A1141" t="s">
        <v>20</v>
      </c>
      <c r="B1141" t="s">
        <v>446</v>
      </c>
      <c r="C1141">
        <v>301049751</v>
      </c>
      <c r="D1141">
        <v>73239990</v>
      </c>
      <c r="E1141" t="s">
        <v>1875</v>
      </c>
      <c r="N1141">
        <v>2867.2</v>
      </c>
      <c r="O1141" t="s">
        <v>2746</v>
      </c>
      <c r="P1141">
        <v>494.2478864</v>
      </c>
      <c r="Q1141">
        <v>1417107.54</v>
      </c>
      <c r="R1141">
        <v>6.683541399</v>
      </c>
      <c r="S1141">
        <v>19163.0499</v>
      </c>
      <c r="T1141">
        <v>519228.2</v>
      </c>
    </row>
    <row r="1142" spans="1:20">
      <c r="A1142" t="s">
        <v>20</v>
      </c>
      <c r="B1142" t="s">
        <v>446</v>
      </c>
      <c r="C1142">
        <v>301049751</v>
      </c>
      <c r="D1142">
        <v>73239990</v>
      </c>
      <c r="E1142" t="s">
        <v>1876</v>
      </c>
      <c r="N1142">
        <v>2304</v>
      </c>
      <c r="O1142" t="s">
        <v>2746</v>
      </c>
      <c r="P1142">
        <v>604.7293533</v>
      </c>
      <c r="Q1142">
        <v>1393296.43</v>
      </c>
      <c r="R1142">
        <v>8.177543654999999</v>
      </c>
      <c r="S1142">
        <v>18841.06058</v>
      </c>
      <c r="T1142">
        <v>510503.8</v>
      </c>
    </row>
    <row r="1143" spans="1:20">
      <c r="A1143" t="s">
        <v>20</v>
      </c>
      <c r="B1143" t="s">
        <v>446</v>
      </c>
      <c r="C1143">
        <v>301049751</v>
      </c>
      <c r="D1143">
        <v>73239990</v>
      </c>
      <c r="E1143" t="s">
        <v>1877</v>
      </c>
      <c r="N1143">
        <v>4917.6</v>
      </c>
      <c r="O1143" t="s">
        <v>2746</v>
      </c>
      <c r="P1143">
        <v>492.7636591</v>
      </c>
      <c r="Q1143">
        <v>2423214.57</v>
      </c>
      <c r="R1143">
        <v>6.663470711</v>
      </c>
      <c r="S1143">
        <v>32768.28357</v>
      </c>
      <c r="T1143">
        <v>887865.8</v>
      </c>
    </row>
    <row r="1144" spans="1:20">
      <c r="A1144" t="s">
        <v>20</v>
      </c>
      <c r="B1144" t="s">
        <v>446</v>
      </c>
      <c r="C1144">
        <v>301049751</v>
      </c>
      <c r="D1144">
        <v>73239990</v>
      </c>
      <c r="E1144" t="s">
        <v>1878</v>
      </c>
      <c r="N1144">
        <v>14000</v>
      </c>
      <c r="O1144" t="s">
        <v>2746</v>
      </c>
      <c r="P1144">
        <v>390.1009321</v>
      </c>
      <c r="Q1144">
        <v>5461413.05</v>
      </c>
      <c r="R1144">
        <v>5.275198541</v>
      </c>
      <c r="S1144">
        <v>73852.77958</v>
      </c>
      <c r="T1144">
        <v>2001061.8</v>
      </c>
    </row>
    <row r="1145" spans="1:20">
      <c r="A1145" t="s">
        <v>20</v>
      </c>
      <c r="B1145" t="s">
        <v>446</v>
      </c>
      <c r="C1145">
        <v>301049751</v>
      </c>
      <c r="D1145">
        <v>73239990</v>
      </c>
      <c r="E1145" t="s">
        <v>1879</v>
      </c>
      <c r="N1145">
        <v>2310</v>
      </c>
      <c r="O1145" t="s">
        <v>2746</v>
      </c>
      <c r="P1145">
        <v>563.9190779</v>
      </c>
      <c r="Q1145">
        <v>1302653.07</v>
      </c>
      <c r="R1145">
        <v>7.625680567</v>
      </c>
      <c r="S1145">
        <v>17615.32211</v>
      </c>
      <c r="T1145">
        <v>477292.1</v>
      </c>
    </row>
    <row r="1146" spans="1:20">
      <c r="A1146" t="s">
        <v>20</v>
      </c>
      <c r="B1146" t="s">
        <v>446</v>
      </c>
      <c r="C1146">
        <v>301049751</v>
      </c>
      <c r="D1146">
        <v>73239990</v>
      </c>
      <c r="E1146" t="s">
        <v>1880</v>
      </c>
      <c r="N1146">
        <v>6285</v>
      </c>
      <c r="O1146" t="s">
        <v>2746</v>
      </c>
      <c r="P1146">
        <v>254.4826778</v>
      </c>
      <c r="Q1146">
        <v>1599423.63</v>
      </c>
      <c r="R1146">
        <v>3.441280295</v>
      </c>
      <c r="S1146">
        <v>21628.44665</v>
      </c>
      <c r="T1146">
        <v>586028.8</v>
      </c>
    </row>
    <row r="1147" spans="1:20">
      <c r="A1147" t="s">
        <v>20</v>
      </c>
      <c r="B1147" t="s">
        <v>447</v>
      </c>
      <c r="C1147">
        <v>301049751</v>
      </c>
      <c r="D1147">
        <v>73231000</v>
      </c>
      <c r="E1147" t="s">
        <v>1881</v>
      </c>
      <c r="N1147">
        <v>4837</v>
      </c>
      <c r="O1147" t="s">
        <v>2746</v>
      </c>
      <c r="P1147">
        <v>463.2820074</v>
      </c>
      <c r="Q1147">
        <v>2240895.07</v>
      </c>
      <c r="R1147">
        <v>6.264800642</v>
      </c>
      <c r="S1147">
        <v>30302.8407</v>
      </c>
      <c r="T1147">
        <v>985097.5</v>
      </c>
    </row>
    <row r="1148" spans="1:20">
      <c r="A1148" t="s">
        <v>20</v>
      </c>
      <c r="B1148" t="s">
        <v>448</v>
      </c>
      <c r="C1148">
        <v>301049751</v>
      </c>
      <c r="D1148">
        <v>73239990</v>
      </c>
      <c r="E1148" t="s">
        <v>1882</v>
      </c>
      <c r="N1148">
        <v>5002</v>
      </c>
      <c r="O1148" t="s">
        <v>2746</v>
      </c>
      <c r="P1148">
        <v>1004.531042</v>
      </c>
      <c r="Q1148">
        <v>5024664.27</v>
      </c>
      <c r="R1148">
        <v>13.58392213</v>
      </c>
      <c r="S1148">
        <v>67946.7785</v>
      </c>
      <c r="T1148">
        <v>1841037.1</v>
      </c>
    </row>
    <row r="1149" spans="1:20">
      <c r="A1149" t="s">
        <v>20</v>
      </c>
      <c r="B1149" t="s">
        <v>449</v>
      </c>
      <c r="C1149">
        <v>301049751</v>
      </c>
      <c r="D1149">
        <v>73239990</v>
      </c>
      <c r="E1149" t="s">
        <v>1883</v>
      </c>
      <c r="N1149">
        <v>20976</v>
      </c>
      <c r="O1149" t="s">
        <v>2746</v>
      </c>
      <c r="P1149">
        <v>187.0042897</v>
      </c>
      <c r="Q1149">
        <v>3922601.98</v>
      </c>
      <c r="R1149">
        <v>2.52879364</v>
      </c>
      <c r="S1149">
        <v>53043.97539</v>
      </c>
      <c r="T1149">
        <v>1437241.3</v>
      </c>
    </row>
    <row r="1150" spans="1:20">
      <c r="A1150" t="s">
        <v>20</v>
      </c>
      <c r="B1150" t="s">
        <v>450</v>
      </c>
      <c r="C1150">
        <v>301049751</v>
      </c>
      <c r="D1150">
        <v>73239990</v>
      </c>
      <c r="E1150" t="s">
        <v>1884</v>
      </c>
      <c r="N1150">
        <v>6975</v>
      </c>
      <c r="O1150" t="s">
        <v>2746</v>
      </c>
      <c r="P1150">
        <v>441.5714538</v>
      </c>
      <c r="Q1150">
        <v>3079960.89</v>
      </c>
      <c r="R1150">
        <v>5.971216413</v>
      </c>
      <c r="S1150">
        <v>41649.23448</v>
      </c>
      <c r="T1150">
        <v>1128497.7</v>
      </c>
    </row>
    <row r="1151" spans="1:20">
      <c r="A1151" t="s">
        <v>20</v>
      </c>
      <c r="B1151" t="s">
        <v>450</v>
      </c>
      <c r="C1151">
        <v>301049751</v>
      </c>
      <c r="D1151">
        <v>73239990</v>
      </c>
      <c r="E1151" t="s">
        <v>1885</v>
      </c>
      <c r="N1151">
        <v>8008</v>
      </c>
      <c r="O1151" t="s">
        <v>2746</v>
      </c>
      <c r="P1151">
        <v>387.824041</v>
      </c>
      <c r="Q1151">
        <v>3105694.92</v>
      </c>
      <c r="R1151">
        <v>5.244408938</v>
      </c>
      <c r="S1151">
        <v>41997.22677</v>
      </c>
      <c r="T1151">
        <v>1137926.6</v>
      </c>
    </row>
    <row r="1152" spans="1:20">
      <c r="A1152" t="s">
        <v>20</v>
      </c>
      <c r="B1152" t="s">
        <v>450</v>
      </c>
      <c r="C1152">
        <v>301049751</v>
      </c>
      <c r="D1152">
        <v>73231000</v>
      </c>
      <c r="E1152" t="s">
        <v>1886</v>
      </c>
      <c r="N1152">
        <v>4833.5</v>
      </c>
      <c r="O1152" t="s">
        <v>2746</v>
      </c>
      <c r="P1152">
        <v>427.101862</v>
      </c>
      <c r="Q1152">
        <v>2064396.85</v>
      </c>
      <c r="R1152">
        <v>5.775549182</v>
      </c>
      <c r="S1152">
        <v>27916.11697</v>
      </c>
      <c r="T1152">
        <v>907508.9</v>
      </c>
    </row>
    <row r="1153" spans="1:20">
      <c r="A1153" t="s">
        <v>20</v>
      </c>
      <c r="B1153" t="s">
        <v>450</v>
      </c>
      <c r="C1153">
        <v>301049751</v>
      </c>
      <c r="D1153">
        <v>73239990</v>
      </c>
      <c r="E1153" t="s">
        <v>1887</v>
      </c>
      <c r="N1153">
        <v>3696</v>
      </c>
      <c r="O1153" t="s">
        <v>2746</v>
      </c>
      <c r="P1153">
        <v>508.3420076</v>
      </c>
      <c r="Q1153">
        <v>1878832.06</v>
      </c>
      <c r="R1153">
        <v>6.874131272</v>
      </c>
      <c r="S1153">
        <v>25406.78918</v>
      </c>
      <c r="T1153">
        <v>688404</v>
      </c>
    </row>
    <row r="1154" spans="1:20">
      <c r="A1154" t="s">
        <v>20</v>
      </c>
      <c r="B1154" t="s">
        <v>450</v>
      </c>
      <c r="C1154">
        <v>301049751</v>
      </c>
      <c r="D1154">
        <v>73239990</v>
      </c>
      <c r="E1154" t="s">
        <v>1888</v>
      </c>
      <c r="N1154">
        <v>10777.5</v>
      </c>
      <c r="O1154" t="s">
        <v>2746</v>
      </c>
      <c r="P1154">
        <v>494.0467298</v>
      </c>
      <c r="Q1154">
        <v>5324588.63</v>
      </c>
      <c r="R1154">
        <v>6.680821227</v>
      </c>
      <c r="S1154">
        <v>72002.55078000001</v>
      </c>
      <c r="T1154">
        <v>1950929.3</v>
      </c>
    </row>
    <row r="1155" spans="1:20">
      <c r="A1155" t="s">
        <v>20</v>
      </c>
      <c r="B1155" t="s">
        <v>450</v>
      </c>
      <c r="C1155">
        <v>301049751</v>
      </c>
      <c r="D1155">
        <v>73239990</v>
      </c>
      <c r="E1155" t="s">
        <v>1889</v>
      </c>
      <c r="N1155">
        <v>1792</v>
      </c>
      <c r="O1155" t="s">
        <v>2746</v>
      </c>
      <c r="P1155">
        <v>524.2278626999999</v>
      </c>
      <c r="Q1155">
        <v>939416.33</v>
      </c>
      <c r="R1155">
        <v>7.088950138</v>
      </c>
      <c r="S1155">
        <v>12703.39865</v>
      </c>
      <c r="T1155">
        <v>344202.2</v>
      </c>
    </row>
    <row r="1156" spans="1:20">
      <c r="A1156" t="s">
        <v>20</v>
      </c>
      <c r="B1156" t="s">
        <v>451</v>
      </c>
      <c r="C1156">
        <v>301049751</v>
      </c>
      <c r="D1156">
        <v>73239990</v>
      </c>
      <c r="E1156" t="s">
        <v>1890</v>
      </c>
      <c r="N1156">
        <v>10488</v>
      </c>
      <c r="O1156" t="s">
        <v>2746</v>
      </c>
      <c r="P1156">
        <v>187.0039083</v>
      </c>
      <c r="Q1156">
        <v>1961296.99</v>
      </c>
      <c r="R1156">
        <v>2.528788482</v>
      </c>
      <c r="S1156">
        <v>26521.9336</v>
      </c>
      <c r="T1156">
        <v>718619.2</v>
      </c>
    </row>
    <row r="1157" spans="1:20">
      <c r="A1157" t="s">
        <v>20</v>
      </c>
      <c r="B1157" t="s">
        <v>452</v>
      </c>
      <c r="C1157">
        <v>301049751</v>
      </c>
      <c r="D1157">
        <v>73231000</v>
      </c>
      <c r="E1157" t="s">
        <v>1891</v>
      </c>
      <c r="N1157">
        <v>7717.5</v>
      </c>
      <c r="O1157" t="s">
        <v>2746</v>
      </c>
      <c r="P1157">
        <v>262.4813113</v>
      </c>
      <c r="Q1157">
        <v>2025699.52</v>
      </c>
      <c r="R1157">
        <v>3.542257912</v>
      </c>
      <c r="S1157">
        <v>27337.37544</v>
      </c>
      <c r="T1157">
        <v>890497.5</v>
      </c>
    </row>
    <row r="1158" spans="1:20">
      <c r="A1158" t="s">
        <v>20</v>
      </c>
      <c r="B1158" t="s">
        <v>453</v>
      </c>
      <c r="C1158">
        <v>301049751</v>
      </c>
      <c r="D1158">
        <v>73239990</v>
      </c>
      <c r="E1158" t="s">
        <v>1892</v>
      </c>
      <c r="N1158">
        <v>2835</v>
      </c>
      <c r="O1158" t="s">
        <v>2749</v>
      </c>
      <c r="P1158">
        <v>557.8980705</v>
      </c>
      <c r="Q1158">
        <v>1581641.03</v>
      </c>
      <c r="R1158">
        <v>7.528988806</v>
      </c>
      <c r="S1158">
        <v>21344.68327</v>
      </c>
      <c r="T1158">
        <v>579513.3</v>
      </c>
    </row>
    <row r="1159" spans="1:20">
      <c r="A1159" t="s">
        <v>20</v>
      </c>
      <c r="B1159" t="s">
        <v>454</v>
      </c>
      <c r="C1159">
        <v>301049751</v>
      </c>
      <c r="D1159">
        <v>73239990</v>
      </c>
      <c r="E1159" t="s">
        <v>1893</v>
      </c>
      <c r="N1159">
        <v>5600</v>
      </c>
      <c r="O1159" t="s">
        <v>2749</v>
      </c>
      <c r="P1159">
        <v>389.7658482</v>
      </c>
      <c r="Q1159">
        <v>2182688.75</v>
      </c>
      <c r="R1159">
        <v>5.259997952</v>
      </c>
      <c r="S1159">
        <v>29455.98853</v>
      </c>
      <c r="T1159">
        <v>799737.1</v>
      </c>
    </row>
    <row r="1160" spans="1:20">
      <c r="A1160" t="s">
        <v>20</v>
      </c>
      <c r="B1160" t="s">
        <v>454</v>
      </c>
      <c r="C1160">
        <v>301049751</v>
      </c>
      <c r="D1160">
        <v>73239990</v>
      </c>
      <c r="E1160" t="s">
        <v>1894</v>
      </c>
      <c r="N1160">
        <v>2692</v>
      </c>
      <c r="O1160" t="s">
        <v>2749</v>
      </c>
      <c r="P1160">
        <v>562.2148403</v>
      </c>
      <c r="Q1160">
        <v>1513482.35</v>
      </c>
      <c r="R1160">
        <v>7.587244808</v>
      </c>
      <c r="S1160">
        <v>20424.86302</v>
      </c>
      <c r="T1160">
        <v>554539.9</v>
      </c>
    </row>
    <row r="1161" spans="1:20">
      <c r="A1161" t="s">
        <v>20</v>
      </c>
      <c r="B1161" t="s">
        <v>454</v>
      </c>
      <c r="C1161">
        <v>301049751</v>
      </c>
      <c r="D1161">
        <v>73239990</v>
      </c>
      <c r="E1161" t="s">
        <v>1895</v>
      </c>
      <c r="N1161">
        <v>3000</v>
      </c>
      <c r="O1161" t="s">
        <v>2749</v>
      </c>
      <c r="P1161">
        <v>604.1866533</v>
      </c>
      <c r="Q1161">
        <v>1812559.96</v>
      </c>
      <c r="R1161">
        <v>8.153666037000001</v>
      </c>
      <c r="S1161">
        <v>24460.99811</v>
      </c>
      <c r="T1161">
        <v>664122</v>
      </c>
    </row>
    <row r="1162" spans="1:20">
      <c r="A1162" t="s">
        <v>20</v>
      </c>
      <c r="B1162" t="s">
        <v>455</v>
      </c>
      <c r="C1162">
        <v>301049751</v>
      </c>
      <c r="D1162">
        <v>73239990</v>
      </c>
      <c r="E1162" t="s">
        <v>1896</v>
      </c>
      <c r="N1162">
        <v>864</v>
      </c>
      <c r="O1162" t="s">
        <v>2749</v>
      </c>
      <c r="P1162">
        <v>477.5906134</v>
      </c>
      <c r="Q1162">
        <v>412638.29</v>
      </c>
      <c r="R1162">
        <v>6.445217455</v>
      </c>
      <c r="S1162">
        <v>5568.667881</v>
      </c>
      <c r="T1162">
        <v>151190.8</v>
      </c>
    </row>
    <row r="1163" spans="1:20">
      <c r="A1163" t="s">
        <v>20</v>
      </c>
      <c r="B1163" t="s">
        <v>455</v>
      </c>
      <c r="C1163">
        <v>301049751</v>
      </c>
      <c r="D1163">
        <v>73239990</v>
      </c>
      <c r="E1163" t="s">
        <v>1897</v>
      </c>
      <c r="N1163">
        <v>2844.3</v>
      </c>
      <c r="O1163" t="s">
        <v>2749</v>
      </c>
      <c r="P1163">
        <v>571.6542946</v>
      </c>
      <c r="Q1163">
        <v>1625956.31</v>
      </c>
      <c r="R1163">
        <v>7.714632855</v>
      </c>
      <c r="S1163">
        <v>21942.73023</v>
      </c>
      <c r="T1163">
        <v>595750.4</v>
      </c>
    </row>
    <row r="1164" spans="1:20">
      <c r="A1164" t="s">
        <v>20</v>
      </c>
      <c r="B1164" t="s">
        <v>455</v>
      </c>
      <c r="C1164">
        <v>301049751</v>
      </c>
      <c r="D1164">
        <v>73239990</v>
      </c>
      <c r="E1164" t="s">
        <v>1898</v>
      </c>
      <c r="N1164">
        <v>3809</v>
      </c>
      <c r="O1164" t="s">
        <v>2749</v>
      </c>
      <c r="P1164">
        <v>506.6203492</v>
      </c>
      <c r="Q1164">
        <v>1929716.91</v>
      </c>
      <c r="R1164">
        <v>6.83698177</v>
      </c>
      <c r="S1164">
        <v>26042.06356</v>
      </c>
      <c r="T1164">
        <v>707048.3</v>
      </c>
    </row>
    <row r="1165" spans="1:20">
      <c r="A1165" t="s">
        <v>20</v>
      </c>
      <c r="B1165" t="s">
        <v>455</v>
      </c>
      <c r="C1165">
        <v>301049751</v>
      </c>
      <c r="D1165">
        <v>73239990</v>
      </c>
      <c r="E1165" t="s">
        <v>1899</v>
      </c>
      <c r="N1165">
        <v>7673.6</v>
      </c>
      <c r="O1165" t="s">
        <v>2749</v>
      </c>
      <c r="P1165">
        <v>500.1184698</v>
      </c>
      <c r="Q1165">
        <v>3837709.09</v>
      </c>
      <c r="R1165">
        <v>6.74923711</v>
      </c>
      <c r="S1165">
        <v>51790.94588</v>
      </c>
      <c r="T1165">
        <v>1406136.6</v>
      </c>
    </row>
    <row r="1166" spans="1:20">
      <c r="A1166" t="s">
        <v>20</v>
      </c>
      <c r="B1166" t="s">
        <v>456</v>
      </c>
      <c r="C1166">
        <v>301049751</v>
      </c>
      <c r="D1166">
        <v>73239990</v>
      </c>
      <c r="E1166" t="s">
        <v>1900</v>
      </c>
      <c r="N1166">
        <v>38016</v>
      </c>
      <c r="O1166" t="s">
        <v>2749</v>
      </c>
      <c r="P1166">
        <v>226.6315215</v>
      </c>
      <c r="Q1166">
        <v>8615623.92</v>
      </c>
      <c r="R1166">
        <v>3.05845508</v>
      </c>
      <c r="S1166">
        <v>116270.2283</v>
      </c>
      <c r="T1166">
        <v>3156764.6</v>
      </c>
    </row>
    <row r="1167" spans="1:20">
      <c r="A1167" t="s">
        <v>20</v>
      </c>
      <c r="B1167" t="s">
        <v>456</v>
      </c>
      <c r="C1167">
        <v>301049751</v>
      </c>
      <c r="D1167">
        <v>73239990</v>
      </c>
      <c r="E1167" t="s">
        <v>1901</v>
      </c>
      <c r="N1167">
        <v>12012</v>
      </c>
      <c r="O1167" t="s">
        <v>2749</v>
      </c>
      <c r="P1167">
        <v>410.254682</v>
      </c>
      <c r="Q1167">
        <v>4927979.24</v>
      </c>
      <c r="R1167">
        <v>5.536500432</v>
      </c>
      <c r="S1167">
        <v>66504.44318</v>
      </c>
      <c r="T1167">
        <v>1805611.6</v>
      </c>
    </row>
    <row r="1168" spans="1:20">
      <c r="A1168" t="s">
        <v>20</v>
      </c>
      <c r="B1168" t="s">
        <v>457</v>
      </c>
      <c r="C1168">
        <v>301049751</v>
      </c>
      <c r="D1168">
        <v>73239990</v>
      </c>
      <c r="E1168" t="s">
        <v>1902</v>
      </c>
      <c r="N1168">
        <v>1022.7</v>
      </c>
      <c r="O1168" t="s">
        <v>2749</v>
      </c>
      <c r="P1168">
        <v>559.1405592999999</v>
      </c>
      <c r="Q1168">
        <v>571833.05</v>
      </c>
      <c r="R1168">
        <v>7.545756536</v>
      </c>
      <c r="S1168">
        <v>7717.045209</v>
      </c>
      <c r="T1168">
        <v>209519.7</v>
      </c>
    </row>
    <row r="1169" spans="1:20">
      <c r="A1169" t="s">
        <v>20</v>
      </c>
      <c r="B1169" t="s">
        <v>457</v>
      </c>
      <c r="C1169">
        <v>301049751</v>
      </c>
      <c r="D1169">
        <v>73239990</v>
      </c>
      <c r="E1169" t="s">
        <v>1903</v>
      </c>
      <c r="N1169">
        <v>10892</v>
      </c>
      <c r="O1169" t="s">
        <v>2749</v>
      </c>
      <c r="P1169">
        <v>416.3815277</v>
      </c>
      <c r="Q1169">
        <v>4535227.6</v>
      </c>
      <c r="R1169">
        <v>5.61918391</v>
      </c>
      <c r="S1169">
        <v>61204.15115</v>
      </c>
      <c r="T1169">
        <v>1661707.4</v>
      </c>
    </row>
    <row r="1170" spans="1:20">
      <c r="A1170" t="s">
        <v>20</v>
      </c>
      <c r="B1170" t="s">
        <v>457</v>
      </c>
      <c r="C1170">
        <v>301049751</v>
      </c>
      <c r="D1170">
        <v>73239990</v>
      </c>
      <c r="E1170" t="s">
        <v>1904</v>
      </c>
      <c r="N1170">
        <v>10171.28</v>
      </c>
      <c r="O1170" t="s">
        <v>2749</v>
      </c>
      <c r="P1170">
        <v>407.3234362</v>
      </c>
      <c r="Q1170">
        <v>4143000.72</v>
      </c>
      <c r="R1170">
        <v>5.496942459</v>
      </c>
      <c r="S1170">
        <v>55910.94089</v>
      </c>
      <c r="T1170">
        <v>1517995.4</v>
      </c>
    </row>
    <row r="1171" spans="1:20">
      <c r="A1171" t="s">
        <v>20</v>
      </c>
      <c r="B1171" t="s">
        <v>457</v>
      </c>
      <c r="C1171">
        <v>301049751</v>
      </c>
      <c r="D1171">
        <v>73239990</v>
      </c>
      <c r="E1171" t="s">
        <v>1905</v>
      </c>
      <c r="N1171">
        <v>11202.2</v>
      </c>
      <c r="O1171" t="s">
        <v>2749</v>
      </c>
      <c r="P1171">
        <v>439.6871659</v>
      </c>
      <c r="Q1171">
        <v>4925463.57</v>
      </c>
      <c r="R1171">
        <v>5.933699945</v>
      </c>
      <c r="S1171">
        <v>66470.49352</v>
      </c>
      <c r="T1171">
        <v>1804689.9</v>
      </c>
    </row>
    <row r="1172" spans="1:20">
      <c r="A1172" t="s">
        <v>20</v>
      </c>
      <c r="B1172" t="s">
        <v>457</v>
      </c>
      <c r="C1172">
        <v>301049751</v>
      </c>
      <c r="D1172">
        <v>73239990</v>
      </c>
      <c r="E1172" t="s">
        <v>1906</v>
      </c>
      <c r="N1172">
        <v>5100</v>
      </c>
      <c r="O1172" t="s">
        <v>2749</v>
      </c>
      <c r="P1172">
        <v>463.2254353</v>
      </c>
      <c r="Q1172">
        <v>2362449.72</v>
      </c>
      <c r="R1172">
        <v>6.251355402</v>
      </c>
      <c r="S1172">
        <v>31881.91255</v>
      </c>
      <c r="T1172">
        <v>865601.5</v>
      </c>
    </row>
    <row r="1173" spans="1:20">
      <c r="A1173" t="s">
        <v>20</v>
      </c>
      <c r="B1173" t="s">
        <v>458</v>
      </c>
      <c r="C1173">
        <v>301049751</v>
      </c>
      <c r="D1173">
        <v>73239990</v>
      </c>
      <c r="E1173" t="s">
        <v>1907</v>
      </c>
      <c r="N1173">
        <v>1337.6</v>
      </c>
      <c r="O1173" t="s">
        <v>2749</v>
      </c>
      <c r="P1173">
        <v>509.0446471</v>
      </c>
      <c r="Q1173">
        <v>680898.12</v>
      </c>
      <c r="R1173">
        <v>6.809961835</v>
      </c>
      <c r="S1173">
        <v>9109.00495</v>
      </c>
      <c r="T1173">
        <v>249481.1</v>
      </c>
    </row>
    <row r="1174" spans="1:20">
      <c r="A1174" t="s">
        <v>20</v>
      </c>
      <c r="B1174" t="s">
        <v>458</v>
      </c>
      <c r="C1174">
        <v>301049751</v>
      </c>
      <c r="D1174">
        <v>73239990</v>
      </c>
      <c r="E1174" t="s">
        <v>1908</v>
      </c>
      <c r="N1174">
        <v>1795.5</v>
      </c>
      <c r="O1174" t="s">
        <v>2749</v>
      </c>
      <c r="P1174">
        <v>581.8572542000001</v>
      </c>
      <c r="Q1174">
        <v>1044724.7</v>
      </c>
      <c r="R1174">
        <v>7.784043535</v>
      </c>
      <c r="S1174">
        <v>13976.25017</v>
      </c>
      <c r="T1174">
        <v>382787.1</v>
      </c>
    </row>
    <row r="1175" spans="1:20">
      <c r="A1175" t="s">
        <v>20</v>
      </c>
      <c r="B1175" t="s">
        <v>458</v>
      </c>
      <c r="C1175">
        <v>301049751</v>
      </c>
      <c r="D1175">
        <v>73239990</v>
      </c>
      <c r="E1175" t="s">
        <v>1909</v>
      </c>
      <c r="N1175">
        <v>4307.2</v>
      </c>
      <c r="O1175" t="s">
        <v>2749</v>
      </c>
      <c r="P1175">
        <v>486.1147126</v>
      </c>
      <c r="Q1175">
        <v>2093793.29</v>
      </c>
      <c r="R1175">
        <v>6.503206857</v>
      </c>
      <c r="S1175">
        <v>28010.61258</v>
      </c>
      <c r="T1175">
        <v>767165.9</v>
      </c>
    </row>
    <row r="1176" spans="1:20">
      <c r="A1176" t="s">
        <v>20</v>
      </c>
      <c r="B1176" t="s">
        <v>459</v>
      </c>
      <c r="C1176">
        <v>301049751</v>
      </c>
      <c r="D1176">
        <v>73239990</v>
      </c>
      <c r="E1176" t="s">
        <v>1910</v>
      </c>
      <c r="N1176">
        <v>924</v>
      </c>
      <c r="O1176" t="s">
        <v>2749</v>
      </c>
      <c r="P1176">
        <v>578.1259199</v>
      </c>
      <c r="Q1176">
        <v>534188.35</v>
      </c>
      <c r="R1176">
        <v>7.734126019</v>
      </c>
      <c r="S1176">
        <v>7146.332441</v>
      </c>
      <c r="T1176">
        <v>195726.7</v>
      </c>
    </row>
    <row r="1177" spans="1:20">
      <c r="A1177" t="s">
        <v>20</v>
      </c>
      <c r="B1177" t="s">
        <v>459</v>
      </c>
      <c r="C1177">
        <v>301049751</v>
      </c>
      <c r="D1177">
        <v>73239990</v>
      </c>
      <c r="E1177" t="s">
        <v>1911</v>
      </c>
      <c r="N1177">
        <v>561.6</v>
      </c>
      <c r="O1177" t="s">
        <v>2749</v>
      </c>
      <c r="P1177">
        <v>620.109188</v>
      </c>
      <c r="Q1177">
        <v>348253.32</v>
      </c>
      <c r="R1177">
        <v>8.295775090999999</v>
      </c>
      <c r="S1177">
        <v>4658.907291</v>
      </c>
      <c r="T1177">
        <v>127600.1</v>
      </c>
    </row>
    <row r="1178" spans="1:20">
      <c r="A1178" t="s">
        <v>20</v>
      </c>
      <c r="B1178" t="s">
        <v>460</v>
      </c>
      <c r="C1178">
        <v>301049751</v>
      </c>
      <c r="D1178">
        <v>73239990</v>
      </c>
      <c r="E1178" t="s">
        <v>1890</v>
      </c>
      <c r="N1178">
        <v>10488</v>
      </c>
      <c r="O1178" t="s">
        <v>2749</v>
      </c>
      <c r="P1178">
        <v>184.2580206</v>
      </c>
      <c r="Q1178">
        <v>1932498.12</v>
      </c>
      <c r="R1178">
        <v>2.464990242</v>
      </c>
      <c r="S1178">
        <v>25852.81766</v>
      </c>
      <c r="T1178">
        <v>708067.3</v>
      </c>
    </row>
    <row r="1179" spans="1:20">
      <c r="A1179" t="s">
        <v>20</v>
      </c>
      <c r="B1179" t="s">
        <v>461</v>
      </c>
      <c r="C1179">
        <v>301049751</v>
      </c>
      <c r="D1179">
        <v>73239990</v>
      </c>
      <c r="E1179" t="s">
        <v>1912</v>
      </c>
      <c r="N1179">
        <v>907.2</v>
      </c>
      <c r="O1179" t="s">
        <v>2749</v>
      </c>
      <c r="P1179">
        <v>596.8539131</v>
      </c>
      <c r="Q1179">
        <v>541465.87</v>
      </c>
      <c r="R1179">
        <v>7.984667734</v>
      </c>
      <c r="S1179">
        <v>7243.690569</v>
      </c>
      <c r="T1179">
        <v>198393.1</v>
      </c>
    </row>
    <row r="1180" spans="1:20">
      <c r="A1180" t="s">
        <v>20</v>
      </c>
      <c r="B1180" t="s">
        <v>461</v>
      </c>
      <c r="C1180">
        <v>301049751</v>
      </c>
      <c r="D1180">
        <v>73239990</v>
      </c>
      <c r="E1180" t="s">
        <v>1913</v>
      </c>
      <c r="N1180">
        <v>3600</v>
      </c>
      <c r="O1180" t="s">
        <v>2749</v>
      </c>
      <c r="P1180">
        <v>502.0831889</v>
      </c>
      <c r="Q1180">
        <v>1807499.48</v>
      </c>
      <c r="R1180">
        <v>6.716831958</v>
      </c>
      <c r="S1180">
        <v>24180.59505</v>
      </c>
      <c r="T1180">
        <v>662267.8</v>
      </c>
    </row>
    <row r="1181" spans="1:20">
      <c r="A1181" t="s">
        <v>20</v>
      </c>
      <c r="B1181" t="s">
        <v>461</v>
      </c>
      <c r="C1181">
        <v>301049751</v>
      </c>
      <c r="D1181">
        <v>73239990</v>
      </c>
      <c r="E1181" t="s">
        <v>1914</v>
      </c>
      <c r="N1181">
        <v>9744</v>
      </c>
      <c r="O1181" t="s">
        <v>2749</v>
      </c>
      <c r="P1181">
        <v>322.0466215</v>
      </c>
      <c r="Q1181">
        <v>3138022.28</v>
      </c>
      <c r="R1181">
        <v>4.308316007</v>
      </c>
      <c r="S1181">
        <v>41980.23117</v>
      </c>
      <c r="T1181">
        <v>1149771.4</v>
      </c>
    </row>
    <row r="1182" spans="1:20">
      <c r="A1182" t="s">
        <v>20</v>
      </c>
      <c r="B1182" t="s">
        <v>461</v>
      </c>
      <c r="C1182">
        <v>301049751</v>
      </c>
      <c r="D1182">
        <v>73239990</v>
      </c>
      <c r="E1182" t="s">
        <v>1915</v>
      </c>
      <c r="N1182">
        <v>3072.3</v>
      </c>
      <c r="O1182" t="s">
        <v>2749</v>
      </c>
      <c r="P1182">
        <v>575.6286560999999</v>
      </c>
      <c r="Q1182">
        <v>1768503.92</v>
      </c>
      <c r="R1182">
        <v>7.700717807</v>
      </c>
      <c r="S1182">
        <v>23658.91532</v>
      </c>
      <c r="T1182">
        <v>647979.9</v>
      </c>
    </row>
    <row r="1183" spans="1:20">
      <c r="A1183" t="s">
        <v>20</v>
      </c>
      <c r="B1183" t="s">
        <v>462</v>
      </c>
      <c r="C1183">
        <v>301049751</v>
      </c>
      <c r="D1183">
        <v>73239990</v>
      </c>
      <c r="E1183" t="s">
        <v>1916</v>
      </c>
      <c r="N1183">
        <v>1324.8</v>
      </c>
      <c r="O1183" t="s">
        <v>2749</v>
      </c>
      <c r="P1183">
        <v>516.253276</v>
      </c>
      <c r="Q1183">
        <v>683932.34</v>
      </c>
      <c r="R1183">
        <v>6.779425817</v>
      </c>
      <c r="S1183">
        <v>8981.383322</v>
      </c>
      <c r="T1183">
        <v>250592.8</v>
      </c>
    </row>
    <row r="1184" spans="1:20">
      <c r="A1184" t="s">
        <v>20</v>
      </c>
      <c r="B1184" t="s">
        <v>462</v>
      </c>
      <c r="C1184">
        <v>301049751</v>
      </c>
      <c r="D1184">
        <v>73239990</v>
      </c>
      <c r="E1184" t="s">
        <v>1917</v>
      </c>
      <c r="N1184">
        <v>2092.8</v>
      </c>
      <c r="O1184" t="s">
        <v>2749</v>
      </c>
      <c r="P1184">
        <v>492.9986191</v>
      </c>
      <c r="Q1184">
        <v>1031747.51</v>
      </c>
      <c r="R1184">
        <v>6.474046212</v>
      </c>
      <c r="S1184">
        <v>13548.88391</v>
      </c>
      <c r="T1184">
        <v>378032.3</v>
      </c>
    </row>
    <row r="1185" spans="1:20">
      <c r="A1185" t="s">
        <v>20</v>
      </c>
      <c r="B1185" t="s">
        <v>462</v>
      </c>
      <c r="C1185">
        <v>301049751</v>
      </c>
      <c r="D1185">
        <v>73239990</v>
      </c>
      <c r="E1185" t="s">
        <v>1918</v>
      </c>
      <c r="N1185">
        <v>3861</v>
      </c>
      <c r="O1185" t="s">
        <v>2749</v>
      </c>
      <c r="P1185">
        <v>522.9649987</v>
      </c>
      <c r="Q1185">
        <v>2019167.86</v>
      </c>
      <c r="R1185">
        <v>6.867564001</v>
      </c>
      <c r="S1185">
        <v>26515.66461</v>
      </c>
      <c r="T1185">
        <v>739823.2</v>
      </c>
    </row>
    <row r="1186" spans="1:20">
      <c r="A1186" t="s">
        <v>20</v>
      </c>
      <c r="B1186" t="s">
        <v>462</v>
      </c>
      <c r="C1186">
        <v>301049751</v>
      </c>
      <c r="D1186">
        <v>73239990</v>
      </c>
      <c r="E1186" t="s">
        <v>1919</v>
      </c>
      <c r="N1186">
        <v>2850</v>
      </c>
      <c r="O1186" t="s">
        <v>2749</v>
      </c>
      <c r="P1186">
        <v>590.0969825</v>
      </c>
      <c r="Q1186">
        <v>1681776.4</v>
      </c>
      <c r="R1186">
        <v>7.749139625</v>
      </c>
      <c r="S1186">
        <v>22085.04793</v>
      </c>
      <c r="T1186">
        <v>616202.9</v>
      </c>
    </row>
    <row r="1187" spans="1:20">
      <c r="A1187" t="s">
        <v>20</v>
      </c>
      <c r="B1187" t="s">
        <v>462</v>
      </c>
      <c r="C1187">
        <v>301049751</v>
      </c>
      <c r="D1187">
        <v>73239990</v>
      </c>
      <c r="E1187" t="s">
        <v>1920</v>
      </c>
      <c r="N1187">
        <v>1377</v>
      </c>
      <c r="O1187" t="s">
        <v>2749</v>
      </c>
      <c r="P1187">
        <v>611.8557297999999</v>
      </c>
      <c r="Q1187">
        <v>842525.34</v>
      </c>
      <c r="R1187">
        <v>8.034874982</v>
      </c>
      <c r="S1187">
        <v>11064.02285</v>
      </c>
      <c r="T1187">
        <v>308701.3</v>
      </c>
    </row>
    <row r="1188" spans="1:20">
      <c r="A1188" t="s">
        <v>20</v>
      </c>
      <c r="B1188" t="s">
        <v>463</v>
      </c>
      <c r="C1188">
        <v>301049751</v>
      </c>
      <c r="D1188">
        <v>73239990</v>
      </c>
      <c r="E1188" t="s">
        <v>1921</v>
      </c>
      <c r="N1188">
        <v>2438.4</v>
      </c>
      <c r="O1188" t="s">
        <v>2749</v>
      </c>
      <c r="P1188">
        <v>614.2962229</v>
      </c>
      <c r="Q1188">
        <v>1497899.91</v>
      </c>
      <c r="R1188">
        <v>8.066923479</v>
      </c>
      <c r="S1188">
        <v>19670.38621</v>
      </c>
      <c r="T1188">
        <v>548830.6</v>
      </c>
    </row>
    <row r="1189" spans="1:20">
      <c r="A1189" t="s">
        <v>20</v>
      </c>
      <c r="B1189" t="s">
        <v>463</v>
      </c>
      <c r="C1189">
        <v>301049751</v>
      </c>
      <c r="D1189">
        <v>73239990</v>
      </c>
      <c r="E1189" t="s">
        <v>1922</v>
      </c>
      <c r="N1189">
        <v>5600</v>
      </c>
      <c r="O1189" t="s">
        <v>2749</v>
      </c>
      <c r="P1189">
        <v>396.2213036</v>
      </c>
      <c r="Q1189">
        <v>2218839.3</v>
      </c>
      <c r="R1189">
        <v>5.203168793</v>
      </c>
      <c r="S1189">
        <v>29137.74524</v>
      </c>
      <c r="T1189">
        <v>812982.8</v>
      </c>
    </row>
    <row r="1190" spans="1:20">
      <c r="A1190" t="s">
        <v>20</v>
      </c>
      <c r="B1190" t="s">
        <v>463</v>
      </c>
      <c r="C1190">
        <v>301049751</v>
      </c>
      <c r="D1190">
        <v>73239990</v>
      </c>
      <c r="E1190" t="s">
        <v>1923</v>
      </c>
      <c r="N1190">
        <v>3607.5</v>
      </c>
      <c r="O1190" t="s">
        <v>2749</v>
      </c>
      <c r="P1190">
        <v>258.4876286</v>
      </c>
      <c r="Q1190">
        <v>932494.12</v>
      </c>
      <c r="R1190">
        <v>3.394453428</v>
      </c>
      <c r="S1190">
        <v>12245.49074</v>
      </c>
      <c r="T1190">
        <v>341665.8</v>
      </c>
    </row>
    <row r="1191" spans="1:20">
      <c r="A1191" t="s">
        <v>20</v>
      </c>
      <c r="B1191" t="s">
        <v>463</v>
      </c>
      <c r="C1191">
        <v>301049751</v>
      </c>
      <c r="D1191">
        <v>73239990</v>
      </c>
      <c r="E1191" t="s">
        <v>1924</v>
      </c>
      <c r="N1191">
        <v>1386</v>
      </c>
      <c r="O1191" t="s">
        <v>2749</v>
      </c>
      <c r="P1191">
        <v>572.6961039</v>
      </c>
      <c r="Q1191">
        <v>793756.8</v>
      </c>
      <c r="R1191">
        <v>7.520631699</v>
      </c>
      <c r="S1191">
        <v>10423.59554</v>
      </c>
      <c r="T1191">
        <v>290832.5</v>
      </c>
    </row>
    <row r="1192" spans="1:20">
      <c r="A1192" t="s">
        <v>20</v>
      </c>
      <c r="B1192" t="s">
        <v>464</v>
      </c>
      <c r="C1192">
        <v>301049751</v>
      </c>
      <c r="D1192">
        <v>73231000</v>
      </c>
      <c r="E1192" t="s">
        <v>1925</v>
      </c>
      <c r="N1192">
        <v>8537.799999999999</v>
      </c>
      <c r="O1192" t="s">
        <v>2749</v>
      </c>
      <c r="P1192">
        <v>261.4589578</v>
      </c>
      <c r="Q1192">
        <v>2232284.29</v>
      </c>
      <c r="R1192">
        <v>3.433472854</v>
      </c>
      <c r="S1192">
        <v>29314.30453</v>
      </c>
      <c r="T1192">
        <v>981312.2</v>
      </c>
    </row>
    <row r="1193" spans="1:20">
      <c r="A1193" t="s">
        <v>20</v>
      </c>
      <c r="B1193" t="s">
        <v>465</v>
      </c>
      <c r="C1193">
        <v>301049751</v>
      </c>
      <c r="D1193">
        <v>73239990</v>
      </c>
      <c r="E1193" t="s">
        <v>1926</v>
      </c>
      <c r="N1193">
        <v>10488</v>
      </c>
      <c r="O1193" t="s">
        <v>2749</v>
      </c>
      <c r="P1193">
        <v>183.8361356</v>
      </c>
      <c r="Q1193">
        <v>1928073.39</v>
      </c>
      <c r="R1193">
        <v>2.414131787</v>
      </c>
      <c r="S1193">
        <v>25319.41418</v>
      </c>
      <c r="T1193">
        <v>706446.1</v>
      </c>
    </row>
    <row r="1194" spans="1:20">
      <c r="A1194" t="s">
        <v>20</v>
      </c>
      <c r="B1194" t="s">
        <v>466</v>
      </c>
      <c r="C1194">
        <v>301049751</v>
      </c>
      <c r="D1194">
        <v>73239990</v>
      </c>
      <c r="E1194" t="s">
        <v>1927</v>
      </c>
      <c r="N1194">
        <v>4004</v>
      </c>
      <c r="O1194" t="s">
        <v>2749</v>
      </c>
      <c r="P1194">
        <v>417.2141484</v>
      </c>
      <c r="Q1194">
        <v>1670525.45</v>
      </c>
      <c r="R1194">
        <v>5.478846334</v>
      </c>
      <c r="S1194">
        <v>21937.30072</v>
      </c>
      <c r="T1194">
        <v>612080.5</v>
      </c>
    </row>
    <row r="1195" spans="1:20">
      <c r="A1195" t="s">
        <v>20</v>
      </c>
      <c r="B1195" t="s">
        <v>466</v>
      </c>
      <c r="C1195">
        <v>301049751</v>
      </c>
      <c r="D1195">
        <v>73239990</v>
      </c>
      <c r="E1195" t="s">
        <v>1900</v>
      </c>
      <c r="N1195">
        <v>38016</v>
      </c>
      <c r="O1195" t="s">
        <v>2749</v>
      </c>
      <c r="P1195">
        <v>230.4760467</v>
      </c>
      <c r="Q1195">
        <v>8761777.390000001</v>
      </c>
      <c r="R1195">
        <v>3.026605997</v>
      </c>
      <c r="S1195">
        <v>115059.4536</v>
      </c>
      <c r="T1195">
        <v>3210315.2</v>
      </c>
    </row>
    <row r="1196" spans="1:20">
      <c r="A1196" t="s">
        <v>20</v>
      </c>
      <c r="B1196" t="s">
        <v>467</v>
      </c>
      <c r="C1196">
        <v>301049751</v>
      </c>
      <c r="D1196">
        <v>73239990</v>
      </c>
      <c r="E1196" t="s">
        <v>1928</v>
      </c>
      <c r="N1196">
        <v>2310</v>
      </c>
      <c r="O1196" t="s">
        <v>2749</v>
      </c>
      <c r="P1196">
        <v>576.3194719000001</v>
      </c>
      <c r="Q1196">
        <v>1331297.98</v>
      </c>
      <c r="R1196">
        <v>7.568213682</v>
      </c>
      <c r="S1196">
        <v>17482.5736</v>
      </c>
      <c r="T1196">
        <v>487787.6</v>
      </c>
    </row>
    <row r="1197" spans="1:20">
      <c r="A1197" t="s">
        <v>20</v>
      </c>
      <c r="B1197" t="s">
        <v>468</v>
      </c>
      <c r="C1197">
        <v>301049751</v>
      </c>
      <c r="D1197">
        <v>73231000</v>
      </c>
      <c r="E1197" t="s">
        <v>1929</v>
      </c>
      <c r="N1197">
        <v>7785</v>
      </c>
      <c r="O1197" t="s">
        <v>2749</v>
      </c>
      <c r="P1197">
        <v>253.1019152</v>
      </c>
      <c r="Q1197">
        <v>1970398.41</v>
      </c>
      <c r="R1197">
        <v>3.323728368</v>
      </c>
      <c r="S1197">
        <v>25875.22534</v>
      </c>
      <c r="T1197">
        <v>866187.2</v>
      </c>
    </row>
    <row r="1198" spans="1:20">
      <c r="A1198" t="s">
        <v>20</v>
      </c>
      <c r="B1198" t="s">
        <v>469</v>
      </c>
      <c r="C1198">
        <v>301049751</v>
      </c>
      <c r="D1198">
        <v>73239990</v>
      </c>
      <c r="E1198" t="s">
        <v>1930</v>
      </c>
      <c r="N1198">
        <v>10488</v>
      </c>
      <c r="O1198" t="s">
        <v>2749</v>
      </c>
      <c r="P1198">
        <v>184.0180339</v>
      </c>
      <c r="Q1198">
        <v>1929981.14</v>
      </c>
      <c r="R1198">
        <v>2.416520472</v>
      </c>
      <c r="S1198">
        <v>25344.46671</v>
      </c>
      <c r="T1198">
        <v>707145</v>
      </c>
    </row>
    <row r="1199" spans="1:20">
      <c r="A1199" t="s">
        <v>20</v>
      </c>
      <c r="B1199" t="s">
        <v>470</v>
      </c>
      <c r="C1199">
        <v>301049751</v>
      </c>
      <c r="D1199">
        <v>73239990</v>
      </c>
      <c r="E1199" t="s">
        <v>1931</v>
      </c>
      <c r="N1199">
        <v>3772.5</v>
      </c>
      <c r="O1199" t="s">
        <v>2749</v>
      </c>
      <c r="P1199">
        <v>254.5175374</v>
      </c>
      <c r="Q1199">
        <v>960167.41</v>
      </c>
      <c r="R1199">
        <v>3.432468475</v>
      </c>
      <c r="S1199">
        <v>12948.98732</v>
      </c>
      <c r="T1199">
        <v>351805.3</v>
      </c>
    </row>
    <row r="1200" spans="1:20">
      <c r="A1200" t="s">
        <v>20</v>
      </c>
      <c r="B1200" t="s">
        <v>470</v>
      </c>
      <c r="C1200">
        <v>301049751</v>
      </c>
      <c r="D1200">
        <v>73239990</v>
      </c>
      <c r="E1200" t="s">
        <v>1932</v>
      </c>
      <c r="N1200">
        <v>3360</v>
      </c>
      <c r="O1200" t="s">
        <v>2749</v>
      </c>
      <c r="P1200">
        <v>390.0211518</v>
      </c>
      <c r="Q1200">
        <v>1310471.07</v>
      </c>
      <c r="R1200">
        <v>5.259894158</v>
      </c>
      <c r="S1200">
        <v>17673.24437</v>
      </c>
      <c r="T1200">
        <v>480156.6</v>
      </c>
    </row>
    <row r="1201" spans="1:20">
      <c r="A1201" t="s">
        <v>20</v>
      </c>
      <c r="B1201" t="s">
        <v>471</v>
      </c>
      <c r="C1201">
        <v>301049751</v>
      </c>
      <c r="D1201">
        <v>73239990</v>
      </c>
      <c r="E1201" t="s">
        <v>1933</v>
      </c>
      <c r="N1201">
        <v>33264</v>
      </c>
      <c r="O1201" t="s">
        <v>2749</v>
      </c>
      <c r="P1201">
        <v>226.6023232</v>
      </c>
      <c r="Q1201">
        <v>7537699.68</v>
      </c>
      <c r="R1201">
        <v>3.055998965</v>
      </c>
      <c r="S1201">
        <v>101654.7496</v>
      </c>
      <c r="T1201">
        <v>2761813.1</v>
      </c>
    </row>
    <row r="1202" spans="1:20">
      <c r="A1202" t="s">
        <v>20</v>
      </c>
      <c r="B1202" t="s">
        <v>471</v>
      </c>
      <c r="C1202">
        <v>301049751</v>
      </c>
      <c r="D1202">
        <v>73239990</v>
      </c>
      <c r="E1202" t="s">
        <v>1927</v>
      </c>
      <c r="N1202">
        <v>4004</v>
      </c>
      <c r="O1202" t="s">
        <v>2749</v>
      </c>
      <c r="P1202">
        <v>410.2018257</v>
      </c>
      <c r="Q1202">
        <v>1642448.11</v>
      </c>
      <c r="R1202">
        <v>5.532054291</v>
      </c>
      <c r="S1202">
        <v>22150.34538</v>
      </c>
      <c r="T1202">
        <v>601793</v>
      </c>
    </row>
    <row r="1203" spans="1:20">
      <c r="A1203" t="s">
        <v>20</v>
      </c>
      <c r="B1203" t="s">
        <v>471</v>
      </c>
      <c r="C1203">
        <v>301049751</v>
      </c>
      <c r="D1203">
        <v>73239990</v>
      </c>
      <c r="E1203" t="s">
        <v>1934</v>
      </c>
      <c r="N1203">
        <v>4759.5</v>
      </c>
      <c r="O1203" t="s">
        <v>2749</v>
      </c>
      <c r="P1203">
        <v>420.3973169</v>
      </c>
      <c r="Q1203">
        <v>2000881.03</v>
      </c>
      <c r="R1203">
        <v>5.669552487</v>
      </c>
      <c r="S1203">
        <v>26984.23506</v>
      </c>
      <c r="T1203">
        <v>733122.8</v>
      </c>
    </row>
    <row r="1204" spans="1:20">
      <c r="A1204" t="s">
        <v>20</v>
      </c>
      <c r="B1204" t="s">
        <v>471</v>
      </c>
      <c r="C1204">
        <v>301049751</v>
      </c>
      <c r="D1204">
        <v>73239990</v>
      </c>
      <c r="E1204" t="s">
        <v>1935</v>
      </c>
      <c r="N1204">
        <v>1489.2</v>
      </c>
      <c r="O1204" t="s">
        <v>2749</v>
      </c>
      <c r="P1204">
        <v>628.8742882</v>
      </c>
      <c r="Q1204">
        <v>936519.59</v>
      </c>
      <c r="R1204">
        <v>8.481109753</v>
      </c>
      <c r="S1204">
        <v>12630.06864</v>
      </c>
      <c r="T1204">
        <v>343140.8</v>
      </c>
    </row>
    <row r="1205" spans="1:20">
      <c r="A1205" t="s">
        <v>20</v>
      </c>
      <c r="B1205" t="s">
        <v>471</v>
      </c>
      <c r="C1205">
        <v>301049751</v>
      </c>
      <c r="D1205">
        <v>73239990</v>
      </c>
      <c r="E1205" t="s">
        <v>1936</v>
      </c>
      <c r="N1205">
        <v>2647.5</v>
      </c>
      <c r="O1205" t="s">
        <v>2749</v>
      </c>
      <c r="P1205">
        <v>263.7697828</v>
      </c>
      <c r="Q1205">
        <v>698330.5</v>
      </c>
      <c r="R1205">
        <v>3.557245891</v>
      </c>
      <c r="S1205">
        <v>9417.808496</v>
      </c>
      <c r="T1205">
        <v>255868.3</v>
      </c>
    </row>
    <row r="1206" spans="1:20">
      <c r="A1206" t="s">
        <v>20</v>
      </c>
      <c r="B1206" t="s">
        <v>472</v>
      </c>
      <c r="C1206">
        <v>301049751</v>
      </c>
      <c r="D1206">
        <v>73239990</v>
      </c>
      <c r="E1206" t="s">
        <v>1937</v>
      </c>
      <c r="N1206">
        <v>8635</v>
      </c>
      <c r="O1206" t="s">
        <v>2749</v>
      </c>
      <c r="P1206">
        <v>331.9784528</v>
      </c>
      <c r="Q1206">
        <v>2866633.94</v>
      </c>
      <c r="R1206">
        <v>4.525950277</v>
      </c>
      <c r="S1206">
        <v>39081.58064</v>
      </c>
      <c r="T1206">
        <v>1050334.7</v>
      </c>
    </row>
    <row r="1207" spans="1:20">
      <c r="A1207" t="s">
        <v>20</v>
      </c>
      <c r="B1207" t="s">
        <v>473</v>
      </c>
      <c r="C1207">
        <v>301049751</v>
      </c>
      <c r="D1207">
        <v>73239990</v>
      </c>
      <c r="E1207" t="s">
        <v>1938</v>
      </c>
      <c r="N1207">
        <v>10892</v>
      </c>
      <c r="O1207" t="s">
        <v>2746</v>
      </c>
      <c r="P1207">
        <v>412.3013863</v>
      </c>
      <c r="Q1207">
        <v>4490786.7</v>
      </c>
      <c r="R1207">
        <v>5.621014129</v>
      </c>
      <c r="S1207">
        <v>61224.08589</v>
      </c>
      <c r="T1207">
        <v>1645424.2</v>
      </c>
    </row>
    <row r="1208" spans="1:20">
      <c r="A1208" t="s">
        <v>20</v>
      </c>
      <c r="B1208" t="s">
        <v>474</v>
      </c>
      <c r="C1208">
        <v>301049751</v>
      </c>
      <c r="D1208">
        <v>73239990</v>
      </c>
      <c r="E1208" t="s">
        <v>1939</v>
      </c>
      <c r="N1208">
        <v>10488</v>
      </c>
      <c r="O1208" t="s">
        <v>2746</v>
      </c>
      <c r="P1208">
        <v>178.913524</v>
      </c>
      <c r="Q1208">
        <v>1876445.04</v>
      </c>
      <c r="R1208">
        <v>2.439175515</v>
      </c>
      <c r="S1208">
        <v>25582.0728</v>
      </c>
      <c r="T1208">
        <v>687529.5</v>
      </c>
    </row>
    <row r="1209" spans="1:20">
      <c r="A1209" t="s">
        <v>20</v>
      </c>
      <c r="B1209" t="s">
        <v>475</v>
      </c>
      <c r="C1209">
        <v>301049751</v>
      </c>
      <c r="D1209">
        <v>73239990</v>
      </c>
      <c r="E1209" t="s">
        <v>1940</v>
      </c>
      <c r="N1209">
        <v>12012</v>
      </c>
      <c r="O1209" t="s">
        <v>2746</v>
      </c>
      <c r="P1209">
        <v>380.0983566</v>
      </c>
      <c r="Q1209">
        <v>4565741.46</v>
      </c>
      <c r="R1209">
        <v>5.181981686</v>
      </c>
      <c r="S1209">
        <v>62245.96401</v>
      </c>
      <c r="T1209">
        <v>1672887.7</v>
      </c>
    </row>
    <row r="1210" spans="1:20">
      <c r="A1210" t="s">
        <v>20</v>
      </c>
      <c r="B1210" t="s">
        <v>476</v>
      </c>
      <c r="C1210">
        <v>301049751</v>
      </c>
      <c r="D1210">
        <v>73239990</v>
      </c>
      <c r="E1210" t="s">
        <v>1941</v>
      </c>
      <c r="N1210">
        <v>1575</v>
      </c>
      <c r="O1210" t="s">
        <v>2746</v>
      </c>
      <c r="P1210">
        <v>251.7685587</v>
      </c>
      <c r="Q1210">
        <v>396535.48</v>
      </c>
      <c r="R1210">
        <v>3.432427522</v>
      </c>
      <c r="S1210">
        <v>5406.073347</v>
      </c>
      <c r="T1210">
        <v>145290.6</v>
      </c>
    </row>
    <row r="1211" spans="1:20">
      <c r="A1211" t="s">
        <v>20</v>
      </c>
      <c r="B1211" t="s">
        <v>476</v>
      </c>
      <c r="C1211">
        <v>301049751</v>
      </c>
      <c r="D1211">
        <v>73239990</v>
      </c>
      <c r="E1211" t="s">
        <v>1942</v>
      </c>
      <c r="N1211">
        <v>4839.3</v>
      </c>
      <c r="O1211" t="s">
        <v>2746</v>
      </c>
      <c r="P1211">
        <v>401.1775112</v>
      </c>
      <c r="Q1211">
        <v>1941418.33</v>
      </c>
      <c r="R1211">
        <v>5.469359389</v>
      </c>
      <c r="S1211">
        <v>26467.87089</v>
      </c>
      <c r="T1211">
        <v>711335.7</v>
      </c>
    </row>
    <row r="1212" spans="1:20">
      <c r="A1212" t="s">
        <v>20</v>
      </c>
      <c r="B1212" t="s">
        <v>477</v>
      </c>
      <c r="C1212">
        <v>301049751</v>
      </c>
      <c r="D1212">
        <v>73239990</v>
      </c>
      <c r="E1212" t="s">
        <v>1943</v>
      </c>
      <c r="N1212">
        <v>14256</v>
      </c>
      <c r="O1212" t="s">
        <v>2746</v>
      </c>
      <c r="P1212">
        <v>228.9526543</v>
      </c>
      <c r="Q1212">
        <v>3263949.04</v>
      </c>
      <c r="R1212">
        <v>3.098141466</v>
      </c>
      <c r="S1212">
        <v>44167.10474</v>
      </c>
      <c r="T1212">
        <v>1195910.9</v>
      </c>
    </row>
    <row r="1213" spans="1:20">
      <c r="A1213" t="s">
        <v>20</v>
      </c>
      <c r="B1213" t="s">
        <v>477</v>
      </c>
      <c r="C1213">
        <v>301049751</v>
      </c>
      <c r="D1213">
        <v>73239990</v>
      </c>
      <c r="E1213" t="s">
        <v>1944</v>
      </c>
      <c r="N1213">
        <v>6950</v>
      </c>
      <c r="O1213" t="s">
        <v>2746</v>
      </c>
      <c r="P1213">
        <v>359.4520259</v>
      </c>
      <c r="Q1213">
        <v>2498191.58</v>
      </c>
      <c r="R1213">
        <v>4.864032827</v>
      </c>
      <c r="S1213">
        <v>33805.02815</v>
      </c>
      <c r="T1213">
        <v>915337.4</v>
      </c>
    </row>
    <row r="1214" spans="1:20">
      <c r="A1214" t="s">
        <v>20</v>
      </c>
      <c r="B1214" t="s">
        <v>478</v>
      </c>
      <c r="C1214">
        <v>301049751</v>
      </c>
      <c r="D1214">
        <v>73239990</v>
      </c>
      <c r="E1214" t="s">
        <v>1945</v>
      </c>
      <c r="N1214">
        <v>2782.5</v>
      </c>
      <c r="O1214" t="s">
        <v>2746</v>
      </c>
      <c r="P1214">
        <v>253.98708</v>
      </c>
      <c r="Q1214">
        <v>706719.05</v>
      </c>
      <c r="R1214">
        <v>3.446229036</v>
      </c>
      <c r="S1214">
        <v>9589.132293000001</v>
      </c>
      <c r="T1214">
        <v>258941.9</v>
      </c>
    </row>
    <row r="1215" spans="1:20">
      <c r="A1215" t="s">
        <v>20</v>
      </c>
      <c r="B1215" t="s">
        <v>478</v>
      </c>
      <c r="C1215">
        <v>301049751</v>
      </c>
      <c r="D1215">
        <v>73239990</v>
      </c>
      <c r="E1215" t="s">
        <v>1946</v>
      </c>
      <c r="N1215">
        <v>974.7</v>
      </c>
      <c r="O1215" t="s">
        <v>2746</v>
      </c>
      <c r="P1215">
        <v>404.7000513</v>
      </c>
      <c r="Q1215">
        <v>394461.14</v>
      </c>
      <c r="R1215">
        <v>5.491181157</v>
      </c>
      <c r="S1215">
        <v>5352.254274</v>
      </c>
      <c r="T1215">
        <v>144530.5</v>
      </c>
    </row>
    <row r="1216" spans="1:20">
      <c r="A1216" t="s">
        <v>20</v>
      </c>
      <c r="B1216" t="s">
        <v>478</v>
      </c>
      <c r="C1216">
        <v>301049751</v>
      </c>
      <c r="D1216">
        <v>73239990</v>
      </c>
      <c r="E1216" t="s">
        <v>1947</v>
      </c>
      <c r="N1216">
        <v>1510.8</v>
      </c>
      <c r="O1216" t="s">
        <v>2746</v>
      </c>
      <c r="P1216">
        <v>603.5628674</v>
      </c>
      <c r="Q1216">
        <v>911862.78</v>
      </c>
      <c r="R1216">
        <v>8.189455458999999</v>
      </c>
      <c r="S1216">
        <v>12372.62931</v>
      </c>
      <c r="T1216">
        <v>334106.6</v>
      </c>
    </row>
    <row r="1217" spans="1:20">
      <c r="A1217" t="s">
        <v>20</v>
      </c>
      <c r="B1217" t="s">
        <v>478</v>
      </c>
      <c r="C1217">
        <v>301049751</v>
      </c>
      <c r="D1217">
        <v>73239990</v>
      </c>
      <c r="E1217" t="s">
        <v>1948</v>
      </c>
      <c r="N1217">
        <v>526.4</v>
      </c>
      <c r="O1217" t="s">
        <v>2746</v>
      </c>
      <c r="P1217">
        <v>389.2845935</v>
      </c>
      <c r="Q1217">
        <v>204919.41</v>
      </c>
      <c r="R1217">
        <v>5.282016194</v>
      </c>
      <c r="S1217">
        <v>2780.453324</v>
      </c>
      <c r="T1217">
        <v>75082.5</v>
      </c>
    </row>
    <row r="1218" spans="1:20">
      <c r="A1218" t="s">
        <v>20</v>
      </c>
      <c r="B1218" t="s">
        <v>479</v>
      </c>
      <c r="C1218">
        <v>301049751</v>
      </c>
      <c r="D1218">
        <v>73239990</v>
      </c>
      <c r="E1218" t="s">
        <v>1949</v>
      </c>
      <c r="N1218">
        <v>1875</v>
      </c>
      <c r="O1218" t="s">
        <v>2749</v>
      </c>
      <c r="P1218">
        <v>257.524864</v>
      </c>
      <c r="Q1218">
        <v>482859.12</v>
      </c>
      <c r="R1218">
        <v>3.494231533</v>
      </c>
      <c r="S1218">
        <v>6551.684125</v>
      </c>
      <c r="T1218">
        <v>176919.6</v>
      </c>
    </row>
    <row r="1219" spans="1:20">
      <c r="A1219" t="s">
        <v>20</v>
      </c>
      <c r="B1219" t="s">
        <v>479</v>
      </c>
      <c r="C1219">
        <v>301049751</v>
      </c>
      <c r="D1219">
        <v>73239990</v>
      </c>
      <c r="E1219" t="s">
        <v>1950</v>
      </c>
      <c r="N1219">
        <v>8097.6</v>
      </c>
      <c r="O1219" t="s">
        <v>2749</v>
      </c>
      <c r="P1219">
        <v>395.0240899</v>
      </c>
      <c r="Q1219">
        <v>3198747.07</v>
      </c>
      <c r="R1219">
        <v>5.359892671</v>
      </c>
      <c r="S1219">
        <v>43402.26689</v>
      </c>
      <c r="T1219">
        <v>1172020.9</v>
      </c>
    </row>
    <row r="1220" spans="1:20">
      <c r="A1220" t="s">
        <v>20</v>
      </c>
      <c r="B1220" t="s">
        <v>479</v>
      </c>
      <c r="C1220">
        <v>301049751</v>
      </c>
      <c r="D1220">
        <v>73239990</v>
      </c>
      <c r="E1220" t="s">
        <v>1951</v>
      </c>
      <c r="N1220">
        <v>3705</v>
      </c>
      <c r="O1220" t="s">
        <v>2749</v>
      </c>
      <c r="P1220">
        <v>410.6326559</v>
      </c>
      <c r="Q1220">
        <v>1521393.99</v>
      </c>
      <c r="R1220">
        <v>5.571677827</v>
      </c>
      <c r="S1220">
        <v>20643.06635</v>
      </c>
      <c r="T1220">
        <v>557438.8</v>
      </c>
    </row>
    <row r="1221" spans="1:20">
      <c r="A1221" t="s">
        <v>20</v>
      </c>
      <c r="B1221" t="s">
        <v>480</v>
      </c>
      <c r="C1221">
        <v>301049751</v>
      </c>
      <c r="D1221">
        <v>73239990</v>
      </c>
      <c r="E1221" t="s">
        <v>1952</v>
      </c>
      <c r="N1221">
        <v>2755.5</v>
      </c>
      <c r="O1221" t="s">
        <v>2749</v>
      </c>
      <c r="P1221">
        <v>585.7636255</v>
      </c>
      <c r="Q1221">
        <v>1614071.67</v>
      </c>
      <c r="R1221">
        <v>7.937176497</v>
      </c>
      <c r="S1221">
        <v>21870.88984</v>
      </c>
      <c r="T1221">
        <v>591395.8</v>
      </c>
    </row>
    <row r="1222" spans="1:20">
      <c r="A1222" t="s">
        <v>20</v>
      </c>
      <c r="B1222" t="s">
        <v>480</v>
      </c>
      <c r="C1222">
        <v>301049751</v>
      </c>
      <c r="D1222">
        <v>73239990</v>
      </c>
      <c r="E1222" t="s">
        <v>1953</v>
      </c>
      <c r="N1222">
        <v>1680</v>
      </c>
      <c r="O1222" t="s">
        <v>2749</v>
      </c>
      <c r="P1222">
        <v>405.2346488</v>
      </c>
      <c r="Q1222">
        <v>680794.21</v>
      </c>
      <c r="R1222">
        <v>5.490984401</v>
      </c>
      <c r="S1222">
        <v>9224.853794000001</v>
      </c>
      <c r="T1222">
        <v>249443</v>
      </c>
    </row>
    <row r="1223" spans="1:20">
      <c r="A1223" t="s">
        <v>20</v>
      </c>
      <c r="B1223" t="s">
        <v>480</v>
      </c>
      <c r="C1223">
        <v>301049751</v>
      </c>
      <c r="D1223">
        <v>73239990</v>
      </c>
      <c r="E1223" t="s">
        <v>1954</v>
      </c>
      <c r="N1223">
        <v>3765</v>
      </c>
      <c r="O1223" t="s">
        <v>2749</v>
      </c>
      <c r="P1223">
        <v>264.3936282</v>
      </c>
      <c r="Q1223">
        <v>995442.01</v>
      </c>
      <c r="R1223">
        <v>3.582569487</v>
      </c>
      <c r="S1223">
        <v>13488.37412</v>
      </c>
      <c r="T1223">
        <v>364729.9</v>
      </c>
    </row>
    <row r="1224" spans="1:20">
      <c r="A1224" t="s">
        <v>20</v>
      </c>
      <c r="B1224" t="s">
        <v>480</v>
      </c>
      <c r="C1224">
        <v>301049751</v>
      </c>
      <c r="D1224">
        <v>73239990</v>
      </c>
      <c r="E1224" t="s">
        <v>1955</v>
      </c>
      <c r="N1224">
        <v>3000</v>
      </c>
      <c r="O1224" t="s">
        <v>2749</v>
      </c>
      <c r="P1224">
        <v>628.2927433</v>
      </c>
      <c r="Q1224">
        <v>1884878.23</v>
      </c>
      <c r="R1224">
        <v>8.513451806999999</v>
      </c>
      <c r="S1224">
        <v>25540.35542</v>
      </c>
      <c r="T1224">
        <v>690619.4</v>
      </c>
    </row>
    <row r="1225" spans="1:20">
      <c r="A1225" t="s">
        <v>20</v>
      </c>
      <c r="B1225" t="s">
        <v>481</v>
      </c>
      <c r="C1225">
        <v>301049751</v>
      </c>
      <c r="D1225">
        <v>73239990</v>
      </c>
      <c r="E1225" t="s">
        <v>1956</v>
      </c>
      <c r="N1225">
        <v>9708.799999999999</v>
      </c>
      <c r="O1225" t="s">
        <v>2749</v>
      </c>
      <c r="P1225">
        <v>477.8968256</v>
      </c>
      <c r="Q1225">
        <v>4639804.7</v>
      </c>
      <c r="R1225">
        <v>6.475566742</v>
      </c>
      <c r="S1225">
        <v>62869.98238</v>
      </c>
      <c r="T1225">
        <v>1700024.4</v>
      </c>
    </row>
    <row r="1226" spans="1:20">
      <c r="A1226" t="s">
        <v>20</v>
      </c>
      <c r="B1226" t="s">
        <v>481</v>
      </c>
      <c r="C1226">
        <v>301049751</v>
      </c>
      <c r="D1226">
        <v>73231000</v>
      </c>
      <c r="E1226" t="s">
        <v>1957</v>
      </c>
      <c r="N1226">
        <v>8537.799999999999</v>
      </c>
      <c r="O1226" t="s">
        <v>2749</v>
      </c>
      <c r="P1226">
        <v>237.2931985</v>
      </c>
      <c r="Q1226">
        <v>2025961.87</v>
      </c>
      <c r="R1226">
        <v>3.215354993</v>
      </c>
      <c r="S1226">
        <v>27452.05786</v>
      </c>
      <c r="T1226">
        <v>890612.8</v>
      </c>
    </row>
    <row r="1227" spans="1:20">
      <c r="A1227" t="s">
        <v>20</v>
      </c>
      <c r="B1227" t="s">
        <v>481</v>
      </c>
      <c r="C1227">
        <v>301049751</v>
      </c>
      <c r="D1227">
        <v>73239990</v>
      </c>
      <c r="E1227" t="s">
        <v>1958</v>
      </c>
      <c r="N1227">
        <v>3430.4</v>
      </c>
      <c r="O1227" t="s">
        <v>2749</v>
      </c>
      <c r="P1227">
        <v>456.4584626</v>
      </c>
      <c r="Q1227">
        <v>1565835.11</v>
      </c>
      <c r="R1227">
        <v>6.185074019</v>
      </c>
      <c r="S1227">
        <v>21217.27791</v>
      </c>
      <c r="T1227">
        <v>573722</v>
      </c>
    </row>
    <row r="1228" spans="1:20">
      <c r="A1228" t="s">
        <v>20</v>
      </c>
      <c r="B1228" t="s">
        <v>482</v>
      </c>
      <c r="C1228">
        <v>301049751</v>
      </c>
      <c r="D1228">
        <v>73231000</v>
      </c>
      <c r="E1228" t="s">
        <v>1959</v>
      </c>
      <c r="N1228">
        <v>4813</v>
      </c>
      <c r="O1228" t="s">
        <v>2749</v>
      </c>
      <c r="P1228">
        <v>418.2820258</v>
      </c>
      <c r="Q1228">
        <v>2013191.39</v>
      </c>
      <c r="R1228">
        <v>5.667778127</v>
      </c>
      <c r="S1228">
        <v>27279.01612</v>
      </c>
      <c r="T1228">
        <v>884998.9</v>
      </c>
    </row>
    <row r="1229" spans="1:20">
      <c r="A1229" t="s">
        <v>20</v>
      </c>
      <c r="B1229" t="s">
        <v>483</v>
      </c>
      <c r="C1229">
        <v>301049751</v>
      </c>
      <c r="D1229">
        <v>73239990</v>
      </c>
      <c r="E1229" t="s">
        <v>1960</v>
      </c>
      <c r="N1229">
        <v>6750</v>
      </c>
      <c r="O1229" t="s">
        <v>2749</v>
      </c>
      <c r="P1229">
        <v>454.8185185</v>
      </c>
      <c r="Q1229">
        <v>3070025</v>
      </c>
      <c r="R1229">
        <v>6.162852554</v>
      </c>
      <c r="S1229">
        <v>41599.25474</v>
      </c>
      <c r="T1229">
        <v>1124857.2</v>
      </c>
    </row>
    <row r="1230" spans="1:20">
      <c r="A1230" t="s">
        <v>20</v>
      </c>
      <c r="B1230" t="s">
        <v>484</v>
      </c>
      <c r="C1230">
        <v>301049751</v>
      </c>
      <c r="D1230">
        <v>73239990</v>
      </c>
      <c r="E1230" t="s">
        <v>1961</v>
      </c>
      <c r="N1230">
        <v>5665.68</v>
      </c>
      <c r="O1230" t="s">
        <v>2749</v>
      </c>
      <c r="P1230">
        <v>1012.297895</v>
      </c>
      <c r="Q1230">
        <v>5735355.94</v>
      </c>
      <c r="R1230">
        <v>13.71677365</v>
      </c>
      <c r="S1230">
        <v>77714.85014</v>
      </c>
      <c r="T1230">
        <v>2101434.4</v>
      </c>
    </row>
    <row r="1231" spans="1:20">
      <c r="A1231" t="s">
        <v>20</v>
      </c>
      <c r="B1231" t="s">
        <v>485</v>
      </c>
      <c r="C1231">
        <v>301049751</v>
      </c>
      <c r="D1231">
        <v>73239990</v>
      </c>
      <c r="E1231" t="s">
        <v>1962</v>
      </c>
      <c r="N1231">
        <v>8008</v>
      </c>
      <c r="O1231" t="s">
        <v>2749</v>
      </c>
      <c r="P1231">
        <v>373.5974563</v>
      </c>
      <c r="Q1231">
        <v>2991768.43</v>
      </c>
      <c r="R1231">
        <v>5.058868738</v>
      </c>
      <c r="S1231">
        <v>40511.42085</v>
      </c>
      <c r="T1231">
        <v>1096184</v>
      </c>
    </row>
    <row r="1232" spans="1:20">
      <c r="A1232" t="s">
        <v>20</v>
      </c>
      <c r="B1232" t="s">
        <v>485</v>
      </c>
      <c r="C1232">
        <v>301049751</v>
      </c>
      <c r="D1232">
        <v>73239990</v>
      </c>
      <c r="E1232" t="s">
        <v>1963</v>
      </c>
      <c r="N1232">
        <v>9504</v>
      </c>
      <c r="O1232" t="s">
        <v>2749</v>
      </c>
      <c r="P1232">
        <v>228.797621</v>
      </c>
      <c r="Q1232">
        <v>2174492.59</v>
      </c>
      <c r="R1232">
        <v>3.098139756</v>
      </c>
      <c r="S1232">
        <v>29444.72024</v>
      </c>
      <c r="T1232">
        <v>796734.1</v>
      </c>
    </row>
    <row r="1233" spans="1:20">
      <c r="A1233" t="s">
        <v>20</v>
      </c>
      <c r="B1233" t="s">
        <v>486</v>
      </c>
      <c r="C1233">
        <v>301049751</v>
      </c>
      <c r="D1233">
        <v>73239990</v>
      </c>
      <c r="E1233" t="s">
        <v>1964</v>
      </c>
      <c r="N1233">
        <v>1920</v>
      </c>
      <c r="O1233" t="s">
        <v>2749</v>
      </c>
      <c r="P1233">
        <v>456.5752813</v>
      </c>
      <c r="Q1233">
        <v>876624.54</v>
      </c>
      <c r="R1233">
        <v>6.182468263</v>
      </c>
      <c r="S1233">
        <v>11870.33907</v>
      </c>
      <c r="T1233">
        <v>321195.2</v>
      </c>
    </row>
    <row r="1234" spans="1:20">
      <c r="A1234" t="s">
        <v>20</v>
      </c>
      <c r="B1234" t="s">
        <v>486</v>
      </c>
      <c r="C1234">
        <v>301049751</v>
      </c>
      <c r="D1234">
        <v>73239990</v>
      </c>
      <c r="E1234" t="s">
        <v>1965</v>
      </c>
      <c r="N1234">
        <v>4800</v>
      </c>
      <c r="O1234" t="s">
        <v>2749</v>
      </c>
      <c r="P1234">
        <v>478.0191313</v>
      </c>
      <c r="Q1234">
        <v>2294491.83</v>
      </c>
      <c r="R1234">
        <v>6.472838609</v>
      </c>
      <c r="S1234">
        <v>31069.62532</v>
      </c>
      <c r="T1234">
        <v>840701.8</v>
      </c>
    </row>
    <row r="1235" spans="1:20">
      <c r="A1235" t="s">
        <v>20</v>
      </c>
      <c r="B1235" t="s">
        <v>486</v>
      </c>
      <c r="C1235">
        <v>301049751</v>
      </c>
      <c r="D1235">
        <v>73239990</v>
      </c>
      <c r="E1235" t="s">
        <v>1966</v>
      </c>
      <c r="N1235">
        <v>6750</v>
      </c>
      <c r="O1235" t="s">
        <v>2749</v>
      </c>
      <c r="P1235">
        <v>454.5795556</v>
      </c>
      <c r="Q1235">
        <v>3068412</v>
      </c>
      <c r="R1235">
        <v>6.155444219</v>
      </c>
      <c r="S1235">
        <v>41549.24848</v>
      </c>
      <c r="T1235">
        <v>1124266.1</v>
      </c>
    </row>
    <row r="1236" spans="1:20">
      <c r="A1236" t="s">
        <v>20</v>
      </c>
      <c r="B1236" t="s">
        <v>486</v>
      </c>
      <c r="C1236">
        <v>301049751</v>
      </c>
      <c r="D1236">
        <v>73239990</v>
      </c>
      <c r="E1236" t="s">
        <v>1967</v>
      </c>
      <c r="N1236">
        <v>5160</v>
      </c>
      <c r="O1236" t="s">
        <v>2749</v>
      </c>
      <c r="P1236">
        <v>259.2961589</v>
      </c>
      <c r="Q1236">
        <v>1337968.18</v>
      </c>
      <c r="R1236">
        <v>3.511119281</v>
      </c>
      <c r="S1236">
        <v>18117.37549</v>
      </c>
      <c r="T1236">
        <v>490231.5</v>
      </c>
    </row>
    <row r="1237" spans="1:20">
      <c r="A1237" t="s">
        <v>20</v>
      </c>
      <c r="B1237" t="s">
        <v>486</v>
      </c>
      <c r="C1237">
        <v>301049751</v>
      </c>
      <c r="D1237">
        <v>73239990</v>
      </c>
      <c r="E1237" t="s">
        <v>1968</v>
      </c>
      <c r="N1237">
        <v>3006</v>
      </c>
      <c r="O1237" t="s">
        <v>2749</v>
      </c>
      <c r="P1237">
        <v>543.4539887</v>
      </c>
      <c r="Q1237">
        <v>1633622.69</v>
      </c>
      <c r="R1237">
        <v>7.358889488</v>
      </c>
      <c r="S1237">
        <v>22120.8218</v>
      </c>
      <c r="T1237">
        <v>598559.4</v>
      </c>
    </row>
    <row r="1238" spans="1:20">
      <c r="A1238" t="s">
        <v>20</v>
      </c>
      <c r="B1238" t="s">
        <v>487</v>
      </c>
      <c r="C1238">
        <v>301049751</v>
      </c>
      <c r="D1238">
        <v>73239990</v>
      </c>
      <c r="E1238" t="s">
        <v>1969</v>
      </c>
      <c r="N1238">
        <v>924</v>
      </c>
      <c r="O1238" t="s">
        <v>2749</v>
      </c>
      <c r="P1238">
        <v>480.4657143</v>
      </c>
      <c r="Q1238">
        <v>443950.32</v>
      </c>
      <c r="R1238">
        <v>6.492779923</v>
      </c>
      <c r="S1238">
        <v>5999.328649</v>
      </c>
      <c r="T1238">
        <v>162663.4</v>
      </c>
    </row>
    <row r="1239" spans="1:20">
      <c r="A1239" t="s">
        <v>20</v>
      </c>
      <c r="B1239" t="s">
        <v>487</v>
      </c>
      <c r="C1239">
        <v>301049751</v>
      </c>
      <c r="D1239">
        <v>73239990</v>
      </c>
      <c r="E1239" t="s">
        <v>1970</v>
      </c>
      <c r="N1239">
        <v>2755.5</v>
      </c>
      <c r="O1239" t="s">
        <v>2749</v>
      </c>
      <c r="P1239">
        <v>567.6276356</v>
      </c>
      <c r="Q1239">
        <v>1564097.95</v>
      </c>
      <c r="R1239">
        <v>7.670643725</v>
      </c>
      <c r="S1239">
        <v>21136.45878</v>
      </c>
      <c r="T1239">
        <v>573085.5</v>
      </c>
    </row>
    <row r="1240" spans="1:20">
      <c r="A1240" t="s">
        <v>20</v>
      </c>
      <c r="B1240" t="s">
        <v>487</v>
      </c>
      <c r="C1240">
        <v>301049751</v>
      </c>
      <c r="D1240">
        <v>73239990</v>
      </c>
      <c r="E1240" t="s">
        <v>1971</v>
      </c>
      <c r="N1240">
        <v>7840</v>
      </c>
      <c r="O1240" t="s">
        <v>2749</v>
      </c>
      <c r="P1240">
        <v>392.7147832</v>
      </c>
      <c r="Q1240">
        <v>3078883.9</v>
      </c>
      <c r="R1240">
        <v>5.306956529</v>
      </c>
      <c r="S1240">
        <v>41606.53919</v>
      </c>
      <c r="T1240">
        <v>1128103.1</v>
      </c>
    </row>
    <row r="1241" spans="1:20">
      <c r="A1241" t="s">
        <v>20</v>
      </c>
      <c r="B1241" t="s">
        <v>487</v>
      </c>
      <c r="C1241">
        <v>301049751</v>
      </c>
      <c r="D1241">
        <v>73239990</v>
      </c>
      <c r="E1241" t="s">
        <v>1972</v>
      </c>
      <c r="N1241">
        <v>4770</v>
      </c>
      <c r="O1241" t="s">
        <v>2749</v>
      </c>
      <c r="P1241">
        <v>490.5022495</v>
      </c>
      <c r="Q1241">
        <v>2339695.73</v>
      </c>
      <c r="R1241">
        <v>6.628408777</v>
      </c>
      <c r="S1241">
        <v>31617.50986</v>
      </c>
      <c r="T1241">
        <v>857264.5</v>
      </c>
    </row>
    <row r="1242" spans="1:20">
      <c r="A1242" t="s">
        <v>20</v>
      </c>
      <c r="B1242" t="s">
        <v>487</v>
      </c>
      <c r="C1242">
        <v>301049751</v>
      </c>
      <c r="D1242">
        <v>73239990</v>
      </c>
      <c r="E1242" t="s">
        <v>1973</v>
      </c>
      <c r="N1242">
        <v>3000</v>
      </c>
      <c r="O1242" t="s">
        <v>2749</v>
      </c>
      <c r="P1242">
        <v>608.8595967</v>
      </c>
      <c r="Q1242">
        <v>1826578.79</v>
      </c>
      <c r="R1242">
        <v>8.227832386999999</v>
      </c>
      <c r="S1242">
        <v>24683.49716</v>
      </c>
      <c r="T1242">
        <v>669258.5</v>
      </c>
    </row>
    <row r="1243" spans="1:20">
      <c r="A1243" t="s">
        <v>20</v>
      </c>
      <c r="B1243" t="s">
        <v>487</v>
      </c>
      <c r="C1243">
        <v>301049751</v>
      </c>
      <c r="D1243">
        <v>73239990</v>
      </c>
      <c r="E1243" t="s">
        <v>1974</v>
      </c>
      <c r="N1243">
        <v>1890.4</v>
      </c>
      <c r="O1243" t="s">
        <v>2749</v>
      </c>
      <c r="P1243">
        <v>466.3345747</v>
      </c>
      <c r="Q1243">
        <v>881558.88</v>
      </c>
      <c r="R1243">
        <v>6.301818577</v>
      </c>
      <c r="S1243">
        <v>11912.95784</v>
      </c>
      <c r="T1243">
        <v>323003.2</v>
      </c>
    </row>
    <row r="1244" spans="1:20">
      <c r="A1244" t="s">
        <v>20</v>
      </c>
      <c r="B1244" t="s">
        <v>488</v>
      </c>
      <c r="C1244">
        <v>301049751</v>
      </c>
      <c r="D1244">
        <v>73239990</v>
      </c>
      <c r="E1244" t="s">
        <v>1975</v>
      </c>
      <c r="N1244">
        <v>3520</v>
      </c>
      <c r="O1244" t="s">
        <v>2749</v>
      </c>
      <c r="P1244">
        <v>466.4416818</v>
      </c>
      <c r="Q1244">
        <v>1641874.72</v>
      </c>
      <c r="R1244">
        <v>6.303265971</v>
      </c>
      <c r="S1244">
        <v>22187.49622</v>
      </c>
      <c r="T1244">
        <v>601582.9</v>
      </c>
    </row>
    <row r="1245" spans="1:20">
      <c r="A1245" t="s">
        <v>20</v>
      </c>
      <c r="B1245" t="s">
        <v>488</v>
      </c>
      <c r="C1245">
        <v>301049751</v>
      </c>
      <c r="D1245">
        <v>73239990</v>
      </c>
      <c r="E1245" t="s">
        <v>1976</v>
      </c>
      <c r="N1245">
        <v>2560</v>
      </c>
      <c r="O1245" t="s">
        <v>2749</v>
      </c>
      <c r="P1245">
        <v>445.5171953</v>
      </c>
      <c r="Q1245">
        <v>1140524.02</v>
      </c>
      <c r="R1245">
        <v>6.020502639</v>
      </c>
      <c r="S1245">
        <v>15412.48676</v>
      </c>
      <c r="T1245">
        <v>417888</v>
      </c>
    </row>
    <row r="1246" spans="1:20">
      <c r="A1246" t="s">
        <v>20</v>
      </c>
      <c r="B1246" t="s">
        <v>489</v>
      </c>
      <c r="C1246">
        <v>301049751</v>
      </c>
      <c r="D1246">
        <v>73239990</v>
      </c>
      <c r="E1246" t="s">
        <v>1977</v>
      </c>
      <c r="N1246">
        <v>5340</v>
      </c>
      <c r="O1246" t="s">
        <v>2749</v>
      </c>
      <c r="P1246">
        <v>530.6539045</v>
      </c>
      <c r="Q1246">
        <v>2833691.85</v>
      </c>
      <c r="R1246">
        <v>7.170998709</v>
      </c>
      <c r="S1246">
        <v>38293.13311</v>
      </c>
      <c r="T1246">
        <v>1038264.7</v>
      </c>
    </row>
    <row r="1247" spans="1:20">
      <c r="A1247" t="s">
        <v>20</v>
      </c>
      <c r="B1247" t="s">
        <v>489</v>
      </c>
      <c r="C1247">
        <v>301049751</v>
      </c>
      <c r="D1247">
        <v>73239990</v>
      </c>
      <c r="E1247" t="s">
        <v>1978</v>
      </c>
      <c r="N1247">
        <v>5130</v>
      </c>
      <c r="O1247" t="s">
        <v>2749</v>
      </c>
      <c r="P1247">
        <v>253.3244444</v>
      </c>
      <c r="Q1247">
        <v>1299554.4</v>
      </c>
      <c r="R1247">
        <v>3.423303303</v>
      </c>
      <c r="S1247">
        <v>17561.54595</v>
      </c>
      <c r="T1247">
        <v>476156.8</v>
      </c>
    </row>
    <row r="1248" spans="1:20">
      <c r="A1248" t="s">
        <v>20</v>
      </c>
      <c r="B1248" t="s">
        <v>489</v>
      </c>
      <c r="C1248">
        <v>301049751</v>
      </c>
      <c r="D1248">
        <v>73239990</v>
      </c>
      <c r="E1248" t="s">
        <v>1979</v>
      </c>
      <c r="N1248">
        <v>15568</v>
      </c>
      <c r="O1248" t="s">
        <v>2749</v>
      </c>
      <c r="P1248">
        <v>365.4202338</v>
      </c>
      <c r="Q1248">
        <v>5688862.2</v>
      </c>
      <c r="R1248">
        <v>4.938111268</v>
      </c>
      <c r="S1248">
        <v>76876.51622</v>
      </c>
      <c r="T1248">
        <v>2084399</v>
      </c>
    </row>
    <row r="1249" spans="1:20">
      <c r="A1249" t="s">
        <v>20</v>
      </c>
      <c r="B1249" t="s">
        <v>489</v>
      </c>
      <c r="C1249">
        <v>301049751</v>
      </c>
      <c r="D1249">
        <v>73239990</v>
      </c>
      <c r="E1249" t="s">
        <v>1980</v>
      </c>
      <c r="N1249">
        <v>2822.4</v>
      </c>
      <c r="O1249" t="s">
        <v>2749</v>
      </c>
      <c r="P1249">
        <v>388.2560658</v>
      </c>
      <c r="Q1249">
        <v>1095813.92</v>
      </c>
      <c r="R1249">
        <v>5.246703591</v>
      </c>
      <c r="S1249">
        <v>14808.29622</v>
      </c>
      <c r="T1249">
        <v>401506.3</v>
      </c>
    </row>
    <row r="1250" spans="1:20">
      <c r="A1250" t="s">
        <v>20</v>
      </c>
      <c r="B1250" t="s">
        <v>490</v>
      </c>
      <c r="C1250">
        <v>301049751</v>
      </c>
      <c r="D1250">
        <v>73231000</v>
      </c>
      <c r="E1250" t="s">
        <v>1981</v>
      </c>
      <c r="N1250">
        <v>7500</v>
      </c>
      <c r="O1250" t="s">
        <v>2749</v>
      </c>
      <c r="P1250">
        <v>220.3412267</v>
      </c>
      <c r="Q1250">
        <v>1652559.2</v>
      </c>
      <c r="R1250">
        <v>2.977584144</v>
      </c>
      <c r="S1250">
        <v>22331.88108</v>
      </c>
      <c r="T1250">
        <v>726465</v>
      </c>
    </row>
    <row r="1251" spans="1:20">
      <c r="A1251" t="s">
        <v>20</v>
      </c>
      <c r="B1251" t="s">
        <v>491</v>
      </c>
      <c r="C1251">
        <v>301049751</v>
      </c>
      <c r="D1251">
        <v>73239990</v>
      </c>
      <c r="E1251" t="s">
        <v>1982</v>
      </c>
      <c r="N1251">
        <v>8024.5</v>
      </c>
      <c r="O1251" t="s">
        <v>2746</v>
      </c>
      <c r="P1251">
        <v>338.4254545</v>
      </c>
      <c r="Q1251">
        <v>2715695.06</v>
      </c>
      <c r="R1251">
        <v>4.545674339</v>
      </c>
      <c r="S1251">
        <v>36476.76373</v>
      </c>
      <c r="T1251">
        <v>995030.7</v>
      </c>
    </row>
    <row r="1252" spans="1:20">
      <c r="A1252" t="s">
        <v>20</v>
      </c>
      <c r="B1252" t="s">
        <v>491</v>
      </c>
      <c r="C1252">
        <v>301049751</v>
      </c>
      <c r="D1252">
        <v>73239990</v>
      </c>
      <c r="E1252" t="s">
        <v>1983</v>
      </c>
      <c r="N1252">
        <v>1012</v>
      </c>
      <c r="O1252" t="s">
        <v>2746</v>
      </c>
      <c r="P1252">
        <v>373.02667</v>
      </c>
      <c r="Q1252">
        <v>377502.99</v>
      </c>
      <c r="R1252">
        <v>5.010432102</v>
      </c>
      <c r="S1252">
        <v>5070.557287</v>
      </c>
      <c r="T1252">
        <v>138317.1</v>
      </c>
    </row>
    <row r="1253" spans="1:20">
      <c r="A1253" t="s">
        <v>20</v>
      </c>
      <c r="B1253" t="s">
        <v>492</v>
      </c>
      <c r="C1253">
        <v>301049751</v>
      </c>
      <c r="D1253">
        <v>73239990</v>
      </c>
      <c r="E1253" t="s">
        <v>1984</v>
      </c>
      <c r="N1253">
        <v>1227.32</v>
      </c>
      <c r="O1253" t="s">
        <v>2746</v>
      </c>
      <c r="P1253">
        <v>1006.849216</v>
      </c>
      <c r="Q1253">
        <v>1235726.18</v>
      </c>
      <c r="R1253">
        <v>13.52383098</v>
      </c>
      <c r="S1253">
        <v>16598.06823</v>
      </c>
      <c r="T1253">
        <v>452770</v>
      </c>
    </row>
    <row r="1254" spans="1:20">
      <c r="A1254" t="s">
        <v>20</v>
      </c>
      <c r="B1254" t="s">
        <v>492</v>
      </c>
      <c r="C1254">
        <v>301049751</v>
      </c>
      <c r="D1254">
        <v>73231000</v>
      </c>
      <c r="E1254" t="s">
        <v>1957</v>
      </c>
      <c r="N1254">
        <v>8621.6</v>
      </c>
      <c r="O1254" t="s">
        <v>2746</v>
      </c>
      <c r="P1254">
        <v>226.1927937</v>
      </c>
      <c r="Q1254">
        <v>1950143.79</v>
      </c>
      <c r="R1254">
        <v>3.038183931</v>
      </c>
      <c r="S1254">
        <v>26194.00658</v>
      </c>
      <c r="T1254">
        <v>857283.3</v>
      </c>
    </row>
    <row r="1255" spans="1:20">
      <c r="A1255" t="s">
        <v>20</v>
      </c>
      <c r="B1255" t="s">
        <v>493</v>
      </c>
      <c r="C1255">
        <v>301049751</v>
      </c>
      <c r="D1255">
        <v>73239990</v>
      </c>
      <c r="E1255" t="s">
        <v>1985</v>
      </c>
      <c r="N1255">
        <v>3000</v>
      </c>
      <c r="O1255" t="s">
        <v>2746</v>
      </c>
      <c r="P1255">
        <v>586.3515433</v>
      </c>
      <c r="Q1255">
        <v>1759054.63</v>
      </c>
      <c r="R1255">
        <v>7.849418251</v>
      </c>
      <c r="S1255">
        <v>23548.25475</v>
      </c>
      <c r="T1255">
        <v>644517.6</v>
      </c>
    </row>
    <row r="1256" spans="1:20">
      <c r="A1256" t="s">
        <v>20</v>
      </c>
      <c r="B1256" t="s">
        <v>493</v>
      </c>
      <c r="C1256">
        <v>301049751</v>
      </c>
      <c r="D1256">
        <v>73239990</v>
      </c>
      <c r="E1256" t="s">
        <v>1986</v>
      </c>
      <c r="N1256">
        <v>2394</v>
      </c>
      <c r="O1256" t="s">
        <v>2746</v>
      </c>
      <c r="P1256">
        <v>393.2044403</v>
      </c>
      <c r="Q1256">
        <v>941331.4300000001</v>
      </c>
      <c r="R1256">
        <v>5.263780994</v>
      </c>
      <c r="S1256">
        <v>12601.4917</v>
      </c>
      <c r="T1256">
        <v>344903.8</v>
      </c>
    </row>
    <row r="1257" spans="1:20">
      <c r="A1257" t="s">
        <v>20</v>
      </c>
      <c r="B1257" t="s">
        <v>493</v>
      </c>
      <c r="C1257">
        <v>301049751</v>
      </c>
      <c r="D1257">
        <v>73239990</v>
      </c>
      <c r="E1257" t="s">
        <v>1987</v>
      </c>
      <c r="N1257">
        <v>3829.1</v>
      </c>
      <c r="O1257" t="s">
        <v>2746</v>
      </c>
      <c r="P1257">
        <v>527.5260505</v>
      </c>
      <c r="Q1257">
        <v>2019950</v>
      </c>
      <c r="R1257">
        <v>7.061928387</v>
      </c>
      <c r="S1257">
        <v>27040.82999</v>
      </c>
      <c r="T1257">
        <v>740109.7</v>
      </c>
    </row>
    <row r="1258" spans="1:20">
      <c r="A1258" t="s">
        <v>20</v>
      </c>
      <c r="B1258" t="s">
        <v>493</v>
      </c>
      <c r="C1258">
        <v>301049751</v>
      </c>
      <c r="D1258">
        <v>73239990</v>
      </c>
      <c r="E1258" t="s">
        <v>1988</v>
      </c>
      <c r="N1258">
        <v>5577.6</v>
      </c>
      <c r="O1258" t="s">
        <v>2746</v>
      </c>
      <c r="P1258">
        <v>378.2049125</v>
      </c>
      <c r="Q1258">
        <v>2109475.72</v>
      </c>
      <c r="R1258">
        <v>5.062984103</v>
      </c>
      <c r="S1258">
        <v>28239.30013</v>
      </c>
      <c r="T1258">
        <v>772911.9</v>
      </c>
    </row>
    <row r="1259" spans="1:20">
      <c r="A1259" t="s">
        <v>20</v>
      </c>
      <c r="B1259" t="s">
        <v>493</v>
      </c>
      <c r="C1259">
        <v>301049751</v>
      </c>
      <c r="D1259">
        <v>73239990</v>
      </c>
      <c r="E1259" t="s">
        <v>1989</v>
      </c>
      <c r="N1259">
        <v>3136</v>
      </c>
      <c r="O1259" t="s">
        <v>2746</v>
      </c>
      <c r="P1259">
        <v>468.7883068</v>
      </c>
      <c r="Q1259">
        <v>1470120.13</v>
      </c>
      <c r="R1259">
        <v>6.27561321</v>
      </c>
      <c r="S1259">
        <v>19680.32303</v>
      </c>
      <c r="T1259">
        <v>538652</v>
      </c>
    </row>
    <row r="1260" spans="1:20">
      <c r="A1260" t="s">
        <v>20</v>
      </c>
      <c r="B1260" t="s">
        <v>494</v>
      </c>
      <c r="C1260">
        <v>301049751</v>
      </c>
      <c r="D1260">
        <v>73239990</v>
      </c>
      <c r="E1260" t="s">
        <v>1990</v>
      </c>
      <c r="N1260">
        <v>3183</v>
      </c>
      <c r="O1260" t="s">
        <v>2746</v>
      </c>
      <c r="P1260">
        <v>435.2204147</v>
      </c>
      <c r="Q1260">
        <v>1385306.58</v>
      </c>
      <c r="R1260">
        <v>5.826243838</v>
      </c>
      <c r="S1260">
        <v>18544.93414</v>
      </c>
      <c r="T1260">
        <v>507576.3</v>
      </c>
    </row>
    <row r="1261" spans="1:20">
      <c r="A1261" t="s">
        <v>20</v>
      </c>
      <c r="B1261" t="s">
        <v>494</v>
      </c>
      <c r="C1261">
        <v>301049751</v>
      </c>
      <c r="D1261">
        <v>73239990</v>
      </c>
      <c r="E1261" t="s">
        <v>1991</v>
      </c>
      <c r="N1261">
        <v>4110</v>
      </c>
      <c r="O1261" t="s">
        <v>2746</v>
      </c>
      <c r="P1261">
        <v>466.8809367</v>
      </c>
      <c r="Q1261">
        <v>1918880.65</v>
      </c>
      <c r="R1261">
        <v>6.250079474</v>
      </c>
      <c r="S1261">
        <v>25687.82664</v>
      </c>
      <c r="T1261">
        <v>703077.8</v>
      </c>
    </row>
    <row r="1262" spans="1:20">
      <c r="A1262" t="s">
        <v>20</v>
      </c>
      <c r="B1262" t="s">
        <v>495</v>
      </c>
      <c r="C1262">
        <v>301049751</v>
      </c>
      <c r="D1262">
        <v>73239990</v>
      </c>
      <c r="E1262" t="s">
        <v>1992</v>
      </c>
      <c r="N1262">
        <v>14256</v>
      </c>
      <c r="O1262" t="s">
        <v>2746</v>
      </c>
      <c r="P1262">
        <v>226.3363054</v>
      </c>
      <c r="Q1262">
        <v>3226650.37</v>
      </c>
      <c r="R1262">
        <v>3.029937154</v>
      </c>
      <c r="S1262">
        <v>43194.78407</v>
      </c>
      <c r="T1262">
        <v>1182244.7</v>
      </c>
    </row>
    <row r="1263" spans="1:20">
      <c r="A1263" t="s">
        <v>20</v>
      </c>
      <c r="B1263" t="s">
        <v>496</v>
      </c>
      <c r="C1263">
        <v>301049751</v>
      </c>
      <c r="D1263">
        <v>73239990</v>
      </c>
      <c r="E1263" t="s">
        <v>1914</v>
      </c>
      <c r="N1263">
        <v>9744</v>
      </c>
      <c r="O1263" t="s">
        <v>2746</v>
      </c>
      <c r="P1263">
        <v>324.56375</v>
      </c>
      <c r="Q1263">
        <v>3162549.18</v>
      </c>
      <c r="R1263">
        <v>4.316007314</v>
      </c>
      <c r="S1263">
        <v>42055.17527</v>
      </c>
      <c r="T1263">
        <v>1158758</v>
      </c>
    </row>
    <row r="1264" spans="1:20">
      <c r="A1264" t="s">
        <v>20</v>
      </c>
      <c r="B1264" t="s">
        <v>496</v>
      </c>
      <c r="C1264">
        <v>301049751</v>
      </c>
      <c r="D1264">
        <v>73239990</v>
      </c>
      <c r="E1264" t="s">
        <v>1993</v>
      </c>
      <c r="N1264">
        <v>4704</v>
      </c>
      <c r="O1264" t="s">
        <v>2746</v>
      </c>
      <c r="P1264">
        <v>381.597196</v>
      </c>
      <c r="Q1264">
        <v>1795033.21</v>
      </c>
      <c r="R1264">
        <v>5.074430798</v>
      </c>
      <c r="S1264">
        <v>23870.12247</v>
      </c>
      <c r="T1264">
        <v>657700.2</v>
      </c>
    </row>
    <row r="1265" spans="1:20">
      <c r="A1265" t="s">
        <v>20</v>
      </c>
      <c r="B1265" t="s">
        <v>496</v>
      </c>
      <c r="C1265">
        <v>301049751</v>
      </c>
      <c r="D1265">
        <v>73239990</v>
      </c>
      <c r="E1265" t="s">
        <v>1994</v>
      </c>
      <c r="N1265">
        <v>4687.5</v>
      </c>
      <c r="O1265" t="s">
        <v>2746</v>
      </c>
      <c r="P1265">
        <v>248.8949397</v>
      </c>
      <c r="Q1265">
        <v>1166695.03</v>
      </c>
      <c r="R1265">
        <v>3.309773135</v>
      </c>
      <c r="S1265">
        <v>15514.56157</v>
      </c>
      <c r="T1265">
        <v>427477.1</v>
      </c>
    </row>
    <row r="1266" spans="1:20">
      <c r="A1266" t="s">
        <v>20</v>
      </c>
      <c r="B1266" t="s">
        <v>497</v>
      </c>
      <c r="C1266">
        <v>301049751</v>
      </c>
      <c r="D1266">
        <v>73239990</v>
      </c>
      <c r="E1266" t="s">
        <v>1995</v>
      </c>
      <c r="N1266">
        <v>817.4</v>
      </c>
      <c r="O1266" t="s">
        <v>2746</v>
      </c>
      <c r="P1266">
        <v>1015.606582</v>
      </c>
      <c r="Q1266">
        <v>830156.8199999999</v>
      </c>
      <c r="R1266">
        <v>13.50540667</v>
      </c>
      <c r="S1266">
        <v>11039.31941</v>
      </c>
      <c r="T1266">
        <v>304169.5</v>
      </c>
    </row>
    <row r="1267" spans="1:20">
      <c r="A1267" t="s">
        <v>20</v>
      </c>
      <c r="B1267" t="s">
        <v>497</v>
      </c>
      <c r="C1267">
        <v>301049751</v>
      </c>
      <c r="D1267">
        <v>73231000</v>
      </c>
      <c r="E1267" t="s">
        <v>1996</v>
      </c>
      <c r="N1267">
        <v>7575</v>
      </c>
      <c r="O1267" t="s">
        <v>2746</v>
      </c>
      <c r="P1267">
        <v>228.7038363</v>
      </c>
      <c r="Q1267">
        <v>1732431.56</v>
      </c>
      <c r="R1267">
        <v>3.041274419</v>
      </c>
      <c r="S1267">
        <v>23037.65372</v>
      </c>
      <c r="T1267">
        <v>761576.9</v>
      </c>
    </row>
    <row r="1268" spans="1:20">
      <c r="A1268" t="s">
        <v>20</v>
      </c>
      <c r="B1268" t="s">
        <v>498</v>
      </c>
      <c r="C1268">
        <v>301049751</v>
      </c>
      <c r="D1268">
        <v>73239990</v>
      </c>
      <c r="E1268" t="s">
        <v>1997</v>
      </c>
      <c r="N1268">
        <v>3000</v>
      </c>
      <c r="O1268" t="s">
        <v>2746</v>
      </c>
      <c r="P1268">
        <v>587.5768267</v>
      </c>
      <c r="Q1268">
        <v>1762730.48</v>
      </c>
      <c r="R1268">
        <v>7.813521631</v>
      </c>
      <c r="S1268">
        <v>23440.56489</v>
      </c>
      <c r="T1268">
        <v>645864.4</v>
      </c>
    </row>
    <row r="1269" spans="1:20">
      <c r="A1269" t="s">
        <v>20</v>
      </c>
      <c r="B1269" t="s">
        <v>498</v>
      </c>
      <c r="C1269">
        <v>301049751</v>
      </c>
      <c r="D1269">
        <v>73239990</v>
      </c>
      <c r="E1269" t="s">
        <v>1998</v>
      </c>
      <c r="N1269">
        <v>5600</v>
      </c>
      <c r="O1269" t="s">
        <v>2746</v>
      </c>
      <c r="P1269">
        <v>379.0165768</v>
      </c>
      <c r="Q1269">
        <v>2122492.83</v>
      </c>
      <c r="R1269">
        <v>5.040114053</v>
      </c>
      <c r="S1269">
        <v>28224.6387</v>
      </c>
      <c r="T1269">
        <v>777681.5</v>
      </c>
    </row>
    <row r="1270" spans="1:20">
      <c r="A1270" t="s">
        <v>20</v>
      </c>
      <c r="B1270" t="s">
        <v>498</v>
      </c>
      <c r="C1270">
        <v>301049751</v>
      </c>
      <c r="D1270">
        <v>73239990</v>
      </c>
      <c r="E1270" t="s">
        <v>1999</v>
      </c>
      <c r="N1270">
        <v>1680</v>
      </c>
      <c r="O1270" t="s">
        <v>2746</v>
      </c>
      <c r="P1270">
        <v>517.8747619</v>
      </c>
      <c r="Q1270">
        <v>870029.6</v>
      </c>
      <c r="R1270">
        <v>6.886632472</v>
      </c>
      <c r="S1270">
        <v>11569.54255</v>
      </c>
      <c r="T1270">
        <v>318778.8</v>
      </c>
    </row>
    <row r="1271" spans="1:20">
      <c r="A1271" t="s">
        <v>20</v>
      </c>
      <c r="B1271" t="s">
        <v>499</v>
      </c>
      <c r="C1271">
        <v>301049751</v>
      </c>
      <c r="D1271">
        <v>73231000</v>
      </c>
      <c r="E1271" t="s">
        <v>2000</v>
      </c>
      <c r="N1271">
        <v>4865</v>
      </c>
      <c r="O1271" t="s">
        <v>2746</v>
      </c>
      <c r="P1271">
        <v>412.0351984</v>
      </c>
      <c r="Q1271">
        <v>2004551.24</v>
      </c>
      <c r="R1271">
        <v>5.482836971</v>
      </c>
      <c r="S1271">
        <v>26674.00186</v>
      </c>
      <c r="T1271">
        <v>881200.7</v>
      </c>
    </row>
    <row r="1272" spans="1:20">
      <c r="A1272" t="s">
        <v>20</v>
      </c>
      <c r="B1272" t="s">
        <v>500</v>
      </c>
      <c r="C1272">
        <v>301049751</v>
      </c>
      <c r="D1272">
        <v>73239990</v>
      </c>
      <c r="E1272" t="s">
        <v>2001</v>
      </c>
      <c r="N1272">
        <v>3787.5</v>
      </c>
      <c r="O1272" t="s">
        <v>2746</v>
      </c>
      <c r="P1272">
        <v>488.0838944</v>
      </c>
      <c r="Q1272">
        <v>1848617.75</v>
      </c>
      <c r="R1272">
        <v>6.494795667</v>
      </c>
      <c r="S1272">
        <v>24599.03859</v>
      </c>
      <c r="T1272">
        <v>677333.5</v>
      </c>
    </row>
    <row r="1273" spans="1:20">
      <c r="A1273" t="s">
        <v>20</v>
      </c>
      <c r="B1273" t="s">
        <v>500</v>
      </c>
      <c r="C1273">
        <v>301049751</v>
      </c>
      <c r="D1273">
        <v>73231000</v>
      </c>
      <c r="E1273" t="s">
        <v>1957</v>
      </c>
      <c r="N1273">
        <v>8511</v>
      </c>
      <c r="O1273" t="s">
        <v>2746</v>
      </c>
      <c r="P1273">
        <v>231.2860287</v>
      </c>
      <c r="Q1273">
        <v>1968475.39</v>
      </c>
      <c r="R1273">
        <v>3.077658399</v>
      </c>
      <c r="S1273">
        <v>26193.95063</v>
      </c>
      <c r="T1273">
        <v>865341.8</v>
      </c>
    </row>
    <row r="1274" spans="1:20">
      <c r="A1274" t="s">
        <v>20</v>
      </c>
      <c r="B1274" t="s">
        <v>500</v>
      </c>
      <c r="C1274">
        <v>301049751</v>
      </c>
      <c r="D1274">
        <v>73239990</v>
      </c>
      <c r="E1274" t="s">
        <v>2002</v>
      </c>
      <c r="N1274">
        <v>3576</v>
      </c>
      <c r="O1274" t="s">
        <v>2746</v>
      </c>
      <c r="P1274">
        <v>437.5499553</v>
      </c>
      <c r="Q1274">
        <v>1564678.64</v>
      </c>
      <c r="R1274">
        <v>5.822354694</v>
      </c>
      <c r="S1274">
        <v>20820.74039</v>
      </c>
      <c r="T1274">
        <v>573298.3</v>
      </c>
    </row>
    <row r="1275" spans="1:20">
      <c r="A1275" t="s">
        <v>20</v>
      </c>
      <c r="B1275" t="s">
        <v>501</v>
      </c>
      <c r="C1275">
        <v>301049751</v>
      </c>
      <c r="D1275">
        <v>73239990</v>
      </c>
      <c r="E1275" t="s">
        <v>2003</v>
      </c>
      <c r="N1275">
        <v>4770</v>
      </c>
      <c r="O1275" t="s">
        <v>2746</v>
      </c>
      <c r="P1275">
        <v>490.8418092</v>
      </c>
      <c r="Q1275">
        <v>2341315.43</v>
      </c>
      <c r="R1275">
        <v>6.610664097</v>
      </c>
      <c r="S1275">
        <v>31532.86774</v>
      </c>
      <c r="T1275">
        <v>0</v>
      </c>
    </row>
    <row r="1276" spans="1:20">
      <c r="A1276" t="s">
        <v>20</v>
      </c>
      <c r="B1276" t="s">
        <v>502</v>
      </c>
      <c r="C1276">
        <v>301049751</v>
      </c>
      <c r="D1276">
        <v>73239990</v>
      </c>
      <c r="E1276" t="s">
        <v>2004</v>
      </c>
      <c r="N1276">
        <v>2394</v>
      </c>
      <c r="O1276" t="s">
        <v>2746</v>
      </c>
      <c r="P1276">
        <v>384.9084628</v>
      </c>
      <c r="Q1276">
        <v>921470.86</v>
      </c>
      <c r="R1276">
        <v>5.183952361</v>
      </c>
      <c r="S1276">
        <v>12410.38195</v>
      </c>
      <c r="T1276">
        <v>0</v>
      </c>
    </row>
    <row r="1277" spans="1:20">
      <c r="A1277" t="s">
        <v>20</v>
      </c>
      <c r="B1277" t="s">
        <v>502</v>
      </c>
      <c r="C1277">
        <v>301049751</v>
      </c>
      <c r="D1277">
        <v>73239990</v>
      </c>
      <c r="E1277" t="s">
        <v>2005</v>
      </c>
      <c r="N1277">
        <v>5611.2</v>
      </c>
      <c r="O1277" t="s">
        <v>2746</v>
      </c>
      <c r="P1277">
        <v>370.235365</v>
      </c>
      <c r="Q1277">
        <v>2077464.68</v>
      </c>
      <c r="R1277">
        <v>4.986334882</v>
      </c>
      <c r="S1277">
        <v>27979.32229</v>
      </c>
      <c r="T1277">
        <v>0</v>
      </c>
    </row>
    <row r="1278" spans="1:20">
      <c r="A1278" t="s">
        <v>20</v>
      </c>
      <c r="B1278" t="s">
        <v>503</v>
      </c>
      <c r="C1278">
        <v>301049751</v>
      </c>
      <c r="D1278">
        <v>73239990</v>
      </c>
      <c r="E1278" t="s">
        <v>2006</v>
      </c>
      <c r="N1278">
        <v>2805</v>
      </c>
      <c r="O1278" t="s">
        <v>2746</v>
      </c>
      <c r="P1278">
        <v>539.4758752</v>
      </c>
      <c r="Q1278">
        <v>1513229.83</v>
      </c>
      <c r="R1278">
        <v>7.265668353</v>
      </c>
      <c r="S1278">
        <v>20380.19973</v>
      </c>
      <c r="T1278">
        <v>554447.5</v>
      </c>
    </row>
    <row r="1279" spans="1:20">
      <c r="A1279" t="s">
        <v>20</v>
      </c>
      <c r="B1279" t="s">
        <v>504</v>
      </c>
      <c r="C1279">
        <v>301049751</v>
      </c>
      <c r="D1279">
        <v>73239990</v>
      </c>
      <c r="E1279" t="s">
        <v>2007</v>
      </c>
      <c r="N1279">
        <v>4468.8</v>
      </c>
      <c r="O1279" t="s">
        <v>2746</v>
      </c>
      <c r="P1279">
        <v>369.3796411</v>
      </c>
      <c r="Q1279">
        <v>1650683.74</v>
      </c>
      <c r="R1279">
        <v>4.974809981</v>
      </c>
      <c r="S1279">
        <v>22231.43084</v>
      </c>
      <c r="T1279">
        <v>604810.5</v>
      </c>
    </row>
    <row r="1280" spans="1:20">
      <c r="A1280" t="s">
        <v>20</v>
      </c>
      <c r="B1280" t="s">
        <v>504</v>
      </c>
      <c r="C1280">
        <v>301049751</v>
      </c>
      <c r="D1280">
        <v>73239990</v>
      </c>
      <c r="E1280" t="s">
        <v>2008</v>
      </c>
      <c r="N1280">
        <v>92</v>
      </c>
      <c r="O1280" t="s">
        <v>2746</v>
      </c>
      <c r="P1280">
        <v>828.8632609</v>
      </c>
      <c r="Q1280">
        <v>76255.42</v>
      </c>
      <c r="R1280">
        <v>11.16314156</v>
      </c>
      <c r="S1280">
        <v>1027.009024</v>
      </c>
      <c r="T1280">
        <v>27940</v>
      </c>
    </row>
    <row r="1281" spans="1:20">
      <c r="A1281" t="s">
        <v>20</v>
      </c>
      <c r="B1281" t="s">
        <v>504</v>
      </c>
      <c r="C1281">
        <v>301049751</v>
      </c>
      <c r="D1281">
        <v>73239990</v>
      </c>
      <c r="E1281" t="s">
        <v>2009</v>
      </c>
      <c r="N1281">
        <v>3000</v>
      </c>
      <c r="O1281" t="s">
        <v>2746</v>
      </c>
      <c r="P1281">
        <v>588.31847</v>
      </c>
      <c r="Q1281">
        <v>1764955.41</v>
      </c>
      <c r="R1281">
        <v>7.923481077</v>
      </c>
      <c r="S1281">
        <v>23770.44323</v>
      </c>
      <c r="T1281">
        <v>646679.7</v>
      </c>
    </row>
    <row r="1282" spans="1:20">
      <c r="A1282" t="s">
        <v>20</v>
      </c>
      <c r="B1282" t="s">
        <v>505</v>
      </c>
      <c r="C1282">
        <v>301049751</v>
      </c>
      <c r="D1282">
        <v>73231000</v>
      </c>
      <c r="E1282" t="s">
        <v>2010</v>
      </c>
      <c r="N1282">
        <v>8908</v>
      </c>
      <c r="O1282" t="s">
        <v>2746</v>
      </c>
      <c r="P1282">
        <v>222.4127863</v>
      </c>
      <c r="Q1282">
        <v>1981253.1</v>
      </c>
      <c r="R1282">
        <v>2.985406527</v>
      </c>
      <c r="S1282">
        <v>26594.00134</v>
      </c>
      <c r="T1282">
        <v>870958.9</v>
      </c>
    </row>
    <row r="1283" spans="1:20">
      <c r="A1283" t="s">
        <v>20</v>
      </c>
      <c r="B1283" t="s">
        <v>506</v>
      </c>
      <c r="C1283">
        <v>301049751</v>
      </c>
      <c r="D1283">
        <v>73239990</v>
      </c>
      <c r="E1283" t="s">
        <v>2011</v>
      </c>
      <c r="N1283">
        <v>9504</v>
      </c>
      <c r="O1283" t="s">
        <v>2746</v>
      </c>
      <c r="P1283">
        <v>192.7812374</v>
      </c>
      <c r="Q1283">
        <v>1832192.88</v>
      </c>
      <c r="R1283">
        <v>2.587667616</v>
      </c>
      <c r="S1283">
        <v>24593.19302</v>
      </c>
      <c r="T1283">
        <v>671315.5</v>
      </c>
    </row>
    <row r="1284" spans="1:20">
      <c r="A1284" t="s">
        <v>20</v>
      </c>
      <c r="B1284" t="s">
        <v>506</v>
      </c>
      <c r="C1284">
        <v>301049751</v>
      </c>
      <c r="D1284">
        <v>73239990</v>
      </c>
      <c r="E1284" t="s">
        <v>2012</v>
      </c>
      <c r="N1284">
        <v>4687.5</v>
      </c>
      <c r="O1284" t="s">
        <v>2746</v>
      </c>
      <c r="P1284">
        <v>242.9825131</v>
      </c>
      <c r="Q1284">
        <v>1138980.53</v>
      </c>
      <c r="R1284">
        <v>3.261510243</v>
      </c>
      <c r="S1284">
        <v>15288.32926</v>
      </c>
      <c r="T1284">
        <v>417322.5</v>
      </c>
    </row>
    <row r="1285" spans="1:20">
      <c r="A1285" t="s">
        <v>20</v>
      </c>
      <c r="B1285" t="s">
        <v>506</v>
      </c>
      <c r="C1285">
        <v>301049751</v>
      </c>
      <c r="D1285">
        <v>73239990</v>
      </c>
      <c r="E1285" t="s">
        <v>2013</v>
      </c>
      <c r="N1285">
        <v>3360</v>
      </c>
      <c r="O1285" t="s">
        <v>2746</v>
      </c>
      <c r="P1285">
        <v>366.7843333</v>
      </c>
      <c r="Q1285">
        <v>1232395.36</v>
      </c>
      <c r="R1285">
        <v>4.923279642</v>
      </c>
      <c r="S1285">
        <v>16542.2196</v>
      </c>
      <c r="T1285">
        <v>451549.7</v>
      </c>
    </row>
    <row r="1286" spans="1:20">
      <c r="A1286" t="s">
        <v>20</v>
      </c>
      <c r="B1286" t="s">
        <v>506</v>
      </c>
      <c r="C1286">
        <v>301049751</v>
      </c>
      <c r="D1286">
        <v>73239990</v>
      </c>
      <c r="E1286" t="s">
        <v>2014</v>
      </c>
      <c r="N1286">
        <v>8008</v>
      </c>
      <c r="O1286" t="s">
        <v>2746</v>
      </c>
      <c r="P1286">
        <v>349.0064073</v>
      </c>
      <c r="Q1286">
        <v>2794843.31</v>
      </c>
      <c r="R1286">
        <v>4.684649763</v>
      </c>
      <c r="S1286">
        <v>37514.6753</v>
      </c>
      <c r="T1286">
        <v>1024030.7</v>
      </c>
    </row>
    <row r="1287" spans="1:20">
      <c r="A1287" t="s">
        <v>20</v>
      </c>
      <c r="B1287" t="s">
        <v>507</v>
      </c>
      <c r="C1287">
        <v>301049751</v>
      </c>
      <c r="D1287">
        <v>73239990</v>
      </c>
      <c r="E1287" t="s">
        <v>2015</v>
      </c>
      <c r="N1287">
        <v>5500</v>
      </c>
      <c r="O1287" t="s">
        <v>2746</v>
      </c>
      <c r="P1287">
        <v>321.0617509</v>
      </c>
      <c r="Q1287">
        <v>1765839.63</v>
      </c>
      <c r="R1287">
        <v>4.309553703</v>
      </c>
      <c r="S1287">
        <v>23702.54537</v>
      </c>
      <c r="T1287">
        <v>647003.6</v>
      </c>
    </row>
    <row r="1288" spans="1:20">
      <c r="A1288" t="s">
        <v>20</v>
      </c>
      <c r="B1288" t="s">
        <v>507</v>
      </c>
      <c r="C1288">
        <v>301049751</v>
      </c>
      <c r="D1288">
        <v>73239990</v>
      </c>
      <c r="E1288" t="s">
        <v>2016</v>
      </c>
      <c r="N1288">
        <v>5050.8</v>
      </c>
      <c r="O1288" t="s">
        <v>2746</v>
      </c>
      <c r="P1288">
        <v>353.8876673</v>
      </c>
      <c r="Q1288">
        <v>1787415.83</v>
      </c>
      <c r="R1288">
        <v>4.750170031</v>
      </c>
      <c r="S1288">
        <v>23992.15879</v>
      </c>
      <c r="T1288">
        <v>654909.2</v>
      </c>
    </row>
    <row r="1289" spans="1:20">
      <c r="A1289" t="s">
        <v>20</v>
      </c>
      <c r="B1289" t="s">
        <v>508</v>
      </c>
      <c r="C1289">
        <v>301049751</v>
      </c>
      <c r="D1289">
        <v>73231000</v>
      </c>
      <c r="E1289" t="s">
        <v>2017</v>
      </c>
      <c r="N1289">
        <v>4865</v>
      </c>
      <c r="O1289" t="s">
        <v>2746</v>
      </c>
      <c r="P1289">
        <v>404.707776</v>
      </c>
      <c r="Q1289">
        <v>1968903.33</v>
      </c>
      <c r="R1289">
        <v>5.425037211</v>
      </c>
      <c r="S1289">
        <v>26392.80603</v>
      </c>
      <c r="T1289">
        <v>865530</v>
      </c>
    </row>
    <row r="1290" spans="1:20">
      <c r="A1290" t="s">
        <v>20</v>
      </c>
      <c r="B1290" t="s">
        <v>509</v>
      </c>
      <c r="C1290">
        <v>301049751</v>
      </c>
      <c r="D1290">
        <v>73239990</v>
      </c>
      <c r="E1290" t="s">
        <v>2018</v>
      </c>
      <c r="N1290">
        <v>1680</v>
      </c>
      <c r="O1290" t="s">
        <v>2746</v>
      </c>
      <c r="P1290">
        <v>485.1845774</v>
      </c>
      <c r="Q1290">
        <v>815110.09</v>
      </c>
      <c r="R1290">
        <v>6.5477001</v>
      </c>
      <c r="S1290">
        <v>11000.13617</v>
      </c>
      <c r="T1290">
        <v>298656.3</v>
      </c>
    </row>
    <row r="1291" spans="1:20">
      <c r="A1291" t="s">
        <v>20</v>
      </c>
      <c r="B1291" t="s">
        <v>509</v>
      </c>
      <c r="C1291">
        <v>301049751</v>
      </c>
      <c r="D1291">
        <v>73239990</v>
      </c>
      <c r="E1291" t="s">
        <v>2019</v>
      </c>
      <c r="N1291">
        <v>2800</v>
      </c>
      <c r="O1291" t="s">
        <v>2746</v>
      </c>
      <c r="P1291">
        <v>355.0659964</v>
      </c>
      <c r="Q1291">
        <v>994184.79</v>
      </c>
      <c r="R1291">
        <v>4.791713852</v>
      </c>
      <c r="S1291">
        <v>13416.79879</v>
      </c>
      <c r="T1291">
        <v>364269.4</v>
      </c>
    </row>
    <row r="1292" spans="1:20">
      <c r="A1292" t="s">
        <v>20</v>
      </c>
      <c r="B1292" t="s">
        <v>509</v>
      </c>
      <c r="C1292">
        <v>301049751</v>
      </c>
      <c r="D1292">
        <v>73239990</v>
      </c>
      <c r="E1292" t="s">
        <v>2020</v>
      </c>
      <c r="N1292">
        <v>2805</v>
      </c>
      <c r="O1292" t="s">
        <v>2746</v>
      </c>
      <c r="P1292">
        <v>513.3302638</v>
      </c>
      <c r="Q1292">
        <v>1439891.39</v>
      </c>
      <c r="R1292">
        <v>6.927533925</v>
      </c>
      <c r="S1292">
        <v>19431.73266</v>
      </c>
      <c r="T1292">
        <v>527576.2</v>
      </c>
    </row>
    <row r="1293" spans="1:20">
      <c r="A1293" t="s">
        <v>20</v>
      </c>
      <c r="B1293" t="s">
        <v>510</v>
      </c>
      <c r="C1293">
        <v>301049751</v>
      </c>
      <c r="D1293">
        <v>73239990</v>
      </c>
      <c r="E1293" t="s">
        <v>2021</v>
      </c>
      <c r="N1293">
        <v>6784</v>
      </c>
      <c r="O1293" t="s">
        <v>2746</v>
      </c>
      <c r="P1293">
        <v>447.1196728</v>
      </c>
      <c r="Q1293">
        <v>3033259.86</v>
      </c>
      <c r="R1293">
        <v>6.034003681</v>
      </c>
      <c r="S1293">
        <v>40934.68097</v>
      </c>
      <c r="T1293">
        <v>1111386.4</v>
      </c>
    </row>
    <row r="1294" spans="1:20">
      <c r="A1294" t="s">
        <v>20</v>
      </c>
      <c r="B1294" t="s">
        <v>510</v>
      </c>
      <c r="C1294">
        <v>301049751</v>
      </c>
      <c r="D1294">
        <v>73239990</v>
      </c>
      <c r="E1294" t="s">
        <v>2022</v>
      </c>
      <c r="N1294">
        <v>6720</v>
      </c>
      <c r="O1294" t="s">
        <v>2746</v>
      </c>
      <c r="P1294">
        <v>353.5198929</v>
      </c>
      <c r="Q1294">
        <v>2375653.68</v>
      </c>
      <c r="R1294">
        <v>4.770848757</v>
      </c>
      <c r="S1294">
        <v>32060.10364</v>
      </c>
      <c r="T1294">
        <v>870439.5</v>
      </c>
    </row>
    <row r="1295" spans="1:20">
      <c r="A1295" t="s">
        <v>20</v>
      </c>
      <c r="B1295" t="s">
        <v>510</v>
      </c>
      <c r="C1295">
        <v>301049751</v>
      </c>
      <c r="D1295">
        <v>73239990</v>
      </c>
      <c r="E1295" t="s">
        <v>2023</v>
      </c>
      <c r="N1295">
        <v>421.6</v>
      </c>
      <c r="O1295" t="s">
        <v>2746</v>
      </c>
      <c r="P1295">
        <v>494.111741</v>
      </c>
      <c r="Q1295">
        <v>208317.51</v>
      </c>
      <c r="R1295">
        <v>6.668174642</v>
      </c>
      <c r="S1295">
        <v>2811.302429</v>
      </c>
      <c r="T1295">
        <v>76327.60000000001</v>
      </c>
    </row>
    <row r="1296" spans="1:20">
      <c r="A1296" t="s">
        <v>20</v>
      </c>
      <c r="B1296" t="s">
        <v>511</v>
      </c>
      <c r="C1296">
        <v>301049751</v>
      </c>
      <c r="D1296">
        <v>73239990</v>
      </c>
      <c r="E1296" t="s">
        <v>2024</v>
      </c>
      <c r="N1296">
        <v>4004</v>
      </c>
      <c r="O1296" t="s">
        <v>2746</v>
      </c>
      <c r="P1296">
        <v>337.0496978</v>
      </c>
      <c r="Q1296">
        <v>1349546.99</v>
      </c>
      <c r="R1296">
        <v>4.440707481</v>
      </c>
      <c r="S1296">
        <v>17780.59275</v>
      </c>
      <c r="T1296">
        <v>494474</v>
      </c>
    </row>
    <row r="1297" spans="1:20">
      <c r="A1297" t="s">
        <v>20</v>
      </c>
      <c r="B1297" t="s">
        <v>512</v>
      </c>
      <c r="C1297">
        <v>301049751</v>
      </c>
      <c r="D1297">
        <v>73239990</v>
      </c>
      <c r="E1297" t="s">
        <v>2025</v>
      </c>
      <c r="N1297">
        <v>60</v>
      </c>
      <c r="O1297" t="s">
        <v>2746</v>
      </c>
      <c r="P1297">
        <v>369.2658333</v>
      </c>
      <c r="Q1297">
        <v>22155.95</v>
      </c>
      <c r="R1297">
        <v>4.865162495</v>
      </c>
      <c r="S1297">
        <v>291.9097497</v>
      </c>
      <c r="T1297">
        <v>8117.9</v>
      </c>
    </row>
    <row r="1298" spans="1:20">
      <c r="A1298" t="s">
        <v>20</v>
      </c>
      <c r="B1298" t="s">
        <v>512</v>
      </c>
      <c r="C1298">
        <v>301049751</v>
      </c>
      <c r="D1298">
        <v>73239990</v>
      </c>
      <c r="E1298" t="s">
        <v>2026</v>
      </c>
      <c r="N1298">
        <v>3920</v>
      </c>
      <c r="O1298" t="s">
        <v>2746</v>
      </c>
      <c r="P1298">
        <v>362.0754617</v>
      </c>
      <c r="Q1298">
        <v>1419335.81</v>
      </c>
      <c r="R1298">
        <v>4.770427691</v>
      </c>
      <c r="S1298">
        <v>18700.07655</v>
      </c>
      <c r="T1298">
        <v>520044.7</v>
      </c>
    </row>
    <row r="1299" spans="1:20">
      <c r="A1299" t="s">
        <v>20</v>
      </c>
      <c r="B1299" t="s">
        <v>512</v>
      </c>
      <c r="C1299">
        <v>301049751</v>
      </c>
      <c r="D1299">
        <v>73239990</v>
      </c>
      <c r="E1299" t="s">
        <v>2027</v>
      </c>
      <c r="N1299">
        <v>2805</v>
      </c>
      <c r="O1299" t="s">
        <v>2746</v>
      </c>
      <c r="P1299">
        <v>522.6347451</v>
      </c>
      <c r="Q1299">
        <v>1465990.46</v>
      </c>
      <c r="R1299">
        <v>6.885833269</v>
      </c>
      <c r="S1299">
        <v>19314.76232</v>
      </c>
      <c r="T1299">
        <v>537138.9</v>
      </c>
    </row>
    <row r="1300" spans="1:20">
      <c r="A1300" t="s">
        <v>20</v>
      </c>
      <c r="B1300" t="s">
        <v>512</v>
      </c>
      <c r="C1300">
        <v>301049751</v>
      </c>
      <c r="D1300">
        <v>73239990</v>
      </c>
      <c r="E1300" t="s">
        <v>2028</v>
      </c>
      <c r="N1300">
        <v>60</v>
      </c>
      <c r="O1300" t="s">
        <v>2746</v>
      </c>
      <c r="P1300">
        <v>369.2658333</v>
      </c>
      <c r="Q1300">
        <v>22155.95</v>
      </c>
      <c r="R1300">
        <v>4.865162495</v>
      </c>
      <c r="S1300">
        <v>291.9097497</v>
      </c>
      <c r="T1300">
        <v>8117.9</v>
      </c>
    </row>
    <row r="1301" spans="1:20">
      <c r="A1301" t="s">
        <v>20</v>
      </c>
      <c r="B1301" t="s">
        <v>513</v>
      </c>
      <c r="C1301">
        <v>301049751</v>
      </c>
      <c r="D1301">
        <v>73239990</v>
      </c>
      <c r="E1301" t="s">
        <v>2029</v>
      </c>
      <c r="N1301">
        <v>7897.5</v>
      </c>
      <c r="O1301" t="s">
        <v>2746</v>
      </c>
      <c r="P1301">
        <v>491.2171915</v>
      </c>
      <c r="Q1301">
        <v>3879387.77</v>
      </c>
      <c r="R1301">
        <v>6.471899756</v>
      </c>
      <c r="S1301">
        <v>51111.82833</v>
      </c>
      <c r="T1301">
        <v>1421407.8</v>
      </c>
    </row>
    <row r="1302" spans="1:20">
      <c r="A1302" t="s">
        <v>20</v>
      </c>
      <c r="B1302" t="s">
        <v>514</v>
      </c>
      <c r="C1302">
        <v>301049751</v>
      </c>
      <c r="D1302">
        <v>73239990</v>
      </c>
      <c r="E1302" t="s">
        <v>2030</v>
      </c>
      <c r="N1302">
        <v>1950</v>
      </c>
      <c r="O1302" t="s">
        <v>2746</v>
      </c>
      <c r="P1302">
        <v>525.2666051</v>
      </c>
      <c r="Q1302">
        <v>1024269.88</v>
      </c>
      <c r="R1302">
        <v>6.934212609</v>
      </c>
      <c r="S1302">
        <v>13521.71459</v>
      </c>
      <c r="T1302">
        <v>375292.5</v>
      </c>
    </row>
    <row r="1303" spans="1:20">
      <c r="A1303" t="s">
        <v>20</v>
      </c>
      <c r="B1303" t="s">
        <v>514</v>
      </c>
      <c r="C1303">
        <v>301049751</v>
      </c>
      <c r="D1303">
        <v>73239990</v>
      </c>
      <c r="E1303" t="s">
        <v>2031</v>
      </c>
      <c r="N1303">
        <v>4480</v>
      </c>
      <c r="O1303" t="s">
        <v>2746</v>
      </c>
      <c r="P1303">
        <v>359.6912076</v>
      </c>
      <c r="Q1303">
        <v>1611416.61</v>
      </c>
      <c r="R1303">
        <v>4.74839878</v>
      </c>
      <c r="S1303">
        <v>21272.82653</v>
      </c>
      <c r="T1303">
        <v>590423</v>
      </c>
    </row>
    <row r="1304" spans="1:20">
      <c r="A1304" t="s">
        <v>20</v>
      </c>
      <c r="B1304" t="s">
        <v>515</v>
      </c>
      <c r="C1304">
        <v>301049751</v>
      </c>
      <c r="D1304">
        <v>73239990</v>
      </c>
      <c r="E1304" t="s">
        <v>2032</v>
      </c>
      <c r="N1304">
        <v>3360</v>
      </c>
      <c r="O1304" t="s">
        <v>2746</v>
      </c>
      <c r="P1304">
        <v>360.2191429</v>
      </c>
      <c r="Q1304">
        <v>1210336.32</v>
      </c>
      <c r="R1304">
        <v>4.733497278</v>
      </c>
      <c r="S1304">
        <v>15904.55085</v>
      </c>
      <c r="T1304">
        <v>443467.2</v>
      </c>
    </row>
    <row r="1305" spans="1:20">
      <c r="A1305" t="s">
        <v>20</v>
      </c>
      <c r="B1305" t="s">
        <v>515</v>
      </c>
      <c r="C1305">
        <v>301049751</v>
      </c>
      <c r="D1305">
        <v>73239990</v>
      </c>
      <c r="E1305" t="s">
        <v>2033</v>
      </c>
      <c r="N1305">
        <v>3131.7</v>
      </c>
      <c r="O1305" t="s">
        <v>2746</v>
      </c>
      <c r="P1305">
        <v>517.1801833</v>
      </c>
      <c r="Q1305">
        <v>1619653.18</v>
      </c>
      <c r="R1305">
        <v>6.796060227</v>
      </c>
      <c r="S1305">
        <v>21283.22181</v>
      </c>
      <c r="T1305">
        <v>593440.9</v>
      </c>
    </row>
    <row r="1306" spans="1:20">
      <c r="A1306" t="s">
        <v>20</v>
      </c>
      <c r="B1306" t="s">
        <v>516</v>
      </c>
      <c r="C1306">
        <v>301049751</v>
      </c>
      <c r="D1306">
        <v>73239990</v>
      </c>
      <c r="E1306" t="s">
        <v>2034</v>
      </c>
      <c r="N1306">
        <v>2365</v>
      </c>
      <c r="O1306" t="s">
        <v>2746</v>
      </c>
      <c r="P1306">
        <v>550.7976871</v>
      </c>
      <c r="Q1306">
        <v>1302636.53</v>
      </c>
      <c r="R1306">
        <v>7.237814548</v>
      </c>
      <c r="S1306">
        <v>17117.43141</v>
      </c>
      <c r="T1306">
        <v>477286</v>
      </c>
    </row>
    <row r="1307" spans="1:20">
      <c r="A1307" t="s">
        <v>20</v>
      </c>
      <c r="B1307" t="s">
        <v>516</v>
      </c>
      <c r="C1307">
        <v>301049751</v>
      </c>
      <c r="D1307">
        <v>73239990</v>
      </c>
      <c r="E1307" t="s">
        <v>2035</v>
      </c>
      <c r="N1307">
        <v>4928</v>
      </c>
      <c r="O1307" t="s">
        <v>2746</v>
      </c>
      <c r="P1307">
        <v>473.3417877</v>
      </c>
      <c r="Q1307">
        <v>2332628.33</v>
      </c>
      <c r="R1307">
        <v>6.219997211</v>
      </c>
      <c r="S1307">
        <v>30652.14625</v>
      </c>
      <c r="T1307">
        <v>854675.1</v>
      </c>
    </row>
    <row r="1308" spans="1:20">
      <c r="A1308" t="s">
        <v>20</v>
      </c>
      <c r="B1308" t="s">
        <v>517</v>
      </c>
      <c r="C1308">
        <v>301049751</v>
      </c>
      <c r="D1308">
        <v>73239990</v>
      </c>
      <c r="E1308" t="s">
        <v>2036</v>
      </c>
      <c r="N1308">
        <v>46.2</v>
      </c>
      <c r="O1308" t="s">
        <v>2746</v>
      </c>
      <c r="P1308">
        <v>261.2082251</v>
      </c>
      <c r="Q1308">
        <v>12067.82</v>
      </c>
      <c r="R1308">
        <v>3.43243397</v>
      </c>
      <c r="S1308">
        <v>158.5784494</v>
      </c>
      <c r="T1308">
        <v>4421.7</v>
      </c>
    </row>
    <row r="1309" spans="1:20">
      <c r="A1309" t="s">
        <v>20</v>
      </c>
      <c r="B1309" t="s">
        <v>517</v>
      </c>
      <c r="C1309">
        <v>301049751</v>
      </c>
      <c r="D1309">
        <v>73239990</v>
      </c>
      <c r="E1309" t="s">
        <v>2037</v>
      </c>
      <c r="N1309">
        <v>3360</v>
      </c>
      <c r="O1309" t="s">
        <v>2746</v>
      </c>
      <c r="P1309">
        <v>356.7255208</v>
      </c>
      <c r="Q1309">
        <v>1198597.75</v>
      </c>
      <c r="R1309">
        <v>4.687588973</v>
      </c>
      <c r="S1309">
        <v>15750.29895</v>
      </c>
      <c r="T1309">
        <v>439166.3</v>
      </c>
    </row>
    <row r="1310" spans="1:20">
      <c r="A1310" t="s">
        <v>20</v>
      </c>
      <c r="B1310" t="s">
        <v>518</v>
      </c>
      <c r="C1310">
        <v>301049751</v>
      </c>
      <c r="D1310">
        <v>73239990</v>
      </c>
      <c r="E1310" t="s">
        <v>2038</v>
      </c>
      <c r="N1310">
        <v>6750</v>
      </c>
      <c r="O1310" t="s">
        <v>2746</v>
      </c>
      <c r="P1310">
        <v>447.9658519</v>
      </c>
      <c r="Q1310">
        <v>3023769.5</v>
      </c>
      <c r="R1310">
        <v>5.886542074</v>
      </c>
      <c r="S1310">
        <v>39734.159</v>
      </c>
      <c r="T1310">
        <v>1107909.2</v>
      </c>
    </row>
    <row r="1311" spans="1:20">
      <c r="A1311" t="s">
        <v>20</v>
      </c>
      <c r="B1311" t="s">
        <v>519</v>
      </c>
      <c r="C1311">
        <v>301049751</v>
      </c>
      <c r="D1311">
        <v>73239990</v>
      </c>
      <c r="E1311" t="s">
        <v>2039</v>
      </c>
      <c r="N1311">
        <v>216</v>
      </c>
      <c r="O1311" t="s">
        <v>2748</v>
      </c>
      <c r="P1311">
        <v>55.86953704</v>
      </c>
      <c r="Q1311">
        <v>12067.82</v>
      </c>
      <c r="R1311">
        <v>0.734159488</v>
      </c>
      <c r="S1311">
        <v>158.5784494</v>
      </c>
      <c r="T1311">
        <v>5305.1</v>
      </c>
    </row>
    <row r="1312" spans="1:20">
      <c r="A1312" t="s">
        <v>20</v>
      </c>
      <c r="B1312" t="s">
        <v>519</v>
      </c>
      <c r="C1312">
        <v>301049751</v>
      </c>
      <c r="D1312">
        <v>73239990</v>
      </c>
      <c r="E1312" t="s">
        <v>2040</v>
      </c>
      <c r="N1312">
        <v>36000</v>
      </c>
      <c r="O1312" t="s">
        <v>2748</v>
      </c>
      <c r="P1312">
        <v>33.29438</v>
      </c>
      <c r="Q1312">
        <v>1198597.68</v>
      </c>
      <c r="R1312">
        <v>0.4375082786</v>
      </c>
      <c r="S1312">
        <v>15750.29803</v>
      </c>
      <c r="T1312">
        <v>526903.6</v>
      </c>
    </row>
    <row r="1313" spans="1:20">
      <c r="A1313" t="s">
        <v>20</v>
      </c>
      <c r="B1313" t="s">
        <v>520</v>
      </c>
      <c r="C1313">
        <v>301049751</v>
      </c>
      <c r="D1313">
        <v>73239990</v>
      </c>
      <c r="E1313" t="s">
        <v>2041</v>
      </c>
      <c r="N1313">
        <v>3332</v>
      </c>
      <c r="O1313" t="s">
        <v>2746</v>
      </c>
      <c r="P1313">
        <v>459.8505912</v>
      </c>
      <c r="Q1313">
        <v>1532222.17</v>
      </c>
      <c r="R1313">
        <v>6.018986796</v>
      </c>
      <c r="S1313">
        <v>20055.26401</v>
      </c>
      <c r="T1313">
        <v>561406.1</v>
      </c>
    </row>
    <row r="1314" spans="1:20">
      <c r="A1314" t="s">
        <v>20</v>
      </c>
      <c r="B1314" t="s">
        <v>520</v>
      </c>
      <c r="C1314">
        <v>301049751</v>
      </c>
      <c r="D1314">
        <v>73239990</v>
      </c>
      <c r="E1314" t="s">
        <v>2042</v>
      </c>
      <c r="N1314">
        <v>2240</v>
      </c>
      <c r="O1314" t="s">
        <v>2746</v>
      </c>
      <c r="P1314">
        <v>415.1334241</v>
      </c>
      <c r="Q1314">
        <v>929898.87</v>
      </c>
      <c r="R1314">
        <v>5.433683562</v>
      </c>
      <c r="S1314">
        <v>12171.45118</v>
      </c>
      <c r="T1314">
        <v>340715</v>
      </c>
    </row>
    <row r="1315" spans="1:20">
      <c r="A1315" t="s">
        <v>20</v>
      </c>
      <c r="B1315" t="s">
        <v>520</v>
      </c>
      <c r="C1315">
        <v>301049751</v>
      </c>
      <c r="D1315">
        <v>73239990</v>
      </c>
      <c r="E1315" t="s">
        <v>2043</v>
      </c>
      <c r="N1315">
        <v>3068</v>
      </c>
      <c r="O1315" t="s">
        <v>2746</v>
      </c>
      <c r="P1315">
        <v>534.8154596000001</v>
      </c>
      <c r="Q1315">
        <v>1640813.83</v>
      </c>
      <c r="R1315">
        <v>7.000202351</v>
      </c>
      <c r="S1315">
        <v>21476.62081</v>
      </c>
      <c r="T1315">
        <v>601194.2</v>
      </c>
    </row>
    <row r="1316" spans="1:20">
      <c r="A1316" t="s">
        <v>20</v>
      </c>
      <c r="B1316" t="s">
        <v>520</v>
      </c>
      <c r="C1316">
        <v>301049751</v>
      </c>
      <c r="D1316">
        <v>73239990</v>
      </c>
      <c r="E1316" t="s">
        <v>2044</v>
      </c>
      <c r="N1316">
        <v>4515</v>
      </c>
      <c r="O1316" t="s">
        <v>2746</v>
      </c>
      <c r="P1316">
        <v>236.1647907</v>
      </c>
      <c r="Q1316">
        <v>1066284.03</v>
      </c>
      <c r="R1316">
        <v>3.091162182</v>
      </c>
      <c r="S1316">
        <v>13956.59725</v>
      </c>
      <c r="T1316">
        <v>390686.5</v>
      </c>
    </row>
    <row r="1317" spans="1:20">
      <c r="A1317" t="s">
        <v>20</v>
      </c>
      <c r="B1317" t="s">
        <v>520</v>
      </c>
      <c r="C1317">
        <v>301049751</v>
      </c>
      <c r="D1317">
        <v>73239990</v>
      </c>
      <c r="E1317" t="s">
        <v>2045</v>
      </c>
      <c r="N1317">
        <v>1311</v>
      </c>
      <c r="O1317" t="s">
        <v>2746</v>
      </c>
      <c r="P1317">
        <v>533.6321053</v>
      </c>
      <c r="Q1317">
        <v>699591.6899999999</v>
      </c>
      <c r="R1317">
        <v>6.98471342</v>
      </c>
      <c r="S1317">
        <v>9156.959293</v>
      </c>
      <c r="T1317">
        <v>256330.3</v>
      </c>
    </row>
    <row r="1318" spans="1:20">
      <c r="A1318" t="s">
        <v>20</v>
      </c>
      <c r="B1318" t="s">
        <v>520</v>
      </c>
      <c r="C1318">
        <v>301049751</v>
      </c>
      <c r="D1318">
        <v>73239990</v>
      </c>
      <c r="E1318" t="s">
        <v>2046</v>
      </c>
      <c r="N1318">
        <v>5600</v>
      </c>
      <c r="O1318" t="s">
        <v>2746</v>
      </c>
      <c r="P1318">
        <v>359.4228768</v>
      </c>
      <c r="Q1318">
        <v>2012768.11</v>
      </c>
      <c r="R1318">
        <v>4.704487916</v>
      </c>
      <c r="S1318">
        <v>26345.13233</v>
      </c>
      <c r="T1318">
        <v>737478.3</v>
      </c>
    </row>
    <row r="1319" spans="1:20">
      <c r="A1319" t="s">
        <v>20</v>
      </c>
      <c r="B1319" t="s">
        <v>520</v>
      </c>
      <c r="C1319">
        <v>301049751</v>
      </c>
      <c r="D1319">
        <v>73239990</v>
      </c>
      <c r="E1319" t="s">
        <v>2047</v>
      </c>
      <c r="N1319">
        <v>3465</v>
      </c>
      <c r="O1319" t="s">
        <v>2746</v>
      </c>
      <c r="P1319">
        <v>262.8921962</v>
      </c>
      <c r="Q1319">
        <v>910921.46</v>
      </c>
      <c r="R1319">
        <v>3.440997333</v>
      </c>
      <c r="S1319">
        <v>11923.05576</v>
      </c>
      <c r="T1319">
        <v>333761.6</v>
      </c>
    </row>
    <row r="1320" spans="1:20">
      <c r="A1320" t="s">
        <v>20</v>
      </c>
      <c r="B1320" t="s">
        <v>521</v>
      </c>
      <c r="C1320">
        <v>301049751</v>
      </c>
      <c r="D1320">
        <v>73239990</v>
      </c>
      <c r="E1320" t="s">
        <v>2048</v>
      </c>
      <c r="N1320">
        <v>8987</v>
      </c>
      <c r="O1320" t="s">
        <v>2746</v>
      </c>
      <c r="P1320">
        <v>419.2552543</v>
      </c>
      <c r="Q1320">
        <v>3767846.97</v>
      </c>
      <c r="R1320">
        <v>5.487634218</v>
      </c>
      <c r="S1320">
        <v>49317.36872</v>
      </c>
      <c r="T1320">
        <v>1380539.1</v>
      </c>
    </row>
    <row r="1321" spans="1:20">
      <c r="A1321" t="s">
        <v>20</v>
      </c>
      <c r="B1321" t="s">
        <v>522</v>
      </c>
      <c r="C1321">
        <v>301049751</v>
      </c>
      <c r="D1321">
        <v>73239990</v>
      </c>
      <c r="E1321" t="s">
        <v>2049</v>
      </c>
      <c r="N1321">
        <v>4004</v>
      </c>
      <c r="O1321" t="s">
        <v>2746</v>
      </c>
      <c r="P1321">
        <v>336.8844381</v>
      </c>
      <c r="Q1321">
        <v>1348885.29</v>
      </c>
      <c r="R1321">
        <v>4.409482174</v>
      </c>
      <c r="S1321">
        <v>17655.56662</v>
      </c>
      <c r="T1321">
        <v>494231.6</v>
      </c>
    </row>
    <row r="1322" spans="1:20">
      <c r="A1322" t="s">
        <v>20</v>
      </c>
      <c r="B1322" t="s">
        <v>523</v>
      </c>
      <c r="C1322">
        <v>301049751</v>
      </c>
      <c r="D1322">
        <v>73239990</v>
      </c>
      <c r="E1322" t="s">
        <v>2050</v>
      </c>
      <c r="N1322">
        <v>7168</v>
      </c>
      <c r="O1322" t="s">
        <v>2746</v>
      </c>
      <c r="P1322">
        <v>359.6315667</v>
      </c>
      <c r="Q1322">
        <v>2577839.07</v>
      </c>
      <c r="R1322">
        <v>4.667508977</v>
      </c>
      <c r="S1322">
        <v>33456.70435</v>
      </c>
      <c r="T1322">
        <v>944520.2</v>
      </c>
    </row>
    <row r="1323" spans="1:20">
      <c r="A1323" t="s">
        <v>20</v>
      </c>
      <c r="B1323" t="s">
        <v>523</v>
      </c>
      <c r="C1323">
        <v>301049751</v>
      </c>
      <c r="D1323">
        <v>73239990</v>
      </c>
      <c r="E1323" t="s">
        <v>2051</v>
      </c>
      <c r="N1323">
        <v>5390</v>
      </c>
      <c r="O1323" t="s">
        <v>2746</v>
      </c>
      <c r="P1323">
        <v>263.3406067</v>
      </c>
      <c r="Q1323">
        <v>1419405.87</v>
      </c>
      <c r="R1323">
        <v>3.417788536</v>
      </c>
      <c r="S1323">
        <v>18421.88021</v>
      </c>
      <c r="T1323">
        <v>520070.3</v>
      </c>
    </row>
    <row r="1324" spans="1:20">
      <c r="A1324" t="s">
        <v>20</v>
      </c>
      <c r="B1324" t="s">
        <v>523</v>
      </c>
      <c r="C1324">
        <v>301049751</v>
      </c>
      <c r="D1324">
        <v>73239990</v>
      </c>
      <c r="E1324" t="s">
        <v>2052</v>
      </c>
      <c r="N1324">
        <v>2478.3</v>
      </c>
      <c r="O1324" t="s">
        <v>2746</v>
      </c>
      <c r="P1324">
        <v>516.3894726</v>
      </c>
      <c r="Q1324">
        <v>1279768.03</v>
      </c>
      <c r="R1324">
        <v>6.702004836</v>
      </c>
      <c r="S1324">
        <v>16609.57859</v>
      </c>
      <c r="T1324">
        <v>468907</v>
      </c>
    </row>
    <row r="1325" spans="1:20">
      <c r="A1325" t="s">
        <v>20</v>
      </c>
      <c r="B1325" t="s">
        <v>524</v>
      </c>
      <c r="C1325">
        <v>301049751</v>
      </c>
      <c r="D1325">
        <v>73239990</v>
      </c>
      <c r="E1325" t="s">
        <v>2024</v>
      </c>
      <c r="N1325">
        <v>4004</v>
      </c>
      <c r="O1325" t="s">
        <v>2746</v>
      </c>
      <c r="P1325">
        <v>339.7347228</v>
      </c>
      <c r="Q1325">
        <v>1360297.83</v>
      </c>
      <c r="R1325">
        <v>4.409276091</v>
      </c>
      <c r="S1325">
        <v>17654.74147</v>
      </c>
      <c r="T1325">
        <v>498413.2</v>
      </c>
    </row>
    <row r="1326" spans="1:20">
      <c r="A1326" t="s">
        <v>20</v>
      </c>
      <c r="B1326" t="s">
        <v>524</v>
      </c>
      <c r="C1326">
        <v>301049751</v>
      </c>
      <c r="D1326">
        <v>73239990</v>
      </c>
      <c r="E1326" t="s">
        <v>2053</v>
      </c>
      <c r="N1326">
        <v>23760</v>
      </c>
      <c r="O1326" t="s">
        <v>2746</v>
      </c>
      <c r="P1326">
        <v>191.2983897</v>
      </c>
      <c r="Q1326">
        <v>4545249.74</v>
      </c>
      <c r="R1326">
        <v>2.482782475</v>
      </c>
      <c r="S1326">
        <v>58990.91162</v>
      </c>
      <c r="T1326">
        <v>1665379.5</v>
      </c>
    </row>
    <row r="1327" spans="1:20">
      <c r="A1327" t="s">
        <v>20</v>
      </c>
      <c r="B1327" t="s">
        <v>525</v>
      </c>
      <c r="C1327">
        <v>301049751</v>
      </c>
      <c r="D1327">
        <v>73239990</v>
      </c>
      <c r="E1327" t="s">
        <v>2024</v>
      </c>
      <c r="N1327">
        <v>4004</v>
      </c>
      <c r="O1327" t="s">
        <v>2746</v>
      </c>
      <c r="P1327">
        <v>338.059533</v>
      </c>
      <c r="Q1327">
        <v>1353590.37</v>
      </c>
      <c r="R1327">
        <v>4.421969038</v>
      </c>
      <c r="S1327">
        <v>17705.56403</v>
      </c>
      <c r="T1327">
        <v>495955.5</v>
      </c>
    </row>
    <row r="1328" spans="1:20">
      <c r="A1328" t="s">
        <v>20</v>
      </c>
      <c r="B1328" t="s">
        <v>526</v>
      </c>
      <c r="C1328">
        <v>301049751</v>
      </c>
      <c r="D1328">
        <v>73239990</v>
      </c>
      <c r="E1328" t="s">
        <v>2014</v>
      </c>
      <c r="N1328">
        <v>8008</v>
      </c>
      <c r="O1328" t="s">
        <v>2746</v>
      </c>
      <c r="P1328">
        <v>338.536993</v>
      </c>
      <c r="Q1328">
        <v>2711004.24</v>
      </c>
      <c r="R1328">
        <v>4.428214428</v>
      </c>
      <c r="S1328">
        <v>35461.14114</v>
      </c>
      <c r="T1328">
        <v>993311.9</v>
      </c>
    </row>
    <row r="1329" spans="1:20">
      <c r="A1329" t="s">
        <v>20</v>
      </c>
      <c r="B1329" t="s">
        <v>527</v>
      </c>
      <c r="C1329">
        <v>301049751</v>
      </c>
      <c r="D1329">
        <v>73239990</v>
      </c>
      <c r="E1329" t="s">
        <v>2054</v>
      </c>
      <c r="N1329">
        <v>6850</v>
      </c>
      <c r="O1329" t="s">
        <v>2746</v>
      </c>
      <c r="P1329">
        <v>394.5452876</v>
      </c>
      <c r="Q1329">
        <v>2702635.22</v>
      </c>
      <c r="R1329">
        <v>5.15072177</v>
      </c>
      <c r="S1329">
        <v>35282.44413</v>
      </c>
      <c r="T1329">
        <v>990245.5</v>
      </c>
    </row>
    <row r="1330" spans="1:20">
      <c r="A1330" t="s">
        <v>20</v>
      </c>
      <c r="B1330" t="s">
        <v>528</v>
      </c>
      <c r="C1330">
        <v>301049751</v>
      </c>
      <c r="D1330">
        <v>73239990</v>
      </c>
      <c r="E1330" t="s">
        <v>2055</v>
      </c>
      <c r="N1330">
        <v>3534</v>
      </c>
      <c r="O1330" t="s">
        <v>2746</v>
      </c>
      <c r="P1330">
        <v>536.3907329</v>
      </c>
      <c r="Q1330">
        <v>1895604.85</v>
      </c>
      <c r="R1330">
        <v>7.002489985</v>
      </c>
      <c r="S1330">
        <v>24746.79961</v>
      </c>
      <c r="T1330">
        <v>694549.7</v>
      </c>
    </row>
    <row r="1331" spans="1:20">
      <c r="A1331" t="s">
        <v>20</v>
      </c>
      <c r="B1331" t="s">
        <v>528</v>
      </c>
      <c r="C1331">
        <v>301049751</v>
      </c>
      <c r="D1331">
        <v>73239990</v>
      </c>
      <c r="E1331" t="s">
        <v>2056</v>
      </c>
      <c r="N1331">
        <v>17974</v>
      </c>
      <c r="O1331" t="s">
        <v>2746</v>
      </c>
      <c r="P1331">
        <v>421.9631585</v>
      </c>
      <c r="Q1331">
        <v>7584365.81</v>
      </c>
      <c r="R1331">
        <v>5.508657421</v>
      </c>
      <c r="S1331">
        <v>99012.60849</v>
      </c>
      <c r="T1331">
        <v>2778911.7</v>
      </c>
    </row>
    <row r="1332" spans="1:20">
      <c r="A1332" t="s">
        <v>20</v>
      </c>
      <c r="B1332" t="s">
        <v>528</v>
      </c>
      <c r="C1332">
        <v>301049751</v>
      </c>
      <c r="D1332">
        <v>73239990</v>
      </c>
      <c r="E1332" t="s">
        <v>2057</v>
      </c>
      <c r="N1332">
        <v>4434.6</v>
      </c>
      <c r="O1332" t="s">
        <v>2746</v>
      </c>
      <c r="P1332">
        <v>404.991758</v>
      </c>
      <c r="Q1332">
        <v>1795976.45</v>
      </c>
      <c r="R1332">
        <v>5.287098668</v>
      </c>
      <c r="S1332">
        <v>23446.16775</v>
      </c>
      <c r="T1332">
        <v>658045.8</v>
      </c>
    </row>
    <row r="1333" spans="1:20">
      <c r="A1333" t="s">
        <v>20</v>
      </c>
      <c r="B1333" t="s">
        <v>528</v>
      </c>
      <c r="C1333">
        <v>301049751</v>
      </c>
      <c r="D1333">
        <v>73239990</v>
      </c>
      <c r="E1333" t="s">
        <v>2058</v>
      </c>
      <c r="N1333">
        <v>10561.6</v>
      </c>
      <c r="O1333" t="s">
        <v>2746</v>
      </c>
      <c r="P1333">
        <v>390.6420751</v>
      </c>
      <c r="Q1333">
        <v>4125805.34</v>
      </c>
      <c r="R1333">
        <v>5.099765993</v>
      </c>
      <c r="S1333">
        <v>53861.68851</v>
      </c>
      <c r="T1333">
        <v>1511695.1</v>
      </c>
    </row>
    <row r="1334" spans="1:20">
      <c r="A1334" t="s">
        <v>20</v>
      </c>
      <c r="B1334" t="s">
        <v>528</v>
      </c>
      <c r="C1334">
        <v>301049751</v>
      </c>
      <c r="D1334">
        <v>73239990</v>
      </c>
      <c r="E1334" t="s">
        <v>2059</v>
      </c>
      <c r="N1334">
        <v>4552.2</v>
      </c>
      <c r="O1334" t="s">
        <v>2746</v>
      </c>
      <c r="P1334">
        <v>492.0510259</v>
      </c>
      <c r="Q1334">
        <v>2239914.68</v>
      </c>
      <c r="R1334">
        <v>6.423642635</v>
      </c>
      <c r="S1334">
        <v>29241.70601</v>
      </c>
      <c r="T1334">
        <v>820704.7</v>
      </c>
    </row>
    <row r="1335" spans="1:20">
      <c r="A1335" t="s">
        <v>20</v>
      </c>
      <c r="B1335" t="s">
        <v>528</v>
      </c>
      <c r="C1335">
        <v>301049751</v>
      </c>
      <c r="D1335">
        <v>73239990</v>
      </c>
      <c r="E1335" t="s">
        <v>2060</v>
      </c>
      <c r="N1335">
        <v>3520</v>
      </c>
      <c r="O1335" t="s">
        <v>2746</v>
      </c>
      <c r="P1335">
        <v>456.2924148</v>
      </c>
      <c r="Q1335">
        <v>1606149.3</v>
      </c>
      <c r="R1335">
        <v>5.956820036</v>
      </c>
      <c r="S1335">
        <v>20968.00653</v>
      </c>
      <c r="T1335">
        <v>588493.2</v>
      </c>
    </row>
    <row r="1336" spans="1:20">
      <c r="A1336" t="s">
        <v>20</v>
      </c>
      <c r="B1336" t="s">
        <v>528</v>
      </c>
      <c r="C1336">
        <v>301049751</v>
      </c>
      <c r="D1336">
        <v>73239990</v>
      </c>
      <c r="E1336" t="s">
        <v>2061</v>
      </c>
      <c r="N1336">
        <v>5100</v>
      </c>
      <c r="O1336" t="s">
        <v>2746</v>
      </c>
      <c r="P1336">
        <v>468.1964627</v>
      </c>
      <c r="Q1336">
        <v>2387801.96</v>
      </c>
      <c r="R1336">
        <v>6.112225362</v>
      </c>
      <c r="S1336">
        <v>31172.34935</v>
      </c>
      <c r="T1336">
        <v>874890.6</v>
      </c>
    </row>
    <row r="1337" spans="1:20">
      <c r="A1337" t="s">
        <v>20</v>
      </c>
      <c r="B1337" t="s">
        <v>529</v>
      </c>
      <c r="C1337">
        <v>301049751</v>
      </c>
      <c r="D1337">
        <v>73239990</v>
      </c>
      <c r="E1337" t="s">
        <v>2062</v>
      </c>
      <c r="N1337">
        <v>2330.2</v>
      </c>
      <c r="O1337" t="s">
        <v>2746</v>
      </c>
      <c r="P1337">
        <v>1029.20921</v>
      </c>
      <c r="Q1337">
        <v>2398263.3</v>
      </c>
      <c r="R1337">
        <v>13.43615156</v>
      </c>
      <c r="S1337">
        <v>31308.92037</v>
      </c>
      <c r="T1337">
        <v>878723.8</v>
      </c>
    </row>
    <row r="1338" spans="1:20">
      <c r="A1338" t="s">
        <v>20</v>
      </c>
      <c r="B1338" t="s">
        <v>530</v>
      </c>
      <c r="C1338">
        <v>301049751</v>
      </c>
      <c r="D1338">
        <v>73239990</v>
      </c>
      <c r="E1338" t="s">
        <v>2063</v>
      </c>
      <c r="N1338">
        <v>3870.4</v>
      </c>
      <c r="O1338" t="s">
        <v>2746</v>
      </c>
      <c r="P1338">
        <v>547.8385438</v>
      </c>
      <c r="Q1338">
        <v>2120354.3</v>
      </c>
      <c r="R1338">
        <v>7.142614652</v>
      </c>
      <c r="S1338">
        <v>27644.77575</v>
      </c>
      <c r="T1338">
        <v>776897.9</v>
      </c>
    </row>
    <row r="1339" spans="1:20">
      <c r="A1339" t="s">
        <v>20</v>
      </c>
      <c r="B1339" t="s">
        <v>530</v>
      </c>
      <c r="C1339">
        <v>301049751</v>
      </c>
      <c r="D1339">
        <v>73239990</v>
      </c>
      <c r="E1339" t="s">
        <v>2064</v>
      </c>
      <c r="N1339">
        <v>3944</v>
      </c>
      <c r="O1339" t="s">
        <v>2746</v>
      </c>
      <c r="P1339">
        <v>471.0482353</v>
      </c>
      <c r="Q1339">
        <v>1857814.24</v>
      </c>
      <c r="R1339">
        <v>6.141437227</v>
      </c>
      <c r="S1339">
        <v>24221.82842</v>
      </c>
      <c r="T1339">
        <v>680703.1</v>
      </c>
    </row>
    <row r="1340" spans="1:20">
      <c r="A1340" t="s">
        <v>20</v>
      </c>
      <c r="B1340" t="s">
        <v>530</v>
      </c>
      <c r="C1340">
        <v>301049751</v>
      </c>
      <c r="D1340">
        <v>73239990</v>
      </c>
      <c r="E1340" t="s">
        <v>2065</v>
      </c>
      <c r="N1340">
        <v>20976</v>
      </c>
      <c r="O1340" t="s">
        <v>2746</v>
      </c>
      <c r="P1340">
        <v>154.9312095</v>
      </c>
      <c r="Q1340">
        <v>3249837.05</v>
      </c>
      <c r="R1340">
        <v>2.019963618</v>
      </c>
      <c r="S1340">
        <v>42370.75684</v>
      </c>
      <c r="T1340">
        <v>1190740.2</v>
      </c>
    </row>
    <row r="1341" spans="1:20">
      <c r="A1341" t="s">
        <v>20</v>
      </c>
      <c r="B1341" t="s">
        <v>530</v>
      </c>
      <c r="C1341">
        <v>301049751</v>
      </c>
      <c r="D1341">
        <v>73239990</v>
      </c>
      <c r="E1341" t="s">
        <v>2066</v>
      </c>
      <c r="N1341">
        <v>38016</v>
      </c>
      <c r="O1341" t="s">
        <v>2746</v>
      </c>
      <c r="P1341">
        <v>198.1770428</v>
      </c>
      <c r="Q1341">
        <v>7533898.46</v>
      </c>
      <c r="R1341">
        <v>2.583794561</v>
      </c>
      <c r="S1341">
        <v>98225.53403</v>
      </c>
      <c r="T1341">
        <v>2760420.4</v>
      </c>
    </row>
    <row r="1342" spans="1:20">
      <c r="A1342" t="s">
        <v>20</v>
      </c>
      <c r="B1342" t="s">
        <v>531</v>
      </c>
      <c r="C1342">
        <v>301049751</v>
      </c>
      <c r="D1342">
        <v>73231000</v>
      </c>
      <c r="E1342" t="s">
        <v>2067</v>
      </c>
      <c r="N1342">
        <v>5005</v>
      </c>
      <c r="O1342" t="s">
        <v>2746</v>
      </c>
      <c r="P1342">
        <v>395.989996</v>
      </c>
      <c r="Q1342">
        <v>1981929.93</v>
      </c>
      <c r="R1342">
        <v>5.16284219</v>
      </c>
      <c r="S1342">
        <v>25840.02516</v>
      </c>
      <c r="T1342">
        <v>871256.4</v>
      </c>
    </row>
    <row r="1343" spans="1:20">
      <c r="A1343" t="s">
        <v>20</v>
      </c>
      <c r="B1343" t="s">
        <v>532</v>
      </c>
      <c r="C1343">
        <v>301049751</v>
      </c>
      <c r="D1343">
        <v>73239990</v>
      </c>
      <c r="E1343" t="s">
        <v>2068</v>
      </c>
      <c r="N1343">
        <v>1280</v>
      </c>
      <c r="O1343" t="s">
        <v>2746</v>
      </c>
      <c r="P1343">
        <v>462.1349219</v>
      </c>
      <c r="Q1343">
        <v>591532.7</v>
      </c>
      <c r="R1343">
        <v>6.025227143</v>
      </c>
      <c r="S1343">
        <v>7712.290743</v>
      </c>
      <c r="T1343">
        <v>216737.6</v>
      </c>
    </row>
    <row r="1344" spans="1:20">
      <c r="A1344" t="s">
        <v>20</v>
      </c>
      <c r="B1344" t="s">
        <v>532</v>
      </c>
      <c r="C1344">
        <v>301049751</v>
      </c>
      <c r="D1344">
        <v>73239990</v>
      </c>
      <c r="E1344" t="s">
        <v>2069</v>
      </c>
      <c r="N1344">
        <v>2805</v>
      </c>
      <c r="O1344" t="s">
        <v>2746</v>
      </c>
      <c r="P1344">
        <v>524.3828556</v>
      </c>
      <c r="Q1344">
        <v>1470893.91</v>
      </c>
      <c r="R1344">
        <v>6.836803854</v>
      </c>
      <c r="S1344">
        <v>19177.23481</v>
      </c>
      <c r="T1344">
        <v>538935.6</v>
      </c>
    </row>
    <row r="1345" spans="1:20">
      <c r="A1345" t="s">
        <v>20</v>
      </c>
      <c r="B1345" t="s">
        <v>532</v>
      </c>
      <c r="C1345">
        <v>301049751</v>
      </c>
      <c r="D1345">
        <v>73239990</v>
      </c>
      <c r="E1345" t="s">
        <v>2070</v>
      </c>
      <c r="N1345">
        <v>3285</v>
      </c>
      <c r="O1345" t="s">
        <v>2746</v>
      </c>
      <c r="P1345">
        <v>240.371309</v>
      </c>
      <c r="Q1345">
        <v>789619.75</v>
      </c>
      <c r="R1345">
        <v>3.133915371</v>
      </c>
      <c r="S1345">
        <v>10294.91199</v>
      </c>
      <c r="T1345">
        <v>289316.7</v>
      </c>
    </row>
    <row r="1346" spans="1:20">
      <c r="A1346" t="s">
        <v>20</v>
      </c>
      <c r="B1346" t="s">
        <v>532</v>
      </c>
      <c r="C1346">
        <v>301049751</v>
      </c>
      <c r="D1346">
        <v>73239990</v>
      </c>
      <c r="E1346" t="s">
        <v>2071</v>
      </c>
      <c r="N1346">
        <v>7820</v>
      </c>
      <c r="O1346" t="s">
        <v>2746</v>
      </c>
      <c r="P1346">
        <v>510.705087</v>
      </c>
      <c r="Q1346">
        <v>3993713.78</v>
      </c>
      <c r="R1346">
        <v>6.65847571</v>
      </c>
      <c r="S1346">
        <v>52069.28005</v>
      </c>
      <c r="T1346">
        <v>1463296.8</v>
      </c>
    </row>
    <row r="1347" spans="1:20">
      <c r="A1347" t="s">
        <v>20</v>
      </c>
      <c r="B1347" t="s">
        <v>532</v>
      </c>
      <c r="C1347">
        <v>301049751</v>
      </c>
      <c r="D1347">
        <v>73239990</v>
      </c>
      <c r="E1347" t="s">
        <v>2072</v>
      </c>
      <c r="N1347">
        <v>3360</v>
      </c>
      <c r="O1347" t="s">
        <v>2746</v>
      </c>
      <c r="P1347">
        <v>365.2739315</v>
      </c>
      <c r="Q1347">
        <v>1227320.41</v>
      </c>
      <c r="R1347">
        <v>4.762371989</v>
      </c>
      <c r="S1347">
        <v>16001.56988</v>
      </c>
      <c r="T1347">
        <v>449690.2</v>
      </c>
    </row>
    <row r="1348" spans="1:20">
      <c r="A1348" t="s">
        <v>20</v>
      </c>
      <c r="B1348" t="s">
        <v>532</v>
      </c>
      <c r="C1348">
        <v>301049751</v>
      </c>
      <c r="D1348">
        <v>73231000</v>
      </c>
      <c r="E1348" t="s">
        <v>2073</v>
      </c>
      <c r="N1348">
        <v>9112</v>
      </c>
      <c r="O1348" t="s">
        <v>2746</v>
      </c>
      <c r="P1348">
        <v>228.9723826</v>
      </c>
      <c r="Q1348">
        <v>2086396.35</v>
      </c>
      <c r="R1348">
        <v>2.985298339</v>
      </c>
      <c r="S1348">
        <v>27202.03846</v>
      </c>
      <c r="T1348">
        <v>917179.8</v>
      </c>
    </row>
    <row r="1349" spans="1:20">
      <c r="A1349" t="s">
        <v>20</v>
      </c>
      <c r="B1349" t="s">
        <v>532</v>
      </c>
      <c r="C1349">
        <v>301049751</v>
      </c>
      <c r="D1349">
        <v>73239990</v>
      </c>
      <c r="E1349" t="s">
        <v>2074</v>
      </c>
      <c r="N1349">
        <v>1300</v>
      </c>
      <c r="O1349" t="s">
        <v>2746</v>
      </c>
      <c r="P1349">
        <v>560.0422769</v>
      </c>
      <c r="Q1349">
        <v>728054.96</v>
      </c>
      <c r="R1349">
        <v>7.301724601</v>
      </c>
      <c r="S1349">
        <v>9492.241982</v>
      </c>
      <c r="T1349">
        <v>266759.4</v>
      </c>
    </row>
    <row r="1350" spans="1:20">
      <c r="A1350" t="s">
        <v>20</v>
      </c>
      <c r="B1350" t="s">
        <v>532</v>
      </c>
      <c r="C1350">
        <v>301049751</v>
      </c>
      <c r="D1350">
        <v>73239990</v>
      </c>
      <c r="E1350" t="s">
        <v>2075</v>
      </c>
      <c r="N1350">
        <v>1280</v>
      </c>
      <c r="O1350" t="s">
        <v>2746</v>
      </c>
      <c r="P1350">
        <v>483.8398828</v>
      </c>
      <c r="Q1350">
        <v>619315.05</v>
      </c>
      <c r="R1350">
        <v>6.308212292</v>
      </c>
      <c r="S1350">
        <v>8074.511734</v>
      </c>
      <c r="T1350">
        <v>226917</v>
      </c>
    </row>
    <row r="1351" spans="1:20">
      <c r="A1351" t="s">
        <v>20</v>
      </c>
      <c r="B1351" t="s">
        <v>532</v>
      </c>
      <c r="C1351">
        <v>301049751</v>
      </c>
      <c r="D1351">
        <v>73239990</v>
      </c>
      <c r="E1351" t="s">
        <v>2076</v>
      </c>
      <c r="N1351">
        <v>4047</v>
      </c>
      <c r="O1351" t="s">
        <v>2746</v>
      </c>
      <c r="P1351">
        <v>543.2588386</v>
      </c>
      <c r="Q1351">
        <v>2198568.52</v>
      </c>
      <c r="R1351">
        <v>7.082905328</v>
      </c>
      <c r="S1351">
        <v>28664.51786</v>
      </c>
      <c r="T1351">
        <v>805555.5</v>
      </c>
    </row>
    <row r="1352" spans="1:20">
      <c r="A1352" t="s">
        <v>20</v>
      </c>
      <c r="B1352" t="s">
        <v>533</v>
      </c>
      <c r="C1352">
        <v>301049751</v>
      </c>
      <c r="D1352">
        <v>73239990</v>
      </c>
      <c r="E1352" t="s">
        <v>2077</v>
      </c>
      <c r="N1352">
        <v>33264</v>
      </c>
      <c r="O1352" t="s">
        <v>2746</v>
      </c>
      <c r="P1352">
        <v>196.2701765</v>
      </c>
      <c r="Q1352">
        <v>6528731.15</v>
      </c>
      <c r="R1352">
        <v>2.5589332</v>
      </c>
      <c r="S1352">
        <v>85120.35398</v>
      </c>
      <c r="T1352">
        <v>2392127</v>
      </c>
    </row>
    <row r="1353" spans="1:20">
      <c r="A1353" t="s">
        <v>20</v>
      </c>
      <c r="B1353" t="s">
        <v>533</v>
      </c>
      <c r="C1353">
        <v>301049751</v>
      </c>
      <c r="D1353">
        <v>73239990</v>
      </c>
      <c r="E1353" t="s">
        <v>2014</v>
      </c>
      <c r="N1353">
        <v>8008</v>
      </c>
      <c r="O1353" t="s">
        <v>2746</v>
      </c>
      <c r="P1353">
        <v>355.3226961</v>
      </c>
      <c r="Q1353">
        <v>2845424.15</v>
      </c>
      <c r="R1353">
        <v>4.632629675</v>
      </c>
      <c r="S1353">
        <v>37098.09844</v>
      </c>
      <c r="T1353">
        <v>1042563.4</v>
      </c>
    </row>
    <row r="1354" spans="1:20">
      <c r="A1354" t="s">
        <v>20</v>
      </c>
      <c r="B1354" t="s">
        <v>534</v>
      </c>
      <c r="C1354">
        <v>301049751</v>
      </c>
      <c r="D1354">
        <v>73239990</v>
      </c>
      <c r="E1354" t="s">
        <v>2078</v>
      </c>
      <c r="N1354">
        <v>6097.5</v>
      </c>
      <c r="O1354" t="s">
        <v>2746</v>
      </c>
      <c r="P1354">
        <v>514.5972776</v>
      </c>
      <c r="Q1354">
        <v>3137756.9</v>
      </c>
      <c r="R1354">
        <v>6.627138153</v>
      </c>
      <c r="S1354">
        <v>40408.97489</v>
      </c>
      <c r="T1354">
        <v>1149674.1</v>
      </c>
    </row>
    <row r="1355" spans="1:20">
      <c r="A1355" t="s">
        <v>20</v>
      </c>
      <c r="B1355" t="s">
        <v>534</v>
      </c>
      <c r="C1355">
        <v>301049751</v>
      </c>
      <c r="D1355">
        <v>73239990</v>
      </c>
      <c r="E1355" t="s">
        <v>2079</v>
      </c>
      <c r="N1355">
        <v>6783</v>
      </c>
      <c r="O1355" t="s">
        <v>2746</v>
      </c>
      <c r="P1355">
        <v>546.8888958</v>
      </c>
      <c r="Q1355">
        <v>3709547.38</v>
      </c>
      <c r="R1355">
        <v>7.042999302</v>
      </c>
      <c r="S1355">
        <v>47772.66426</v>
      </c>
      <c r="T1355">
        <v>1359178.1</v>
      </c>
    </row>
    <row r="1356" spans="1:20">
      <c r="A1356" t="s">
        <v>20</v>
      </c>
      <c r="B1356" t="s">
        <v>535</v>
      </c>
      <c r="C1356">
        <v>301049751</v>
      </c>
      <c r="D1356">
        <v>73239990</v>
      </c>
      <c r="E1356" t="s">
        <v>2080</v>
      </c>
      <c r="N1356">
        <v>2800</v>
      </c>
      <c r="O1356" t="s">
        <v>2746</v>
      </c>
      <c r="P1356">
        <v>367.5184536</v>
      </c>
      <c r="Q1356">
        <v>1029051.67</v>
      </c>
      <c r="R1356">
        <v>4.733012924</v>
      </c>
      <c r="S1356">
        <v>13252.43619</v>
      </c>
      <c r="T1356">
        <v>377044.5</v>
      </c>
    </row>
    <row r="1357" spans="1:20">
      <c r="A1357" t="s">
        <v>20</v>
      </c>
      <c r="B1357" t="s">
        <v>535</v>
      </c>
      <c r="C1357">
        <v>301049751</v>
      </c>
      <c r="D1357">
        <v>73239990</v>
      </c>
      <c r="E1357" t="s">
        <v>2081</v>
      </c>
      <c r="N1357">
        <v>406</v>
      </c>
      <c r="O1357" t="s">
        <v>2746</v>
      </c>
      <c r="P1357">
        <v>611.4489163</v>
      </c>
      <c r="Q1357">
        <v>248248.26</v>
      </c>
      <c r="R1357">
        <v>7.874422618</v>
      </c>
      <c r="S1357">
        <v>3197.015583</v>
      </c>
      <c r="T1357">
        <v>90958.3</v>
      </c>
    </row>
    <row r="1358" spans="1:20">
      <c r="A1358" t="s">
        <v>20</v>
      </c>
      <c r="B1358" t="s">
        <v>535</v>
      </c>
      <c r="C1358">
        <v>301049751</v>
      </c>
      <c r="D1358">
        <v>73239990</v>
      </c>
      <c r="E1358" t="s">
        <v>2082</v>
      </c>
      <c r="N1358">
        <v>413</v>
      </c>
      <c r="O1358" t="s">
        <v>2746</v>
      </c>
      <c r="P1358">
        <v>566.311816</v>
      </c>
      <c r="Q1358">
        <v>233886.78</v>
      </c>
      <c r="R1358">
        <v>7.293133496</v>
      </c>
      <c r="S1358">
        <v>3012.064134</v>
      </c>
      <c r="T1358">
        <v>85696.10000000001</v>
      </c>
    </row>
    <row r="1359" spans="1:20">
      <c r="A1359" t="s">
        <v>20</v>
      </c>
      <c r="B1359" t="s">
        <v>535</v>
      </c>
      <c r="C1359">
        <v>301049751</v>
      </c>
      <c r="D1359">
        <v>73239990</v>
      </c>
      <c r="E1359" t="s">
        <v>2083</v>
      </c>
      <c r="N1359">
        <v>2805</v>
      </c>
      <c r="O1359" t="s">
        <v>2746</v>
      </c>
      <c r="P1359">
        <v>527.6317610999999</v>
      </c>
      <c r="Q1359">
        <v>1480007.09</v>
      </c>
      <c r="R1359">
        <v>6.795000143</v>
      </c>
      <c r="S1359">
        <v>19059.9754</v>
      </c>
      <c r="T1359">
        <v>542274.5</v>
      </c>
    </row>
    <row r="1360" spans="1:20">
      <c r="A1360" t="s">
        <v>20</v>
      </c>
      <c r="B1360" t="s">
        <v>535</v>
      </c>
      <c r="C1360">
        <v>301049751</v>
      </c>
      <c r="D1360">
        <v>73239990</v>
      </c>
      <c r="E1360" t="s">
        <v>2084</v>
      </c>
      <c r="N1360">
        <v>6400</v>
      </c>
      <c r="O1360" t="s">
        <v>2746</v>
      </c>
      <c r="P1360">
        <v>490.0118609</v>
      </c>
      <c r="Q1360">
        <v>3136075.91</v>
      </c>
      <c r="R1360">
        <v>6.31051978</v>
      </c>
      <c r="S1360">
        <v>40387.32659</v>
      </c>
      <c r="T1360">
        <v>1149058.2</v>
      </c>
    </row>
    <row r="1361" spans="1:20">
      <c r="A1361" t="s">
        <v>20</v>
      </c>
      <c r="B1361" t="s">
        <v>535</v>
      </c>
      <c r="C1361">
        <v>301049751</v>
      </c>
      <c r="D1361">
        <v>73239990</v>
      </c>
      <c r="E1361" t="s">
        <v>2085</v>
      </c>
      <c r="N1361">
        <v>10532.9</v>
      </c>
      <c r="O1361" t="s">
        <v>2746</v>
      </c>
      <c r="P1361">
        <v>399.5341834</v>
      </c>
      <c r="Q1361">
        <v>4208253.6</v>
      </c>
      <c r="R1361">
        <v>5.145321099</v>
      </c>
      <c r="S1361">
        <v>54195.15261</v>
      </c>
      <c r="T1361">
        <v>1541904.1</v>
      </c>
    </row>
    <row r="1362" spans="1:20">
      <c r="A1362" t="s">
        <v>20</v>
      </c>
      <c r="B1362" t="s">
        <v>535</v>
      </c>
      <c r="C1362">
        <v>301049751</v>
      </c>
      <c r="D1362">
        <v>73239990</v>
      </c>
      <c r="E1362" t="s">
        <v>2086</v>
      </c>
      <c r="N1362">
        <v>10116</v>
      </c>
      <c r="O1362" t="s">
        <v>2746</v>
      </c>
      <c r="P1362">
        <v>498.5565332</v>
      </c>
      <c r="Q1362">
        <v>5043397.89</v>
      </c>
      <c r="R1362">
        <v>6.420560634</v>
      </c>
      <c r="S1362">
        <v>64950.39137</v>
      </c>
      <c r="T1362">
        <v>1847901.1</v>
      </c>
    </row>
    <row r="1363" spans="1:20">
      <c r="A1363" t="s">
        <v>20</v>
      </c>
      <c r="B1363" t="s">
        <v>535</v>
      </c>
      <c r="C1363">
        <v>301049751</v>
      </c>
      <c r="D1363">
        <v>73239990</v>
      </c>
      <c r="E1363" t="s">
        <v>2087</v>
      </c>
      <c r="N1363">
        <v>8967</v>
      </c>
      <c r="O1363" t="s">
        <v>2746</v>
      </c>
      <c r="P1363">
        <v>432.5308119</v>
      </c>
      <c r="Q1363">
        <v>3878503.79</v>
      </c>
      <c r="R1363">
        <v>5.570261582</v>
      </c>
      <c r="S1363">
        <v>49948.53561</v>
      </c>
      <c r="T1363">
        <v>1421083.9</v>
      </c>
    </row>
    <row r="1364" spans="1:20">
      <c r="A1364" t="s">
        <v>20</v>
      </c>
      <c r="B1364" t="s">
        <v>535</v>
      </c>
      <c r="C1364">
        <v>301049751</v>
      </c>
      <c r="D1364">
        <v>73239990</v>
      </c>
      <c r="E1364" t="s">
        <v>2088</v>
      </c>
      <c r="N1364">
        <v>108.3</v>
      </c>
      <c r="O1364" t="s">
        <v>2746</v>
      </c>
      <c r="P1364">
        <v>391.677747</v>
      </c>
      <c r="Q1364">
        <v>42418.7</v>
      </c>
      <c r="R1364">
        <v>5.044143554</v>
      </c>
      <c r="S1364">
        <v>546.2807469000001</v>
      </c>
      <c r="T1364">
        <v>15542.2</v>
      </c>
    </row>
    <row r="1365" spans="1:20">
      <c r="A1365" t="s">
        <v>20</v>
      </c>
      <c r="B1365" t="s">
        <v>536</v>
      </c>
      <c r="C1365">
        <v>301049751</v>
      </c>
      <c r="D1365">
        <v>73239990</v>
      </c>
      <c r="E1365" t="s">
        <v>2089</v>
      </c>
      <c r="N1365">
        <v>10488</v>
      </c>
      <c r="O1365" t="s">
        <v>2746</v>
      </c>
      <c r="P1365">
        <v>157.1683114</v>
      </c>
      <c r="Q1365">
        <v>1648381.25</v>
      </c>
      <c r="R1365">
        <v>2.024060675</v>
      </c>
      <c r="S1365">
        <v>21228.34836</v>
      </c>
      <c r="T1365">
        <v>603966.8</v>
      </c>
    </row>
    <row r="1366" spans="1:20">
      <c r="A1366" t="s">
        <v>20</v>
      </c>
      <c r="B1366" t="s">
        <v>537</v>
      </c>
      <c r="C1366">
        <v>301049751</v>
      </c>
      <c r="D1366">
        <v>73239990</v>
      </c>
      <c r="E1366" t="s">
        <v>2090</v>
      </c>
      <c r="N1366">
        <v>3286.68</v>
      </c>
      <c r="O1366" t="s">
        <v>2746</v>
      </c>
      <c r="P1366">
        <v>1033.33148</v>
      </c>
      <c r="Q1366">
        <v>3396229.91</v>
      </c>
      <c r="R1366">
        <v>13.30755287</v>
      </c>
      <c r="S1366">
        <v>43737.66787</v>
      </c>
      <c r="T1366">
        <v>1244378.7</v>
      </c>
    </row>
    <row r="1367" spans="1:20">
      <c r="A1367" t="s">
        <v>20</v>
      </c>
      <c r="B1367" t="s">
        <v>538</v>
      </c>
      <c r="C1367">
        <v>301049751</v>
      </c>
      <c r="D1367">
        <v>73239990</v>
      </c>
      <c r="E1367" t="s">
        <v>2091</v>
      </c>
      <c r="N1367">
        <v>4760</v>
      </c>
      <c r="O1367" t="s">
        <v>2746</v>
      </c>
      <c r="P1367">
        <v>516.7088109</v>
      </c>
      <c r="Q1367">
        <v>2459533.94</v>
      </c>
      <c r="R1367">
        <v>6.654331113</v>
      </c>
      <c r="S1367">
        <v>31674.6161</v>
      </c>
      <c r="T1367">
        <v>901173.3</v>
      </c>
    </row>
    <row r="1368" spans="1:20">
      <c r="A1368" t="s">
        <v>20</v>
      </c>
      <c r="B1368" t="s">
        <v>538</v>
      </c>
      <c r="C1368">
        <v>301049751</v>
      </c>
      <c r="D1368">
        <v>73239990</v>
      </c>
      <c r="E1368" t="s">
        <v>2092</v>
      </c>
      <c r="N1368">
        <v>570</v>
      </c>
      <c r="O1368" t="s">
        <v>2746</v>
      </c>
      <c r="P1368">
        <v>549.6452632</v>
      </c>
      <c r="Q1368">
        <v>313297.8</v>
      </c>
      <c r="R1368">
        <v>7.078496628</v>
      </c>
      <c r="S1368">
        <v>4034.743078</v>
      </c>
      <c r="T1368">
        <v>114792.4</v>
      </c>
    </row>
    <row r="1369" spans="1:20">
      <c r="A1369" t="s">
        <v>20</v>
      </c>
      <c r="B1369" t="s">
        <v>538</v>
      </c>
      <c r="C1369">
        <v>301049751</v>
      </c>
      <c r="D1369">
        <v>73239990</v>
      </c>
      <c r="E1369" t="s">
        <v>2093</v>
      </c>
      <c r="N1369">
        <v>3540</v>
      </c>
      <c r="O1369" t="s">
        <v>2746</v>
      </c>
      <c r="P1369">
        <v>550.8641243</v>
      </c>
      <c r="Q1369">
        <v>1950059</v>
      </c>
      <c r="R1369">
        <v>7.094193487</v>
      </c>
      <c r="S1369">
        <v>25113.44495</v>
      </c>
      <c r="T1369">
        <v>714501.6</v>
      </c>
    </row>
    <row r="1370" spans="1:20">
      <c r="A1370" t="s">
        <v>20</v>
      </c>
      <c r="B1370" t="s">
        <v>538</v>
      </c>
      <c r="C1370">
        <v>301049751</v>
      </c>
      <c r="D1370">
        <v>73239990</v>
      </c>
      <c r="E1370" t="s">
        <v>2094</v>
      </c>
      <c r="N1370">
        <v>3128</v>
      </c>
      <c r="O1370" t="s">
        <v>2746</v>
      </c>
      <c r="P1370">
        <v>473.6497219</v>
      </c>
      <c r="Q1370">
        <v>1481576.33</v>
      </c>
      <c r="R1370">
        <v>6.099803244</v>
      </c>
      <c r="S1370">
        <v>19080.18455</v>
      </c>
      <c r="T1370">
        <v>542849.6</v>
      </c>
    </row>
    <row r="1371" spans="1:20">
      <c r="A1371" t="s">
        <v>20</v>
      </c>
      <c r="B1371" t="s">
        <v>538</v>
      </c>
      <c r="C1371">
        <v>301049751</v>
      </c>
      <c r="D1371">
        <v>73239990</v>
      </c>
      <c r="E1371" t="s">
        <v>2095</v>
      </c>
      <c r="N1371">
        <v>3072</v>
      </c>
      <c r="O1371" t="s">
        <v>2746</v>
      </c>
      <c r="P1371">
        <v>489.5277865</v>
      </c>
      <c r="Q1371">
        <v>1503829.36</v>
      </c>
      <c r="R1371">
        <v>6.304285724</v>
      </c>
      <c r="S1371">
        <v>19366.76574</v>
      </c>
      <c r="T1371">
        <v>551003.1</v>
      </c>
    </row>
    <row r="1372" spans="1:20">
      <c r="A1372" t="s">
        <v>20</v>
      </c>
      <c r="B1372" t="s">
        <v>538</v>
      </c>
      <c r="C1372">
        <v>301049751</v>
      </c>
      <c r="D1372">
        <v>73239990</v>
      </c>
      <c r="E1372" t="s">
        <v>2096</v>
      </c>
      <c r="N1372">
        <v>7897.5</v>
      </c>
      <c r="O1372" t="s">
        <v>2746</v>
      </c>
      <c r="P1372">
        <v>507.9481178</v>
      </c>
      <c r="Q1372">
        <v>4011520.26</v>
      </c>
      <c r="R1372">
        <v>6.541508278</v>
      </c>
      <c r="S1372">
        <v>51661.56162</v>
      </c>
      <c r="T1372">
        <v>1469821.1</v>
      </c>
    </row>
    <row r="1373" spans="1:20">
      <c r="A1373" t="s">
        <v>20</v>
      </c>
      <c r="B1373" t="s">
        <v>539</v>
      </c>
      <c r="C1373">
        <v>301049751</v>
      </c>
      <c r="D1373">
        <v>73239990</v>
      </c>
      <c r="E1373" t="s">
        <v>2065</v>
      </c>
      <c r="N1373">
        <v>20976</v>
      </c>
      <c r="O1373" t="s">
        <v>2746</v>
      </c>
      <c r="P1373">
        <v>157.0194265</v>
      </c>
      <c r="Q1373">
        <v>3293639.49</v>
      </c>
      <c r="R1373">
        <v>2.02214329</v>
      </c>
      <c r="S1373">
        <v>42416.47766</v>
      </c>
      <c r="T1373">
        <v>1206789.5</v>
      </c>
    </row>
    <row r="1374" spans="1:20">
      <c r="A1374" t="s">
        <v>20</v>
      </c>
      <c r="B1374" t="s">
        <v>539</v>
      </c>
      <c r="C1374">
        <v>301049751</v>
      </c>
      <c r="D1374">
        <v>73239990</v>
      </c>
      <c r="E1374" t="s">
        <v>2097</v>
      </c>
      <c r="N1374">
        <v>14256</v>
      </c>
      <c r="O1374" t="s">
        <v>2746</v>
      </c>
      <c r="P1374">
        <v>197.6945013</v>
      </c>
      <c r="Q1374">
        <v>2818332.81</v>
      </c>
      <c r="R1374">
        <v>2.545969108</v>
      </c>
      <c r="S1374">
        <v>36295.33561</v>
      </c>
      <c r="T1374">
        <v>1032637.2</v>
      </c>
    </row>
    <row r="1375" spans="1:20">
      <c r="A1375" t="s">
        <v>20</v>
      </c>
      <c r="B1375" t="s">
        <v>539</v>
      </c>
      <c r="C1375">
        <v>301049751</v>
      </c>
      <c r="D1375">
        <v>73239990</v>
      </c>
      <c r="E1375" t="s">
        <v>2014</v>
      </c>
      <c r="N1375">
        <v>8008</v>
      </c>
      <c r="O1375" t="s">
        <v>2746</v>
      </c>
      <c r="P1375">
        <v>357.9012587</v>
      </c>
      <c r="Q1375">
        <v>2866073.28</v>
      </c>
      <c r="R1375">
        <v>4.609159803</v>
      </c>
      <c r="S1375">
        <v>36910.15171</v>
      </c>
      <c r="T1375">
        <v>1050129.3</v>
      </c>
    </row>
    <row r="1376" spans="1:20">
      <c r="A1376" t="s">
        <v>20</v>
      </c>
      <c r="B1376" t="s">
        <v>540</v>
      </c>
      <c r="C1376">
        <v>301049751</v>
      </c>
      <c r="D1376">
        <v>73239990</v>
      </c>
      <c r="E1376" t="s">
        <v>2098</v>
      </c>
      <c r="N1376">
        <v>9504</v>
      </c>
      <c r="O1376" t="s">
        <v>2746</v>
      </c>
      <c r="P1376">
        <v>196.4538668</v>
      </c>
      <c r="Q1376">
        <v>1867097.55</v>
      </c>
      <c r="R1376">
        <v>2.529991845</v>
      </c>
      <c r="S1376">
        <v>24045.0425</v>
      </c>
      <c r="T1376">
        <v>684104.6</v>
      </c>
    </row>
    <row r="1377" spans="1:20">
      <c r="A1377" t="s">
        <v>20</v>
      </c>
      <c r="B1377" t="s">
        <v>540</v>
      </c>
      <c r="C1377">
        <v>301049751</v>
      </c>
      <c r="D1377">
        <v>73239990</v>
      </c>
      <c r="E1377" t="s">
        <v>2065</v>
      </c>
      <c r="N1377">
        <v>20976</v>
      </c>
      <c r="O1377" t="s">
        <v>2746</v>
      </c>
      <c r="P1377">
        <v>156.7973155</v>
      </c>
      <c r="Q1377">
        <v>3288980.49</v>
      </c>
      <c r="R1377">
        <v>2.019282878</v>
      </c>
      <c r="S1377">
        <v>42356.47766</v>
      </c>
      <c r="T1377">
        <v>1205082.4</v>
      </c>
    </row>
    <row r="1378" spans="1:20">
      <c r="A1378" t="s">
        <v>20</v>
      </c>
      <c r="B1378" t="s">
        <v>540</v>
      </c>
      <c r="C1378">
        <v>301049751</v>
      </c>
      <c r="D1378">
        <v>73239990</v>
      </c>
      <c r="E1378" t="s">
        <v>2099</v>
      </c>
      <c r="N1378">
        <v>12012</v>
      </c>
      <c r="O1378" t="s">
        <v>2746</v>
      </c>
      <c r="P1378">
        <v>355.6552456</v>
      </c>
      <c r="Q1378">
        <v>4272130.81</v>
      </c>
      <c r="R1378">
        <v>4.580234972</v>
      </c>
      <c r="S1378">
        <v>55017.78249</v>
      </c>
      <c r="T1378">
        <v>1565308.8</v>
      </c>
    </row>
    <row r="1379" spans="1:20">
      <c r="A1379" t="s">
        <v>20</v>
      </c>
      <c r="B1379" t="s">
        <v>541</v>
      </c>
      <c r="C1379">
        <v>301049751</v>
      </c>
      <c r="D1379">
        <v>73239990</v>
      </c>
      <c r="E1379" t="s">
        <v>2100</v>
      </c>
      <c r="N1379">
        <v>8970</v>
      </c>
      <c r="O1379" t="s">
        <v>2746</v>
      </c>
      <c r="P1379">
        <v>457.3741483</v>
      </c>
      <c r="Q1379">
        <v>4102646.11</v>
      </c>
      <c r="R1379">
        <v>5.990493101</v>
      </c>
      <c r="S1379">
        <v>53734.72312</v>
      </c>
      <c r="T1379">
        <v>1503209.5</v>
      </c>
    </row>
    <row r="1380" spans="1:20">
      <c r="A1380" t="s">
        <v>20</v>
      </c>
      <c r="B1380" t="s">
        <v>541</v>
      </c>
      <c r="C1380">
        <v>301049751</v>
      </c>
      <c r="D1380">
        <v>73239990</v>
      </c>
      <c r="E1380" t="s">
        <v>2101</v>
      </c>
      <c r="N1380">
        <v>3507.2</v>
      </c>
      <c r="O1380" t="s">
        <v>2746</v>
      </c>
      <c r="P1380">
        <v>482.2790944</v>
      </c>
      <c r="Q1380">
        <v>1691449.24</v>
      </c>
      <c r="R1380">
        <v>6.31668755</v>
      </c>
      <c r="S1380">
        <v>22153.88657</v>
      </c>
      <c r="T1380">
        <v>619747</v>
      </c>
    </row>
    <row r="1381" spans="1:20">
      <c r="A1381" t="s">
        <v>20</v>
      </c>
      <c r="B1381" t="s">
        <v>541</v>
      </c>
      <c r="C1381">
        <v>301049751</v>
      </c>
      <c r="D1381">
        <v>73239990</v>
      </c>
      <c r="E1381" t="s">
        <v>2102</v>
      </c>
      <c r="N1381">
        <v>680</v>
      </c>
      <c r="O1381" t="s">
        <v>2746</v>
      </c>
      <c r="P1381">
        <v>509.0576324</v>
      </c>
      <c r="Q1381">
        <v>346159.19</v>
      </c>
      <c r="R1381">
        <v>6.667421511</v>
      </c>
      <c r="S1381">
        <v>4533.846627</v>
      </c>
      <c r="T1381">
        <v>126832.7</v>
      </c>
    </row>
    <row r="1382" spans="1:20">
      <c r="A1382" t="s">
        <v>20</v>
      </c>
      <c r="B1382" t="s">
        <v>541</v>
      </c>
      <c r="C1382">
        <v>301049751</v>
      </c>
      <c r="D1382">
        <v>73231000</v>
      </c>
      <c r="E1382" t="s">
        <v>2103</v>
      </c>
      <c r="N1382">
        <v>7665</v>
      </c>
      <c r="O1382" t="s">
        <v>2746</v>
      </c>
      <c r="P1382">
        <v>210.4320848</v>
      </c>
      <c r="Q1382">
        <v>1612961.93</v>
      </c>
      <c r="R1382">
        <v>2.756150423</v>
      </c>
      <c r="S1382">
        <v>21125.89299</v>
      </c>
      <c r="T1382">
        <v>709058</v>
      </c>
    </row>
    <row r="1383" spans="1:20">
      <c r="A1383" t="s">
        <v>20</v>
      </c>
      <c r="B1383" t="s">
        <v>541</v>
      </c>
      <c r="C1383">
        <v>301049751</v>
      </c>
      <c r="D1383">
        <v>73239990</v>
      </c>
      <c r="E1383" t="s">
        <v>2104</v>
      </c>
      <c r="N1383">
        <v>3200</v>
      </c>
      <c r="O1383" t="s">
        <v>2746</v>
      </c>
      <c r="P1383">
        <v>460.6441469</v>
      </c>
      <c r="Q1383">
        <v>1474061.27</v>
      </c>
      <c r="R1383">
        <v>6.033322159</v>
      </c>
      <c r="S1383">
        <v>19306.63091</v>
      </c>
      <c r="T1383">
        <v>540096.1</v>
      </c>
    </row>
    <row r="1384" spans="1:20">
      <c r="A1384" t="s">
        <v>20</v>
      </c>
      <c r="B1384" t="s">
        <v>542</v>
      </c>
      <c r="C1384">
        <v>301049751</v>
      </c>
      <c r="D1384">
        <v>73239990</v>
      </c>
      <c r="E1384" t="s">
        <v>2105</v>
      </c>
      <c r="N1384">
        <v>8987</v>
      </c>
      <c r="O1384" t="s">
        <v>2746</v>
      </c>
      <c r="P1384">
        <v>425.6147224</v>
      </c>
      <c r="Q1384">
        <v>3824999.51</v>
      </c>
      <c r="R1384">
        <v>5.574521577</v>
      </c>
      <c r="S1384">
        <v>50098.22541</v>
      </c>
      <c r="T1384">
        <v>1401479.8</v>
      </c>
    </row>
    <row r="1385" spans="1:20">
      <c r="A1385" t="s">
        <v>20</v>
      </c>
      <c r="B1385" t="s">
        <v>542</v>
      </c>
      <c r="C1385">
        <v>301049751</v>
      </c>
      <c r="D1385">
        <v>73239990</v>
      </c>
      <c r="E1385" t="s">
        <v>2106</v>
      </c>
      <c r="N1385">
        <v>8094.8</v>
      </c>
      <c r="O1385" t="s">
        <v>2746</v>
      </c>
      <c r="P1385">
        <v>502.8153024</v>
      </c>
      <c r="Q1385">
        <v>4070189.31</v>
      </c>
      <c r="R1385">
        <v>6.585662114</v>
      </c>
      <c r="S1385">
        <v>53309.61768</v>
      </c>
      <c r="T1385">
        <v>1491317.4</v>
      </c>
    </row>
    <row r="1386" spans="1:20">
      <c r="A1386" t="s">
        <v>20</v>
      </c>
      <c r="B1386" t="s">
        <v>543</v>
      </c>
      <c r="C1386">
        <v>301049751</v>
      </c>
      <c r="D1386">
        <v>73239990</v>
      </c>
      <c r="E1386" t="s">
        <v>2107</v>
      </c>
      <c r="N1386">
        <v>19008</v>
      </c>
      <c r="O1386" t="s">
        <v>2746</v>
      </c>
      <c r="P1386">
        <v>192.9811243</v>
      </c>
      <c r="Q1386">
        <v>3668185.21</v>
      </c>
      <c r="R1386">
        <v>2.547605601</v>
      </c>
      <c r="S1386">
        <v>48424.88726</v>
      </c>
      <c r="T1386">
        <v>1344023</v>
      </c>
    </row>
    <row r="1387" spans="1:20">
      <c r="A1387" t="s">
        <v>20</v>
      </c>
      <c r="B1387" t="s">
        <v>543</v>
      </c>
      <c r="C1387">
        <v>301049751</v>
      </c>
      <c r="D1387">
        <v>73239990</v>
      </c>
      <c r="E1387" t="s">
        <v>2099</v>
      </c>
      <c r="N1387">
        <v>12012</v>
      </c>
      <c r="O1387" t="s">
        <v>2746</v>
      </c>
      <c r="P1387">
        <v>349.3682767</v>
      </c>
      <c r="Q1387">
        <v>4196611.74</v>
      </c>
      <c r="R1387">
        <v>4.612122465</v>
      </c>
      <c r="S1387">
        <v>55400.81505</v>
      </c>
      <c r="T1387">
        <v>1537638.5</v>
      </c>
    </row>
    <row r="1388" spans="1:20">
      <c r="A1388" t="s">
        <v>20</v>
      </c>
      <c r="B1388" t="s">
        <v>544</v>
      </c>
      <c r="C1388">
        <v>301049751</v>
      </c>
      <c r="D1388">
        <v>73239990</v>
      </c>
      <c r="E1388" t="s">
        <v>2108</v>
      </c>
      <c r="N1388">
        <v>6450</v>
      </c>
      <c r="O1388" t="s">
        <v>2746</v>
      </c>
      <c r="P1388">
        <v>384.9750031</v>
      </c>
      <c r="Q1388">
        <v>2483088.77</v>
      </c>
      <c r="R1388">
        <v>5.082178259</v>
      </c>
      <c r="S1388">
        <v>32780.04977</v>
      </c>
      <c r="T1388">
        <v>909803.8</v>
      </c>
    </row>
    <row r="1389" spans="1:20">
      <c r="A1389" t="s">
        <v>20</v>
      </c>
      <c r="B1389" t="s">
        <v>545</v>
      </c>
      <c r="C1389">
        <v>301049751</v>
      </c>
      <c r="D1389">
        <v>73239990</v>
      </c>
      <c r="E1389" t="s">
        <v>2109</v>
      </c>
      <c r="N1389">
        <v>1401.6</v>
      </c>
      <c r="O1389" t="s">
        <v>2746</v>
      </c>
      <c r="P1389">
        <v>431.4997432</v>
      </c>
      <c r="Q1389">
        <v>604790.04</v>
      </c>
      <c r="R1389">
        <v>6.02232719</v>
      </c>
      <c r="S1389">
        <v>8440.893789</v>
      </c>
      <c r="T1389">
        <v>221595.1</v>
      </c>
    </row>
    <row r="1390" spans="1:20">
      <c r="A1390" t="s">
        <v>20</v>
      </c>
      <c r="B1390" t="s">
        <v>545</v>
      </c>
      <c r="C1390">
        <v>301049751</v>
      </c>
      <c r="D1390">
        <v>73239990</v>
      </c>
      <c r="E1390" t="s">
        <v>2110</v>
      </c>
      <c r="N1390">
        <v>3420</v>
      </c>
      <c r="O1390" t="s">
        <v>2746</v>
      </c>
      <c r="P1390">
        <v>507.2458304</v>
      </c>
      <c r="Q1390">
        <v>1734780.74</v>
      </c>
      <c r="R1390">
        <v>7.079495191</v>
      </c>
      <c r="S1390">
        <v>24211.87355</v>
      </c>
      <c r="T1390">
        <v>635623.6</v>
      </c>
    </row>
    <row r="1391" spans="1:20">
      <c r="A1391" t="s">
        <v>20</v>
      </c>
      <c r="B1391" t="s">
        <v>545</v>
      </c>
      <c r="C1391">
        <v>301049751</v>
      </c>
      <c r="D1391">
        <v>73239990</v>
      </c>
      <c r="E1391" t="s">
        <v>2111</v>
      </c>
      <c r="N1391">
        <v>2560</v>
      </c>
      <c r="O1391" t="s">
        <v>2746</v>
      </c>
      <c r="P1391">
        <v>451.7658008</v>
      </c>
      <c r="Q1391">
        <v>1156520.45</v>
      </c>
      <c r="R1391">
        <v>6.305175168</v>
      </c>
      <c r="S1391">
        <v>16141.24843</v>
      </c>
      <c r="T1391">
        <v>423749.1</v>
      </c>
    </row>
    <row r="1392" spans="1:20">
      <c r="A1392" t="s">
        <v>20</v>
      </c>
      <c r="B1392" t="s">
        <v>545</v>
      </c>
      <c r="C1392">
        <v>301049751</v>
      </c>
      <c r="D1392">
        <v>73239990</v>
      </c>
      <c r="E1392" t="s">
        <v>2112</v>
      </c>
      <c r="N1392">
        <v>3038.5</v>
      </c>
      <c r="O1392" t="s">
        <v>2746</v>
      </c>
      <c r="P1392">
        <v>508.3706763</v>
      </c>
      <c r="Q1392">
        <v>1544684.3</v>
      </c>
      <c r="R1392">
        <v>7.095194366</v>
      </c>
      <c r="S1392">
        <v>21558.74808</v>
      </c>
      <c r="T1392">
        <v>565972.4</v>
      </c>
    </row>
    <row r="1393" spans="1:20">
      <c r="A1393" t="s">
        <v>20</v>
      </c>
      <c r="B1393" t="s">
        <v>545</v>
      </c>
      <c r="C1393">
        <v>301049751</v>
      </c>
      <c r="D1393">
        <v>73239990</v>
      </c>
      <c r="E1393" t="s">
        <v>2113</v>
      </c>
      <c r="N1393">
        <v>4426.8</v>
      </c>
      <c r="O1393" t="s">
        <v>2746</v>
      </c>
      <c r="P1393">
        <v>476.8500881</v>
      </c>
      <c r="Q1393">
        <v>2110919.97</v>
      </c>
      <c r="R1393">
        <v>6.655269897</v>
      </c>
      <c r="S1393">
        <v>29461.54878</v>
      </c>
      <c r="T1393">
        <v>773441.1</v>
      </c>
    </row>
    <row r="1394" spans="1:20">
      <c r="A1394" t="s">
        <v>20</v>
      </c>
      <c r="B1394" t="s">
        <v>546</v>
      </c>
      <c r="C1394">
        <v>301049751</v>
      </c>
      <c r="D1394">
        <v>73239990</v>
      </c>
      <c r="E1394" t="s">
        <v>2114</v>
      </c>
      <c r="N1394">
        <v>15568</v>
      </c>
      <c r="O1394" t="s">
        <v>2746</v>
      </c>
      <c r="P1394">
        <v>328.4677415</v>
      </c>
      <c r="Q1394">
        <v>5113585.8</v>
      </c>
      <c r="R1394">
        <v>4.584336937</v>
      </c>
      <c r="S1394">
        <v>71368.95742999999</v>
      </c>
      <c r="T1394">
        <v>1243624.1</v>
      </c>
    </row>
    <row r="1395" spans="1:20">
      <c r="A1395" t="s">
        <v>20</v>
      </c>
      <c r="B1395" t="s">
        <v>547</v>
      </c>
      <c r="C1395">
        <v>301049751</v>
      </c>
      <c r="D1395">
        <v>73239990</v>
      </c>
      <c r="E1395" t="s">
        <v>2115</v>
      </c>
      <c r="N1395">
        <v>184</v>
      </c>
      <c r="O1395" t="s">
        <v>2746</v>
      </c>
      <c r="P1395">
        <v>514.7641304</v>
      </c>
      <c r="Q1395">
        <v>94716.60000000001</v>
      </c>
      <c r="R1395">
        <v>7.184426105</v>
      </c>
      <c r="S1395">
        <v>1321.934403</v>
      </c>
      <c r="T1395">
        <v>23035.2</v>
      </c>
    </row>
    <row r="1396" spans="1:20">
      <c r="A1396" t="s">
        <v>20</v>
      </c>
      <c r="B1396" t="s">
        <v>547</v>
      </c>
      <c r="C1396">
        <v>301049751</v>
      </c>
      <c r="D1396">
        <v>73239990</v>
      </c>
      <c r="E1396" t="s">
        <v>2116</v>
      </c>
      <c r="N1396">
        <v>8886.24</v>
      </c>
      <c r="O1396" t="s">
        <v>2746</v>
      </c>
      <c r="P1396">
        <v>406.0568846</v>
      </c>
      <c r="Q1396">
        <v>3608318.93</v>
      </c>
      <c r="R1396">
        <v>5.667227977</v>
      </c>
      <c r="S1396">
        <v>50360.34794</v>
      </c>
      <c r="T1396">
        <v>877543.2</v>
      </c>
    </row>
    <row r="1397" spans="1:20">
      <c r="A1397" t="s">
        <v>20</v>
      </c>
      <c r="B1397" t="s">
        <v>547</v>
      </c>
      <c r="C1397">
        <v>301049751</v>
      </c>
      <c r="D1397">
        <v>73239990</v>
      </c>
      <c r="E1397" t="s">
        <v>2117</v>
      </c>
      <c r="N1397">
        <v>64.26000000000001</v>
      </c>
      <c r="O1397" t="s">
        <v>2746</v>
      </c>
      <c r="P1397">
        <v>428.0496421</v>
      </c>
      <c r="Q1397">
        <v>27506.47</v>
      </c>
      <c r="R1397">
        <v>5.974175046</v>
      </c>
      <c r="S1397">
        <v>383.9004885</v>
      </c>
      <c r="T1397">
        <v>6689.6</v>
      </c>
    </row>
    <row r="1398" spans="1:20">
      <c r="A1398" t="s">
        <v>20</v>
      </c>
      <c r="B1398" t="s">
        <v>547</v>
      </c>
      <c r="C1398">
        <v>301049751</v>
      </c>
      <c r="D1398">
        <v>73239990</v>
      </c>
      <c r="E1398" t="s">
        <v>2118</v>
      </c>
      <c r="N1398">
        <v>6230.4</v>
      </c>
      <c r="O1398" t="s">
        <v>2746</v>
      </c>
      <c r="P1398">
        <v>295.8414484</v>
      </c>
      <c r="Q1398">
        <v>1843210.56</v>
      </c>
      <c r="R1398">
        <v>4.128980438</v>
      </c>
      <c r="S1398">
        <v>25725.19972</v>
      </c>
      <c r="T1398">
        <v>448268.9</v>
      </c>
    </row>
    <row r="1399" spans="1:20">
      <c r="A1399" t="s">
        <v>20</v>
      </c>
      <c r="B1399" t="s">
        <v>547</v>
      </c>
      <c r="C1399">
        <v>301049751</v>
      </c>
      <c r="D1399">
        <v>73239990</v>
      </c>
      <c r="E1399" t="s">
        <v>2119</v>
      </c>
      <c r="N1399">
        <v>96.14</v>
      </c>
      <c r="O1399" t="s">
        <v>2746</v>
      </c>
      <c r="P1399">
        <v>399.173601</v>
      </c>
      <c r="Q1399">
        <v>38376.55</v>
      </c>
      <c r="R1399">
        <v>5.571159819</v>
      </c>
      <c r="S1399">
        <v>535.611305</v>
      </c>
      <c r="T1399">
        <v>9333.299999999999</v>
      </c>
    </row>
    <row r="1400" spans="1:20">
      <c r="A1400" t="s">
        <v>20</v>
      </c>
      <c r="B1400" t="s">
        <v>547</v>
      </c>
      <c r="C1400">
        <v>301049751</v>
      </c>
      <c r="D1400">
        <v>73239990</v>
      </c>
      <c r="E1400" t="s">
        <v>2120</v>
      </c>
      <c r="N1400">
        <v>715</v>
      </c>
      <c r="O1400" t="s">
        <v>2746</v>
      </c>
      <c r="P1400">
        <v>510.3241818</v>
      </c>
      <c r="Q1400">
        <v>364881.79</v>
      </c>
      <c r="R1400">
        <v>7.122458923</v>
      </c>
      <c r="S1400">
        <v>5092.55813</v>
      </c>
      <c r="T1400">
        <v>88739.3</v>
      </c>
    </row>
    <row r="1401" spans="1:20">
      <c r="A1401" t="s">
        <v>20</v>
      </c>
      <c r="B1401" t="s">
        <v>547</v>
      </c>
      <c r="C1401">
        <v>301049751</v>
      </c>
      <c r="D1401">
        <v>73239990</v>
      </c>
      <c r="E1401" t="s">
        <v>2121</v>
      </c>
      <c r="N1401">
        <v>487</v>
      </c>
      <c r="O1401" t="s">
        <v>2746</v>
      </c>
      <c r="P1401">
        <v>557.1300821</v>
      </c>
      <c r="Q1401">
        <v>271322.35</v>
      </c>
      <c r="R1401">
        <v>7.775716429</v>
      </c>
      <c r="S1401">
        <v>3786.773901</v>
      </c>
      <c r="T1401">
        <v>65985.5</v>
      </c>
    </row>
    <row r="1402" spans="1:20">
      <c r="A1402" t="s">
        <v>20</v>
      </c>
      <c r="B1402" t="s">
        <v>547</v>
      </c>
      <c r="C1402">
        <v>301049751</v>
      </c>
      <c r="D1402">
        <v>73239990</v>
      </c>
      <c r="E1402" t="s">
        <v>2122</v>
      </c>
      <c r="N1402">
        <v>4620</v>
      </c>
      <c r="O1402" t="s">
        <v>2746</v>
      </c>
      <c r="P1402">
        <v>470.6568225</v>
      </c>
      <c r="Q1402">
        <v>2174434.52</v>
      </c>
      <c r="R1402">
        <v>6.568832136</v>
      </c>
      <c r="S1402">
        <v>30348.00447</v>
      </c>
      <c r="T1402">
        <v>528822.5</v>
      </c>
    </row>
    <row r="1403" spans="1:20">
      <c r="A1403" t="s">
        <v>20</v>
      </c>
      <c r="B1403" t="s">
        <v>547</v>
      </c>
      <c r="C1403">
        <v>301049751</v>
      </c>
      <c r="D1403">
        <v>73239990</v>
      </c>
      <c r="E1403" t="s">
        <v>2123</v>
      </c>
      <c r="N1403">
        <v>5033.9</v>
      </c>
      <c r="O1403" t="s">
        <v>2746</v>
      </c>
      <c r="P1403">
        <v>415.5967361</v>
      </c>
      <c r="Q1403">
        <v>2092072.41</v>
      </c>
      <c r="R1403">
        <v>5.800373149</v>
      </c>
      <c r="S1403">
        <v>29198.49839</v>
      </c>
      <c r="T1403">
        <v>508791.9</v>
      </c>
    </row>
    <row r="1404" spans="1:20">
      <c r="A1404" t="s">
        <v>20</v>
      </c>
      <c r="B1404" t="s">
        <v>547</v>
      </c>
      <c r="C1404">
        <v>301049751</v>
      </c>
      <c r="D1404">
        <v>73239990</v>
      </c>
      <c r="E1404" t="s">
        <v>2124</v>
      </c>
      <c r="N1404">
        <v>390</v>
      </c>
      <c r="O1404" t="s">
        <v>2746</v>
      </c>
      <c r="P1404">
        <v>432.3836667</v>
      </c>
      <c r="Q1404">
        <v>168629.63</v>
      </c>
      <c r="R1404">
        <v>6.034663875</v>
      </c>
      <c r="S1404">
        <v>2353.518911</v>
      </c>
      <c r="T1404">
        <v>41010.8</v>
      </c>
    </row>
    <row r="1405" spans="1:20">
      <c r="A1405" t="s">
        <v>20</v>
      </c>
      <c r="B1405" t="s">
        <v>547</v>
      </c>
      <c r="C1405">
        <v>301049751</v>
      </c>
      <c r="D1405">
        <v>73239990</v>
      </c>
      <c r="E1405" t="s">
        <v>2125</v>
      </c>
      <c r="N1405">
        <v>2379</v>
      </c>
      <c r="O1405" t="s">
        <v>2746</v>
      </c>
      <c r="P1405">
        <v>970.7938672</v>
      </c>
      <c r="Q1405">
        <v>2309518.61</v>
      </c>
      <c r="R1405">
        <v>13.54911189</v>
      </c>
      <c r="S1405">
        <v>32233.33719</v>
      </c>
      <c r="T1405">
        <v>561675</v>
      </c>
    </row>
    <row r="1406" spans="1:20">
      <c r="A1406" t="s">
        <v>20</v>
      </c>
      <c r="B1406" t="s">
        <v>547</v>
      </c>
      <c r="C1406">
        <v>301049751</v>
      </c>
      <c r="D1406">
        <v>73239990</v>
      </c>
      <c r="E1406" t="s">
        <v>2106</v>
      </c>
      <c r="N1406">
        <v>8094.8</v>
      </c>
      <c r="O1406" t="s">
        <v>2746</v>
      </c>
      <c r="P1406">
        <v>471.5781477</v>
      </c>
      <c r="Q1406">
        <v>3817330.79</v>
      </c>
      <c r="R1406">
        <v>6.581690826</v>
      </c>
      <c r="S1406">
        <v>53277.4709</v>
      </c>
      <c r="T1406">
        <v>928374.9</v>
      </c>
    </row>
    <row r="1407" spans="1:20">
      <c r="A1407" t="s">
        <v>20</v>
      </c>
      <c r="B1407" t="s">
        <v>547</v>
      </c>
      <c r="C1407">
        <v>301049751</v>
      </c>
      <c r="D1407">
        <v>73239990</v>
      </c>
      <c r="E1407" t="s">
        <v>2126</v>
      </c>
      <c r="N1407">
        <v>321.44</v>
      </c>
      <c r="O1407" t="s">
        <v>2746</v>
      </c>
      <c r="P1407">
        <v>369.5441451</v>
      </c>
      <c r="Q1407">
        <v>118786.27</v>
      </c>
      <c r="R1407">
        <v>5.15762938</v>
      </c>
      <c r="S1407">
        <v>1657.868388</v>
      </c>
      <c r="T1407">
        <v>28888.8</v>
      </c>
    </row>
    <row r="1408" spans="1:20">
      <c r="A1408" t="s">
        <v>20</v>
      </c>
      <c r="B1408" t="s">
        <v>548</v>
      </c>
      <c r="C1408">
        <v>301049751</v>
      </c>
      <c r="D1408">
        <v>73239990</v>
      </c>
      <c r="E1408" t="s">
        <v>2127</v>
      </c>
      <c r="N1408">
        <v>2805</v>
      </c>
      <c r="O1408" t="s">
        <v>2746</v>
      </c>
      <c r="P1408">
        <v>496.7448592</v>
      </c>
      <c r="Q1408">
        <v>1393369.33</v>
      </c>
      <c r="R1408">
        <v>6.932935927</v>
      </c>
      <c r="S1408">
        <v>19446.88528</v>
      </c>
      <c r="T1408">
        <v>338867.4</v>
      </c>
    </row>
    <row r="1409" spans="1:20">
      <c r="A1409" t="s">
        <v>20</v>
      </c>
      <c r="B1409" t="s">
        <v>548</v>
      </c>
      <c r="C1409">
        <v>301049751</v>
      </c>
      <c r="D1409">
        <v>73239990</v>
      </c>
      <c r="E1409" t="s">
        <v>2128</v>
      </c>
      <c r="N1409">
        <v>4268</v>
      </c>
      <c r="O1409" t="s">
        <v>2746</v>
      </c>
      <c r="P1409">
        <v>198.6852273</v>
      </c>
      <c r="Q1409">
        <v>847988.55</v>
      </c>
      <c r="R1409">
        <v>2.772996891</v>
      </c>
      <c r="S1409">
        <v>11835.15073</v>
      </c>
      <c r="T1409">
        <v>206230.9</v>
      </c>
    </row>
    <row r="1410" spans="1:20">
      <c r="A1410" t="s">
        <v>20</v>
      </c>
      <c r="B1410" t="s">
        <v>548</v>
      </c>
      <c r="C1410">
        <v>301049751</v>
      </c>
      <c r="D1410">
        <v>73239990</v>
      </c>
      <c r="E1410" t="s">
        <v>2129</v>
      </c>
      <c r="N1410">
        <v>4752</v>
      </c>
      <c r="O1410" t="s">
        <v>2746</v>
      </c>
      <c r="P1410">
        <v>193.0727168</v>
      </c>
      <c r="Q1410">
        <v>917481.55</v>
      </c>
      <c r="R1410">
        <v>2.694664574</v>
      </c>
      <c r="S1410">
        <v>12805.04606</v>
      </c>
      <c r="T1410">
        <v>223131.5</v>
      </c>
    </row>
    <row r="1411" spans="1:20">
      <c r="A1411" t="s">
        <v>20</v>
      </c>
      <c r="B1411" t="s">
        <v>548</v>
      </c>
      <c r="C1411">
        <v>301049751</v>
      </c>
      <c r="D1411">
        <v>73239990</v>
      </c>
      <c r="E1411" t="s">
        <v>2130</v>
      </c>
      <c r="N1411">
        <v>650</v>
      </c>
      <c r="O1411" t="s">
        <v>2746</v>
      </c>
      <c r="P1411">
        <v>530.4435077000001</v>
      </c>
      <c r="Q1411">
        <v>344788.28</v>
      </c>
      <c r="R1411">
        <v>7.403259005</v>
      </c>
      <c r="S1411">
        <v>4812.118353</v>
      </c>
      <c r="T1411">
        <v>83852.5</v>
      </c>
    </row>
    <row r="1412" spans="1:20">
      <c r="A1412" t="s">
        <v>20</v>
      </c>
      <c r="B1412" t="s">
        <v>548</v>
      </c>
      <c r="C1412">
        <v>301049751</v>
      </c>
      <c r="D1412">
        <v>73239990</v>
      </c>
      <c r="E1412" t="s">
        <v>2131</v>
      </c>
      <c r="N1412">
        <v>4050.2</v>
      </c>
      <c r="O1412" t="s">
        <v>2746</v>
      </c>
      <c r="P1412">
        <v>253.3138685</v>
      </c>
      <c r="Q1412">
        <v>1025971.83</v>
      </c>
      <c r="R1412">
        <v>3.535434312</v>
      </c>
      <c r="S1412">
        <v>14319.21605</v>
      </c>
      <c r="T1412">
        <v>249516.4</v>
      </c>
    </row>
    <row r="1413" spans="1:20">
      <c r="A1413" t="s">
        <v>20</v>
      </c>
      <c r="B1413" t="s">
        <v>548</v>
      </c>
      <c r="C1413">
        <v>301049751</v>
      </c>
      <c r="D1413">
        <v>73239990</v>
      </c>
      <c r="E1413" t="s">
        <v>2132</v>
      </c>
      <c r="N1413">
        <v>1120</v>
      </c>
      <c r="O1413" t="s">
        <v>2746</v>
      </c>
      <c r="P1413">
        <v>345.9341071</v>
      </c>
      <c r="Q1413">
        <v>387446.2</v>
      </c>
      <c r="R1413">
        <v>4.828110358</v>
      </c>
      <c r="S1413">
        <v>5407.483601</v>
      </c>
      <c r="T1413">
        <v>94226.89999999999</v>
      </c>
    </row>
    <row r="1414" spans="1:20">
      <c r="A1414" t="s">
        <v>20</v>
      </c>
      <c r="B1414" t="s">
        <v>549</v>
      </c>
      <c r="C1414">
        <v>301049751</v>
      </c>
      <c r="D1414">
        <v>73239990</v>
      </c>
      <c r="E1414" t="s">
        <v>2133</v>
      </c>
      <c r="N1414">
        <v>5600</v>
      </c>
      <c r="O1414" t="s">
        <v>2746</v>
      </c>
      <c r="P1414">
        <v>343.1583143</v>
      </c>
      <c r="Q1414">
        <v>1921686.56</v>
      </c>
      <c r="R1414">
        <v>4.789369355</v>
      </c>
      <c r="S1414">
        <v>26820.46839</v>
      </c>
      <c r="T1414">
        <v>467354.3</v>
      </c>
    </row>
    <row r="1415" spans="1:20">
      <c r="A1415" t="s">
        <v>20</v>
      </c>
      <c r="B1415" t="s">
        <v>549</v>
      </c>
      <c r="C1415">
        <v>301049751</v>
      </c>
      <c r="D1415">
        <v>73239990</v>
      </c>
      <c r="E1415" t="s">
        <v>2134</v>
      </c>
      <c r="N1415">
        <v>2280</v>
      </c>
      <c r="O1415" t="s">
        <v>2746</v>
      </c>
      <c r="P1415">
        <v>508.5996974</v>
      </c>
      <c r="Q1415">
        <v>1159607.31</v>
      </c>
      <c r="R1415">
        <v>7.098390752</v>
      </c>
      <c r="S1415">
        <v>16184.33091</v>
      </c>
      <c r="T1415">
        <v>282016.5</v>
      </c>
    </row>
    <row r="1416" spans="1:20">
      <c r="A1416" t="s">
        <v>20</v>
      </c>
      <c r="B1416" t="s">
        <v>549</v>
      </c>
      <c r="C1416">
        <v>301049751</v>
      </c>
      <c r="D1416">
        <v>73239990</v>
      </c>
      <c r="E1416" t="s">
        <v>2135</v>
      </c>
      <c r="N1416">
        <v>4032.4</v>
      </c>
      <c r="O1416" t="s">
        <v>2746</v>
      </c>
      <c r="P1416">
        <v>438.2792407</v>
      </c>
      <c r="Q1416">
        <v>1767317.21</v>
      </c>
      <c r="R1416">
        <v>6.116946834</v>
      </c>
      <c r="S1416">
        <v>24665.97641</v>
      </c>
      <c r="T1416">
        <v>429811.6</v>
      </c>
    </row>
    <row r="1417" spans="1:20">
      <c r="A1417" t="s">
        <v>20</v>
      </c>
      <c r="B1417" t="s">
        <v>549</v>
      </c>
      <c r="C1417">
        <v>301049751</v>
      </c>
      <c r="D1417">
        <v>73239990</v>
      </c>
      <c r="E1417" t="s">
        <v>2136</v>
      </c>
      <c r="N1417">
        <v>2053.2</v>
      </c>
      <c r="O1417" t="s">
        <v>2746</v>
      </c>
      <c r="P1417">
        <v>509.7275472</v>
      </c>
      <c r="Q1417">
        <v>1046572.6</v>
      </c>
      <c r="R1417">
        <v>7.114131853</v>
      </c>
      <c r="S1417">
        <v>14606.73552</v>
      </c>
      <c r="T1417">
        <v>254526.5</v>
      </c>
    </row>
    <row r="1418" spans="1:20">
      <c r="A1418" t="s">
        <v>20</v>
      </c>
      <c r="B1418" t="s">
        <v>549</v>
      </c>
      <c r="C1418">
        <v>301049751</v>
      </c>
      <c r="D1418">
        <v>73239990</v>
      </c>
      <c r="E1418" t="s">
        <v>2137</v>
      </c>
      <c r="N1418">
        <v>3968</v>
      </c>
      <c r="O1418" t="s">
        <v>2746</v>
      </c>
      <c r="P1418">
        <v>432.6513684</v>
      </c>
      <c r="Q1418">
        <v>1716760.63</v>
      </c>
      <c r="R1418">
        <v>6.038400118</v>
      </c>
      <c r="S1418">
        <v>23960.37167</v>
      </c>
      <c r="T1418">
        <v>417516.2</v>
      </c>
    </row>
    <row r="1419" spans="1:20">
      <c r="A1419" t="s">
        <v>20</v>
      </c>
      <c r="B1419" t="s">
        <v>549</v>
      </c>
      <c r="C1419">
        <v>301049751</v>
      </c>
      <c r="D1419">
        <v>73239990</v>
      </c>
      <c r="E1419" t="s">
        <v>2138</v>
      </c>
      <c r="N1419">
        <v>563.2</v>
      </c>
      <c r="O1419" t="s">
        <v>2746</v>
      </c>
      <c r="P1419">
        <v>452.9715909</v>
      </c>
      <c r="Q1419">
        <v>255113.6</v>
      </c>
      <c r="R1419">
        <v>6.32200406</v>
      </c>
      <c r="S1419">
        <v>3560.552687</v>
      </c>
      <c r="T1419">
        <v>62043.6</v>
      </c>
    </row>
    <row r="1420" spans="1:20">
      <c r="A1420" t="s">
        <v>20</v>
      </c>
      <c r="B1420" t="s">
        <v>550</v>
      </c>
      <c r="C1420">
        <v>301049751</v>
      </c>
      <c r="D1420">
        <v>73239990</v>
      </c>
      <c r="E1420" t="s">
        <v>2139</v>
      </c>
      <c r="N1420">
        <v>6790</v>
      </c>
      <c r="O1420" t="s">
        <v>2746</v>
      </c>
      <c r="P1420">
        <v>373.8326421</v>
      </c>
      <c r="Q1420">
        <v>2538323.64</v>
      </c>
      <c r="R1420">
        <v>5.217482793</v>
      </c>
      <c r="S1420">
        <v>35426.70816</v>
      </c>
      <c r="T1420">
        <v>617320.3</v>
      </c>
    </row>
    <row r="1421" spans="1:20">
      <c r="A1421" t="s">
        <v>20</v>
      </c>
      <c r="B1421" t="s">
        <v>551</v>
      </c>
      <c r="C1421">
        <v>301049751</v>
      </c>
      <c r="D1421">
        <v>73231000</v>
      </c>
      <c r="E1421" t="s">
        <v>2140</v>
      </c>
      <c r="N1421">
        <v>9212</v>
      </c>
      <c r="O1421" t="s">
        <v>2746</v>
      </c>
      <c r="P1421">
        <v>213.6427182</v>
      </c>
      <c r="Q1421">
        <v>1968076.72</v>
      </c>
      <c r="R1421">
        <v>2.981754615</v>
      </c>
      <c r="S1421">
        <v>27467.92352</v>
      </c>
      <c r="T1421">
        <v>609710.2</v>
      </c>
    </row>
    <row r="1422" spans="1:20">
      <c r="A1422" t="s">
        <v>20</v>
      </c>
      <c r="B1422" t="s">
        <v>552</v>
      </c>
      <c r="C1422">
        <v>301049751</v>
      </c>
      <c r="D1422">
        <v>73239990</v>
      </c>
      <c r="E1422" t="s">
        <v>2141</v>
      </c>
      <c r="N1422">
        <v>3400</v>
      </c>
      <c r="O1422" t="s">
        <v>2746</v>
      </c>
      <c r="P1422">
        <v>471.7949353</v>
      </c>
      <c r="Q1422">
        <v>1604102.78</v>
      </c>
      <c r="R1422">
        <v>6.539084342</v>
      </c>
      <c r="S1422">
        <v>22232.88676</v>
      </c>
      <c r="T1422">
        <v>390117.8</v>
      </c>
    </row>
    <row r="1423" spans="1:20">
      <c r="A1423" t="s">
        <v>20</v>
      </c>
      <c r="B1423" t="s">
        <v>552</v>
      </c>
      <c r="C1423">
        <v>301049751</v>
      </c>
      <c r="D1423">
        <v>73239990</v>
      </c>
      <c r="E1423" t="s">
        <v>2142</v>
      </c>
      <c r="N1423">
        <v>1326</v>
      </c>
      <c r="O1423" t="s">
        <v>2746</v>
      </c>
      <c r="P1423">
        <v>533.0577828</v>
      </c>
      <c r="Q1423">
        <v>706834.62</v>
      </c>
      <c r="R1423">
        <v>7.388188258</v>
      </c>
      <c r="S1423">
        <v>9796.73763</v>
      </c>
      <c r="T1423">
        <v>171902.2</v>
      </c>
    </row>
    <row r="1424" spans="1:20">
      <c r="A1424" t="s">
        <v>20</v>
      </c>
      <c r="B1424" t="s">
        <v>552</v>
      </c>
      <c r="C1424">
        <v>301049751</v>
      </c>
      <c r="D1424">
        <v>73239990</v>
      </c>
      <c r="E1424" t="s">
        <v>2127</v>
      </c>
      <c r="N1424">
        <v>2805</v>
      </c>
      <c r="O1424" t="s">
        <v>2746</v>
      </c>
      <c r="P1424">
        <v>499.0888556</v>
      </c>
      <c r="Q1424">
        <v>1399944.24</v>
      </c>
      <c r="R1424">
        <v>6.917378456</v>
      </c>
      <c r="S1424">
        <v>19403.24657</v>
      </c>
      <c r="T1424">
        <v>340466.4</v>
      </c>
    </row>
    <row r="1425" spans="1:20">
      <c r="A1425" t="s">
        <v>20</v>
      </c>
      <c r="B1425" t="s">
        <v>553</v>
      </c>
      <c r="C1425">
        <v>301049751</v>
      </c>
      <c r="D1425">
        <v>73231000</v>
      </c>
      <c r="E1425" t="s">
        <v>2143</v>
      </c>
      <c r="N1425">
        <v>7659</v>
      </c>
      <c r="O1425" t="s">
        <v>2746</v>
      </c>
      <c r="P1425">
        <v>198.8250359</v>
      </c>
      <c r="Q1425">
        <v>1522800.95</v>
      </c>
      <c r="R1425">
        <v>2.755717753</v>
      </c>
      <c r="S1425">
        <v>21106.04227</v>
      </c>
      <c r="T1425">
        <v>471763.7</v>
      </c>
    </row>
    <row r="1426" spans="1:20">
      <c r="A1426" t="s">
        <v>20</v>
      </c>
      <c r="B1426" t="s">
        <v>554</v>
      </c>
      <c r="C1426">
        <v>301049751</v>
      </c>
      <c r="D1426">
        <v>73239990</v>
      </c>
      <c r="E1426" t="s">
        <v>2078</v>
      </c>
      <c r="N1426">
        <v>6097.5</v>
      </c>
      <c r="O1426" t="s">
        <v>2746</v>
      </c>
      <c r="P1426">
        <v>470.8807314</v>
      </c>
      <c r="Q1426">
        <v>2871195.26</v>
      </c>
      <c r="R1426">
        <v>6.526413464</v>
      </c>
      <c r="S1426">
        <v>39794.8061</v>
      </c>
      <c r="T1426">
        <v>698274.7</v>
      </c>
    </row>
    <row r="1427" spans="1:20">
      <c r="A1427" t="s">
        <v>20</v>
      </c>
      <c r="B1427" t="s">
        <v>555</v>
      </c>
      <c r="C1427">
        <v>301049751</v>
      </c>
      <c r="D1427">
        <v>73239990</v>
      </c>
      <c r="E1427" t="s">
        <v>2144</v>
      </c>
      <c r="N1427">
        <v>1710</v>
      </c>
      <c r="O1427" t="s">
        <v>2746</v>
      </c>
      <c r="P1427">
        <v>506.4737953</v>
      </c>
      <c r="Q1427">
        <v>866070.1899999999</v>
      </c>
      <c r="R1427">
        <v>7.019733823</v>
      </c>
      <c r="S1427">
        <v>12003.74484</v>
      </c>
      <c r="T1427">
        <v>210628.3</v>
      </c>
    </row>
    <row r="1428" spans="1:20">
      <c r="A1428" t="s">
        <v>20</v>
      </c>
      <c r="B1428" t="s">
        <v>555</v>
      </c>
      <c r="C1428">
        <v>301049751</v>
      </c>
      <c r="D1428">
        <v>73239990</v>
      </c>
      <c r="E1428" t="s">
        <v>2145</v>
      </c>
      <c r="N1428">
        <v>1920</v>
      </c>
      <c r="O1428" t="s">
        <v>2746</v>
      </c>
      <c r="P1428">
        <v>451.0782083</v>
      </c>
      <c r="Q1428">
        <v>866070.16</v>
      </c>
      <c r="R1428">
        <v>6.251950219</v>
      </c>
      <c r="S1428">
        <v>12003.74442</v>
      </c>
      <c r="T1428">
        <v>210628.3</v>
      </c>
    </row>
    <row r="1429" spans="1:20">
      <c r="A1429" t="s">
        <v>20</v>
      </c>
      <c r="B1429" t="s">
        <v>555</v>
      </c>
      <c r="C1429">
        <v>301049751</v>
      </c>
      <c r="D1429">
        <v>73239990</v>
      </c>
      <c r="E1429" t="s">
        <v>2146</v>
      </c>
      <c r="N1429">
        <v>3719.6</v>
      </c>
      <c r="O1429" t="s">
        <v>2746</v>
      </c>
      <c r="P1429">
        <v>476.1243198</v>
      </c>
      <c r="Q1429">
        <v>1770992.02</v>
      </c>
      <c r="R1429">
        <v>6.599089672</v>
      </c>
      <c r="S1429">
        <v>24545.97394</v>
      </c>
      <c r="T1429">
        <v>430705.2</v>
      </c>
    </row>
    <row r="1430" spans="1:20">
      <c r="A1430" t="s">
        <v>20</v>
      </c>
      <c r="B1430" t="s">
        <v>556</v>
      </c>
      <c r="C1430">
        <v>301049751</v>
      </c>
      <c r="D1430">
        <v>73239990</v>
      </c>
      <c r="E1430" t="s">
        <v>2147</v>
      </c>
      <c r="N1430">
        <v>4200</v>
      </c>
      <c r="O1430" t="s">
        <v>2746</v>
      </c>
      <c r="P1430">
        <v>305.5622238</v>
      </c>
      <c r="Q1430">
        <v>1283361.34</v>
      </c>
      <c r="R1430">
        <v>4.235096657</v>
      </c>
      <c r="S1430">
        <v>17787.40596</v>
      </c>
      <c r="T1430">
        <v>312113.4</v>
      </c>
    </row>
    <row r="1431" spans="1:20">
      <c r="A1431" t="s">
        <v>20</v>
      </c>
      <c r="B1431" t="s">
        <v>556</v>
      </c>
      <c r="C1431">
        <v>301049751</v>
      </c>
      <c r="D1431">
        <v>73239990</v>
      </c>
      <c r="E1431" t="s">
        <v>2148</v>
      </c>
      <c r="N1431">
        <v>4687.5</v>
      </c>
      <c r="O1431" t="s">
        <v>2746</v>
      </c>
      <c r="P1431">
        <v>226.3900843</v>
      </c>
      <c r="Q1431">
        <v>1061203.52</v>
      </c>
      <c r="R1431">
        <v>3.137769706</v>
      </c>
      <c r="S1431">
        <v>14708.2955</v>
      </c>
      <c r="T1431">
        <v>258084.7</v>
      </c>
    </row>
    <row r="1432" spans="1:20">
      <c r="A1432" t="s">
        <v>20</v>
      </c>
      <c r="B1432" t="s">
        <v>556</v>
      </c>
      <c r="C1432">
        <v>301049751</v>
      </c>
      <c r="D1432">
        <v>73239990</v>
      </c>
      <c r="E1432" t="s">
        <v>2149</v>
      </c>
      <c r="N1432">
        <v>860</v>
      </c>
      <c r="O1432" t="s">
        <v>2746</v>
      </c>
      <c r="P1432">
        <v>387.2972326</v>
      </c>
      <c r="Q1432">
        <v>333075.62</v>
      </c>
      <c r="R1432">
        <v>5.367945011</v>
      </c>
      <c r="S1432">
        <v>4616.43271</v>
      </c>
      <c r="T1432">
        <v>81004.10000000001</v>
      </c>
    </row>
    <row r="1433" spans="1:20">
      <c r="A1433" t="s">
        <v>20</v>
      </c>
      <c r="B1433" t="s">
        <v>556</v>
      </c>
      <c r="C1433">
        <v>301049751</v>
      </c>
      <c r="D1433">
        <v>73239990</v>
      </c>
      <c r="E1433" t="s">
        <v>2150</v>
      </c>
      <c r="N1433">
        <v>2695</v>
      </c>
      <c r="O1433" t="s">
        <v>2746</v>
      </c>
      <c r="P1433">
        <v>363.3126716</v>
      </c>
      <c r="Q1433">
        <v>979127.65</v>
      </c>
      <c r="R1433">
        <v>5.035518664</v>
      </c>
      <c r="S1433">
        <v>13570.7228</v>
      </c>
      <c r="T1433">
        <v>238123.9</v>
      </c>
    </row>
    <row r="1434" spans="1:20">
      <c r="A1434" t="s">
        <v>20</v>
      </c>
      <c r="B1434" t="s">
        <v>556</v>
      </c>
      <c r="C1434">
        <v>301049751</v>
      </c>
      <c r="D1434">
        <v>73239990</v>
      </c>
      <c r="E1434" t="s">
        <v>2133</v>
      </c>
      <c r="N1434">
        <v>5600</v>
      </c>
      <c r="O1434" t="s">
        <v>2746</v>
      </c>
      <c r="P1434">
        <v>344.0152554</v>
      </c>
      <c r="Q1434">
        <v>1926485.43</v>
      </c>
      <c r="R1434">
        <v>4.768056207</v>
      </c>
      <c r="S1434">
        <v>26701.11476</v>
      </c>
      <c r="T1434">
        <v>468521.3</v>
      </c>
    </row>
    <row r="1435" spans="1:20">
      <c r="A1435" t="s">
        <v>20</v>
      </c>
      <c r="B1435" t="s">
        <v>556</v>
      </c>
      <c r="C1435">
        <v>301049751</v>
      </c>
      <c r="D1435">
        <v>73239990</v>
      </c>
      <c r="E1435" t="s">
        <v>2151</v>
      </c>
      <c r="N1435">
        <v>3575</v>
      </c>
      <c r="O1435" t="s">
        <v>2746</v>
      </c>
      <c r="P1435">
        <v>309.1854965</v>
      </c>
      <c r="Q1435">
        <v>1105338.15</v>
      </c>
      <c r="R1435">
        <v>4.285315267</v>
      </c>
      <c r="S1435">
        <v>15320.00208</v>
      </c>
      <c r="T1435">
        <v>268818.2</v>
      </c>
    </row>
    <row r="1436" spans="1:20">
      <c r="A1436" t="s">
        <v>20</v>
      </c>
      <c r="B1436" t="s">
        <v>556</v>
      </c>
      <c r="C1436">
        <v>301049751</v>
      </c>
      <c r="D1436">
        <v>73239990</v>
      </c>
      <c r="E1436" t="s">
        <v>2152</v>
      </c>
      <c r="N1436">
        <v>2530</v>
      </c>
      <c r="O1436" t="s">
        <v>2746</v>
      </c>
      <c r="P1436">
        <v>340.7971621</v>
      </c>
      <c r="Q1436">
        <v>862216.8199999999</v>
      </c>
      <c r="R1436">
        <v>4.72345339</v>
      </c>
      <c r="S1436">
        <v>11950.33708</v>
      </c>
      <c r="T1436">
        <v>209691.2</v>
      </c>
    </row>
    <row r="1437" spans="1:20">
      <c r="A1437" t="s">
        <v>20</v>
      </c>
      <c r="B1437" t="s">
        <v>556</v>
      </c>
      <c r="C1437">
        <v>301049751</v>
      </c>
      <c r="D1437">
        <v>73239990</v>
      </c>
      <c r="E1437" t="s">
        <v>2153</v>
      </c>
      <c r="N1437">
        <v>2215.2</v>
      </c>
      <c r="O1437" t="s">
        <v>2746</v>
      </c>
      <c r="P1437">
        <v>354.2750406</v>
      </c>
      <c r="Q1437">
        <v>784790.0699999999</v>
      </c>
      <c r="R1437">
        <v>4.910256973</v>
      </c>
      <c r="S1437">
        <v>10877.20125</v>
      </c>
      <c r="T1437">
        <v>190860.9</v>
      </c>
    </row>
    <row r="1438" spans="1:20">
      <c r="A1438" t="s">
        <v>20</v>
      </c>
      <c r="B1438" t="s">
        <v>557</v>
      </c>
      <c r="C1438">
        <v>301049751</v>
      </c>
      <c r="D1438">
        <v>73239990</v>
      </c>
      <c r="E1438" t="s">
        <v>2154</v>
      </c>
      <c r="N1438">
        <v>2040</v>
      </c>
      <c r="O1438" t="s">
        <v>2750</v>
      </c>
      <c r="P1438">
        <v>436.1031667</v>
      </c>
      <c r="Q1438">
        <v>889650.46</v>
      </c>
      <c r="R1438">
        <v>6.06541261</v>
      </c>
      <c r="S1438">
        <v>12373.44172</v>
      </c>
      <c r="T1438">
        <v>216362.9</v>
      </c>
    </row>
    <row r="1439" spans="1:20">
      <c r="A1439" t="s">
        <v>20</v>
      </c>
      <c r="B1439" t="s">
        <v>557</v>
      </c>
      <c r="C1439">
        <v>301049751</v>
      </c>
      <c r="D1439">
        <v>73239990</v>
      </c>
      <c r="E1439" t="s">
        <v>2155</v>
      </c>
      <c r="N1439">
        <v>2040</v>
      </c>
      <c r="O1439" t="s">
        <v>2750</v>
      </c>
      <c r="P1439">
        <v>475.7489265</v>
      </c>
      <c r="Q1439">
        <v>970527.8100000001</v>
      </c>
      <c r="R1439">
        <v>6.616813998</v>
      </c>
      <c r="S1439">
        <v>13498.30056</v>
      </c>
      <c r="T1439">
        <v>236032.4</v>
      </c>
    </row>
    <row r="1440" spans="1:20">
      <c r="A1440" t="s">
        <v>20</v>
      </c>
      <c r="B1440" t="s">
        <v>557</v>
      </c>
      <c r="C1440">
        <v>301049751</v>
      </c>
      <c r="D1440">
        <v>73239990</v>
      </c>
      <c r="E1440" t="s">
        <v>2156</v>
      </c>
      <c r="N1440">
        <v>1536</v>
      </c>
      <c r="O1440" t="s">
        <v>2750</v>
      </c>
      <c r="P1440">
        <v>450.7225651</v>
      </c>
      <c r="Q1440">
        <v>692309.86</v>
      </c>
      <c r="R1440">
        <v>6.268742213</v>
      </c>
      <c r="S1440">
        <v>9628.788038999999</v>
      </c>
      <c r="T1440">
        <v>168369.8</v>
      </c>
    </row>
    <row r="1441" spans="1:20">
      <c r="A1441" t="s">
        <v>20</v>
      </c>
      <c r="B1441" t="s">
        <v>558</v>
      </c>
      <c r="C1441">
        <v>301049751</v>
      </c>
      <c r="D1441">
        <v>73239990</v>
      </c>
      <c r="E1441" t="s">
        <v>2157</v>
      </c>
      <c r="N1441">
        <v>7451.28</v>
      </c>
      <c r="O1441" t="s">
        <v>2750</v>
      </c>
      <c r="P1441">
        <v>415.7838586</v>
      </c>
      <c r="Q1441">
        <v>3098121.95</v>
      </c>
      <c r="R1441">
        <v>5.782807491</v>
      </c>
      <c r="S1441">
        <v>43089.3178</v>
      </c>
      <c r="T1441">
        <v>753463.2</v>
      </c>
    </row>
    <row r="1442" spans="1:20">
      <c r="A1442" t="s">
        <v>20</v>
      </c>
      <c r="B1442" t="s">
        <v>559</v>
      </c>
      <c r="C1442">
        <v>301049751</v>
      </c>
      <c r="D1442">
        <v>73239990</v>
      </c>
      <c r="E1442" t="s">
        <v>2158</v>
      </c>
      <c r="N1442">
        <v>30</v>
      </c>
      <c r="O1442" t="s">
        <v>2750</v>
      </c>
      <c r="P1442">
        <v>612.9703333</v>
      </c>
      <c r="Q1442">
        <v>18389.11</v>
      </c>
      <c r="R1442">
        <v>8.525317571</v>
      </c>
      <c r="S1442">
        <v>255.7595271</v>
      </c>
      <c r="T1442">
        <v>4472.2</v>
      </c>
    </row>
    <row r="1443" spans="1:20">
      <c r="A1443" t="s">
        <v>20</v>
      </c>
      <c r="B1443" t="s">
        <v>559</v>
      </c>
      <c r="C1443">
        <v>301049751</v>
      </c>
      <c r="D1443">
        <v>73239990</v>
      </c>
      <c r="E1443" t="s">
        <v>2159</v>
      </c>
      <c r="N1443">
        <v>2805</v>
      </c>
      <c r="O1443" t="s">
        <v>2750</v>
      </c>
      <c r="P1443">
        <v>485.1317219</v>
      </c>
      <c r="Q1443">
        <v>1360794.48</v>
      </c>
      <c r="R1443">
        <v>6.747311849</v>
      </c>
      <c r="S1443">
        <v>18926.20974</v>
      </c>
      <c r="T1443">
        <v>330945.1</v>
      </c>
    </row>
    <row r="1444" spans="1:20">
      <c r="A1444" t="s">
        <v>20</v>
      </c>
      <c r="B1444" t="s">
        <v>560</v>
      </c>
      <c r="C1444">
        <v>301049751</v>
      </c>
      <c r="D1444">
        <v>73239990</v>
      </c>
      <c r="E1444" t="s">
        <v>2160</v>
      </c>
      <c r="N1444">
        <v>1080</v>
      </c>
      <c r="O1444" t="s">
        <v>2750</v>
      </c>
      <c r="P1444">
        <v>532.7043241</v>
      </c>
      <c r="Q1444">
        <v>575320.67</v>
      </c>
      <c r="R1444">
        <v>7.408961392</v>
      </c>
      <c r="S1444">
        <v>8001.678303</v>
      </c>
      <c r="T1444">
        <v>139918</v>
      </c>
    </row>
    <row r="1445" spans="1:20">
      <c r="A1445" t="s">
        <v>20</v>
      </c>
      <c r="B1445" t="s">
        <v>560</v>
      </c>
      <c r="C1445">
        <v>301049751</v>
      </c>
      <c r="D1445">
        <v>73239990</v>
      </c>
      <c r="E1445" t="s">
        <v>2161</v>
      </c>
      <c r="N1445">
        <v>1740.8</v>
      </c>
      <c r="O1445" t="s">
        <v>2750</v>
      </c>
      <c r="P1445">
        <v>449.4692957</v>
      </c>
      <c r="Q1445">
        <v>782436.15</v>
      </c>
      <c r="R1445">
        <v>6.251311484</v>
      </c>
      <c r="S1445">
        <v>10882.28303</v>
      </c>
      <c r="T1445">
        <v>190288.5</v>
      </c>
    </row>
    <row r="1446" spans="1:20">
      <c r="A1446" t="s">
        <v>20</v>
      </c>
      <c r="B1446" t="s">
        <v>560</v>
      </c>
      <c r="C1446">
        <v>301049751</v>
      </c>
      <c r="D1446">
        <v>73239990</v>
      </c>
      <c r="E1446" t="s">
        <v>2162</v>
      </c>
      <c r="N1446">
        <v>2360</v>
      </c>
      <c r="O1446" t="s">
        <v>2750</v>
      </c>
      <c r="P1446">
        <v>505.7864237</v>
      </c>
      <c r="Q1446">
        <v>1193655.96</v>
      </c>
      <c r="R1446">
        <v>7.034581693</v>
      </c>
      <c r="S1446">
        <v>16601.6128</v>
      </c>
      <c r="T1446">
        <v>290297.2</v>
      </c>
    </row>
    <row r="1447" spans="1:20">
      <c r="A1447" t="s">
        <v>20</v>
      </c>
      <c r="B1447" t="s">
        <v>560</v>
      </c>
      <c r="C1447">
        <v>301049751</v>
      </c>
      <c r="D1447">
        <v>73239990</v>
      </c>
      <c r="E1447" t="s">
        <v>2163</v>
      </c>
      <c r="N1447">
        <v>2240</v>
      </c>
      <c r="O1447" t="s">
        <v>2750</v>
      </c>
      <c r="P1447">
        <v>429.3061875</v>
      </c>
      <c r="Q1447">
        <v>961645.86</v>
      </c>
      <c r="R1447">
        <v>5.970878825</v>
      </c>
      <c r="S1447">
        <v>13374.76857</v>
      </c>
      <c r="T1447">
        <v>233872.3</v>
      </c>
    </row>
    <row r="1448" spans="1:20">
      <c r="A1448" t="s">
        <v>20</v>
      </c>
      <c r="B1448" t="s">
        <v>561</v>
      </c>
      <c r="C1448">
        <v>301049751</v>
      </c>
      <c r="D1448">
        <v>73239990</v>
      </c>
      <c r="E1448" t="s">
        <v>2164</v>
      </c>
      <c r="N1448">
        <v>6790</v>
      </c>
      <c r="O1448" t="s">
        <v>2750</v>
      </c>
      <c r="P1448">
        <v>369.1963387</v>
      </c>
      <c r="Q1448">
        <v>2506843.14</v>
      </c>
      <c r="R1448">
        <v>5.134858675</v>
      </c>
      <c r="S1448">
        <v>34865.6904</v>
      </c>
      <c r="T1448">
        <v>609664.2</v>
      </c>
    </row>
    <row r="1449" spans="1:20">
      <c r="A1449" t="s">
        <v>20</v>
      </c>
      <c r="B1449" t="s">
        <v>562</v>
      </c>
      <c r="C1449">
        <v>301049751</v>
      </c>
      <c r="D1449">
        <v>73239990</v>
      </c>
      <c r="E1449" t="s">
        <v>2165</v>
      </c>
      <c r="N1449">
        <v>1400</v>
      </c>
      <c r="O1449" t="s">
        <v>2750</v>
      </c>
      <c r="P1449">
        <v>127.4574286</v>
      </c>
      <c r="Q1449">
        <v>178440.4</v>
      </c>
      <c r="R1449">
        <v>1.760461721</v>
      </c>
      <c r="S1449">
        <v>2464.646409</v>
      </c>
      <c r="T1449">
        <v>43396.7</v>
      </c>
    </row>
    <row r="1450" spans="1:20">
      <c r="A1450" t="s">
        <v>20</v>
      </c>
      <c r="B1450" t="s">
        <v>562</v>
      </c>
      <c r="C1450">
        <v>301049751</v>
      </c>
      <c r="D1450">
        <v>73239990</v>
      </c>
      <c r="E1450" t="s">
        <v>2166</v>
      </c>
      <c r="N1450">
        <v>70</v>
      </c>
      <c r="O1450" t="s">
        <v>2750</v>
      </c>
      <c r="P1450">
        <v>603.5322857</v>
      </c>
      <c r="Q1450">
        <v>42247.26</v>
      </c>
      <c r="R1450">
        <v>8.336081294</v>
      </c>
      <c r="S1450">
        <v>583.5256906</v>
      </c>
      <c r="T1450">
        <v>10274.5</v>
      </c>
    </row>
    <row r="1451" spans="1:20">
      <c r="A1451" t="s">
        <v>20</v>
      </c>
      <c r="B1451" t="s">
        <v>562</v>
      </c>
      <c r="C1451">
        <v>301049751</v>
      </c>
      <c r="D1451">
        <v>73239990</v>
      </c>
      <c r="E1451" t="s">
        <v>2167</v>
      </c>
      <c r="N1451">
        <v>65</v>
      </c>
      <c r="O1451" t="s">
        <v>2750</v>
      </c>
      <c r="P1451">
        <v>690.3366154</v>
      </c>
      <c r="Q1451">
        <v>44871.88</v>
      </c>
      <c r="R1451">
        <v>9.535036123999999</v>
      </c>
      <c r="S1451">
        <v>619.7773481</v>
      </c>
      <c r="T1451">
        <v>10912.8</v>
      </c>
    </row>
    <row r="1452" spans="1:20">
      <c r="A1452" t="s">
        <v>20</v>
      </c>
      <c r="B1452" t="s">
        <v>562</v>
      </c>
      <c r="C1452">
        <v>301049751</v>
      </c>
      <c r="D1452">
        <v>73239990</v>
      </c>
      <c r="E1452" t="s">
        <v>2168</v>
      </c>
      <c r="N1452">
        <v>159</v>
      </c>
      <c r="O1452" t="s">
        <v>2750</v>
      </c>
      <c r="P1452">
        <v>420.8500629</v>
      </c>
      <c r="Q1452">
        <v>66915.16</v>
      </c>
      <c r="R1452">
        <v>5.812846173</v>
      </c>
      <c r="S1452">
        <v>924.2425414000001</v>
      </c>
      <c r="T1452">
        <v>16273.8</v>
      </c>
    </row>
    <row r="1453" spans="1:20">
      <c r="A1453" t="s">
        <v>20</v>
      </c>
      <c r="B1453" t="s">
        <v>562</v>
      </c>
      <c r="C1453">
        <v>301049751</v>
      </c>
      <c r="D1453">
        <v>73239990</v>
      </c>
      <c r="E1453" t="s">
        <v>2169</v>
      </c>
      <c r="N1453">
        <v>38</v>
      </c>
      <c r="O1453" t="s">
        <v>2750</v>
      </c>
      <c r="P1453">
        <v>807.8989474</v>
      </c>
      <c r="Q1453">
        <v>30700.16</v>
      </c>
      <c r="R1453">
        <v>11.15882524</v>
      </c>
      <c r="S1453">
        <v>424.0353591</v>
      </c>
      <c r="T1453">
        <v>7466.3</v>
      </c>
    </row>
    <row r="1454" spans="1:20">
      <c r="A1454" t="s">
        <v>20</v>
      </c>
      <c r="B1454" t="s">
        <v>562</v>
      </c>
      <c r="C1454">
        <v>301049751</v>
      </c>
      <c r="D1454">
        <v>73239990</v>
      </c>
      <c r="E1454" t="s">
        <v>2170</v>
      </c>
      <c r="N1454">
        <v>35</v>
      </c>
      <c r="O1454" t="s">
        <v>2750</v>
      </c>
      <c r="P1454">
        <v>652.2457143</v>
      </c>
      <c r="Q1454">
        <v>22828.6</v>
      </c>
      <c r="R1454">
        <v>9.008918705999999</v>
      </c>
      <c r="S1454">
        <v>315.3121547</v>
      </c>
      <c r="T1454">
        <v>5552</v>
      </c>
    </row>
    <row r="1455" spans="1:20">
      <c r="A1455" t="s">
        <v>20</v>
      </c>
      <c r="B1455" t="s">
        <v>562</v>
      </c>
      <c r="C1455">
        <v>301049751</v>
      </c>
      <c r="D1455">
        <v>73239990</v>
      </c>
      <c r="E1455" t="s">
        <v>2171</v>
      </c>
      <c r="N1455">
        <v>42</v>
      </c>
      <c r="O1455" t="s">
        <v>2750</v>
      </c>
      <c r="P1455">
        <v>647.2414285999999</v>
      </c>
      <c r="Q1455">
        <v>27184.14</v>
      </c>
      <c r="R1455">
        <v>8.939798737</v>
      </c>
      <c r="S1455">
        <v>375.471547</v>
      </c>
      <c r="T1455">
        <v>6611.1</v>
      </c>
    </row>
    <row r="1456" spans="1:20">
      <c r="A1456" t="s">
        <v>20</v>
      </c>
      <c r="B1456" t="s">
        <v>563</v>
      </c>
      <c r="C1456">
        <v>301049751</v>
      </c>
      <c r="D1456">
        <v>73239990</v>
      </c>
      <c r="E1456" t="s">
        <v>2172</v>
      </c>
      <c r="N1456">
        <v>10116</v>
      </c>
      <c r="O1456" t="s">
        <v>2750</v>
      </c>
      <c r="P1456">
        <v>474.2908086</v>
      </c>
      <c r="Q1456">
        <v>4797925.82</v>
      </c>
      <c r="R1456">
        <v>6.55097802</v>
      </c>
      <c r="S1456">
        <v>66269.69365</v>
      </c>
      <c r="T1456">
        <v>1166855.6</v>
      </c>
    </row>
    <row r="1457" spans="1:20">
      <c r="A1457" t="s">
        <v>20</v>
      </c>
      <c r="B1457" t="s">
        <v>563</v>
      </c>
      <c r="C1457">
        <v>301049751</v>
      </c>
      <c r="D1457">
        <v>73239990</v>
      </c>
      <c r="E1457" t="s">
        <v>2173</v>
      </c>
      <c r="N1457">
        <v>9180</v>
      </c>
      <c r="O1457" t="s">
        <v>2750</v>
      </c>
      <c r="P1457">
        <v>435.5415501</v>
      </c>
      <c r="Q1457">
        <v>3998271.43</v>
      </c>
      <c r="R1457">
        <v>6.015767267</v>
      </c>
      <c r="S1457">
        <v>55224.74351</v>
      </c>
      <c r="T1457">
        <v>972379.6</v>
      </c>
    </row>
    <row r="1458" spans="1:20">
      <c r="A1458" t="s">
        <v>20</v>
      </c>
      <c r="B1458" t="s">
        <v>563</v>
      </c>
      <c r="C1458">
        <v>301049751</v>
      </c>
      <c r="D1458">
        <v>73239990</v>
      </c>
      <c r="E1458" t="s">
        <v>2174</v>
      </c>
      <c r="N1458">
        <v>10616</v>
      </c>
      <c r="O1458" t="s">
        <v>2750</v>
      </c>
      <c r="P1458">
        <v>508.552095</v>
      </c>
      <c r="Q1458">
        <v>5398789.04</v>
      </c>
      <c r="R1458">
        <v>7.024200207</v>
      </c>
      <c r="S1458">
        <v>74568.90939</v>
      </c>
      <c r="T1458">
        <v>1312985.5</v>
      </c>
    </row>
    <row r="1459" spans="1:20">
      <c r="A1459" t="s">
        <v>20</v>
      </c>
      <c r="B1459" t="s">
        <v>564</v>
      </c>
      <c r="C1459">
        <v>301049751</v>
      </c>
      <c r="D1459">
        <v>73239990</v>
      </c>
      <c r="E1459" t="s">
        <v>2175</v>
      </c>
      <c r="N1459">
        <v>9605</v>
      </c>
      <c r="O1459" t="s">
        <v>2750</v>
      </c>
      <c r="P1459">
        <v>367.9336512</v>
      </c>
      <c r="Q1459">
        <v>3534002.72</v>
      </c>
      <c r="R1459">
        <v>5.057507233</v>
      </c>
      <c r="S1459">
        <v>48577.35698</v>
      </c>
      <c r="T1459">
        <v>859469.5</v>
      </c>
    </row>
    <row r="1460" spans="1:20">
      <c r="A1460" t="s">
        <v>20</v>
      </c>
      <c r="B1460" t="s">
        <v>564</v>
      </c>
      <c r="C1460">
        <v>301049751</v>
      </c>
      <c r="D1460">
        <v>73239990</v>
      </c>
      <c r="E1460" t="s">
        <v>2176</v>
      </c>
      <c r="N1460">
        <v>4770</v>
      </c>
      <c r="O1460" t="s">
        <v>2750</v>
      </c>
      <c r="P1460">
        <v>458.1531384</v>
      </c>
      <c r="Q1460">
        <v>2185390.47</v>
      </c>
      <c r="R1460">
        <v>6.297637641</v>
      </c>
      <c r="S1460">
        <v>30039.73155</v>
      </c>
      <c r="T1460">
        <v>531486.9</v>
      </c>
    </row>
    <row r="1461" spans="1:20">
      <c r="A1461" t="s">
        <v>20</v>
      </c>
      <c r="B1461" t="s">
        <v>564</v>
      </c>
      <c r="C1461">
        <v>301049751</v>
      </c>
      <c r="D1461">
        <v>73239990</v>
      </c>
      <c r="E1461" t="s">
        <v>2177</v>
      </c>
      <c r="N1461">
        <v>2240</v>
      </c>
      <c r="O1461" t="s">
        <v>2750</v>
      </c>
      <c r="P1461">
        <v>350.2033571</v>
      </c>
      <c r="Q1461">
        <v>784455.52</v>
      </c>
      <c r="R1461">
        <v>4.813791851</v>
      </c>
      <c r="S1461">
        <v>10782.89375</v>
      </c>
      <c r="T1461">
        <v>190779.7</v>
      </c>
    </row>
    <row r="1462" spans="1:20">
      <c r="A1462" t="s">
        <v>20</v>
      </c>
      <c r="B1462" t="s">
        <v>564</v>
      </c>
      <c r="C1462">
        <v>301049751</v>
      </c>
      <c r="D1462">
        <v>73239990</v>
      </c>
      <c r="E1462" t="s">
        <v>2178</v>
      </c>
      <c r="N1462">
        <v>31.8</v>
      </c>
      <c r="O1462" t="s">
        <v>2750</v>
      </c>
      <c r="P1462">
        <v>274.3474843</v>
      </c>
      <c r="Q1462">
        <v>8724.25</v>
      </c>
      <c r="R1462">
        <v>3.77109944</v>
      </c>
      <c r="S1462">
        <v>119.9209622</v>
      </c>
      <c r="T1462">
        <v>2121.7</v>
      </c>
    </row>
    <row r="1463" spans="1:20">
      <c r="A1463" t="s">
        <v>20</v>
      </c>
      <c r="B1463" t="s">
        <v>565</v>
      </c>
      <c r="C1463">
        <v>301049751</v>
      </c>
      <c r="D1463">
        <v>73239990</v>
      </c>
      <c r="E1463" t="s">
        <v>2133</v>
      </c>
      <c r="N1463">
        <v>5600</v>
      </c>
      <c r="O1463" t="s">
        <v>2750</v>
      </c>
      <c r="P1463">
        <v>343.4346446</v>
      </c>
      <c r="Q1463">
        <v>1923234.01</v>
      </c>
      <c r="R1463">
        <v>4.76992562</v>
      </c>
      <c r="S1463">
        <v>26711.58347</v>
      </c>
      <c r="T1463">
        <v>467730.5</v>
      </c>
    </row>
    <row r="1464" spans="1:20">
      <c r="A1464" t="s">
        <v>20</v>
      </c>
      <c r="B1464" t="s">
        <v>565</v>
      </c>
      <c r="C1464">
        <v>301049751</v>
      </c>
      <c r="D1464">
        <v>73239990</v>
      </c>
      <c r="E1464" t="s">
        <v>2179</v>
      </c>
      <c r="N1464">
        <v>1049.2</v>
      </c>
      <c r="O1464" t="s">
        <v>2750</v>
      </c>
      <c r="P1464">
        <v>333.987562</v>
      </c>
      <c r="Q1464">
        <v>350419.75</v>
      </c>
      <c r="R1464">
        <v>4.638716138</v>
      </c>
      <c r="S1464">
        <v>4866.940972</v>
      </c>
      <c r="T1464">
        <v>85222.10000000001</v>
      </c>
    </row>
    <row r="1465" spans="1:20">
      <c r="A1465" t="s">
        <v>20</v>
      </c>
      <c r="B1465" t="s">
        <v>565</v>
      </c>
      <c r="C1465">
        <v>301049751</v>
      </c>
      <c r="D1465">
        <v>73239990</v>
      </c>
      <c r="E1465" t="s">
        <v>2180</v>
      </c>
      <c r="N1465">
        <v>3943.5</v>
      </c>
      <c r="O1465" t="s">
        <v>2750</v>
      </c>
      <c r="P1465">
        <v>487.2427919</v>
      </c>
      <c r="Q1465">
        <v>1921441.95</v>
      </c>
      <c r="R1465">
        <v>6.767260999</v>
      </c>
      <c r="S1465">
        <v>26686.69375</v>
      </c>
      <c r="T1465">
        <v>467294.7</v>
      </c>
    </row>
    <row r="1466" spans="1:20">
      <c r="A1466" t="s">
        <v>20</v>
      </c>
      <c r="B1466" t="s">
        <v>566</v>
      </c>
      <c r="C1466">
        <v>301049751</v>
      </c>
      <c r="D1466">
        <v>73239990</v>
      </c>
      <c r="E1466" t="s">
        <v>2181</v>
      </c>
      <c r="N1466">
        <v>5100</v>
      </c>
      <c r="O1466" t="s">
        <v>2750</v>
      </c>
      <c r="P1466">
        <v>435.318549</v>
      </c>
      <c r="Q1466">
        <v>2220124.6</v>
      </c>
      <c r="R1466">
        <v>6.021003444</v>
      </c>
      <c r="S1466">
        <v>30707.11757</v>
      </c>
      <c r="T1466">
        <v>539934.3</v>
      </c>
    </row>
    <row r="1467" spans="1:20">
      <c r="A1467" t="s">
        <v>20</v>
      </c>
      <c r="B1467" t="s">
        <v>566</v>
      </c>
      <c r="C1467">
        <v>301049751</v>
      </c>
      <c r="D1467">
        <v>73239990</v>
      </c>
      <c r="E1467" t="s">
        <v>2182</v>
      </c>
      <c r="N1467">
        <v>8775</v>
      </c>
      <c r="O1467" t="s">
        <v>2750</v>
      </c>
      <c r="P1467">
        <v>453.6866382</v>
      </c>
      <c r="Q1467">
        <v>3981100.25</v>
      </c>
      <c r="R1467">
        <v>6.275057236</v>
      </c>
      <c r="S1467">
        <v>55063.62725</v>
      </c>
      <c r="T1467">
        <v>968203.6</v>
      </c>
    </row>
    <row r="1468" spans="1:20">
      <c r="A1468" t="s">
        <v>20</v>
      </c>
      <c r="B1468" t="s">
        <v>567</v>
      </c>
      <c r="C1468">
        <v>301049751</v>
      </c>
      <c r="D1468">
        <v>73231000</v>
      </c>
      <c r="E1468" t="s">
        <v>2183</v>
      </c>
      <c r="N1468">
        <v>7850</v>
      </c>
      <c r="O1468" t="s">
        <v>2750</v>
      </c>
      <c r="P1468">
        <v>255.7208038</v>
      </c>
      <c r="Q1468">
        <v>2007408.31</v>
      </c>
      <c r="R1468">
        <v>3.544293885</v>
      </c>
      <c r="S1468">
        <v>27822.707</v>
      </c>
      <c r="T1468">
        <v>621895.1</v>
      </c>
    </row>
    <row r="1469" spans="1:20">
      <c r="A1469" t="s">
        <v>20</v>
      </c>
      <c r="B1469" t="s">
        <v>567</v>
      </c>
      <c r="C1469">
        <v>301049751</v>
      </c>
      <c r="D1469">
        <v>73239990</v>
      </c>
      <c r="E1469" t="s">
        <v>2184</v>
      </c>
      <c r="N1469">
        <v>4770</v>
      </c>
      <c r="O1469" t="s">
        <v>2750</v>
      </c>
      <c r="P1469">
        <v>454.0877107</v>
      </c>
      <c r="Q1469">
        <v>2165998.38</v>
      </c>
      <c r="R1469">
        <v>6.293661964</v>
      </c>
      <c r="S1469">
        <v>30020.76757</v>
      </c>
      <c r="T1469">
        <v>526770.8</v>
      </c>
    </row>
    <row r="1470" spans="1:20">
      <c r="A1470" t="s">
        <v>20</v>
      </c>
      <c r="B1470" t="s">
        <v>567</v>
      </c>
      <c r="C1470">
        <v>301049751</v>
      </c>
      <c r="D1470">
        <v>73239990</v>
      </c>
      <c r="E1470" t="s">
        <v>2185</v>
      </c>
      <c r="N1470">
        <v>676.5</v>
      </c>
      <c r="O1470" t="s">
        <v>2750</v>
      </c>
      <c r="P1470">
        <v>484.4859719</v>
      </c>
      <c r="Q1470">
        <v>327754.76</v>
      </c>
      <c r="R1470">
        <v>6.714982286</v>
      </c>
      <c r="S1470">
        <v>4542.685516</v>
      </c>
      <c r="T1470">
        <v>79709.89999999999</v>
      </c>
    </row>
    <row r="1471" spans="1:20">
      <c r="A1471" t="s">
        <v>20</v>
      </c>
      <c r="B1471" t="s">
        <v>567</v>
      </c>
      <c r="C1471">
        <v>301049751</v>
      </c>
      <c r="D1471">
        <v>73239990</v>
      </c>
      <c r="E1471" t="s">
        <v>2186</v>
      </c>
      <c r="N1471">
        <v>425</v>
      </c>
      <c r="O1471" t="s">
        <v>2750</v>
      </c>
      <c r="P1471">
        <v>831.0165882</v>
      </c>
      <c r="Q1471">
        <v>353182.05</v>
      </c>
      <c r="R1471">
        <v>11.51790143</v>
      </c>
      <c r="S1471">
        <v>4895.108108</v>
      </c>
      <c r="T1471">
        <v>85893.89999999999</v>
      </c>
    </row>
    <row r="1472" spans="1:20">
      <c r="A1472" t="s">
        <v>20</v>
      </c>
      <c r="B1472" t="s">
        <v>567</v>
      </c>
      <c r="C1472">
        <v>301049751</v>
      </c>
      <c r="D1472">
        <v>73239990</v>
      </c>
      <c r="E1472" t="s">
        <v>2187</v>
      </c>
      <c r="N1472">
        <v>3360</v>
      </c>
      <c r="O1472" t="s">
        <v>2750</v>
      </c>
      <c r="P1472">
        <v>341.9555685</v>
      </c>
      <c r="Q1472">
        <v>1148970.71</v>
      </c>
      <c r="R1472">
        <v>4.739508918</v>
      </c>
      <c r="S1472">
        <v>15924.74997</v>
      </c>
      <c r="T1472">
        <v>279429.7</v>
      </c>
    </row>
    <row r="1473" spans="1:20">
      <c r="A1473" t="s">
        <v>20</v>
      </c>
      <c r="B1473" t="s">
        <v>568</v>
      </c>
      <c r="C1473">
        <v>301049751</v>
      </c>
      <c r="D1473">
        <v>73239990</v>
      </c>
      <c r="E1473" t="s">
        <v>2188</v>
      </c>
      <c r="N1473">
        <v>2541</v>
      </c>
      <c r="O1473" t="s">
        <v>2750</v>
      </c>
      <c r="P1473">
        <v>486.521649</v>
      </c>
      <c r="Q1473">
        <v>1236251.51</v>
      </c>
      <c r="R1473">
        <v>6.743196798</v>
      </c>
      <c r="S1473">
        <v>17134.46306</v>
      </c>
      <c r="T1473">
        <v>300656.4</v>
      </c>
    </row>
    <row r="1474" spans="1:20">
      <c r="A1474" t="s">
        <v>20</v>
      </c>
      <c r="B1474" t="s">
        <v>568</v>
      </c>
      <c r="C1474">
        <v>301049751</v>
      </c>
      <c r="D1474">
        <v>73239990</v>
      </c>
      <c r="E1474" t="s">
        <v>2189</v>
      </c>
      <c r="N1474">
        <v>5497.4</v>
      </c>
      <c r="O1474" t="s">
        <v>2750</v>
      </c>
      <c r="P1474">
        <v>349.4416724</v>
      </c>
      <c r="Q1474">
        <v>1921020.65</v>
      </c>
      <c r="R1474">
        <v>4.843266423</v>
      </c>
      <c r="S1474">
        <v>26625.37283</v>
      </c>
      <c r="T1474">
        <v>467192.3</v>
      </c>
    </row>
    <row r="1475" spans="1:20">
      <c r="A1475" t="s">
        <v>20</v>
      </c>
      <c r="B1475" t="s">
        <v>568</v>
      </c>
      <c r="C1475">
        <v>301049751</v>
      </c>
      <c r="D1475">
        <v>73239990</v>
      </c>
      <c r="E1475" t="s">
        <v>2190</v>
      </c>
      <c r="N1475">
        <v>15408</v>
      </c>
      <c r="O1475" t="s">
        <v>2750</v>
      </c>
      <c r="P1475">
        <v>336.3336364</v>
      </c>
      <c r="Q1475">
        <v>5182228.67</v>
      </c>
      <c r="R1475">
        <v>4.661588862</v>
      </c>
      <c r="S1475">
        <v>71825.76119</v>
      </c>
      <c r="T1475">
        <v>1260318.1</v>
      </c>
    </row>
    <row r="1476" spans="1:20">
      <c r="A1476" t="s">
        <v>20</v>
      </c>
      <c r="B1476" t="s">
        <v>569</v>
      </c>
      <c r="C1476">
        <v>301049751</v>
      </c>
      <c r="D1476">
        <v>73239990</v>
      </c>
      <c r="E1476" t="s">
        <v>2191</v>
      </c>
      <c r="N1476">
        <v>6210</v>
      </c>
      <c r="O1476" t="s">
        <v>2750</v>
      </c>
      <c r="P1476">
        <v>444.0062625</v>
      </c>
      <c r="Q1476">
        <v>2757278.89</v>
      </c>
      <c r="R1476">
        <v>6.153932952</v>
      </c>
      <c r="S1476">
        <v>38215.92363</v>
      </c>
      <c r="T1476">
        <v>670570.3</v>
      </c>
    </row>
    <row r="1477" spans="1:20">
      <c r="A1477" t="s">
        <v>20</v>
      </c>
      <c r="B1477" t="s">
        <v>570</v>
      </c>
      <c r="C1477">
        <v>301049751</v>
      </c>
      <c r="D1477">
        <v>73239990</v>
      </c>
      <c r="E1477" t="s">
        <v>2192</v>
      </c>
      <c r="N1477">
        <v>2330.2</v>
      </c>
      <c r="O1477" t="s">
        <v>2750</v>
      </c>
      <c r="P1477">
        <v>957.923689</v>
      </c>
      <c r="Q1477">
        <v>2232153.78</v>
      </c>
      <c r="R1477">
        <v>13.26764112</v>
      </c>
      <c r="S1477">
        <v>30916.25734</v>
      </c>
      <c r="T1477">
        <v>542859.8</v>
      </c>
    </row>
    <row r="1478" spans="1:20">
      <c r="A1478" t="s">
        <v>20</v>
      </c>
      <c r="B1478" t="s">
        <v>571</v>
      </c>
      <c r="C1478">
        <v>301049751</v>
      </c>
      <c r="D1478">
        <v>73239990</v>
      </c>
      <c r="E1478" t="s">
        <v>2193</v>
      </c>
      <c r="N1478">
        <v>10892</v>
      </c>
      <c r="O1478" t="s">
        <v>2750</v>
      </c>
      <c r="P1478">
        <v>389.172422</v>
      </c>
      <c r="Q1478">
        <v>4238866.02</v>
      </c>
      <c r="R1478">
        <v>5.39019975</v>
      </c>
      <c r="S1478">
        <v>58710.05568</v>
      </c>
      <c r="T1478">
        <v>1030892.3</v>
      </c>
    </row>
    <row r="1479" spans="1:20">
      <c r="A1479" t="s">
        <v>20</v>
      </c>
      <c r="B1479" t="s">
        <v>571</v>
      </c>
      <c r="C1479">
        <v>301049751</v>
      </c>
      <c r="D1479">
        <v>73239990</v>
      </c>
      <c r="E1479" t="s">
        <v>2194</v>
      </c>
      <c r="N1479">
        <v>6790</v>
      </c>
      <c r="O1479" t="s">
        <v>2750</v>
      </c>
      <c r="P1479">
        <v>395.5840059</v>
      </c>
      <c r="Q1479">
        <v>2686015.4</v>
      </c>
      <c r="R1479">
        <v>5.479002852</v>
      </c>
      <c r="S1479">
        <v>37202.42936</v>
      </c>
      <c r="T1479">
        <v>653239</v>
      </c>
    </row>
    <row r="1480" spans="1:20">
      <c r="A1480" t="s">
        <v>20</v>
      </c>
      <c r="B1480" t="s">
        <v>571</v>
      </c>
      <c r="C1480">
        <v>301049751</v>
      </c>
      <c r="D1480">
        <v>73239990</v>
      </c>
      <c r="E1480" t="s">
        <v>2195</v>
      </c>
      <c r="N1480">
        <v>10584.56</v>
      </c>
      <c r="O1480" t="s">
        <v>2750</v>
      </c>
      <c r="P1480">
        <v>379.6059496</v>
      </c>
      <c r="Q1480">
        <v>4017961.95</v>
      </c>
      <c r="R1480">
        <v>5.257700133</v>
      </c>
      <c r="S1480">
        <v>55650.44252</v>
      </c>
      <c r="T1480">
        <v>977168.3</v>
      </c>
    </row>
    <row r="1481" spans="1:20">
      <c r="A1481" t="s">
        <v>20</v>
      </c>
      <c r="B1481" t="s">
        <v>571</v>
      </c>
      <c r="C1481">
        <v>301049751</v>
      </c>
      <c r="D1481">
        <v>73239990</v>
      </c>
      <c r="E1481" t="s">
        <v>2196</v>
      </c>
      <c r="N1481">
        <v>9099.860000000001</v>
      </c>
      <c r="O1481" t="s">
        <v>2750</v>
      </c>
      <c r="P1481">
        <v>418.6964492</v>
      </c>
      <c r="Q1481">
        <v>3810079.07</v>
      </c>
      <c r="R1481">
        <v>5.799119795</v>
      </c>
      <c r="S1481">
        <v>52771.17825</v>
      </c>
      <c r="T1481">
        <v>926611.2</v>
      </c>
    </row>
    <row r="1482" spans="1:20">
      <c r="A1482" t="s">
        <v>20</v>
      </c>
      <c r="B1482" t="s">
        <v>572</v>
      </c>
      <c r="C1482">
        <v>301049751</v>
      </c>
      <c r="D1482">
        <v>73239990</v>
      </c>
      <c r="E1482" t="s">
        <v>2197</v>
      </c>
      <c r="N1482">
        <v>7897.5</v>
      </c>
      <c r="O1482" t="s">
        <v>2750</v>
      </c>
      <c r="P1482">
        <v>497.4352377</v>
      </c>
      <c r="Q1482">
        <v>3928494.79</v>
      </c>
      <c r="R1482">
        <v>6.832901617</v>
      </c>
      <c r="S1482">
        <v>53962.84052</v>
      </c>
      <c r="T1482">
        <v>955409.9</v>
      </c>
    </row>
    <row r="1483" spans="1:20">
      <c r="A1483" t="s">
        <v>20</v>
      </c>
      <c r="B1483" t="s">
        <v>573</v>
      </c>
      <c r="C1483">
        <v>301049751</v>
      </c>
      <c r="D1483">
        <v>73239990</v>
      </c>
      <c r="E1483" t="s">
        <v>2198</v>
      </c>
      <c r="N1483">
        <v>5250</v>
      </c>
      <c r="O1483" t="s">
        <v>2750</v>
      </c>
      <c r="P1483">
        <v>368.4725962</v>
      </c>
      <c r="Q1483">
        <v>1934481.13</v>
      </c>
      <c r="R1483">
        <v>5.061436761</v>
      </c>
      <c r="S1483">
        <v>26572.54299</v>
      </c>
      <c r="T1483">
        <v>470465.8</v>
      </c>
    </row>
    <row r="1484" spans="1:20">
      <c r="A1484" t="s">
        <v>20</v>
      </c>
      <c r="B1484" t="s">
        <v>573</v>
      </c>
      <c r="C1484">
        <v>301049751</v>
      </c>
      <c r="D1484">
        <v>73239990</v>
      </c>
      <c r="E1484" t="s">
        <v>2199</v>
      </c>
      <c r="N1484">
        <v>1120</v>
      </c>
      <c r="O1484" t="s">
        <v>2750</v>
      </c>
      <c r="P1484">
        <v>390.1157321</v>
      </c>
      <c r="Q1484">
        <v>436929.62</v>
      </c>
      <c r="R1484">
        <v>5.358732584</v>
      </c>
      <c r="S1484">
        <v>6001.780495</v>
      </c>
      <c r="T1484">
        <v>106261.3</v>
      </c>
    </row>
    <row r="1485" spans="1:20">
      <c r="A1485" t="s">
        <v>20</v>
      </c>
      <c r="B1485" t="s">
        <v>573</v>
      </c>
      <c r="C1485">
        <v>301049751</v>
      </c>
      <c r="D1485">
        <v>73239990</v>
      </c>
      <c r="E1485" t="s">
        <v>2200</v>
      </c>
      <c r="N1485">
        <v>2079</v>
      </c>
      <c r="O1485" t="s">
        <v>2750</v>
      </c>
      <c r="P1485">
        <v>491.2436748</v>
      </c>
      <c r="Q1485">
        <v>1021295.6</v>
      </c>
      <c r="R1485">
        <v>6.747852676</v>
      </c>
      <c r="S1485">
        <v>14028.78571</v>
      </c>
      <c r="T1485">
        <v>248379.2</v>
      </c>
    </row>
    <row r="1486" spans="1:20">
      <c r="A1486" t="s">
        <v>20</v>
      </c>
      <c r="B1486" t="s">
        <v>574</v>
      </c>
      <c r="C1486">
        <v>301049751</v>
      </c>
      <c r="D1486">
        <v>73239990</v>
      </c>
      <c r="E1486" t="s">
        <v>2201</v>
      </c>
      <c r="N1486">
        <v>1600</v>
      </c>
      <c r="O1486" t="s">
        <v>2750</v>
      </c>
      <c r="P1486">
        <v>217.9508688</v>
      </c>
      <c r="Q1486">
        <v>348721.39</v>
      </c>
      <c r="R1486">
        <v>2.993830615</v>
      </c>
      <c r="S1486">
        <v>4790.128984</v>
      </c>
      <c r="T1486">
        <v>84809</v>
      </c>
    </row>
    <row r="1487" spans="1:20">
      <c r="A1487" t="s">
        <v>20</v>
      </c>
      <c r="B1487" t="s">
        <v>575</v>
      </c>
      <c r="C1487">
        <v>301049751</v>
      </c>
      <c r="D1487">
        <v>73239990</v>
      </c>
      <c r="E1487" t="s">
        <v>2202</v>
      </c>
      <c r="N1487">
        <v>1200</v>
      </c>
      <c r="O1487" t="s">
        <v>2750</v>
      </c>
      <c r="P1487">
        <v>409.9267</v>
      </c>
      <c r="Q1487">
        <v>491912.04</v>
      </c>
      <c r="R1487">
        <v>5.705312457</v>
      </c>
      <c r="S1487">
        <v>6846.374948</v>
      </c>
      <c r="T1487">
        <v>119633</v>
      </c>
    </row>
    <row r="1488" spans="1:20">
      <c r="A1488" t="s">
        <v>20</v>
      </c>
      <c r="B1488" t="s">
        <v>575</v>
      </c>
      <c r="C1488">
        <v>301049751</v>
      </c>
      <c r="D1488">
        <v>73239990</v>
      </c>
      <c r="E1488" t="s">
        <v>2203</v>
      </c>
      <c r="N1488">
        <v>250</v>
      </c>
      <c r="O1488" t="s">
        <v>2750</v>
      </c>
      <c r="P1488">
        <v>354.91488</v>
      </c>
      <c r="Q1488">
        <v>88728.72</v>
      </c>
      <c r="R1488">
        <v>4.939664301</v>
      </c>
      <c r="S1488">
        <v>1234.916075</v>
      </c>
      <c r="T1488">
        <v>21578.9</v>
      </c>
    </row>
    <row r="1489" spans="1:20">
      <c r="A1489" t="s">
        <v>20</v>
      </c>
      <c r="B1489" t="s">
        <v>575</v>
      </c>
      <c r="C1489">
        <v>301049751</v>
      </c>
      <c r="D1489">
        <v>73239990</v>
      </c>
      <c r="E1489" t="s">
        <v>2204</v>
      </c>
      <c r="N1489">
        <v>397.5</v>
      </c>
      <c r="O1489" t="s">
        <v>2750</v>
      </c>
      <c r="P1489">
        <v>360.6069182</v>
      </c>
      <c r="Q1489">
        <v>143341.25</v>
      </c>
      <c r="R1489">
        <v>5.018885431</v>
      </c>
      <c r="S1489">
        <v>1995.006959</v>
      </c>
      <c r="T1489">
        <v>34860.6</v>
      </c>
    </row>
    <row r="1490" spans="1:20">
      <c r="A1490" t="s">
        <v>20</v>
      </c>
      <c r="B1490" t="s">
        <v>575</v>
      </c>
      <c r="C1490">
        <v>301049751</v>
      </c>
      <c r="D1490">
        <v>73239990</v>
      </c>
      <c r="E1490" t="s">
        <v>2205</v>
      </c>
      <c r="N1490">
        <v>357</v>
      </c>
      <c r="O1490" t="s">
        <v>2750</v>
      </c>
      <c r="P1490">
        <v>378.9238375</v>
      </c>
      <c r="Q1490">
        <v>135275.81</v>
      </c>
      <c r="R1490">
        <v>5.273818198</v>
      </c>
      <c r="S1490">
        <v>1882.753097</v>
      </c>
      <c r="T1490">
        <v>32899.1</v>
      </c>
    </row>
    <row r="1491" spans="1:20">
      <c r="A1491" t="s">
        <v>20</v>
      </c>
      <c r="B1491" t="s">
        <v>575</v>
      </c>
      <c r="C1491">
        <v>301049751</v>
      </c>
      <c r="D1491">
        <v>73239990</v>
      </c>
      <c r="E1491" t="s">
        <v>2206</v>
      </c>
      <c r="N1491">
        <v>360</v>
      </c>
      <c r="O1491" t="s">
        <v>2750</v>
      </c>
      <c r="P1491">
        <v>805.9525556</v>
      </c>
      <c r="Q1491">
        <v>290142.92</v>
      </c>
      <c r="R1491">
        <v>11.21715457</v>
      </c>
      <c r="S1491">
        <v>4038.175644</v>
      </c>
      <c r="T1491">
        <v>70562.7</v>
      </c>
    </row>
    <row r="1492" spans="1:20">
      <c r="A1492" t="s">
        <v>20</v>
      </c>
      <c r="B1492" t="s">
        <v>575</v>
      </c>
      <c r="C1492">
        <v>301049751</v>
      </c>
      <c r="D1492">
        <v>73231000</v>
      </c>
      <c r="E1492" t="s">
        <v>2207</v>
      </c>
      <c r="N1492">
        <v>7740</v>
      </c>
      <c r="O1492" t="s">
        <v>2750</v>
      </c>
      <c r="P1492">
        <v>208.3918734</v>
      </c>
      <c r="Q1492">
        <v>1612953.1</v>
      </c>
      <c r="R1492">
        <v>2.900374021</v>
      </c>
      <c r="S1492">
        <v>22448.89492</v>
      </c>
      <c r="T1492">
        <v>499692.8</v>
      </c>
    </row>
    <row r="1493" spans="1:20">
      <c r="A1493" t="s">
        <v>20</v>
      </c>
      <c r="B1493" t="s">
        <v>575</v>
      </c>
      <c r="C1493">
        <v>301049751</v>
      </c>
      <c r="D1493">
        <v>73239990</v>
      </c>
      <c r="E1493" t="s">
        <v>2208</v>
      </c>
      <c r="N1493">
        <v>470</v>
      </c>
      <c r="O1493" t="s">
        <v>2750</v>
      </c>
      <c r="P1493">
        <v>409.6624255</v>
      </c>
      <c r="Q1493">
        <v>192541.34</v>
      </c>
      <c r="R1493">
        <v>5.701634315</v>
      </c>
      <c r="S1493">
        <v>2679.768128</v>
      </c>
      <c r="T1493">
        <v>46826</v>
      </c>
    </row>
    <row r="1494" spans="1:20">
      <c r="A1494" t="s">
        <v>20</v>
      </c>
      <c r="B1494" t="s">
        <v>575</v>
      </c>
      <c r="C1494">
        <v>301049751</v>
      </c>
      <c r="D1494">
        <v>73239990</v>
      </c>
      <c r="E1494" t="s">
        <v>2209</v>
      </c>
      <c r="N1494">
        <v>280</v>
      </c>
      <c r="O1494" t="s">
        <v>2750</v>
      </c>
      <c r="P1494">
        <v>465.8257857</v>
      </c>
      <c r="Q1494">
        <v>130431.22</v>
      </c>
      <c r="R1494">
        <v>6.483309474</v>
      </c>
      <c r="S1494">
        <v>1815.326653</v>
      </c>
      <c r="T1494">
        <v>31720.8</v>
      </c>
    </row>
    <row r="1495" spans="1:20">
      <c r="A1495" t="s">
        <v>20</v>
      </c>
      <c r="B1495" t="s">
        <v>575</v>
      </c>
      <c r="C1495">
        <v>301049751</v>
      </c>
      <c r="D1495">
        <v>73239990</v>
      </c>
      <c r="E1495" t="s">
        <v>2210</v>
      </c>
      <c r="N1495">
        <v>4491.2</v>
      </c>
      <c r="O1495" t="s">
        <v>2750</v>
      </c>
      <c r="P1495">
        <v>345.9530215</v>
      </c>
      <c r="Q1495">
        <v>1553744.21</v>
      </c>
      <c r="R1495">
        <v>4.814934189</v>
      </c>
      <c r="S1495">
        <v>21624.83243</v>
      </c>
      <c r="T1495">
        <v>377870.5</v>
      </c>
    </row>
    <row r="1496" spans="1:20">
      <c r="A1496" t="s">
        <v>20</v>
      </c>
      <c r="B1496" t="s">
        <v>576</v>
      </c>
      <c r="C1496">
        <v>301049751</v>
      </c>
      <c r="D1496">
        <v>73239990</v>
      </c>
      <c r="E1496" t="s">
        <v>2211</v>
      </c>
      <c r="N1496">
        <v>6750</v>
      </c>
      <c r="O1496" t="s">
        <v>2750</v>
      </c>
      <c r="P1496">
        <v>442.7674815</v>
      </c>
      <c r="Q1496">
        <v>2988680.5</v>
      </c>
      <c r="R1496">
        <v>6.162386659</v>
      </c>
      <c r="S1496">
        <v>41596.10995</v>
      </c>
      <c r="T1496">
        <v>726847.1</v>
      </c>
    </row>
    <row r="1497" spans="1:20">
      <c r="A1497" t="s">
        <v>20</v>
      </c>
      <c r="B1497" t="s">
        <v>577</v>
      </c>
      <c r="C1497">
        <v>301049751</v>
      </c>
      <c r="D1497">
        <v>73239990</v>
      </c>
      <c r="E1497" t="s">
        <v>2212</v>
      </c>
      <c r="N1497">
        <v>3408</v>
      </c>
      <c r="O1497" t="s">
        <v>2750</v>
      </c>
      <c r="P1497">
        <v>468.32201</v>
      </c>
      <c r="Q1497">
        <v>1596041.41</v>
      </c>
      <c r="R1497">
        <v>6.518051635</v>
      </c>
      <c r="S1497">
        <v>22213.51997</v>
      </c>
      <c r="T1497">
        <v>388157.2</v>
      </c>
    </row>
    <row r="1498" spans="1:20">
      <c r="A1498" t="s">
        <v>20</v>
      </c>
      <c r="B1498" t="s">
        <v>577</v>
      </c>
      <c r="C1498">
        <v>301049751</v>
      </c>
      <c r="D1498">
        <v>73239990</v>
      </c>
      <c r="E1498" t="s">
        <v>2213</v>
      </c>
      <c r="N1498">
        <v>886.25</v>
      </c>
      <c r="O1498" t="s">
        <v>2750</v>
      </c>
      <c r="P1498">
        <v>340.8534725</v>
      </c>
      <c r="Q1498">
        <v>302081.39</v>
      </c>
      <c r="R1498">
        <v>4.743959255</v>
      </c>
      <c r="S1498">
        <v>4204.33389</v>
      </c>
      <c r="T1498">
        <v>73466.10000000001</v>
      </c>
    </row>
    <row r="1499" spans="1:20">
      <c r="A1499" t="s">
        <v>20</v>
      </c>
      <c r="B1499" t="s">
        <v>577</v>
      </c>
      <c r="C1499">
        <v>301049751</v>
      </c>
      <c r="D1499">
        <v>73239990</v>
      </c>
      <c r="E1499" t="s">
        <v>2214</v>
      </c>
      <c r="N1499">
        <v>2310</v>
      </c>
      <c r="O1499" t="s">
        <v>2750</v>
      </c>
      <c r="P1499">
        <v>485.6370779</v>
      </c>
      <c r="Q1499">
        <v>1121821.65</v>
      </c>
      <c r="R1499">
        <v>6.75904075</v>
      </c>
      <c r="S1499">
        <v>15613.38413</v>
      </c>
      <c r="T1499">
        <v>272827</v>
      </c>
    </row>
    <row r="1500" spans="1:20">
      <c r="A1500" t="s">
        <v>20</v>
      </c>
      <c r="B1500" t="s">
        <v>577</v>
      </c>
      <c r="C1500">
        <v>301049751</v>
      </c>
      <c r="D1500">
        <v>73239990</v>
      </c>
      <c r="E1500" t="s">
        <v>2193</v>
      </c>
      <c r="N1500">
        <v>10892</v>
      </c>
      <c r="O1500" t="s">
        <v>2750</v>
      </c>
      <c r="P1500">
        <v>389.4048825</v>
      </c>
      <c r="Q1500">
        <v>4241397.98</v>
      </c>
      <c r="R1500">
        <v>5.419692171</v>
      </c>
      <c r="S1500">
        <v>59031.28713</v>
      </c>
      <c r="T1500">
        <v>1031508</v>
      </c>
    </row>
    <row r="1501" spans="1:20">
      <c r="A1501" t="s">
        <v>20</v>
      </c>
      <c r="B1501" t="s">
        <v>577</v>
      </c>
      <c r="C1501">
        <v>301049751</v>
      </c>
      <c r="D1501">
        <v>73239990</v>
      </c>
      <c r="E1501" t="s">
        <v>2215</v>
      </c>
      <c r="N1501">
        <v>660</v>
      </c>
      <c r="O1501" t="s">
        <v>2750</v>
      </c>
      <c r="P1501">
        <v>341.6159697</v>
      </c>
      <c r="Q1501">
        <v>225466.54</v>
      </c>
      <c r="R1501">
        <v>4.754571603</v>
      </c>
      <c r="S1501">
        <v>3138.017258</v>
      </c>
      <c r="T1501">
        <v>54833.5</v>
      </c>
    </row>
    <row r="1502" spans="1:20">
      <c r="A1502" t="s">
        <v>20</v>
      </c>
      <c r="B1502" t="s">
        <v>577</v>
      </c>
      <c r="C1502">
        <v>301049751</v>
      </c>
      <c r="D1502">
        <v>73239990</v>
      </c>
      <c r="E1502" t="s">
        <v>2216</v>
      </c>
      <c r="N1502">
        <v>12628</v>
      </c>
      <c r="O1502" t="s">
        <v>2750</v>
      </c>
      <c r="P1502">
        <v>379.8326964</v>
      </c>
      <c r="Q1502">
        <v>4796527.29</v>
      </c>
      <c r="R1502">
        <v>5.286467591</v>
      </c>
      <c r="S1502">
        <v>66757.51273</v>
      </c>
      <c r="T1502">
        <v>1166515.4</v>
      </c>
    </row>
    <row r="1503" spans="1:20">
      <c r="A1503" t="s">
        <v>20</v>
      </c>
      <c r="B1503" t="s">
        <v>577</v>
      </c>
      <c r="C1503">
        <v>301049751</v>
      </c>
      <c r="D1503">
        <v>73239990</v>
      </c>
      <c r="E1503" t="s">
        <v>2217</v>
      </c>
      <c r="N1503">
        <v>53.39</v>
      </c>
      <c r="O1503" t="s">
        <v>2750</v>
      </c>
      <c r="P1503">
        <v>492.3292751</v>
      </c>
      <c r="Q1503">
        <v>26285.46</v>
      </c>
      <c r="R1503">
        <v>6.852181978</v>
      </c>
      <c r="S1503">
        <v>365.8379958</v>
      </c>
      <c r="T1503">
        <v>6392.6</v>
      </c>
    </row>
    <row r="1504" spans="1:20">
      <c r="A1504" t="s">
        <v>20</v>
      </c>
      <c r="B1504" t="s">
        <v>577</v>
      </c>
      <c r="C1504">
        <v>301049751</v>
      </c>
      <c r="D1504">
        <v>73231000</v>
      </c>
      <c r="E1504" t="s">
        <v>2218</v>
      </c>
      <c r="N1504">
        <v>9065</v>
      </c>
      <c r="O1504" t="s">
        <v>2750</v>
      </c>
      <c r="P1504">
        <v>222.6762802</v>
      </c>
      <c r="Q1504">
        <v>2018560.48</v>
      </c>
      <c r="R1504">
        <v>3.099182745</v>
      </c>
      <c r="S1504">
        <v>28094.09158</v>
      </c>
      <c r="T1504">
        <v>625350</v>
      </c>
    </row>
    <row r="1505" spans="1:20">
      <c r="A1505" t="s">
        <v>20</v>
      </c>
      <c r="B1505" t="s">
        <v>577</v>
      </c>
      <c r="C1505">
        <v>301049751</v>
      </c>
      <c r="D1505">
        <v>73239990</v>
      </c>
      <c r="E1505" t="s">
        <v>2219</v>
      </c>
      <c r="N1505">
        <v>100.32</v>
      </c>
      <c r="O1505" t="s">
        <v>2750</v>
      </c>
      <c r="P1505">
        <v>418.946571</v>
      </c>
      <c r="Q1505">
        <v>42028.72</v>
      </c>
      <c r="R1505">
        <v>5.830849979</v>
      </c>
      <c r="S1505">
        <v>584.9508699</v>
      </c>
      <c r="T1505">
        <v>10221.4</v>
      </c>
    </row>
    <row r="1506" spans="1:20">
      <c r="A1506" t="s">
        <v>20</v>
      </c>
      <c r="B1506" t="s">
        <v>577</v>
      </c>
      <c r="C1506">
        <v>301049751</v>
      </c>
      <c r="D1506">
        <v>73239990</v>
      </c>
      <c r="E1506" t="s">
        <v>2220</v>
      </c>
      <c r="N1506">
        <v>7.7</v>
      </c>
      <c r="O1506" t="s">
        <v>2750</v>
      </c>
      <c r="P1506">
        <v>244.4480519</v>
      </c>
      <c r="Q1506">
        <v>1882.25</v>
      </c>
      <c r="R1506">
        <v>3.402199749</v>
      </c>
      <c r="S1506">
        <v>26.19693807</v>
      </c>
      <c r="T1506">
        <v>457.7</v>
      </c>
    </row>
    <row r="1507" spans="1:20">
      <c r="A1507" t="s">
        <v>20</v>
      </c>
      <c r="B1507" t="s">
        <v>577</v>
      </c>
      <c r="C1507">
        <v>301049751</v>
      </c>
      <c r="D1507">
        <v>73239990</v>
      </c>
      <c r="E1507" t="s">
        <v>2221</v>
      </c>
      <c r="N1507">
        <v>886.25</v>
      </c>
      <c r="O1507" t="s">
        <v>2750</v>
      </c>
      <c r="P1507">
        <v>466.8210437</v>
      </c>
      <c r="Q1507">
        <v>413720.15</v>
      </c>
      <c r="R1507">
        <v>6.49716136</v>
      </c>
      <c r="S1507">
        <v>5758.109255</v>
      </c>
      <c r="T1507">
        <v>100616.7</v>
      </c>
    </row>
    <row r="1508" spans="1:20">
      <c r="A1508" t="s">
        <v>20</v>
      </c>
      <c r="B1508" t="s">
        <v>577</v>
      </c>
      <c r="C1508">
        <v>301049751</v>
      </c>
      <c r="D1508">
        <v>73239990</v>
      </c>
      <c r="E1508" t="s">
        <v>2222</v>
      </c>
      <c r="N1508">
        <v>660</v>
      </c>
      <c r="O1508" t="s">
        <v>2750</v>
      </c>
      <c r="P1508">
        <v>514.0823333</v>
      </c>
      <c r="Q1508">
        <v>339294.34</v>
      </c>
      <c r="R1508">
        <v>7.154938529</v>
      </c>
      <c r="S1508">
        <v>4722.259429</v>
      </c>
      <c r="T1508">
        <v>82516.3</v>
      </c>
    </row>
    <row r="1509" spans="1:20">
      <c r="A1509" t="s">
        <v>20</v>
      </c>
      <c r="B1509" t="s">
        <v>577</v>
      </c>
      <c r="C1509">
        <v>301049751</v>
      </c>
      <c r="D1509">
        <v>73231000</v>
      </c>
      <c r="E1509" t="s">
        <v>2223</v>
      </c>
      <c r="N1509">
        <v>4851</v>
      </c>
      <c r="O1509" t="s">
        <v>2750</v>
      </c>
      <c r="P1509">
        <v>411.2260049</v>
      </c>
      <c r="Q1509">
        <v>1994857.35</v>
      </c>
      <c r="R1509">
        <v>5.723396033</v>
      </c>
      <c r="S1509">
        <v>27764.19415</v>
      </c>
      <c r="T1509">
        <v>618006.8</v>
      </c>
    </row>
    <row r="1510" spans="1:20">
      <c r="A1510" t="s">
        <v>20</v>
      </c>
      <c r="B1510" t="s">
        <v>578</v>
      </c>
      <c r="C1510">
        <v>301049751</v>
      </c>
      <c r="D1510">
        <v>73239990</v>
      </c>
      <c r="E1510" t="s">
        <v>2224</v>
      </c>
      <c r="N1510">
        <v>6566.4</v>
      </c>
      <c r="O1510" t="s">
        <v>2750</v>
      </c>
      <c r="P1510">
        <v>580.394979</v>
      </c>
      <c r="Q1510">
        <v>3811105.59</v>
      </c>
      <c r="R1510">
        <v>8.077870271</v>
      </c>
      <c r="S1510">
        <v>53042.52735</v>
      </c>
      <c r="T1510">
        <v>926861</v>
      </c>
    </row>
    <row r="1511" spans="1:20">
      <c r="A1511" t="s">
        <v>20</v>
      </c>
      <c r="B1511" t="s">
        <v>578</v>
      </c>
      <c r="C1511">
        <v>301049751</v>
      </c>
      <c r="D1511">
        <v>73239990</v>
      </c>
      <c r="E1511" t="s">
        <v>2225</v>
      </c>
      <c r="N1511">
        <v>132</v>
      </c>
      <c r="O1511" t="s">
        <v>2750</v>
      </c>
      <c r="P1511">
        <v>509.3348485</v>
      </c>
      <c r="Q1511">
        <v>67232.2</v>
      </c>
      <c r="R1511">
        <v>7.088863584</v>
      </c>
      <c r="S1511">
        <v>935.729993</v>
      </c>
      <c r="T1511">
        <v>16350.8</v>
      </c>
    </row>
    <row r="1512" spans="1:20">
      <c r="A1512" t="s">
        <v>20</v>
      </c>
      <c r="B1512" t="s">
        <v>578</v>
      </c>
      <c r="C1512">
        <v>301049751</v>
      </c>
      <c r="D1512">
        <v>73239990</v>
      </c>
      <c r="E1512" t="s">
        <v>2226</v>
      </c>
      <c r="N1512">
        <v>567</v>
      </c>
      <c r="O1512" t="s">
        <v>2750</v>
      </c>
      <c r="P1512">
        <v>597.8172487000001</v>
      </c>
      <c r="Q1512">
        <v>338962.38</v>
      </c>
      <c r="R1512">
        <v>8.320351408000001</v>
      </c>
      <c r="S1512">
        <v>4717.639248</v>
      </c>
      <c r="T1512">
        <v>82435.60000000001</v>
      </c>
    </row>
    <row r="1513" spans="1:20">
      <c r="A1513" t="s">
        <v>20</v>
      </c>
      <c r="B1513" t="s">
        <v>578</v>
      </c>
      <c r="C1513">
        <v>301049751</v>
      </c>
      <c r="D1513">
        <v>73239990</v>
      </c>
      <c r="E1513" t="s">
        <v>2227</v>
      </c>
      <c r="N1513">
        <v>4427.5</v>
      </c>
      <c r="O1513" t="s">
        <v>2750</v>
      </c>
      <c r="P1513">
        <v>252.9303377</v>
      </c>
      <c r="Q1513">
        <v>1119849.07</v>
      </c>
      <c r="R1513">
        <v>3.520255221</v>
      </c>
      <c r="S1513">
        <v>15585.92999</v>
      </c>
      <c r="T1513">
        <v>272347.3</v>
      </c>
    </row>
    <row r="1514" spans="1:20">
      <c r="A1514" t="s">
        <v>20</v>
      </c>
      <c r="B1514" t="s">
        <v>579</v>
      </c>
      <c r="C1514">
        <v>301049751</v>
      </c>
      <c r="D1514">
        <v>73239990</v>
      </c>
      <c r="E1514" t="s">
        <v>2228</v>
      </c>
      <c r="N1514">
        <v>103.2</v>
      </c>
      <c r="O1514" t="s">
        <v>2750</v>
      </c>
      <c r="P1514">
        <v>309.4916667</v>
      </c>
      <c r="Q1514">
        <v>31939.54</v>
      </c>
      <c r="R1514">
        <v>4.421309524</v>
      </c>
      <c r="S1514">
        <v>456.2791429</v>
      </c>
      <c r="T1514">
        <v>7767.8</v>
      </c>
    </row>
    <row r="1515" spans="1:20">
      <c r="A1515" t="s">
        <v>20</v>
      </c>
      <c r="B1515" t="s">
        <v>580</v>
      </c>
      <c r="C1515">
        <v>301049751</v>
      </c>
      <c r="D1515">
        <v>73239990</v>
      </c>
      <c r="E1515" t="s">
        <v>2229</v>
      </c>
      <c r="N1515">
        <v>87.5</v>
      </c>
      <c r="O1515" t="s">
        <v>2750</v>
      </c>
      <c r="P1515">
        <v>500.4611429</v>
      </c>
      <c r="Q1515">
        <v>43790.35</v>
      </c>
      <c r="R1515">
        <v>7.149444898</v>
      </c>
      <c r="S1515">
        <v>625.5764286</v>
      </c>
      <c r="T1515">
        <v>10649.8</v>
      </c>
    </row>
    <row r="1516" spans="1:20">
      <c r="A1516" t="s">
        <v>20</v>
      </c>
      <c r="B1516" t="s">
        <v>580</v>
      </c>
      <c r="C1516">
        <v>301049751</v>
      </c>
      <c r="D1516">
        <v>73239990</v>
      </c>
      <c r="E1516" t="s">
        <v>2230</v>
      </c>
      <c r="N1516">
        <v>68.8</v>
      </c>
      <c r="O1516" t="s">
        <v>2750</v>
      </c>
      <c r="P1516">
        <v>308.2264535</v>
      </c>
      <c r="Q1516">
        <v>21205.98</v>
      </c>
      <c r="R1516">
        <v>4.40323505</v>
      </c>
      <c r="S1516">
        <v>302.9425714</v>
      </c>
      <c r="T1516">
        <v>5157.3</v>
      </c>
    </row>
    <row r="1517" spans="1:20">
      <c r="A1517" t="s">
        <v>20</v>
      </c>
      <c r="B1517" t="s">
        <v>580</v>
      </c>
      <c r="C1517">
        <v>301049751</v>
      </c>
      <c r="D1517">
        <v>73239990</v>
      </c>
      <c r="E1517" t="s">
        <v>2231</v>
      </c>
      <c r="N1517">
        <v>57.6</v>
      </c>
      <c r="O1517" t="s">
        <v>2750</v>
      </c>
      <c r="P1517">
        <v>662.6869792</v>
      </c>
      <c r="Q1517">
        <v>38170.77</v>
      </c>
      <c r="R1517">
        <v>9.466956845</v>
      </c>
      <c r="S1517">
        <v>545.2967143</v>
      </c>
      <c r="T1517">
        <v>9283.200000000001</v>
      </c>
    </row>
    <row r="1518" spans="1:20">
      <c r="A1518" t="s">
        <v>20</v>
      </c>
      <c r="B1518" t="s">
        <v>580</v>
      </c>
      <c r="C1518">
        <v>301049751</v>
      </c>
      <c r="D1518">
        <v>73239990</v>
      </c>
      <c r="E1518" t="s">
        <v>2232</v>
      </c>
      <c r="N1518">
        <v>77</v>
      </c>
      <c r="O1518" t="s">
        <v>2750</v>
      </c>
      <c r="P1518">
        <v>586.3775325</v>
      </c>
      <c r="Q1518">
        <v>45151.07</v>
      </c>
      <c r="R1518">
        <v>8.376821892000001</v>
      </c>
      <c r="S1518">
        <v>645.0152857</v>
      </c>
      <c r="T1518">
        <v>10980.7</v>
      </c>
    </row>
    <row r="1519" spans="1:20">
      <c r="A1519" t="s">
        <v>20</v>
      </c>
      <c r="B1519" t="s">
        <v>580</v>
      </c>
      <c r="C1519">
        <v>301049751</v>
      </c>
      <c r="D1519">
        <v>73239990</v>
      </c>
      <c r="E1519" t="s">
        <v>2233</v>
      </c>
      <c r="N1519">
        <v>72</v>
      </c>
      <c r="O1519" t="s">
        <v>2750</v>
      </c>
      <c r="P1519">
        <v>667.5956944</v>
      </c>
      <c r="Q1519">
        <v>48066.89</v>
      </c>
      <c r="R1519">
        <v>9.537081348999999</v>
      </c>
      <c r="S1519">
        <v>686.6698570999999</v>
      </c>
      <c r="T1519">
        <v>11689.9</v>
      </c>
    </row>
    <row r="1520" spans="1:20">
      <c r="A1520" t="s">
        <v>20</v>
      </c>
      <c r="B1520" t="s">
        <v>581</v>
      </c>
      <c r="C1520">
        <v>301049751</v>
      </c>
      <c r="D1520">
        <v>73231000</v>
      </c>
      <c r="E1520" t="s">
        <v>2234</v>
      </c>
      <c r="N1520">
        <v>6401</v>
      </c>
      <c r="O1520" t="s">
        <v>2750</v>
      </c>
      <c r="P1520">
        <v>250.0773504</v>
      </c>
      <c r="Q1520">
        <v>1600745.12</v>
      </c>
      <c r="R1520">
        <v>3.572533577</v>
      </c>
      <c r="S1520">
        <v>22867.78743</v>
      </c>
      <c r="T1520">
        <v>495910.9</v>
      </c>
    </row>
    <row r="1521" spans="1:20">
      <c r="A1521" t="s">
        <v>20</v>
      </c>
      <c r="B1521" t="s">
        <v>582</v>
      </c>
      <c r="C1521">
        <v>301049751</v>
      </c>
      <c r="D1521">
        <v>73239990</v>
      </c>
      <c r="E1521" t="s">
        <v>2235</v>
      </c>
      <c r="N1521">
        <v>9095.68</v>
      </c>
      <c r="O1521" t="s">
        <v>2750</v>
      </c>
      <c r="P1521">
        <v>408.929748</v>
      </c>
      <c r="Q1521">
        <v>3719494.13</v>
      </c>
      <c r="R1521">
        <v>5.841853542</v>
      </c>
      <c r="S1521">
        <v>53135.63043</v>
      </c>
      <c r="T1521">
        <v>904580.9</v>
      </c>
    </row>
    <row r="1522" spans="1:20">
      <c r="A1522" t="s">
        <v>20</v>
      </c>
      <c r="B1522" t="s">
        <v>582</v>
      </c>
      <c r="C1522">
        <v>301049751</v>
      </c>
      <c r="D1522">
        <v>73239990</v>
      </c>
      <c r="E1522" t="s">
        <v>2236</v>
      </c>
      <c r="N1522">
        <v>6708.8</v>
      </c>
      <c r="O1522" t="s">
        <v>2750</v>
      </c>
      <c r="P1522">
        <v>346.9177409</v>
      </c>
      <c r="Q1522">
        <v>2327401.74</v>
      </c>
      <c r="R1522">
        <v>4.955967727</v>
      </c>
      <c r="S1522">
        <v>33248.59629</v>
      </c>
      <c r="T1522">
        <v>566024.1</v>
      </c>
    </row>
    <row r="1523" spans="1:20">
      <c r="A1523" t="s">
        <v>20</v>
      </c>
      <c r="B1523" t="s">
        <v>583</v>
      </c>
      <c r="C1523">
        <v>301049751</v>
      </c>
      <c r="D1523">
        <v>73231000</v>
      </c>
      <c r="E1523" t="s">
        <v>2237</v>
      </c>
      <c r="N1523">
        <v>4882</v>
      </c>
      <c r="O1523" t="s">
        <v>2750</v>
      </c>
      <c r="P1523">
        <v>400.6196374</v>
      </c>
      <c r="Q1523">
        <v>1955825.07</v>
      </c>
      <c r="R1523">
        <v>5.723137678</v>
      </c>
      <c r="S1523">
        <v>27940.35814</v>
      </c>
      <c r="T1523">
        <v>605914.7</v>
      </c>
    </row>
    <row r="1524" spans="1:20">
      <c r="A1524" t="s">
        <v>20</v>
      </c>
      <c r="B1524" t="s">
        <v>584</v>
      </c>
      <c r="C1524">
        <v>301049751</v>
      </c>
      <c r="D1524">
        <v>73239990</v>
      </c>
      <c r="E1524" t="s">
        <v>2238</v>
      </c>
      <c r="N1524">
        <v>1740.2</v>
      </c>
      <c r="O1524" t="s">
        <v>2746</v>
      </c>
      <c r="P1524">
        <v>246.9528215</v>
      </c>
      <c r="Q1524">
        <v>429747.3</v>
      </c>
      <c r="R1524">
        <v>3.545625578</v>
      </c>
      <c r="S1524">
        <v>6170.097631</v>
      </c>
      <c r="T1524">
        <v>104514.5</v>
      </c>
    </row>
    <row r="1525" spans="1:20">
      <c r="A1525" t="s">
        <v>20</v>
      </c>
      <c r="B1525" t="s">
        <v>584</v>
      </c>
      <c r="C1525">
        <v>301049751</v>
      </c>
      <c r="D1525">
        <v>73239990</v>
      </c>
      <c r="E1525" t="s">
        <v>2239</v>
      </c>
      <c r="N1525">
        <v>2310</v>
      </c>
      <c r="O1525" t="s">
        <v>2746</v>
      </c>
      <c r="P1525">
        <v>486.1632468</v>
      </c>
      <c r="Q1525">
        <v>1123037.1</v>
      </c>
      <c r="R1525">
        <v>6.980089688</v>
      </c>
      <c r="S1525">
        <v>16124.00718</v>
      </c>
      <c r="T1525">
        <v>273122.6</v>
      </c>
    </row>
    <row r="1526" spans="1:20">
      <c r="A1526" t="s">
        <v>20</v>
      </c>
      <c r="B1526" t="s">
        <v>584</v>
      </c>
      <c r="C1526">
        <v>301049751</v>
      </c>
      <c r="D1526">
        <v>73239990</v>
      </c>
      <c r="E1526" t="s">
        <v>2240</v>
      </c>
      <c r="N1526">
        <v>20</v>
      </c>
      <c r="O1526" t="s">
        <v>2746</v>
      </c>
      <c r="P1526">
        <v>3708.39</v>
      </c>
      <c r="Q1526">
        <v>74167.8</v>
      </c>
      <c r="R1526">
        <v>53.24321608</v>
      </c>
      <c r="S1526">
        <v>1064.864322</v>
      </c>
      <c r="T1526">
        <v>18037.7</v>
      </c>
    </row>
    <row r="1527" spans="1:20">
      <c r="A1527" t="s">
        <v>20</v>
      </c>
      <c r="B1527" t="s">
        <v>584</v>
      </c>
      <c r="C1527">
        <v>301049751</v>
      </c>
      <c r="D1527">
        <v>73239990</v>
      </c>
      <c r="E1527" t="s">
        <v>2241</v>
      </c>
      <c r="N1527">
        <v>1700</v>
      </c>
      <c r="O1527" t="s">
        <v>2746</v>
      </c>
      <c r="P1527">
        <v>469.0280176</v>
      </c>
      <c r="Q1527">
        <v>797347.63</v>
      </c>
      <c r="R1527">
        <v>6.734070605</v>
      </c>
      <c r="S1527">
        <v>11447.92003</v>
      </c>
      <c r="T1527">
        <v>193915</v>
      </c>
    </row>
    <row r="1528" spans="1:20">
      <c r="A1528" t="s">
        <v>20</v>
      </c>
      <c r="B1528" t="s">
        <v>585</v>
      </c>
      <c r="C1528">
        <v>301049751</v>
      </c>
      <c r="D1528">
        <v>73239990</v>
      </c>
      <c r="E1528" t="s">
        <v>2242</v>
      </c>
      <c r="N1528">
        <v>10892</v>
      </c>
      <c r="O1528" t="s">
        <v>2746</v>
      </c>
      <c r="P1528">
        <v>376.3297383</v>
      </c>
      <c r="Q1528">
        <v>4098983.51</v>
      </c>
      <c r="R1528">
        <v>5.403154894</v>
      </c>
      <c r="S1528">
        <v>58851.1631</v>
      </c>
      <c r="T1528">
        <v>996872.8</v>
      </c>
    </row>
    <row r="1529" spans="1:20">
      <c r="A1529" t="s">
        <v>20</v>
      </c>
      <c r="B1529" t="s">
        <v>585</v>
      </c>
      <c r="C1529">
        <v>301049751</v>
      </c>
      <c r="D1529">
        <v>73239990</v>
      </c>
      <c r="E1529" t="s">
        <v>2243</v>
      </c>
      <c r="N1529">
        <v>170</v>
      </c>
      <c r="O1529" t="s">
        <v>2746</v>
      </c>
      <c r="P1529">
        <v>267.9796471</v>
      </c>
      <c r="Q1529">
        <v>45556.54</v>
      </c>
      <c r="R1529">
        <v>3.847518264</v>
      </c>
      <c r="S1529">
        <v>654.0781048</v>
      </c>
      <c r="T1529">
        <v>11079.4</v>
      </c>
    </row>
    <row r="1530" spans="1:20">
      <c r="A1530" t="s">
        <v>20</v>
      </c>
      <c r="B1530" t="s">
        <v>585</v>
      </c>
      <c r="C1530">
        <v>301049751</v>
      </c>
      <c r="D1530">
        <v>73239990</v>
      </c>
      <c r="E1530" t="s">
        <v>2244</v>
      </c>
      <c r="N1530">
        <v>75</v>
      </c>
      <c r="O1530" t="s">
        <v>2746</v>
      </c>
      <c r="P1530">
        <v>762.2532</v>
      </c>
      <c r="Q1530">
        <v>57168.99</v>
      </c>
      <c r="R1530">
        <v>10.94405169</v>
      </c>
      <c r="S1530">
        <v>820.8038765</v>
      </c>
      <c r="T1530">
        <v>13903.5</v>
      </c>
    </row>
    <row r="1531" spans="1:20">
      <c r="A1531" t="s">
        <v>20</v>
      </c>
      <c r="B1531" t="s">
        <v>585</v>
      </c>
      <c r="C1531">
        <v>301049751</v>
      </c>
      <c r="D1531">
        <v>73239990</v>
      </c>
      <c r="E1531" t="s">
        <v>2245</v>
      </c>
      <c r="N1531">
        <v>1672</v>
      </c>
      <c r="O1531" t="s">
        <v>2746</v>
      </c>
      <c r="P1531">
        <v>507.7188397</v>
      </c>
      <c r="Q1531">
        <v>848905.9</v>
      </c>
      <c r="R1531">
        <v>7.289574152</v>
      </c>
      <c r="S1531">
        <v>12188.16798</v>
      </c>
      <c r="T1531">
        <v>206454</v>
      </c>
    </row>
    <row r="1532" spans="1:20">
      <c r="A1532" t="s">
        <v>20</v>
      </c>
      <c r="B1532" t="s">
        <v>585</v>
      </c>
      <c r="C1532">
        <v>301049751</v>
      </c>
      <c r="D1532">
        <v>73239990</v>
      </c>
      <c r="E1532" t="s">
        <v>2246</v>
      </c>
      <c r="N1532">
        <v>582.96</v>
      </c>
      <c r="O1532" t="s">
        <v>2746</v>
      </c>
      <c r="P1532">
        <v>487.7222622</v>
      </c>
      <c r="Q1532">
        <v>284322.57</v>
      </c>
      <c r="R1532">
        <v>7.002473256</v>
      </c>
      <c r="S1532">
        <v>4082.161809</v>
      </c>
      <c r="T1532">
        <v>69147.3</v>
      </c>
    </row>
    <row r="1533" spans="1:20">
      <c r="A1533" t="s">
        <v>20</v>
      </c>
      <c r="B1533" t="s">
        <v>585</v>
      </c>
      <c r="C1533">
        <v>301049751</v>
      </c>
      <c r="D1533">
        <v>73239990</v>
      </c>
      <c r="E1533" t="s">
        <v>2247</v>
      </c>
      <c r="N1533">
        <v>550</v>
      </c>
      <c r="O1533" t="s">
        <v>2746</v>
      </c>
      <c r="P1533">
        <v>530.7969818</v>
      </c>
      <c r="Q1533">
        <v>291938.34</v>
      </c>
      <c r="R1533">
        <v>7.620918619</v>
      </c>
      <c r="S1533">
        <v>4191.50524</v>
      </c>
      <c r="T1533">
        <v>70999.39999999999</v>
      </c>
    </row>
    <row r="1534" spans="1:20">
      <c r="A1534" t="s">
        <v>20</v>
      </c>
      <c r="B1534" t="s">
        <v>585</v>
      </c>
      <c r="C1534">
        <v>301049751</v>
      </c>
      <c r="D1534">
        <v>73239990</v>
      </c>
      <c r="E1534" t="s">
        <v>2248</v>
      </c>
      <c r="N1534">
        <v>487.5</v>
      </c>
      <c r="O1534" t="s">
        <v>2746</v>
      </c>
      <c r="P1534">
        <v>446.9661949</v>
      </c>
      <c r="Q1534">
        <v>217896.02</v>
      </c>
      <c r="R1534">
        <v>6.417317945</v>
      </c>
      <c r="S1534">
        <v>3128.442498</v>
      </c>
      <c r="T1534">
        <v>52992.4</v>
      </c>
    </row>
    <row r="1535" spans="1:20">
      <c r="A1535" t="s">
        <v>20</v>
      </c>
      <c r="B1535" t="s">
        <v>585</v>
      </c>
      <c r="C1535">
        <v>301049751</v>
      </c>
      <c r="D1535">
        <v>73239990</v>
      </c>
      <c r="E1535" t="s">
        <v>2249</v>
      </c>
      <c r="N1535">
        <v>5802.65</v>
      </c>
      <c r="O1535" t="s">
        <v>2746</v>
      </c>
      <c r="P1535">
        <v>475.798206</v>
      </c>
      <c r="Q1535">
        <v>2760890.46</v>
      </c>
      <c r="R1535">
        <v>6.831273596</v>
      </c>
      <c r="S1535">
        <v>39639.48973</v>
      </c>
      <c r="T1535">
        <v>671448.5</v>
      </c>
    </row>
    <row r="1536" spans="1:20">
      <c r="A1536" t="s">
        <v>20</v>
      </c>
      <c r="B1536" t="s">
        <v>585</v>
      </c>
      <c r="C1536">
        <v>301049751</v>
      </c>
      <c r="D1536">
        <v>73239990</v>
      </c>
      <c r="E1536" t="s">
        <v>2250</v>
      </c>
      <c r="N1536">
        <v>6847.4</v>
      </c>
      <c r="O1536" t="s">
        <v>2746</v>
      </c>
      <c r="P1536">
        <v>389.7201872</v>
      </c>
      <c r="Q1536">
        <v>2668570.01</v>
      </c>
      <c r="R1536">
        <v>5.595408287</v>
      </c>
      <c r="S1536">
        <v>38313.99871</v>
      </c>
      <c r="T1536">
        <v>648996.2</v>
      </c>
    </row>
    <row r="1537" spans="1:20">
      <c r="A1537" t="s">
        <v>20</v>
      </c>
      <c r="B1537" t="s">
        <v>585</v>
      </c>
      <c r="C1537">
        <v>301049751</v>
      </c>
      <c r="D1537">
        <v>73239990</v>
      </c>
      <c r="E1537" t="s">
        <v>2251</v>
      </c>
      <c r="N1537">
        <v>10906</v>
      </c>
      <c r="O1537" t="s">
        <v>2746</v>
      </c>
      <c r="P1537">
        <v>367.0789593</v>
      </c>
      <c r="Q1537">
        <v>4003363.13</v>
      </c>
      <c r="R1537">
        <v>5.270336817</v>
      </c>
      <c r="S1537">
        <v>57478.29332</v>
      </c>
      <c r="T1537">
        <v>973617.9</v>
      </c>
    </row>
    <row r="1538" spans="1:20">
      <c r="A1538" t="s">
        <v>20</v>
      </c>
      <c r="B1538" t="s">
        <v>585</v>
      </c>
      <c r="C1538">
        <v>301049751</v>
      </c>
      <c r="D1538">
        <v>73239990</v>
      </c>
      <c r="E1538" t="s">
        <v>2252</v>
      </c>
      <c r="N1538">
        <v>756</v>
      </c>
      <c r="O1538" t="s">
        <v>2746</v>
      </c>
      <c r="P1538">
        <v>459.767619</v>
      </c>
      <c r="Q1538">
        <v>347584.32</v>
      </c>
      <c r="R1538">
        <v>6.601114416</v>
      </c>
      <c r="S1538">
        <v>4990.442498</v>
      </c>
      <c r="T1538">
        <v>84532.39999999999</v>
      </c>
    </row>
    <row r="1539" spans="1:20">
      <c r="A1539" t="s">
        <v>20</v>
      </c>
      <c r="B1539" t="s">
        <v>586</v>
      </c>
      <c r="C1539">
        <v>301049751</v>
      </c>
      <c r="D1539">
        <v>73239990</v>
      </c>
      <c r="E1539" t="s">
        <v>2253</v>
      </c>
      <c r="N1539">
        <v>2702.7</v>
      </c>
      <c r="O1539" t="s">
        <v>2746</v>
      </c>
      <c r="P1539">
        <v>251.5444555</v>
      </c>
      <c r="Q1539">
        <v>679849.2</v>
      </c>
      <c r="R1539">
        <v>3.611549972</v>
      </c>
      <c r="S1539">
        <v>9760.936109</v>
      </c>
      <c r="T1539">
        <v>165339.3</v>
      </c>
    </row>
    <row r="1540" spans="1:20">
      <c r="A1540" t="s">
        <v>20</v>
      </c>
      <c r="B1540" t="s">
        <v>586</v>
      </c>
      <c r="C1540">
        <v>301049751</v>
      </c>
      <c r="D1540">
        <v>73239990</v>
      </c>
      <c r="E1540" t="s">
        <v>2254</v>
      </c>
      <c r="N1540">
        <v>2330.2</v>
      </c>
      <c r="O1540" t="s">
        <v>2746</v>
      </c>
      <c r="P1540">
        <v>933.1311175</v>
      </c>
      <c r="Q1540">
        <v>2174382.13</v>
      </c>
      <c r="R1540">
        <v>13.39743169</v>
      </c>
      <c r="S1540">
        <v>31218.69533</v>
      </c>
      <c r="T1540">
        <v>528809.7</v>
      </c>
    </row>
    <row r="1541" spans="1:20">
      <c r="A1541" t="s">
        <v>20</v>
      </c>
      <c r="B1541" t="s">
        <v>586</v>
      </c>
      <c r="C1541">
        <v>301049751</v>
      </c>
      <c r="D1541">
        <v>73239990</v>
      </c>
      <c r="E1541" t="s">
        <v>2255</v>
      </c>
      <c r="N1541">
        <v>1742.5</v>
      </c>
      <c r="O1541" t="s">
        <v>2746</v>
      </c>
      <c r="P1541">
        <v>432.1193171</v>
      </c>
      <c r="Q1541">
        <v>752967.91</v>
      </c>
      <c r="R1541">
        <v>6.20415387</v>
      </c>
      <c r="S1541">
        <v>10810.73812</v>
      </c>
      <c r="T1541">
        <v>183121.8</v>
      </c>
    </row>
    <row r="1542" spans="1:20">
      <c r="A1542" t="s">
        <v>20</v>
      </c>
      <c r="B1542" t="s">
        <v>587</v>
      </c>
      <c r="C1542">
        <v>301049751</v>
      </c>
      <c r="D1542">
        <v>73239990</v>
      </c>
      <c r="E1542" t="s">
        <v>2256</v>
      </c>
      <c r="N1542">
        <v>19008</v>
      </c>
      <c r="O1542" t="s">
        <v>2746</v>
      </c>
      <c r="P1542">
        <v>175.0491614</v>
      </c>
      <c r="Q1542">
        <v>3327334.46</v>
      </c>
      <c r="R1542">
        <v>2.509665396</v>
      </c>
      <c r="S1542">
        <v>47703.71986</v>
      </c>
      <c r="T1542">
        <v>809207.7</v>
      </c>
    </row>
    <row r="1543" spans="1:20">
      <c r="A1543" t="s">
        <v>20</v>
      </c>
      <c r="B1543" t="s">
        <v>587</v>
      </c>
      <c r="C1543">
        <v>301049751</v>
      </c>
      <c r="D1543">
        <v>73239990</v>
      </c>
      <c r="E1543" t="s">
        <v>2257</v>
      </c>
      <c r="N1543">
        <v>100</v>
      </c>
      <c r="O1543" t="s">
        <v>2746</v>
      </c>
      <c r="P1543">
        <v>308.5901</v>
      </c>
      <c r="Q1543">
        <v>30859.01</v>
      </c>
      <c r="R1543">
        <v>4.424230824</v>
      </c>
      <c r="S1543">
        <v>442.4230824</v>
      </c>
      <c r="T1543">
        <v>7504.9</v>
      </c>
    </row>
    <row r="1544" spans="1:20">
      <c r="A1544" t="s">
        <v>20</v>
      </c>
      <c r="B1544" t="s">
        <v>588</v>
      </c>
      <c r="C1544">
        <v>301049751</v>
      </c>
      <c r="D1544">
        <v>73239990</v>
      </c>
      <c r="E1544" t="s">
        <v>2258</v>
      </c>
      <c r="N1544">
        <v>3910</v>
      </c>
      <c r="O1544" t="s">
        <v>2746</v>
      </c>
      <c r="P1544">
        <v>426.9937519</v>
      </c>
      <c r="Q1544">
        <v>1669545.57</v>
      </c>
      <c r="R1544">
        <v>6.121774221</v>
      </c>
      <c r="S1544">
        <v>23936.1372</v>
      </c>
      <c r="T1544">
        <v>406033.6</v>
      </c>
    </row>
    <row r="1545" spans="1:20">
      <c r="A1545" t="s">
        <v>20</v>
      </c>
      <c r="B1545" t="s">
        <v>588</v>
      </c>
      <c r="C1545">
        <v>301049751</v>
      </c>
      <c r="D1545">
        <v>73239990</v>
      </c>
      <c r="E1545" t="s">
        <v>2259</v>
      </c>
      <c r="N1545">
        <v>69.5</v>
      </c>
      <c r="O1545" t="s">
        <v>2746</v>
      </c>
      <c r="P1545">
        <v>630.0835971</v>
      </c>
      <c r="Q1545">
        <v>43790.81</v>
      </c>
      <c r="R1545">
        <v>9.03345659</v>
      </c>
      <c r="S1545">
        <v>627.825233</v>
      </c>
      <c r="T1545">
        <v>10649.9</v>
      </c>
    </row>
    <row r="1546" spans="1:20">
      <c r="A1546" t="s">
        <v>20</v>
      </c>
      <c r="B1546" t="s">
        <v>588</v>
      </c>
      <c r="C1546">
        <v>301049751</v>
      </c>
      <c r="D1546">
        <v>73239990</v>
      </c>
      <c r="E1546" t="s">
        <v>2260</v>
      </c>
      <c r="N1546">
        <v>3477.6</v>
      </c>
      <c r="O1546" t="s">
        <v>2746</v>
      </c>
      <c r="P1546">
        <v>580.9035368999999</v>
      </c>
      <c r="Q1546">
        <v>2020150.14</v>
      </c>
      <c r="R1546">
        <v>8.328366121</v>
      </c>
      <c r="S1546">
        <v>28962.72602</v>
      </c>
      <c r="T1546">
        <v>491300.5</v>
      </c>
    </row>
    <row r="1547" spans="1:20">
      <c r="A1547" t="s">
        <v>20</v>
      </c>
      <c r="B1547" t="s">
        <v>589</v>
      </c>
      <c r="C1547">
        <v>301049751</v>
      </c>
      <c r="D1547">
        <v>73239990</v>
      </c>
      <c r="E1547" t="s">
        <v>2261</v>
      </c>
      <c r="N1547">
        <v>5038.2</v>
      </c>
      <c r="O1547" t="s">
        <v>2746</v>
      </c>
      <c r="P1547">
        <v>581.0765412</v>
      </c>
      <c r="Q1547">
        <v>2927579.83</v>
      </c>
      <c r="R1547">
        <v>8.330846469000001</v>
      </c>
      <c r="S1547">
        <v>41972.47068</v>
      </c>
      <c r="T1547">
        <v>711987.4</v>
      </c>
    </row>
    <row r="1548" spans="1:20">
      <c r="A1548" t="s">
        <v>20</v>
      </c>
      <c r="B1548" t="s">
        <v>589</v>
      </c>
      <c r="C1548">
        <v>301049751</v>
      </c>
      <c r="D1548">
        <v>73239990</v>
      </c>
      <c r="E1548" t="s">
        <v>2262</v>
      </c>
      <c r="N1548">
        <v>2040</v>
      </c>
      <c r="O1548" t="s">
        <v>2746</v>
      </c>
      <c r="P1548">
        <v>427.1209167</v>
      </c>
      <c r="Q1548">
        <v>871326.67</v>
      </c>
      <c r="R1548">
        <v>6.123597372</v>
      </c>
      <c r="S1548">
        <v>12492.13864</v>
      </c>
      <c r="T1548">
        <v>211906.7</v>
      </c>
    </row>
    <row r="1549" spans="1:20">
      <c r="A1549" t="s">
        <v>20</v>
      </c>
      <c r="B1549" t="s">
        <v>590</v>
      </c>
      <c r="C1549">
        <v>301049751</v>
      </c>
      <c r="D1549">
        <v>73239990</v>
      </c>
      <c r="E1549" t="s">
        <v>2263</v>
      </c>
      <c r="N1549">
        <v>5600</v>
      </c>
      <c r="O1549" t="s">
        <v>2746</v>
      </c>
      <c r="P1549">
        <v>345.4088411</v>
      </c>
      <c r="Q1549">
        <v>1934289.51</v>
      </c>
      <c r="R1549">
        <v>4.95209808</v>
      </c>
      <c r="S1549">
        <v>27731.74925</v>
      </c>
      <c r="T1549">
        <v>470419.3</v>
      </c>
    </row>
    <row r="1550" spans="1:20">
      <c r="A1550" t="s">
        <v>20</v>
      </c>
      <c r="B1550" t="s">
        <v>590</v>
      </c>
      <c r="C1550">
        <v>301049751</v>
      </c>
      <c r="D1550">
        <v>73239990</v>
      </c>
      <c r="E1550" t="s">
        <v>2264</v>
      </c>
      <c r="N1550">
        <v>800</v>
      </c>
      <c r="O1550" t="s">
        <v>2746</v>
      </c>
      <c r="P1550">
        <v>346.4905875</v>
      </c>
      <c r="Q1550">
        <v>277192.47</v>
      </c>
      <c r="R1550">
        <v>4.967606989</v>
      </c>
      <c r="S1550">
        <v>3974.085591</v>
      </c>
      <c r="T1550">
        <v>67413.10000000001</v>
      </c>
    </row>
    <row r="1551" spans="1:20">
      <c r="A1551" t="s">
        <v>20</v>
      </c>
      <c r="B1551" t="s">
        <v>590</v>
      </c>
      <c r="C1551">
        <v>301049751</v>
      </c>
      <c r="D1551">
        <v>73239990</v>
      </c>
      <c r="E1551" t="s">
        <v>2265</v>
      </c>
      <c r="N1551">
        <v>154</v>
      </c>
      <c r="O1551" t="s">
        <v>2746</v>
      </c>
      <c r="P1551">
        <v>248.813961</v>
      </c>
      <c r="Q1551">
        <v>38317.35</v>
      </c>
      <c r="R1551">
        <v>3.567225248</v>
      </c>
      <c r="S1551">
        <v>549.3526882</v>
      </c>
      <c r="T1551">
        <v>9318.799999999999</v>
      </c>
    </row>
    <row r="1552" spans="1:20">
      <c r="A1552" t="s">
        <v>20</v>
      </c>
      <c r="B1552" t="s">
        <v>591</v>
      </c>
      <c r="C1552">
        <v>301049751</v>
      </c>
      <c r="D1552">
        <v>73239990</v>
      </c>
      <c r="E1552" t="s">
        <v>2266</v>
      </c>
      <c r="N1552">
        <v>42</v>
      </c>
      <c r="O1552" t="s">
        <v>2746</v>
      </c>
      <c r="P1552">
        <v>129.4809524</v>
      </c>
      <c r="Q1552">
        <v>5438.2</v>
      </c>
      <c r="R1552">
        <v>1.839218074</v>
      </c>
      <c r="S1552">
        <v>77.24715909</v>
      </c>
      <c r="T1552">
        <v>1322.6</v>
      </c>
    </row>
    <row r="1553" spans="1:20">
      <c r="A1553" t="s">
        <v>20</v>
      </c>
      <c r="B1553" t="s">
        <v>592</v>
      </c>
      <c r="C1553">
        <v>301049751</v>
      </c>
      <c r="D1553">
        <v>73239990</v>
      </c>
      <c r="E1553" t="s">
        <v>2267</v>
      </c>
      <c r="N1553">
        <v>8008</v>
      </c>
      <c r="O1553" t="s">
        <v>2746</v>
      </c>
      <c r="P1553">
        <v>317.5752248</v>
      </c>
      <c r="Q1553">
        <v>2543142.4</v>
      </c>
      <c r="R1553">
        <v>4.511011716</v>
      </c>
      <c r="S1553">
        <v>36124.18182</v>
      </c>
      <c r="T1553">
        <v>618492.2</v>
      </c>
    </row>
    <row r="1554" spans="1:20">
      <c r="A1554" t="s">
        <v>20</v>
      </c>
      <c r="B1554" t="s">
        <v>592</v>
      </c>
      <c r="C1554">
        <v>301049751</v>
      </c>
      <c r="D1554">
        <v>73239990</v>
      </c>
      <c r="E1554" t="s">
        <v>2268</v>
      </c>
      <c r="N1554">
        <v>23760</v>
      </c>
      <c r="O1554" t="s">
        <v>2746</v>
      </c>
      <c r="P1554">
        <v>175.4253253</v>
      </c>
      <c r="Q1554">
        <v>4168105.73</v>
      </c>
      <c r="R1554">
        <v>2.491837008</v>
      </c>
      <c r="S1554">
        <v>59206.0473</v>
      </c>
      <c r="T1554">
        <v>1013683.4</v>
      </c>
    </row>
    <row r="1555" spans="1:20">
      <c r="A1555" t="s">
        <v>20</v>
      </c>
      <c r="B1555" t="s">
        <v>592</v>
      </c>
      <c r="C1555">
        <v>301049751</v>
      </c>
      <c r="D1555">
        <v>73239990</v>
      </c>
      <c r="E1555" t="s">
        <v>2269</v>
      </c>
      <c r="N1555">
        <v>7012.8</v>
      </c>
      <c r="O1555" t="s">
        <v>2746</v>
      </c>
      <c r="P1555">
        <v>496.8903776</v>
      </c>
      <c r="Q1555">
        <v>3484592.84</v>
      </c>
      <c r="R1555">
        <v>7.058101954</v>
      </c>
      <c r="S1555">
        <v>49497.05739</v>
      </c>
      <c r="T1555">
        <v>847453</v>
      </c>
    </row>
    <row r="1556" spans="1:20">
      <c r="A1556" t="s">
        <v>20</v>
      </c>
      <c r="B1556" t="s">
        <v>592</v>
      </c>
      <c r="C1556">
        <v>301049751</v>
      </c>
      <c r="D1556">
        <v>73239990</v>
      </c>
      <c r="E1556" t="s">
        <v>2270</v>
      </c>
      <c r="N1556">
        <v>6750</v>
      </c>
      <c r="O1556" t="s">
        <v>2746</v>
      </c>
      <c r="P1556">
        <v>432.2688889</v>
      </c>
      <c r="Q1556">
        <v>2917815</v>
      </c>
      <c r="R1556">
        <v>6.140183081</v>
      </c>
      <c r="S1556">
        <v>41446.2358</v>
      </c>
      <c r="T1556">
        <v>709612.7</v>
      </c>
    </row>
    <row r="1557" spans="1:20">
      <c r="A1557" t="s">
        <v>20</v>
      </c>
      <c r="B1557" t="s">
        <v>593</v>
      </c>
      <c r="C1557">
        <v>301049751</v>
      </c>
      <c r="D1557">
        <v>73239990</v>
      </c>
      <c r="E1557" t="s">
        <v>2271</v>
      </c>
      <c r="N1557">
        <v>1267.2</v>
      </c>
      <c r="O1557" t="s">
        <v>2746</v>
      </c>
      <c r="P1557">
        <v>489.4924953</v>
      </c>
      <c r="Q1557">
        <v>620284.89</v>
      </c>
      <c r="R1557">
        <v>6.953018399</v>
      </c>
      <c r="S1557">
        <v>8810.864915</v>
      </c>
      <c r="T1557">
        <v>150853.3</v>
      </c>
    </row>
    <row r="1558" spans="1:20">
      <c r="A1558" t="s">
        <v>20</v>
      </c>
      <c r="B1558" t="s">
        <v>593</v>
      </c>
      <c r="C1558">
        <v>301049751</v>
      </c>
      <c r="D1558">
        <v>73239990</v>
      </c>
      <c r="E1558" t="s">
        <v>2272</v>
      </c>
      <c r="N1558">
        <v>1042.8</v>
      </c>
      <c r="O1558" t="s">
        <v>2746</v>
      </c>
      <c r="P1558">
        <v>491.1026851</v>
      </c>
      <c r="Q1558">
        <v>512121.88</v>
      </c>
      <c r="R1558">
        <v>6.975890413</v>
      </c>
      <c r="S1558">
        <v>7274.458523</v>
      </c>
      <c r="T1558">
        <v>124548</v>
      </c>
    </row>
    <row r="1559" spans="1:20">
      <c r="A1559" t="s">
        <v>20</v>
      </c>
      <c r="B1559" t="s">
        <v>594</v>
      </c>
      <c r="C1559">
        <v>301049751</v>
      </c>
      <c r="D1559">
        <v>73239990</v>
      </c>
      <c r="E1559" t="s">
        <v>2273</v>
      </c>
      <c r="N1559">
        <v>256</v>
      </c>
      <c r="O1559" t="s">
        <v>2746</v>
      </c>
      <c r="P1559">
        <v>465.1491406</v>
      </c>
      <c r="Q1559">
        <v>119078.18</v>
      </c>
      <c r="R1559">
        <v>6.607232111</v>
      </c>
      <c r="S1559">
        <v>1691.45142</v>
      </c>
      <c r="T1559">
        <v>28959.8</v>
      </c>
    </row>
    <row r="1560" spans="1:20">
      <c r="A1560" t="s">
        <v>20</v>
      </c>
      <c r="B1560" t="s">
        <v>594</v>
      </c>
      <c r="C1560">
        <v>301049751</v>
      </c>
      <c r="D1560">
        <v>73239990</v>
      </c>
      <c r="E1560" t="s">
        <v>2274</v>
      </c>
      <c r="N1560">
        <v>2040</v>
      </c>
      <c r="O1560" t="s">
        <v>2746</v>
      </c>
      <c r="P1560">
        <v>430.1069608</v>
      </c>
      <c r="Q1560">
        <v>877418.2</v>
      </c>
      <c r="R1560">
        <v>6.109473875</v>
      </c>
      <c r="S1560">
        <v>12463.3267</v>
      </c>
      <c r="T1560">
        <v>213388.1</v>
      </c>
    </row>
    <row r="1561" spans="1:20">
      <c r="A1561" t="s">
        <v>20</v>
      </c>
      <c r="B1561" t="s">
        <v>594</v>
      </c>
      <c r="C1561">
        <v>301049751</v>
      </c>
      <c r="D1561">
        <v>73239990</v>
      </c>
      <c r="E1561" t="s">
        <v>2275</v>
      </c>
      <c r="N1561">
        <v>4147.2</v>
      </c>
      <c r="O1561" t="s">
        <v>2746</v>
      </c>
      <c r="P1561">
        <v>585.1389009</v>
      </c>
      <c r="Q1561">
        <v>2426688.05</v>
      </c>
      <c r="R1561">
        <v>8.311632116</v>
      </c>
      <c r="S1561">
        <v>34470.00071</v>
      </c>
      <c r="T1561">
        <v>590170.6</v>
      </c>
    </row>
    <row r="1562" spans="1:20">
      <c r="A1562" t="s">
        <v>20</v>
      </c>
      <c r="B1562" t="s">
        <v>594</v>
      </c>
      <c r="C1562">
        <v>301049751</v>
      </c>
      <c r="D1562">
        <v>73239990</v>
      </c>
      <c r="E1562" t="s">
        <v>2276</v>
      </c>
      <c r="N1562">
        <v>211.2</v>
      </c>
      <c r="O1562" t="s">
        <v>2746</v>
      </c>
      <c r="P1562">
        <v>510.0319602</v>
      </c>
      <c r="Q1562">
        <v>107718.75</v>
      </c>
      <c r="R1562">
        <v>7.244772162</v>
      </c>
      <c r="S1562">
        <v>1530.095881</v>
      </c>
      <c r="T1562">
        <v>26197.2</v>
      </c>
    </row>
    <row r="1563" spans="1:20">
      <c r="A1563" t="s">
        <v>20</v>
      </c>
      <c r="B1563" t="s">
        <v>594</v>
      </c>
      <c r="C1563">
        <v>301049751</v>
      </c>
      <c r="D1563">
        <v>73239990</v>
      </c>
      <c r="E1563" t="s">
        <v>2277</v>
      </c>
      <c r="N1563">
        <v>350</v>
      </c>
      <c r="O1563" t="s">
        <v>2746</v>
      </c>
      <c r="P1563">
        <v>655.4522571</v>
      </c>
      <c r="Q1563">
        <v>229408.29</v>
      </c>
      <c r="R1563">
        <v>9.31040138</v>
      </c>
      <c r="S1563">
        <v>3258.640483</v>
      </c>
      <c r="T1563">
        <v>55792.1</v>
      </c>
    </row>
    <row r="1564" spans="1:20">
      <c r="A1564" t="s">
        <v>20</v>
      </c>
      <c r="B1564" t="s">
        <v>595</v>
      </c>
      <c r="C1564">
        <v>301049751</v>
      </c>
      <c r="D1564">
        <v>73239990</v>
      </c>
      <c r="E1564" t="s">
        <v>2268</v>
      </c>
      <c r="N1564">
        <v>23760</v>
      </c>
      <c r="O1564" t="s">
        <v>2746</v>
      </c>
      <c r="P1564">
        <v>174.7427551</v>
      </c>
      <c r="Q1564">
        <v>4151887.86</v>
      </c>
      <c r="R1564">
        <v>2.485672191</v>
      </c>
      <c r="S1564">
        <v>59059.57127</v>
      </c>
      <c r="T1564">
        <v>1009739.2</v>
      </c>
    </row>
    <row r="1565" spans="1:20">
      <c r="A1565" t="s">
        <v>20</v>
      </c>
      <c r="B1565" t="s">
        <v>596</v>
      </c>
      <c r="C1565">
        <v>301049751</v>
      </c>
      <c r="D1565">
        <v>73239990</v>
      </c>
      <c r="E1565" t="s">
        <v>2278</v>
      </c>
      <c r="N1565">
        <v>6344</v>
      </c>
      <c r="O1565" t="s">
        <v>2746</v>
      </c>
      <c r="P1565">
        <v>349.7793742</v>
      </c>
      <c r="Q1565">
        <v>2219000.35</v>
      </c>
      <c r="R1565">
        <v>4.975524526</v>
      </c>
      <c r="S1565">
        <v>31564.7276</v>
      </c>
      <c r="T1565">
        <v>539660.9</v>
      </c>
    </row>
    <row r="1566" spans="1:20">
      <c r="A1566" t="s">
        <v>20</v>
      </c>
      <c r="B1566" t="s">
        <v>596</v>
      </c>
      <c r="C1566">
        <v>301049751</v>
      </c>
      <c r="D1566">
        <v>73239990</v>
      </c>
      <c r="E1566" t="s">
        <v>2279</v>
      </c>
      <c r="N1566">
        <v>1513</v>
      </c>
      <c r="O1566" t="s">
        <v>2746</v>
      </c>
      <c r="P1566">
        <v>493.2616193</v>
      </c>
      <c r="Q1566">
        <v>746304.83</v>
      </c>
      <c r="R1566">
        <v>7.016523745</v>
      </c>
      <c r="S1566">
        <v>10616.00043</v>
      </c>
      <c r="T1566">
        <v>181501.3</v>
      </c>
    </row>
    <row r="1567" spans="1:20">
      <c r="A1567" t="s">
        <v>20</v>
      </c>
      <c r="B1567" t="s">
        <v>596</v>
      </c>
      <c r="C1567">
        <v>301049751</v>
      </c>
      <c r="D1567">
        <v>73239990</v>
      </c>
      <c r="E1567" t="s">
        <v>2280</v>
      </c>
      <c r="N1567">
        <v>5622.4</v>
      </c>
      <c r="O1567" t="s">
        <v>2746</v>
      </c>
      <c r="P1567">
        <v>345.3417686</v>
      </c>
      <c r="Q1567">
        <v>1941649.56</v>
      </c>
      <c r="R1567">
        <v>4.912400692</v>
      </c>
      <c r="S1567">
        <v>27619.48165</v>
      </c>
      <c r="T1567">
        <v>472209.2</v>
      </c>
    </row>
    <row r="1568" spans="1:20">
      <c r="A1568" t="s">
        <v>20</v>
      </c>
      <c r="B1568" t="s">
        <v>596</v>
      </c>
      <c r="C1568">
        <v>301049751</v>
      </c>
      <c r="D1568">
        <v>73239990</v>
      </c>
      <c r="E1568" t="s">
        <v>2281</v>
      </c>
      <c r="N1568">
        <v>5452</v>
      </c>
      <c r="O1568" t="s">
        <v>2746</v>
      </c>
      <c r="P1568">
        <v>454.3225917</v>
      </c>
      <c r="Q1568">
        <v>2476966.77</v>
      </c>
      <c r="R1568">
        <v>6.462625771</v>
      </c>
      <c r="S1568">
        <v>35234.2357</v>
      </c>
      <c r="T1568">
        <v>602398.4</v>
      </c>
    </row>
    <row r="1569" spans="1:20">
      <c r="A1569" t="s">
        <v>20</v>
      </c>
      <c r="B1569" t="s">
        <v>597</v>
      </c>
      <c r="C1569">
        <v>301049751</v>
      </c>
      <c r="D1569">
        <v>73239990</v>
      </c>
      <c r="E1569" t="s">
        <v>2282</v>
      </c>
      <c r="N1569">
        <v>9405.5</v>
      </c>
      <c r="O1569" t="s">
        <v>2746</v>
      </c>
      <c r="P1569">
        <v>450.8148307</v>
      </c>
      <c r="Q1569">
        <v>4240138.89</v>
      </c>
      <c r="R1569">
        <v>6.412728744</v>
      </c>
      <c r="S1569">
        <v>60314.9202</v>
      </c>
      <c r="T1569">
        <v>1031201.8</v>
      </c>
    </row>
    <row r="1570" spans="1:20">
      <c r="A1570" t="s">
        <v>20</v>
      </c>
      <c r="B1570" t="s">
        <v>597</v>
      </c>
      <c r="C1570">
        <v>301049751</v>
      </c>
      <c r="D1570">
        <v>73239990</v>
      </c>
      <c r="E1570" t="s">
        <v>2283</v>
      </c>
      <c r="N1570">
        <v>6790</v>
      </c>
      <c r="O1570" t="s">
        <v>2746</v>
      </c>
      <c r="P1570">
        <v>383.8191163</v>
      </c>
      <c r="Q1570">
        <v>2606131.8</v>
      </c>
      <c r="R1570">
        <v>5.459731385</v>
      </c>
      <c r="S1570">
        <v>37071.5761</v>
      </c>
      <c r="T1570">
        <v>633811.3</v>
      </c>
    </row>
    <row r="1571" spans="1:20">
      <c r="A1571" t="s">
        <v>20</v>
      </c>
      <c r="B1571" t="s">
        <v>598</v>
      </c>
      <c r="C1571">
        <v>301049751</v>
      </c>
      <c r="D1571">
        <v>73239990</v>
      </c>
      <c r="E1571" t="s">
        <v>2284</v>
      </c>
      <c r="N1571">
        <v>7897.5</v>
      </c>
      <c r="O1571" t="s">
        <v>2746</v>
      </c>
      <c r="P1571">
        <v>480.3020576</v>
      </c>
      <c r="Q1571">
        <v>3793185.5</v>
      </c>
      <c r="R1571">
        <v>6.832177206</v>
      </c>
      <c r="S1571">
        <v>53957.11949</v>
      </c>
      <c r="T1571">
        <v>1156162.9</v>
      </c>
    </row>
    <row r="1572" spans="1:20">
      <c r="A1572" t="s">
        <v>20</v>
      </c>
      <c r="B1572" t="s">
        <v>599</v>
      </c>
      <c r="C1572">
        <v>301049751</v>
      </c>
      <c r="D1572">
        <v>73239990</v>
      </c>
      <c r="E1572" t="s">
        <v>2285</v>
      </c>
      <c r="N1572">
        <v>2587.8</v>
      </c>
      <c r="O1572" t="s">
        <v>2746</v>
      </c>
      <c r="P1572">
        <v>574.1142631</v>
      </c>
      <c r="Q1572">
        <v>1485692.89</v>
      </c>
      <c r="R1572">
        <v>8.166632476</v>
      </c>
      <c r="S1572">
        <v>21133.61152</v>
      </c>
      <c r="T1572">
        <v>361320.5</v>
      </c>
    </row>
    <row r="1573" spans="1:20">
      <c r="A1573" t="s">
        <v>20</v>
      </c>
      <c r="B1573" t="s">
        <v>599</v>
      </c>
      <c r="C1573">
        <v>301049751</v>
      </c>
      <c r="D1573">
        <v>73239990</v>
      </c>
      <c r="E1573" t="s">
        <v>2286</v>
      </c>
      <c r="N1573">
        <v>2457.6</v>
      </c>
      <c r="O1573" t="s">
        <v>2746</v>
      </c>
      <c r="P1573">
        <v>462.8365804</v>
      </c>
      <c r="Q1573">
        <v>1137467.18</v>
      </c>
      <c r="R1573">
        <v>6.583735141</v>
      </c>
      <c r="S1573">
        <v>16180.18748</v>
      </c>
      <c r="T1573">
        <v>276632</v>
      </c>
    </row>
    <row r="1574" spans="1:20">
      <c r="A1574" t="s">
        <v>20</v>
      </c>
      <c r="B1574" t="s">
        <v>599</v>
      </c>
      <c r="C1574">
        <v>301049751</v>
      </c>
      <c r="D1574">
        <v>73239990</v>
      </c>
      <c r="E1574" t="s">
        <v>2287</v>
      </c>
      <c r="N1574">
        <v>2275</v>
      </c>
      <c r="O1574" t="s">
        <v>2746</v>
      </c>
      <c r="P1574">
        <v>503.4540132</v>
      </c>
      <c r="Q1574">
        <v>1145357.88</v>
      </c>
      <c r="R1574">
        <v>7.161508011</v>
      </c>
      <c r="S1574">
        <v>16292.43073</v>
      </c>
      <c r="T1574">
        <v>278551.1</v>
      </c>
    </row>
    <row r="1575" spans="1:20">
      <c r="A1575" t="s">
        <v>20</v>
      </c>
      <c r="B1575" t="s">
        <v>600</v>
      </c>
      <c r="C1575">
        <v>301049751</v>
      </c>
      <c r="D1575">
        <v>73231000</v>
      </c>
      <c r="E1575" t="s">
        <v>2288</v>
      </c>
      <c r="N1575">
        <v>8645</v>
      </c>
      <c r="O1575" t="s">
        <v>2746</v>
      </c>
      <c r="P1575">
        <v>225.1667762</v>
      </c>
      <c r="Q1575">
        <v>1946566.78</v>
      </c>
      <c r="R1575">
        <v>3.20294134</v>
      </c>
      <c r="S1575">
        <v>27689.42788</v>
      </c>
      <c r="T1575">
        <v>603046.4</v>
      </c>
    </row>
    <row r="1576" spans="1:20">
      <c r="A1576" t="s">
        <v>20</v>
      </c>
      <c r="B1576" t="s">
        <v>600</v>
      </c>
      <c r="C1576">
        <v>301049751</v>
      </c>
      <c r="D1576">
        <v>73239990</v>
      </c>
      <c r="E1576" t="s">
        <v>2289</v>
      </c>
      <c r="N1576">
        <v>2310</v>
      </c>
      <c r="O1576" t="s">
        <v>2746</v>
      </c>
      <c r="P1576">
        <v>491.3516667</v>
      </c>
      <c r="Q1576">
        <v>1135022.35</v>
      </c>
      <c r="R1576">
        <v>6.989355145</v>
      </c>
      <c r="S1576">
        <v>16145.41038</v>
      </c>
      <c r="T1576">
        <v>276037.4</v>
      </c>
    </row>
    <row r="1577" spans="1:20">
      <c r="A1577" t="s">
        <v>20</v>
      </c>
      <c r="B1577" t="s">
        <v>601</v>
      </c>
      <c r="C1577">
        <v>301049751</v>
      </c>
      <c r="D1577">
        <v>73239990</v>
      </c>
      <c r="E1577" t="s">
        <v>2290</v>
      </c>
      <c r="N1577">
        <v>428.4</v>
      </c>
      <c r="O1577" t="s">
        <v>2746</v>
      </c>
      <c r="P1577">
        <v>488.1548553</v>
      </c>
      <c r="Q1577">
        <v>209125.54</v>
      </c>
      <c r="R1577">
        <v>6.860925584</v>
      </c>
      <c r="S1577">
        <v>2939.22052</v>
      </c>
      <c r="T1577">
        <v>50859.4</v>
      </c>
    </row>
    <row r="1578" spans="1:20">
      <c r="A1578" t="s">
        <v>20</v>
      </c>
      <c r="B1578" t="s">
        <v>601</v>
      </c>
      <c r="C1578">
        <v>301049751</v>
      </c>
      <c r="D1578">
        <v>73239990</v>
      </c>
      <c r="E1578" t="s">
        <v>2291</v>
      </c>
      <c r="N1578">
        <v>1800</v>
      </c>
      <c r="O1578" t="s">
        <v>2746</v>
      </c>
      <c r="P1578">
        <v>542.2213889</v>
      </c>
      <c r="Q1578">
        <v>975998.5</v>
      </c>
      <c r="R1578">
        <v>7.620820645</v>
      </c>
      <c r="S1578">
        <v>13717.47716</v>
      </c>
      <c r="T1578">
        <v>237362.9</v>
      </c>
    </row>
    <row r="1579" spans="1:20">
      <c r="A1579" t="s">
        <v>20</v>
      </c>
      <c r="B1579" t="s">
        <v>601</v>
      </c>
      <c r="C1579">
        <v>301049751</v>
      </c>
      <c r="D1579">
        <v>73239990</v>
      </c>
      <c r="E1579" t="s">
        <v>2255</v>
      </c>
      <c r="N1579">
        <v>1445</v>
      </c>
      <c r="O1579" t="s">
        <v>2746</v>
      </c>
      <c r="P1579">
        <v>528.4428028</v>
      </c>
      <c r="Q1579">
        <v>763599.85</v>
      </c>
      <c r="R1579">
        <v>7.427165183</v>
      </c>
      <c r="S1579">
        <v>10732.25369</v>
      </c>
      <c r="T1579">
        <v>185707.5</v>
      </c>
    </row>
    <row r="1580" spans="1:20">
      <c r="A1580" t="s">
        <v>20</v>
      </c>
      <c r="B1580" t="s">
        <v>601</v>
      </c>
      <c r="C1580">
        <v>301049751</v>
      </c>
      <c r="D1580">
        <v>73239990</v>
      </c>
      <c r="E1580" t="s">
        <v>2292</v>
      </c>
      <c r="N1580">
        <v>2076</v>
      </c>
      <c r="O1580" t="s">
        <v>2746</v>
      </c>
      <c r="P1580">
        <v>553.2421484</v>
      </c>
      <c r="Q1580">
        <v>1148530.7</v>
      </c>
      <c r="R1580">
        <v>7.775715367</v>
      </c>
      <c r="S1580">
        <v>16142.3851</v>
      </c>
      <c r="T1580">
        <v>279322.7</v>
      </c>
    </row>
    <row r="1581" spans="1:20">
      <c r="A1581" t="s">
        <v>20</v>
      </c>
      <c r="B1581" t="s">
        <v>601</v>
      </c>
      <c r="C1581">
        <v>301049751</v>
      </c>
      <c r="D1581">
        <v>73239990</v>
      </c>
      <c r="E1581" t="s">
        <v>2293</v>
      </c>
      <c r="N1581">
        <v>576</v>
      </c>
      <c r="O1581" t="s">
        <v>2746</v>
      </c>
      <c r="P1581">
        <v>450.5284549</v>
      </c>
      <c r="Q1581">
        <v>259504.39</v>
      </c>
      <c r="R1581">
        <v>6.332093533</v>
      </c>
      <c r="S1581">
        <v>3647.285875</v>
      </c>
      <c r="T1581">
        <v>63111.4</v>
      </c>
    </row>
    <row r="1582" spans="1:20">
      <c r="A1582" t="s">
        <v>20</v>
      </c>
      <c r="B1582" t="s">
        <v>602</v>
      </c>
      <c r="C1582">
        <v>301049751</v>
      </c>
      <c r="D1582">
        <v>73239990</v>
      </c>
      <c r="E1582" t="s">
        <v>2294</v>
      </c>
      <c r="N1582">
        <v>4004</v>
      </c>
      <c r="O1582" t="s">
        <v>2746</v>
      </c>
      <c r="P1582">
        <v>316.8529995</v>
      </c>
      <c r="Q1582">
        <v>1268679.41</v>
      </c>
      <c r="R1582">
        <v>4.453309902</v>
      </c>
      <c r="S1582">
        <v>17831.05285</v>
      </c>
      <c r="T1582">
        <v>308542.8</v>
      </c>
    </row>
    <row r="1583" spans="1:20">
      <c r="A1583" t="s">
        <v>20</v>
      </c>
      <c r="B1583" t="s">
        <v>602</v>
      </c>
      <c r="C1583">
        <v>301049751</v>
      </c>
      <c r="D1583">
        <v>73239990</v>
      </c>
      <c r="E1583" t="s">
        <v>2268</v>
      </c>
      <c r="N1583">
        <v>23760</v>
      </c>
      <c r="O1583" t="s">
        <v>2746</v>
      </c>
      <c r="P1583">
        <v>175.0263746</v>
      </c>
      <c r="Q1583">
        <v>4158626.66</v>
      </c>
      <c r="R1583">
        <v>2.4599631</v>
      </c>
      <c r="S1583">
        <v>58448.72326</v>
      </c>
      <c r="T1583">
        <v>1011378.1</v>
      </c>
    </row>
    <row r="1584" spans="1:20">
      <c r="A1584" t="s">
        <v>20</v>
      </c>
      <c r="B1584" t="s">
        <v>603</v>
      </c>
      <c r="C1584">
        <v>301049751</v>
      </c>
      <c r="D1584">
        <v>73239990</v>
      </c>
      <c r="E1584" t="s">
        <v>2295</v>
      </c>
      <c r="N1584">
        <v>69.3</v>
      </c>
      <c r="O1584" t="s">
        <v>2746</v>
      </c>
      <c r="P1584">
        <v>258.3585859</v>
      </c>
      <c r="Q1584">
        <v>17904.25</v>
      </c>
      <c r="R1584">
        <v>3.631181811</v>
      </c>
      <c r="S1584">
        <v>251.6408995</v>
      </c>
      <c r="T1584">
        <v>4354.3</v>
      </c>
    </row>
    <row r="1585" spans="1:20">
      <c r="A1585" t="s">
        <v>20</v>
      </c>
      <c r="B1585" t="s">
        <v>604</v>
      </c>
      <c r="C1585">
        <v>301049751</v>
      </c>
      <c r="D1585">
        <v>73239990</v>
      </c>
      <c r="E1585" t="s">
        <v>2296</v>
      </c>
      <c r="N1585">
        <v>10843.68</v>
      </c>
      <c r="O1585" t="s">
        <v>2746</v>
      </c>
      <c r="P1585">
        <v>143.0971257</v>
      </c>
      <c r="Q1585">
        <v>1551699.44</v>
      </c>
      <c r="R1585">
        <v>2.011203453</v>
      </c>
      <c r="S1585">
        <v>21808.84666</v>
      </c>
      <c r="T1585">
        <v>377373.3</v>
      </c>
    </row>
    <row r="1586" spans="1:20">
      <c r="A1586" t="s">
        <v>20</v>
      </c>
      <c r="B1586" t="s">
        <v>605</v>
      </c>
      <c r="C1586">
        <v>301049751</v>
      </c>
      <c r="D1586">
        <v>73239990</v>
      </c>
      <c r="E1586" t="s">
        <v>2297</v>
      </c>
      <c r="N1586">
        <v>7860</v>
      </c>
      <c r="O1586" t="s">
        <v>2746</v>
      </c>
      <c r="P1586">
        <v>418.0025102</v>
      </c>
      <c r="Q1586">
        <v>3285499.73</v>
      </c>
      <c r="R1586">
        <v>5.874947437</v>
      </c>
      <c r="S1586">
        <v>46177.08686</v>
      </c>
      <c r="T1586">
        <v>799033.6</v>
      </c>
    </row>
    <row r="1587" spans="1:20">
      <c r="A1587" t="s">
        <v>20</v>
      </c>
      <c r="B1587" t="s">
        <v>606</v>
      </c>
      <c r="C1587">
        <v>301049751</v>
      </c>
      <c r="D1587">
        <v>73239990</v>
      </c>
      <c r="E1587" t="s">
        <v>2298</v>
      </c>
      <c r="N1587">
        <v>28512</v>
      </c>
      <c r="O1587" t="s">
        <v>2746</v>
      </c>
      <c r="P1587">
        <v>172.7001221</v>
      </c>
      <c r="Q1587">
        <v>4924025.88</v>
      </c>
      <c r="R1587">
        <v>2.451385693</v>
      </c>
      <c r="S1587">
        <v>69893.90887</v>
      </c>
      <c r="T1587">
        <v>1197523.2</v>
      </c>
    </row>
    <row r="1588" spans="1:20">
      <c r="A1588" t="s">
        <v>20</v>
      </c>
      <c r="B1588" t="s">
        <v>606</v>
      </c>
      <c r="C1588">
        <v>301049751</v>
      </c>
      <c r="D1588">
        <v>73239990</v>
      </c>
      <c r="E1588" t="s">
        <v>2294</v>
      </c>
      <c r="N1588">
        <v>4004</v>
      </c>
      <c r="O1588" t="s">
        <v>2746</v>
      </c>
      <c r="P1588">
        <v>312.6417458</v>
      </c>
      <c r="Q1588">
        <v>1251817.55</v>
      </c>
      <c r="R1588">
        <v>4.437782055</v>
      </c>
      <c r="S1588">
        <v>17768.87935</v>
      </c>
      <c r="T1588">
        <v>304442.1</v>
      </c>
    </row>
    <row r="1589" spans="1:20">
      <c r="A1589" t="s">
        <v>20</v>
      </c>
      <c r="B1589" t="s">
        <v>606</v>
      </c>
      <c r="C1589">
        <v>301049751</v>
      </c>
      <c r="D1589">
        <v>73239990</v>
      </c>
      <c r="E1589" t="s">
        <v>2299</v>
      </c>
      <c r="N1589">
        <v>21687.36</v>
      </c>
      <c r="O1589" t="s">
        <v>2746</v>
      </c>
      <c r="P1589">
        <v>144.0905841</v>
      </c>
      <c r="Q1589">
        <v>3124944.37</v>
      </c>
      <c r="R1589">
        <v>2.045288632</v>
      </c>
      <c r="S1589">
        <v>44356.91086</v>
      </c>
      <c r="T1589">
        <v>759986.4</v>
      </c>
    </row>
    <row r="1590" spans="1:20">
      <c r="A1590" t="s">
        <v>20</v>
      </c>
      <c r="B1590" t="s">
        <v>607</v>
      </c>
      <c r="C1590">
        <v>301049751</v>
      </c>
      <c r="D1590">
        <v>73239990</v>
      </c>
      <c r="E1590" t="s">
        <v>2300</v>
      </c>
      <c r="N1590">
        <v>1709.4</v>
      </c>
      <c r="O1590" t="s">
        <v>2746</v>
      </c>
      <c r="P1590">
        <v>258.0139055</v>
      </c>
      <c r="Q1590">
        <v>441048.97</v>
      </c>
      <c r="R1590">
        <v>3.662369134</v>
      </c>
      <c r="S1590">
        <v>6260.453797</v>
      </c>
      <c r="T1590">
        <v>107263.1</v>
      </c>
    </row>
    <row r="1591" spans="1:20">
      <c r="A1591" t="s">
        <v>20</v>
      </c>
      <c r="B1591" t="s">
        <v>607</v>
      </c>
      <c r="C1591">
        <v>301049751</v>
      </c>
      <c r="D1591">
        <v>73239990</v>
      </c>
      <c r="E1591" t="s">
        <v>2301</v>
      </c>
      <c r="N1591">
        <v>4457.6</v>
      </c>
      <c r="O1591" t="s">
        <v>2746</v>
      </c>
      <c r="P1591">
        <v>355.1041637</v>
      </c>
      <c r="Q1591">
        <v>1582912.32</v>
      </c>
      <c r="R1591">
        <v>5.040513324</v>
      </c>
      <c r="S1591">
        <v>22468.59219</v>
      </c>
      <c r="T1591">
        <v>384964.2</v>
      </c>
    </row>
    <row r="1592" spans="1:20">
      <c r="A1592" t="s">
        <v>20</v>
      </c>
      <c r="B1592" t="s">
        <v>608</v>
      </c>
      <c r="C1592">
        <v>301049751</v>
      </c>
      <c r="D1592">
        <v>73239990</v>
      </c>
      <c r="E1592" t="s">
        <v>2302</v>
      </c>
      <c r="N1592">
        <v>3948</v>
      </c>
      <c r="O1592" t="s">
        <v>2746</v>
      </c>
      <c r="P1592">
        <v>469.3866616</v>
      </c>
      <c r="Q1592">
        <v>1853138.54</v>
      </c>
      <c r="R1592">
        <v>6.662692145</v>
      </c>
      <c r="S1592">
        <v>26304.30859</v>
      </c>
      <c r="T1592">
        <v>450683.4</v>
      </c>
    </row>
    <row r="1593" spans="1:20">
      <c r="A1593" t="s">
        <v>20</v>
      </c>
      <c r="B1593" t="s">
        <v>608</v>
      </c>
      <c r="C1593">
        <v>301049751</v>
      </c>
      <c r="D1593">
        <v>73231000</v>
      </c>
      <c r="E1593" t="s">
        <v>2303</v>
      </c>
      <c r="N1593">
        <v>6512.1</v>
      </c>
      <c r="O1593" t="s">
        <v>2746</v>
      </c>
      <c r="P1593">
        <v>277.7517759</v>
      </c>
      <c r="Q1593">
        <v>1808747.34</v>
      </c>
      <c r="R1593">
        <v>3.942537628</v>
      </c>
      <c r="S1593">
        <v>25674.19929</v>
      </c>
      <c r="T1593">
        <v>560349.9</v>
      </c>
    </row>
    <row r="1594" spans="1:20">
      <c r="A1594" t="s">
        <v>20</v>
      </c>
      <c r="B1594" t="s">
        <v>608</v>
      </c>
      <c r="C1594">
        <v>301049751</v>
      </c>
      <c r="D1594">
        <v>73239990</v>
      </c>
      <c r="E1594" t="s">
        <v>2304</v>
      </c>
      <c r="N1594">
        <v>10446.8</v>
      </c>
      <c r="O1594" t="s">
        <v>2746</v>
      </c>
      <c r="P1594">
        <v>373.125179</v>
      </c>
      <c r="Q1594">
        <v>3897964.12</v>
      </c>
      <c r="R1594">
        <v>5.29631198</v>
      </c>
      <c r="S1594">
        <v>55329.51199</v>
      </c>
      <c r="T1594">
        <v>947984.8</v>
      </c>
    </row>
    <row r="1595" spans="1:20">
      <c r="A1595" t="s">
        <v>20</v>
      </c>
      <c r="B1595" t="s">
        <v>608</v>
      </c>
      <c r="C1595">
        <v>301049751</v>
      </c>
      <c r="D1595">
        <v>73239990</v>
      </c>
      <c r="E1595" t="s">
        <v>2305</v>
      </c>
      <c r="N1595">
        <v>10892</v>
      </c>
      <c r="O1595" t="s">
        <v>2746</v>
      </c>
      <c r="P1595">
        <v>382.0993491</v>
      </c>
      <c r="Q1595">
        <v>4161826.11</v>
      </c>
      <c r="R1595">
        <v>5.423695515</v>
      </c>
      <c r="S1595">
        <v>59074.89155</v>
      </c>
      <c r="T1595">
        <v>1012156.1</v>
      </c>
    </row>
    <row r="1596" spans="1:20">
      <c r="A1596" t="s">
        <v>20</v>
      </c>
      <c r="B1596" t="s">
        <v>608</v>
      </c>
      <c r="C1596">
        <v>301049751</v>
      </c>
      <c r="D1596">
        <v>73239990</v>
      </c>
      <c r="E1596" t="s">
        <v>2306</v>
      </c>
      <c r="N1596">
        <v>6901.16</v>
      </c>
      <c r="O1596" t="s">
        <v>2746</v>
      </c>
      <c r="P1596">
        <v>473.9298828</v>
      </c>
      <c r="Q1596">
        <v>3270665.95</v>
      </c>
      <c r="R1596">
        <v>6.727180735</v>
      </c>
      <c r="S1596">
        <v>46425.3506</v>
      </c>
      <c r="T1596">
        <v>795426</v>
      </c>
    </row>
    <row r="1597" spans="1:20">
      <c r="A1597" t="s">
        <v>20</v>
      </c>
      <c r="B1597" t="s">
        <v>609</v>
      </c>
      <c r="C1597">
        <v>301049751</v>
      </c>
      <c r="D1597">
        <v>73239990</v>
      </c>
      <c r="E1597" t="s">
        <v>2307</v>
      </c>
      <c r="N1597">
        <v>6790</v>
      </c>
      <c r="O1597" t="s">
        <v>2746</v>
      </c>
      <c r="P1597">
        <v>384.6242121</v>
      </c>
      <c r="Q1597">
        <v>2611598.4</v>
      </c>
      <c r="R1597">
        <v>5.463412103</v>
      </c>
      <c r="S1597">
        <v>37096.56818</v>
      </c>
      <c r="T1597">
        <v>635140.7</v>
      </c>
    </row>
    <row r="1598" spans="1:20">
      <c r="A1598" t="s">
        <v>20</v>
      </c>
      <c r="B1598" t="s">
        <v>610</v>
      </c>
      <c r="C1598">
        <v>301049751</v>
      </c>
      <c r="D1598">
        <v>73239990</v>
      </c>
      <c r="E1598" t="s">
        <v>2308</v>
      </c>
      <c r="N1598">
        <v>3018.06</v>
      </c>
      <c r="O1598" t="s">
        <v>2750</v>
      </c>
      <c r="P1598">
        <v>402.0419475</v>
      </c>
      <c r="Q1598">
        <v>1213386.72</v>
      </c>
      <c r="R1598">
        <v>5.710823118</v>
      </c>
      <c r="S1598">
        <v>17235.60682</v>
      </c>
      <c r="T1598">
        <v>295095.7</v>
      </c>
    </row>
    <row r="1599" spans="1:20">
      <c r="A1599" t="s">
        <v>20</v>
      </c>
      <c r="B1599" t="s">
        <v>611</v>
      </c>
      <c r="C1599">
        <v>301049751</v>
      </c>
      <c r="D1599">
        <v>73239990</v>
      </c>
      <c r="E1599" t="s">
        <v>2267</v>
      </c>
      <c r="N1599">
        <v>8008</v>
      </c>
      <c r="O1599" t="s">
        <v>2750</v>
      </c>
      <c r="P1599">
        <v>311.9234515</v>
      </c>
      <c r="Q1599">
        <v>2497883</v>
      </c>
      <c r="R1599">
        <v>4.430730846</v>
      </c>
      <c r="S1599">
        <v>35481.29261</v>
      </c>
      <c r="T1599">
        <v>607485.1</v>
      </c>
    </row>
    <row r="1600" spans="1:20">
      <c r="A1600" t="s">
        <v>20</v>
      </c>
      <c r="B1600" t="s">
        <v>611</v>
      </c>
      <c r="C1600">
        <v>301049751</v>
      </c>
      <c r="D1600">
        <v>73239990</v>
      </c>
      <c r="E1600" t="s">
        <v>2298</v>
      </c>
      <c r="N1600">
        <v>28512</v>
      </c>
      <c r="O1600" t="s">
        <v>2750</v>
      </c>
      <c r="P1600">
        <v>172.3033432</v>
      </c>
      <c r="Q1600">
        <v>4912712.92</v>
      </c>
      <c r="R1600">
        <v>2.44749067</v>
      </c>
      <c r="S1600">
        <v>69782.85398</v>
      </c>
      <c r="T1600">
        <v>1194771.8</v>
      </c>
    </row>
    <row r="1601" spans="1:20">
      <c r="A1601" t="s">
        <v>20</v>
      </c>
      <c r="B1601" t="s">
        <v>612</v>
      </c>
      <c r="C1601">
        <v>301049751</v>
      </c>
      <c r="D1601">
        <v>73239990</v>
      </c>
      <c r="E1601" t="s">
        <v>2309</v>
      </c>
      <c r="N1601">
        <v>154.98</v>
      </c>
      <c r="O1601" t="s">
        <v>2750</v>
      </c>
      <c r="P1601">
        <v>371.8553362</v>
      </c>
      <c r="Q1601">
        <v>57630.14</v>
      </c>
      <c r="R1601">
        <v>5.282036025</v>
      </c>
      <c r="S1601">
        <v>818.6099432</v>
      </c>
      <c r="T1601">
        <v>14015.6</v>
      </c>
    </row>
    <row r="1602" spans="1:20">
      <c r="A1602" t="s">
        <v>20</v>
      </c>
      <c r="B1602" t="s">
        <v>612</v>
      </c>
      <c r="C1602">
        <v>301049751</v>
      </c>
      <c r="D1602">
        <v>73239990</v>
      </c>
      <c r="E1602" t="s">
        <v>2310</v>
      </c>
      <c r="N1602">
        <v>1500</v>
      </c>
      <c r="O1602" t="s">
        <v>2750</v>
      </c>
      <c r="P1602">
        <v>655.23778</v>
      </c>
      <c r="Q1602">
        <v>982856.67</v>
      </c>
      <c r="R1602">
        <v>9.30735483</v>
      </c>
      <c r="S1602">
        <v>13961.03224</v>
      </c>
      <c r="T1602">
        <v>239030.8</v>
      </c>
    </row>
    <row r="1603" spans="1:20">
      <c r="A1603" t="s">
        <v>20</v>
      </c>
      <c r="B1603" t="s">
        <v>612</v>
      </c>
      <c r="C1603">
        <v>301049751</v>
      </c>
      <c r="D1603">
        <v>73239990</v>
      </c>
      <c r="E1603" t="s">
        <v>2311</v>
      </c>
      <c r="N1603">
        <v>655.5</v>
      </c>
      <c r="O1603" t="s">
        <v>2750</v>
      </c>
      <c r="P1603">
        <v>352.0727994</v>
      </c>
      <c r="Q1603">
        <v>230783.72</v>
      </c>
      <c r="R1603">
        <v>5.001034082</v>
      </c>
      <c r="S1603">
        <v>3278.177841</v>
      </c>
      <c r="T1603">
        <v>56126.6</v>
      </c>
    </row>
    <row r="1604" spans="1:20">
      <c r="A1604" t="s">
        <v>20</v>
      </c>
      <c r="B1604" t="s">
        <v>612</v>
      </c>
      <c r="C1604">
        <v>301049751</v>
      </c>
      <c r="D1604">
        <v>73239990</v>
      </c>
      <c r="E1604" t="s">
        <v>2312</v>
      </c>
      <c r="N1604">
        <v>1697.4</v>
      </c>
      <c r="O1604" t="s">
        <v>2750</v>
      </c>
      <c r="P1604">
        <v>322.3589372</v>
      </c>
      <c r="Q1604">
        <v>547172.0600000001</v>
      </c>
      <c r="R1604">
        <v>4.578962176</v>
      </c>
      <c r="S1604">
        <v>7772.330398</v>
      </c>
      <c r="T1604">
        <v>133072.2</v>
      </c>
    </row>
    <row r="1605" spans="1:20">
      <c r="A1605" t="s">
        <v>20</v>
      </c>
      <c r="B1605" t="s">
        <v>612</v>
      </c>
      <c r="C1605">
        <v>301049751</v>
      </c>
      <c r="D1605">
        <v>73239990</v>
      </c>
      <c r="E1605" t="s">
        <v>2313</v>
      </c>
      <c r="N1605">
        <v>7716.28</v>
      </c>
      <c r="O1605" t="s">
        <v>2750</v>
      </c>
      <c r="P1605">
        <v>428.9324169</v>
      </c>
      <c r="Q1605">
        <v>3309762.63</v>
      </c>
      <c r="R1605">
        <v>6.092790013</v>
      </c>
      <c r="S1605">
        <v>47013.67372</v>
      </c>
      <c r="T1605">
        <v>804934.3</v>
      </c>
    </row>
    <row r="1606" spans="1:20">
      <c r="A1606" t="s">
        <v>20</v>
      </c>
      <c r="B1606" t="s">
        <v>612</v>
      </c>
      <c r="C1606">
        <v>301049751</v>
      </c>
      <c r="D1606">
        <v>73239990</v>
      </c>
      <c r="E1606" t="s">
        <v>2314</v>
      </c>
      <c r="N1606">
        <v>8555.799999999999</v>
      </c>
      <c r="O1606" t="s">
        <v>2750</v>
      </c>
      <c r="P1606">
        <v>481.7475537</v>
      </c>
      <c r="Q1606">
        <v>4121735.72</v>
      </c>
      <c r="R1606">
        <v>6.843005024</v>
      </c>
      <c r="S1606">
        <v>58547.38239</v>
      </c>
      <c r="T1606">
        <v>1002406.2</v>
      </c>
    </row>
    <row r="1607" spans="1:20">
      <c r="A1607" t="s">
        <v>20</v>
      </c>
      <c r="B1607" t="s">
        <v>612</v>
      </c>
      <c r="C1607">
        <v>301049751</v>
      </c>
      <c r="D1607">
        <v>73239990</v>
      </c>
      <c r="E1607" t="s">
        <v>2315</v>
      </c>
      <c r="N1607">
        <v>1125.04</v>
      </c>
      <c r="O1607" t="s">
        <v>2750</v>
      </c>
      <c r="P1607">
        <v>472.3169487</v>
      </c>
      <c r="Q1607">
        <v>531375.46</v>
      </c>
      <c r="R1607">
        <v>6.709047567</v>
      </c>
      <c r="S1607">
        <v>7547.946875</v>
      </c>
      <c r="T1607">
        <v>129230.5</v>
      </c>
    </row>
    <row r="1608" spans="1:20">
      <c r="A1608" t="s">
        <v>20</v>
      </c>
      <c r="B1608" t="s">
        <v>612</v>
      </c>
      <c r="C1608">
        <v>301049751</v>
      </c>
      <c r="D1608">
        <v>73239990</v>
      </c>
      <c r="E1608" t="s">
        <v>2316</v>
      </c>
      <c r="N1608">
        <v>1740.8</v>
      </c>
      <c r="O1608" t="s">
        <v>2750</v>
      </c>
      <c r="P1608">
        <v>511.9045152</v>
      </c>
      <c r="Q1608">
        <v>891123.38</v>
      </c>
      <c r="R1608">
        <v>7.271370954</v>
      </c>
      <c r="S1608">
        <v>12658.00256</v>
      </c>
      <c r="T1608">
        <v>216721.1</v>
      </c>
    </row>
    <row r="1609" spans="1:20">
      <c r="A1609" t="s">
        <v>20</v>
      </c>
      <c r="B1609" t="s">
        <v>612</v>
      </c>
      <c r="C1609">
        <v>301049751</v>
      </c>
      <c r="D1609">
        <v>73239990</v>
      </c>
      <c r="E1609" t="s">
        <v>2254</v>
      </c>
      <c r="N1609">
        <v>2330.2</v>
      </c>
      <c r="O1609" t="s">
        <v>2750</v>
      </c>
      <c r="P1609">
        <v>935.0386018</v>
      </c>
      <c r="Q1609">
        <v>2178826.95</v>
      </c>
      <c r="R1609">
        <v>13.28179832</v>
      </c>
      <c r="S1609">
        <v>30949.24645</v>
      </c>
      <c r="T1609">
        <v>529890.8</v>
      </c>
    </row>
    <row r="1610" spans="1:20">
      <c r="A1610" t="s">
        <v>20</v>
      </c>
      <c r="B1610" t="s">
        <v>612</v>
      </c>
      <c r="C1610">
        <v>301049751</v>
      </c>
      <c r="D1610">
        <v>73239990</v>
      </c>
      <c r="E1610" t="s">
        <v>2317</v>
      </c>
      <c r="N1610">
        <v>2488.2</v>
      </c>
      <c r="O1610" t="s">
        <v>2750</v>
      </c>
      <c r="P1610">
        <v>459.9897597</v>
      </c>
      <c r="Q1610">
        <v>1144546.52</v>
      </c>
      <c r="R1610">
        <v>6.53394545</v>
      </c>
      <c r="S1610">
        <v>16257.76307</v>
      </c>
      <c r="T1610">
        <v>278353.8</v>
      </c>
    </row>
    <row r="1611" spans="1:20">
      <c r="A1611" t="s">
        <v>20</v>
      </c>
      <c r="B1611" t="s">
        <v>612</v>
      </c>
      <c r="C1611">
        <v>301049751</v>
      </c>
      <c r="D1611">
        <v>73239990</v>
      </c>
      <c r="E1611" t="s">
        <v>2318</v>
      </c>
      <c r="N1611">
        <v>1680</v>
      </c>
      <c r="O1611" t="s">
        <v>2750</v>
      </c>
      <c r="P1611">
        <v>501.6059583</v>
      </c>
      <c r="Q1611">
        <v>842698.01</v>
      </c>
      <c r="R1611">
        <v>7.125084635</v>
      </c>
      <c r="S1611">
        <v>11970.14219</v>
      </c>
      <c r="T1611">
        <v>204944.2</v>
      </c>
    </row>
    <row r="1612" spans="1:20">
      <c r="A1612" t="s">
        <v>20</v>
      </c>
      <c r="B1612" t="s">
        <v>613</v>
      </c>
      <c r="C1612">
        <v>301049751</v>
      </c>
      <c r="D1612">
        <v>73239990</v>
      </c>
      <c r="E1612" t="s">
        <v>2319</v>
      </c>
      <c r="N1612">
        <v>7897.5</v>
      </c>
      <c r="O1612" t="s">
        <v>2750</v>
      </c>
      <c r="P1612">
        <v>480.1026654</v>
      </c>
      <c r="Q1612">
        <v>3791610.8</v>
      </c>
      <c r="R1612">
        <v>6.819640134</v>
      </c>
      <c r="S1612">
        <v>53858.10795</v>
      </c>
      <c r="T1612">
        <v>922119.8</v>
      </c>
    </row>
    <row r="1613" spans="1:20">
      <c r="A1613" t="s">
        <v>20</v>
      </c>
      <c r="B1613" t="s">
        <v>614</v>
      </c>
      <c r="C1613">
        <v>301049751</v>
      </c>
      <c r="D1613">
        <v>73239990</v>
      </c>
      <c r="E1613" t="s">
        <v>2268</v>
      </c>
      <c r="N1613">
        <v>23760</v>
      </c>
      <c r="O1613" t="s">
        <v>2750</v>
      </c>
      <c r="P1613">
        <v>170.657229</v>
      </c>
      <c r="Q1613">
        <v>4054815.76</v>
      </c>
      <c r="R1613">
        <v>2.457267516</v>
      </c>
      <c r="S1613">
        <v>58384.67617</v>
      </c>
      <c r="T1613">
        <v>986131.3</v>
      </c>
    </row>
    <row r="1614" spans="1:20">
      <c r="A1614" t="s">
        <v>20</v>
      </c>
      <c r="B1614" t="s">
        <v>614</v>
      </c>
      <c r="C1614">
        <v>301049751</v>
      </c>
      <c r="D1614">
        <v>73239990</v>
      </c>
      <c r="E1614" t="s">
        <v>2320</v>
      </c>
      <c r="N1614">
        <v>21687.36</v>
      </c>
      <c r="O1614" t="s">
        <v>2750</v>
      </c>
      <c r="P1614">
        <v>142.8664618</v>
      </c>
      <c r="Q1614">
        <v>3098396.39</v>
      </c>
      <c r="R1614">
        <v>2.057112482</v>
      </c>
      <c r="S1614">
        <v>44613.33895</v>
      </c>
      <c r="T1614">
        <v>753530</v>
      </c>
    </row>
    <row r="1615" spans="1:20">
      <c r="A1615" t="s">
        <v>20</v>
      </c>
      <c r="B1615" t="s">
        <v>615</v>
      </c>
      <c r="C1615">
        <v>301049751</v>
      </c>
      <c r="D1615">
        <v>73231000</v>
      </c>
      <c r="E1615" t="s">
        <v>2321</v>
      </c>
      <c r="N1615">
        <v>1998</v>
      </c>
      <c r="O1615" t="s">
        <v>2750</v>
      </c>
      <c r="P1615">
        <v>390.3552803</v>
      </c>
      <c r="Q1615">
        <v>779929.85</v>
      </c>
      <c r="R1615">
        <v>5.620666383</v>
      </c>
      <c r="S1615">
        <v>11230.09143</v>
      </c>
      <c r="T1615">
        <v>241622.3</v>
      </c>
    </row>
    <row r="1616" spans="1:20">
      <c r="A1616" t="s">
        <v>20</v>
      </c>
      <c r="B1616" t="s">
        <v>615</v>
      </c>
      <c r="C1616">
        <v>301049751</v>
      </c>
      <c r="D1616">
        <v>73239990</v>
      </c>
      <c r="E1616" t="s">
        <v>2322</v>
      </c>
      <c r="N1616">
        <v>2812</v>
      </c>
      <c r="O1616" t="s">
        <v>2750</v>
      </c>
      <c r="P1616">
        <v>422.8914225</v>
      </c>
      <c r="Q1616">
        <v>1189170.68</v>
      </c>
      <c r="R1616">
        <v>6.089149352</v>
      </c>
      <c r="S1616">
        <v>17122.68798</v>
      </c>
      <c r="T1616">
        <v>289206.3</v>
      </c>
    </row>
    <row r="1617" spans="1:20">
      <c r="A1617" t="s">
        <v>20</v>
      </c>
      <c r="B1617" t="s">
        <v>615</v>
      </c>
      <c r="C1617">
        <v>301049751</v>
      </c>
      <c r="D1617">
        <v>73239990</v>
      </c>
      <c r="E1617" t="s">
        <v>2323</v>
      </c>
      <c r="N1617">
        <v>1205</v>
      </c>
      <c r="O1617" t="s">
        <v>2750</v>
      </c>
      <c r="P1617">
        <v>497.8770871</v>
      </c>
      <c r="Q1617">
        <v>599941.89</v>
      </c>
      <c r="R1617">
        <v>7.168856546</v>
      </c>
      <c r="S1617">
        <v>8638.472137999999</v>
      </c>
      <c r="T1617">
        <v>145905.9</v>
      </c>
    </row>
    <row r="1618" spans="1:20">
      <c r="A1618" t="s">
        <v>20</v>
      </c>
      <c r="B1618" t="s">
        <v>616</v>
      </c>
      <c r="C1618">
        <v>301049751</v>
      </c>
      <c r="D1618">
        <v>73239990</v>
      </c>
      <c r="E1618" t="s">
        <v>2324</v>
      </c>
      <c r="N1618">
        <v>4752</v>
      </c>
      <c r="O1618" t="s">
        <v>2750</v>
      </c>
      <c r="P1618">
        <v>169.1097306</v>
      </c>
      <c r="Q1618">
        <v>803609.4399999999</v>
      </c>
      <c r="R1618">
        <v>2.434985322</v>
      </c>
      <c r="S1618">
        <v>11571.05025</v>
      </c>
      <c r="T1618">
        <v>195437.8</v>
      </c>
    </row>
    <row r="1619" spans="1:20">
      <c r="A1619" t="s">
        <v>20</v>
      </c>
      <c r="B1619" t="s">
        <v>616</v>
      </c>
      <c r="C1619">
        <v>301049751</v>
      </c>
      <c r="D1619">
        <v>73239990</v>
      </c>
      <c r="E1619" t="s">
        <v>2325</v>
      </c>
      <c r="N1619">
        <v>12012</v>
      </c>
      <c r="O1619" t="s">
        <v>2750</v>
      </c>
      <c r="P1619">
        <v>306.1420038</v>
      </c>
      <c r="Q1619">
        <v>3677377.75</v>
      </c>
      <c r="R1619">
        <v>4.408092208</v>
      </c>
      <c r="S1619">
        <v>52950.0036</v>
      </c>
      <c r="T1619">
        <v>894338.3</v>
      </c>
    </row>
    <row r="1620" spans="1:20">
      <c r="A1620" t="s">
        <v>20</v>
      </c>
      <c r="B1620" t="s">
        <v>617</v>
      </c>
      <c r="C1620">
        <v>301049751</v>
      </c>
      <c r="D1620">
        <v>73239990</v>
      </c>
      <c r="E1620" t="s">
        <v>2326</v>
      </c>
      <c r="N1620">
        <v>9504</v>
      </c>
      <c r="O1620" t="s">
        <v>2750</v>
      </c>
      <c r="P1620">
        <v>170.6425915</v>
      </c>
      <c r="Q1620">
        <v>1621787.19</v>
      </c>
      <c r="R1620">
        <v>2.457056754</v>
      </c>
      <c r="S1620">
        <v>23351.86739</v>
      </c>
      <c r="T1620">
        <v>394418.7</v>
      </c>
    </row>
    <row r="1621" spans="1:20">
      <c r="A1621" t="s">
        <v>20</v>
      </c>
      <c r="B1621" t="s">
        <v>617</v>
      </c>
      <c r="C1621">
        <v>301049751</v>
      </c>
      <c r="D1621">
        <v>73239990</v>
      </c>
      <c r="E1621" t="s">
        <v>2305</v>
      </c>
      <c r="N1621">
        <v>10892</v>
      </c>
      <c r="O1621" t="s">
        <v>2750</v>
      </c>
      <c r="P1621">
        <v>376.0333566</v>
      </c>
      <c r="Q1621">
        <v>4095755.32</v>
      </c>
      <c r="R1621">
        <v>5.414447179</v>
      </c>
      <c r="S1621">
        <v>58974.15868</v>
      </c>
      <c r="T1621">
        <v>996087.7</v>
      </c>
    </row>
    <row r="1622" spans="1:20">
      <c r="A1622" t="s">
        <v>20</v>
      </c>
      <c r="B1622" t="s">
        <v>617</v>
      </c>
      <c r="C1622">
        <v>301049751</v>
      </c>
      <c r="D1622">
        <v>73239990</v>
      </c>
      <c r="E1622" t="s">
        <v>2327</v>
      </c>
      <c r="N1622">
        <v>9657.969999999999</v>
      </c>
      <c r="O1622" t="s">
        <v>2750</v>
      </c>
      <c r="P1622">
        <v>474.0534056</v>
      </c>
      <c r="Q1622">
        <v>4578393.57</v>
      </c>
      <c r="R1622">
        <v>6.825822975</v>
      </c>
      <c r="S1622">
        <v>65923.59351999999</v>
      </c>
      <c r="T1622">
        <v>1113465.3</v>
      </c>
    </row>
    <row r="1623" spans="1:20">
      <c r="A1623" t="s">
        <v>20</v>
      </c>
      <c r="B1623" t="s">
        <v>617</v>
      </c>
      <c r="C1623">
        <v>301049751</v>
      </c>
      <c r="D1623">
        <v>73239990</v>
      </c>
      <c r="E1623" t="s">
        <v>2328</v>
      </c>
      <c r="N1623">
        <v>1291.62</v>
      </c>
      <c r="O1623" t="s">
        <v>2750</v>
      </c>
      <c r="P1623">
        <v>423.5644539</v>
      </c>
      <c r="Q1623">
        <v>547084.3199999999</v>
      </c>
      <c r="R1623">
        <v>6.09884023</v>
      </c>
      <c r="S1623">
        <v>7877.384017</v>
      </c>
      <c r="T1623">
        <v>133050.8</v>
      </c>
    </row>
    <row r="1624" spans="1:20">
      <c r="A1624" t="s">
        <v>20</v>
      </c>
      <c r="B1624" t="s">
        <v>617</v>
      </c>
      <c r="C1624">
        <v>301049751</v>
      </c>
      <c r="D1624">
        <v>73239990</v>
      </c>
      <c r="E1624" t="s">
        <v>2329</v>
      </c>
      <c r="N1624">
        <v>4546.8</v>
      </c>
      <c r="O1624" t="s">
        <v>2750</v>
      </c>
      <c r="P1624">
        <v>541.3111727</v>
      </c>
      <c r="Q1624">
        <v>2461233.64</v>
      </c>
      <c r="R1624">
        <v>7.794257346</v>
      </c>
      <c r="S1624">
        <v>35438.9293</v>
      </c>
      <c r="T1624">
        <v>598572</v>
      </c>
    </row>
    <row r="1625" spans="1:20">
      <c r="A1625" t="s">
        <v>20</v>
      </c>
      <c r="B1625" t="s">
        <v>617</v>
      </c>
      <c r="C1625">
        <v>301049751</v>
      </c>
      <c r="D1625">
        <v>73239990</v>
      </c>
      <c r="E1625" t="s">
        <v>2330</v>
      </c>
      <c r="N1625">
        <v>8965.799999999999</v>
      </c>
      <c r="O1625" t="s">
        <v>2750</v>
      </c>
      <c r="P1625">
        <v>440.833988</v>
      </c>
      <c r="Q1625">
        <v>3952429.37</v>
      </c>
      <c r="R1625">
        <v>6.347501628</v>
      </c>
      <c r="S1625">
        <v>56910.43009</v>
      </c>
      <c r="T1625">
        <v>961230.8</v>
      </c>
    </row>
    <row r="1626" spans="1:20">
      <c r="A1626" t="s">
        <v>20</v>
      </c>
      <c r="B1626" t="s">
        <v>617</v>
      </c>
      <c r="C1626">
        <v>301049751</v>
      </c>
      <c r="D1626">
        <v>73239990</v>
      </c>
      <c r="E1626" t="s">
        <v>2331</v>
      </c>
      <c r="N1626">
        <v>464.4</v>
      </c>
      <c r="O1626" t="s">
        <v>2750</v>
      </c>
      <c r="P1626">
        <v>486.5135659</v>
      </c>
      <c r="Q1626">
        <v>225936.9</v>
      </c>
      <c r="R1626">
        <v>7.00523493</v>
      </c>
      <c r="S1626">
        <v>3253.231102</v>
      </c>
      <c r="T1626">
        <v>54947.9</v>
      </c>
    </row>
    <row r="1627" spans="1:20">
      <c r="A1627" t="s">
        <v>20</v>
      </c>
      <c r="B1627" t="s">
        <v>617</v>
      </c>
      <c r="C1627">
        <v>301049751</v>
      </c>
      <c r="D1627">
        <v>73239990</v>
      </c>
      <c r="E1627" t="s">
        <v>2332</v>
      </c>
      <c r="N1627">
        <v>10636.22</v>
      </c>
      <c r="O1627" t="s">
        <v>2750</v>
      </c>
      <c r="P1627">
        <v>367.2016562</v>
      </c>
      <c r="Q1627">
        <v>3905637.6</v>
      </c>
      <c r="R1627">
        <v>5.287280867</v>
      </c>
      <c r="S1627">
        <v>56236.68251</v>
      </c>
      <c r="T1627">
        <v>949851.1</v>
      </c>
    </row>
    <row r="1628" spans="1:20">
      <c r="A1628" t="s">
        <v>20</v>
      </c>
      <c r="B1628" t="s">
        <v>617</v>
      </c>
      <c r="C1628">
        <v>301049751</v>
      </c>
      <c r="D1628">
        <v>73239990</v>
      </c>
      <c r="E1628" t="s">
        <v>2333</v>
      </c>
      <c r="N1628">
        <v>1328.4</v>
      </c>
      <c r="O1628" t="s">
        <v>2750</v>
      </c>
      <c r="P1628">
        <v>598.0154773</v>
      </c>
      <c r="Q1628">
        <v>794403.76</v>
      </c>
      <c r="R1628">
        <v>8.610734014</v>
      </c>
      <c r="S1628">
        <v>11438.49906</v>
      </c>
      <c r="T1628">
        <v>193199</v>
      </c>
    </row>
    <row r="1629" spans="1:20">
      <c r="A1629" t="s">
        <v>20</v>
      </c>
      <c r="B1629" t="s">
        <v>618</v>
      </c>
      <c r="C1629">
        <v>301049751</v>
      </c>
      <c r="D1629">
        <v>73239990</v>
      </c>
      <c r="E1629" t="s">
        <v>2334</v>
      </c>
      <c r="N1629">
        <v>34920</v>
      </c>
      <c r="O1629" t="s">
        <v>2748</v>
      </c>
      <c r="P1629">
        <v>73.67953751</v>
      </c>
      <c r="Q1629">
        <v>2572889.45</v>
      </c>
      <c r="R1629">
        <v>1.060900468</v>
      </c>
      <c r="S1629">
        <v>37046.64435</v>
      </c>
      <c r="T1629">
        <v>625726.7</v>
      </c>
    </row>
    <row r="1630" spans="1:20">
      <c r="A1630" t="s">
        <v>20</v>
      </c>
      <c r="B1630" t="s">
        <v>619</v>
      </c>
      <c r="C1630">
        <v>301049751</v>
      </c>
      <c r="D1630">
        <v>73239990</v>
      </c>
      <c r="E1630" t="s">
        <v>2335</v>
      </c>
      <c r="N1630">
        <v>21687.36</v>
      </c>
      <c r="O1630" t="s">
        <v>2750</v>
      </c>
      <c r="P1630">
        <v>142.866508</v>
      </c>
      <c r="Q1630">
        <v>3098397.39</v>
      </c>
      <c r="R1630">
        <v>2.057113146</v>
      </c>
      <c r="S1630">
        <v>44613.35335</v>
      </c>
      <c r="T1630">
        <v>753530.2</v>
      </c>
    </row>
    <row r="1631" spans="1:20">
      <c r="A1631" t="s">
        <v>20</v>
      </c>
      <c r="B1631" t="s">
        <v>620</v>
      </c>
      <c r="C1631">
        <v>301049751</v>
      </c>
      <c r="D1631">
        <v>73239990</v>
      </c>
      <c r="E1631" t="s">
        <v>2336</v>
      </c>
      <c r="N1631">
        <v>2114</v>
      </c>
      <c r="O1631" t="s">
        <v>2750</v>
      </c>
      <c r="P1631">
        <v>545.9575875</v>
      </c>
      <c r="Q1631">
        <v>1154154.34</v>
      </c>
      <c r="R1631">
        <v>7.799394107</v>
      </c>
      <c r="S1631">
        <v>16487.91914</v>
      </c>
      <c r="T1631">
        <v>280690.3</v>
      </c>
    </row>
    <row r="1632" spans="1:20">
      <c r="A1632" t="s">
        <v>20</v>
      </c>
      <c r="B1632" t="s">
        <v>620</v>
      </c>
      <c r="C1632">
        <v>301049751</v>
      </c>
      <c r="D1632">
        <v>73239990</v>
      </c>
      <c r="E1632" t="s">
        <v>2337</v>
      </c>
      <c r="N1632">
        <v>2475</v>
      </c>
      <c r="O1632" t="s">
        <v>2750</v>
      </c>
      <c r="P1632">
        <v>258.9213899</v>
      </c>
      <c r="Q1632">
        <v>640830.4399999999</v>
      </c>
      <c r="R1632">
        <v>3.698876999</v>
      </c>
      <c r="S1632">
        <v>9154.720571</v>
      </c>
      <c r="T1632">
        <v>155849.9</v>
      </c>
    </row>
    <row r="1633" spans="1:20">
      <c r="A1633" t="s">
        <v>20</v>
      </c>
      <c r="B1633" t="s">
        <v>620</v>
      </c>
      <c r="C1633">
        <v>301049751</v>
      </c>
      <c r="D1633">
        <v>73239990</v>
      </c>
      <c r="E1633" t="s">
        <v>2338</v>
      </c>
      <c r="N1633">
        <v>1139</v>
      </c>
      <c r="O1633" t="s">
        <v>2750</v>
      </c>
      <c r="P1633">
        <v>664.0478753</v>
      </c>
      <c r="Q1633">
        <v>756350.53</v>
      </c>
      <c r="R1633">
        <v>9.486398219</v>
      </c>
      <c r="S1633">
        <v>10805.00757</v>
      </c>
      <c r="T1633">
        <v>183944.5</v>
      </c>
    </row>
    <row r="1634" spans="1:20">
      <c r="A1634" t="s">
        <v>20</v>
      </c>
      <c r="B1634" t="s">
        <v>620</v>
      </c>
      <c r="C1634">
        <v>301049751</v>
      </c>
      <c r="D1634">
        <v>73239990</v>
      </c>
      <c r="E1634" t="s">
        <v>2339</v>
      </c>
      <c r="N1634">
        <v>2196</v>
      </c>
      <c r="O1634" t="s">
        <v>2750</v>
      </c>
      <c r="P1634">
        <v>357.5314299</v>
      </c>
      <c r="Q1634">
        <v>785139.02</v>
      </c>
      <c r="R1634">
        <v>5.107591855</v>
      </c>
      <c r="S1634">
        <v>11216.27171</v>
      </c>
      <c r="T1634">
        <v>190945.8</v>
      </c>
    </row>
    <row r="1635" spans="1:20">
      <c r="A1635" t="s">
        <v>20</v>
      </c>
      <c r="B1635" t="s">
        <v>621</v>
      </c>
      <c r="C1635">
        <v>301049751</v>
      </c>
      <c r="D1635">
        <v>73239990</v>
      </c>
      <c r="E1635" t="s">
        <v>2340</v>
      </c>
      <c r="N1635">
        <v>542.33</v>
      </c>
      <c r="O1635" t="s">
        <v>2750</v>
      </c>
      <c r="P1635">
        <v>477.2766766</v>
      </c>
      <c r="Q1635">
        <v>258841.46</v>
      </c>
      <c r="R1635">
        <v>6.818238237</v>
      </c>
      <c r="S1635">
        <v>3697.735143</v>
      </c>
      <c r="T1635">
        <v>62950.2</v>
      </c>
    </row>
    <row r="1636" spans="1:20">
      <c r="A1636" t="s">
        <v>20</v>
      </c>
      <c r="B1636" t="s">
        <v>621</v>
      </c>
      <c r="C1636">
        <v>301049751</v>
      </c>
      <c r="D1636">
        <v>73239990</v>
      </c>
      <c r="E1636" t="s">
        <v>2341</v>
      </c>
      <c r="N1636">
        <v>8535.559999999999</v>
      </c>
      <c r="O1636" t="s">
        <v>2750</v>
      </c>
      <c r="P1636">
        <v>426.4444348</v>
      </c>
      <c r="Q1636">
        <v>3639942.06</v>
      </c>
      <c r="R1636">
        <v>6.092063354</v>
      </c>
      <c r="S1636">
        <v>51999.17229</v>
      </c>
      <c r="T1636">
        <v>885233.9</v>
      </c>
    </row>
    <row r="1637" spans="1:20">
      <c r="A1637" t="s">
        <v>20</v>
      </c>
      <c r="B1637" t="s">
        <v>622</v>
      </c>
      <c r="C1637">
        <v>301049751</v>
      </c>
      <c r="D1637">
        <v>73239990</v>
      </c>
      <c r="E1637" t="s">
        <v>2342</v>
      </c>
      <c r="N1637">
        <v>2594.88</v>
      </c>
      <c r="O1637" t="s">
        <v>2750</v>
      </c>
      <c r="P1637">
        <v>433.7238562</v>
      </c>
      <c r="Q1637">
        <v>1125461.36</v>
      </c>
      <c r="R1637">
        <v>6.196055089</v>
      </c>
      <c r="S1637">
        <v>16078.01943</v>
      </c>
      <c r="T1637">
        <v>273712.2</v>
      </c>
    </row>
    <row r="1638" spans="1:20">
      <c r="A1638" t="s">
        <v>20</v>
      </c>
      <c r="B1638" t="s">
        <v>622</v>
      </c>
      <c r="C1638">
        <v>301049751</v>
      </c>
      <c r="D1638">
        <v>73239990</v>
      </c>
      <c r="E1638" t="s">
        <v>2343</v>
      </c>
      <c r="N1638">
        <v>2851.92</v>
      </c>
      <c r="O1638" t="s">
        <v>2750</v>
      </c>
      <c r="P1638">
        <v>482.1041369</v>
      </c>
      <c r="Q1638">
        <v>1374922.43</v>
      </c>
      <c r="R1638">
        <v>6.887201955</v>
      </c>
      <c r="S1638">
        <v>19641.749</v>
      </c>
      <c r="T1638">
        <v>334381.1</v>
      </c>
    </row>
    <row r="1639" spans="1:20">
      <c r="A1639" t="s">
        <v>20</v>
      </c>
      <c r="B1639" t="s">
        <v>623</v>
      </c>
      <c r="C1639">
        <v>301049751</v>
      </c>
      <c r="D1639">
        <v>73239990</v>
      </c>
      <c r="E1639" t="s">
        <v>2344</v>
      </c>
      <c r="N1639">
        <v>14256</v>
      </c>
      <c r="O1639" t="s">
        <v>2746</v>
      </c>
      <c r="P1639">
        <v>171.28965</v>
      </c>
      <c r="Q1639">
        <v>2441905.25</v>
      </c>
      <c r="R1639">
        <v>2.446995</v>
      </c>
      <c r="S1639">
        <v>34884.36071</v>
      </c>
      <c r="T1639">
        <v>593871.4</v>
      </c>
    </row>
    <row r="1640" spans="1:20">
      <c r="A1640" t="s">
        <v>20</v>
      </c>
      <c r="B1640" t="s">
        <v>623</v>
      </c>
      <c r="C1640">
        <v>301049751</v>
      </c>
      <c r="D1640">
        <v>73239990</v>
      </c>
      <c r="E1640" t="s">
        <v>2267</v>
      </c>
      <c r="N1640">
        <v>8008</v>
      </c>
      <c r="O1640" t="s">
        <v>2746</v>
      </c>
      <c r="P1640">
        <v>310.0883479</v>
      </c>
      <c r="Q1640">
        <v>2483187.49</v>
      </c>
      <c r="R1640">
        <v>4.429833541</v>
      </c>
      <c r="S1640">
        <v>35474.107</v>
      </c>
      <c r="T1640">
        <v>603911.2</v>
      </c>
    </row>
    <row r="1641" spans="1:20">
      <c r="A1641" t="s">
        <v>20</v>
      </c>
      <c r="B1641" t="s">
        <v>624</v>
      </c>
      <c r="C1641">
        <v>301049751</v>
      </c>
      <c r="D1641">
        <v>73239990</v>
      </c>
      <c r="E1641" t="s">
        <v>2345</v>
      </c>
      <c r="N1641">
        <v>1995.12</v>
      </c>
      <c r="O1641" t="s">
        <v>2746</v>
      </c>
      <c r="P1641">
        <v>481.9301696</v>
      </c>
      <c r="Q1641">
        <v>961508.52</v>
      </c>
      <c r="R1641">
        <v>6.884716709</v>
      </c>
      <c r="S1641">
        <v>13735.836</v>
      </c>
      <c r="T1641">
        <v>233838.9</v>
      </c>
    </row>
    <row r="1642" spans="1:20">
      <c r="A1642" t="s">
        <v>20</v>
      </c>
      <c r="B1642" t="s">
        <v>624</v>
      </c>
      <c r="C1642">
        <v>301049751</v>
      </c>
      <c r="D1642">
        <v>73239990</v>
      </c>
      <c r="E1642" t="s">
        <v>2346</v>
      </c>
      <c r="N1642">
        <v>472.34</v>
      </c>
      <c r="O1642" t="s">
        <v>2746</v>
      </c>
      <c r="P1642">
        <v>426.2669264</v>
      </c>
      <c r="Q1642">
        <v>201342.92</v>
      </c>
      <c r="R1642">
        <v>6.08952752</v>
      </c>
      <c r="S1642">
        <v>2876.327429</v>
      </c>
      <c r="T1642">
        <v>48966.6</v>
      </c>
    </row>
    <row r="1643" spans="1:20">
      <c r="A1643" t="s">
        <v>20</v>
      </c>
      <c r="B1643" t="s">
        <v>624</v>
      </c>
      <c r="C1643">
        <v>301049751</v>
      </c>
      <c r="D1643">
        <v>73239990</v>
      </c>
      <c r="E1643" t="s">
        <v>2347</v>
      </c>
      <c r="N1643">
        <v>2003.55</v>
      </c>
      <c r="O1643" t="s">
        <v>2746</v>
      </c>
      <c r="P1643">
        <v>463.4954805</v>
      </c>
      <c r="Q1643">
        <v>928636.37</v>
      </c>
      <c r="R1643">
        <v>6.621364007</v>
      </c>
      <c r="S1643">
        <v>13266.23386</v>
      </c>
      <c r="T1643">
        <v>225844.4</v>
      </c>
    </row>
    <row r="1644" spans="1:20">
      <c r="A1644" t="s">
        <v>20</v>
      </c>
      <c r="B1644" t="s">
        <v>624</v>
      </c>
      <c r="C1644">
        <v>301049751</v>
      </c>
      <c r="D1644">
        <v>73239990</v>
      </c>
      <c r="E1644" t="s">
        <v>2348</v>
      </c>
      <c r="N1644">
        <v>10892</v>
      </c>
      <c r="O1644" t="s">
        <v>2746</v>
      </c>
      <c r="P1644">
        <v>378.4325597</v>
      </c>
      <c r="Q1644">
        <v>4121887.44</v>
      </c>
      <c r="R1644">
        <v>5.406179424</v>
      </c>
      <c r="S1644">
        <v>58884.10629</v>
      </c>
      <c r="T1644">
        <v>1002443</v>
      </c>
    </row>
    <row r="1645" spans="1:20">
      <c r="A1645" t="s">
        <v>20</v>
      </c>
      <c r="B1645" t="s">
        <v>624</v>
      </c>
      <c r="C1645">
        <v>301049751</v>
      </c>
      <c r="D1645">
        <v>73239990</v>
      </c>
      <c r="E1645" t="s">
        <v>2349</v>
      </c>
      <c r="N1645">
        <v>8026.2</v>
      </c>
      <c r="O1645" t="s">
        <v>2746</v>
      </c>
      <c r="P1645">
        <v>469.3818482</v>
      </c>
      <c r="Q1645">
        <v>3767352.59</v>
      </c>
      <c r="R1645">
        <v>6.705454974</v>
      </c>
      <c r="S1645">
        <v>53819.32271</v>
      </c>
      <c r="T1645">
        <v>916220.2</v>
      </c>
    </row>
    <row r="1646" spans="1:20">
      <c r="A1646" t="s">
        <v>20</v>
      </c>
      <c r="B1646" t="s">
        <v>624</v>
      </c>
      <c r="C1646">
        <v>301049751</v>
      </c>
      <c r="D1646">
        <v>73239990</v>
      </c>
      <c r="E1646" t="s">
        <v>2350</v>
      </c>
      <c r="N1646">
        <v>1713.6</v>
      </c>
      <c r="O1646" t="s">
        <v>2746</v>
      </c>
      <c r="P1646">
        <v>433.5673436</v>
      </c>
      <c r="Q1646">
        <v>742961</v>
      </c>
      <c r="R1646">
        <v>6.193819194</v>
      </c>
      <c r="S1646">
        <v>10613.72857</v>
      </c>
      <c r="T1646">
        <v>180688.1</v>
      </c>
    </row>
    <row r="1647" spans="1:20">
      <c r="A1647" t="s">
        <v>20</v>
      </c>
      <c r="B1647" t="s">
        <v>624</v>
      </c>
      <c r="C1647">
        <v>301049751</v>
      </c>
      <c r="D1647">
        <v>73239990</v>
      </c>
      <c r="E1647" t="s">
        <v>2351</v>
      </c>
      <c r="N1647">
        <v>10647.7</v>
      </c>
      <c r="O1647" t="s">
        <v>2746</v>
      </c>
      <c r="P1647">
        <v>372.315115</v>
      </c>
      <c r="Q1647">
        <v>3964299.65</v>
      </c>
      <c r="R1647">
        <v>5.318787357</v>
      </c>
      <c r="S1647">
        <v>56632.85214</v>
      </c>
      <c r="T1647">
        <v>964117.7</v>
      </c>
    </row>
    <row r="1648" spans="1:20">
      <c r="A1648" t="s">
        <v>20</v>
      </c>
      <c r="B1648" t="s">
        <v>625</v>
      </c>
      <c r="C1648">
        <v>301049751</v>
      </c>
      <c r="D1648">
        <v>73239990</v>
      </c>
      <c r="E1648" t="s">
        <v>2335</v>
      </c>
      <c r="N1648">
        <v>21687.36</v>
      </c>
      <c r="O1648" t="s">
        <v>2746</v>
      </c>
      <c r="P1648">
        <v>145.6219591</v>
      </c>
      <c r="Q1648">
        <v>3158155.85</v>
      </c>
      <c r="R1648">
        <v>2.051013508</v>
      </c>
      <c r="S1648">
        <v>44481.06831</v>
      </c>
      <c r="T1648">
        <v>768063.6</v>
      </c>
    </row>
    <row r="1649" spans="1:20">
      <c r="A1649" t="s">
        <v>20</v>
      </c>
      <c r="B1649" t="s">
        <v>626</v>
      </c>
      <c r="C1649">
        <v>301049751</v>
      </c>
      <c r="D1649">
        <v>73231000</v>
      </c>
      <c r="E1649" t="s">
        <v>2352</v>
      </c>
      <c r="N1649">
        <v>6520</v>
      </c>
      <c r="O1649" t="s">
        <v>2746</v>
      </c>
      <c r="P1649">
        <v>201.8136794</v>
      </c>
      <c r="Q1649">
        <v>1315825.19</v>
      </c>
      <c r="R1649">
        <v>2.80296777</v>
      </c>
      <c r="S1649">
        <v>18275.34986</v>
      </c>
      <c r="T1649">
        <v>407642.7</v>
      </c>
    </row>
    <row r="1650" spans="1:20">
      <c r="A1650" t="s">
        <v>20</v>
      </c>
      <c r="B1650" t="s">
        <v>627</v>
      </c>
      <c r="C1650">
        <v>301049751</v>
      </c>
      <c r="D1650">
        <v>73231000</v>
      </c>
      <c r="E1650" t="s">
        <v>2353</v>
      </c>
      <c r="N1650">
        <v>96000</v>
      </c>
      <c r="O1650" t="s">
        <v>2751</v>
      </c>
      <c r="P1650">
        <v>12.58783938</v>
      </c>
      <c r="Q1650">
        <v>1208432.58</v>
      </c>
      <c r="R1650">
        <v>0.173266887</v>
      </c>
      <c r="S1650">
        <v>16633.6212</v>
      </c>
      <c r="T1650">
        <v>374372.4</v>
      </c>
    </row>
    <row r="1651" spans="1:20">
      <c r="A1651" t="s">
        <v>20</v>
      </c>
      <c r="B1651" t="s">
        <v>628</v>
      </c>
      <c r="C1651">
        <v>301049751</v>
      </c>
      <c r="D1651">
        <v>73239990</v>
      </c>
      <c r="E1651" t="s">
        <v>2354</v>
      </c>
      <c r="N1651">
        <v>720</v>
      </c>
      <c r="O1651" t="s">
        <v>2748</v>
      </c>
      <c r="P1651">
        <v>95.15766667</v>
      </c>
      <c r="Q1651">
        <v>68513.52</v>
      </c>
      <c r="R1651">
        <v>1.309809589</v>
      </c>
      <c r="S1651">
        <v>943.0629043</v>
      </c>
      <c r="T1651">
        <v>16662.5</v>
      </c>
    </row>
    <row r="1652" spans="1:20">
      <c r="A1652" t="s">
        <v>20</v>
      </c>
      <c r="B1652" t="s">
        <v>628</v>
      </c>
      <c r="C1652">
        <v>301049751</v>
      </c>
      <c r="D1652">
        <v>73239990</v>
      </c>
      <c r="E1652" t="s">
        <v>2355</v>
      </c>
      <c r="N1652">
        <v>9432</v>
      </c>
      <c r="O1652" t="s">
        <v>2748</v>
      </c>
      <c r="P1652">
        <v>94.03375212</v>
      </c>
      <c r="Q1652">
        <v>886926.35</v>
      </c>
      <c r="R1652">
        <v>1.294339327</v>
      </c>
      <c r="S1652">
        <v>12208.20853</v>
      </c>
      <c r="T1652">
        <v>215700.5</v>
      </c>
    </row>
    <row r="1653" spans="1:20">
      <c r="A1653" t="s">
        <v>20</v>
      </c>
      <c r="B1653" t="s">
        <v>628</v>
      </c>
      <c r="C1653">
        <v>301049751</v>
      </c>
      <c r="D1653">
        <v>73239990</v>
      </c>
      <c r="E1653" t="s">
        <v>2356</v>
      </c>
      <c r="N1653">
        <v>16128</v>
      </c>
      <c r="O1653" t="s">
        <v>2748</v>
      </c>
      <c r="P1653">
        <v>76.5756932</v>
      </c>
      <c r="Q1653">
        <v>1235012.78</v>
      </c>
      <c r="R1653">
        <v>1.054035694</v>
      </c>
      <c r="S1653">
        <v>16999.48768</v>
      </c>
      <c r="T1653">
        <v>300355.1</v>
      </c>
    </row>
    <row r="1654" spans="1:20">
      <c r="A1654" t="s">
        <v>20</v>
      </c>
      <c r="B1654" t="s">
        <v>628</v>
      </c>
      <c r="C1654">
        <v>301049751</v>
      </c>
      <c r="D1654">
        <v>73239990</v>
      </c>
      <c r="E1654" t="s">
        <v>2357</v>
      </c>
      <c r="N1654">
        <v>21240</v>
      </c>
      <c r="O1654" t="s">
        <v>2748</v>
      </c>
      <c r="P1654">
        <v>24.25627448</v>
      </c>
      <c r="Q1654">
        <v>515203.27</v>
      </c>
      <c r="R1654">
        <v>0.33387852</v>
      </c>
      <c r="S1654">
        <v>7091.579766</v>
      </c>
      <c r="T1654">
        <v>125297.4</v>
      </c>
    </row>
    <row r="1655" spans="1:20">
      <c r="A1655" t="s">
        <v>20</v>
      </c>
      <c r="B1655" t="s">
        <v>628</v>
      </c>
      <c r="C1655">
        <v>301049751</v>
      </c>
      <c r="D1655">
        <v>73239990</v>
      </c>
      <c r="E1655" t="s">
        <v>2358</v>
      </c>
      <c r="N1655">
        <v>1968</v>
      </c>
      <c r="O1655" t="s">
        <v>2748</v>
      </c>
      <c r="P1655">
        <v>39.27252541</v>
      </c>
      <c r="Q1655">
        <v>77288.33</v>
      </c>
      <c r="R1655">
        <v>0.540571582</v>
      </c>
      <c r="S1655">
        <v>1063.844873</v>
      </c>
      <c r="T1655">
        <v>18796.5</v>
      </c>
    </row>
    <row r="1656" spans="1:20">
      <c r="A1656" t="s">
        <v>20</v>
      </c>
      <c r="B1656" t="s">
        <v>628</v>
      </c>
      <c r="C1656">
        <v>301049751</v>
      </c>
      <c r="D1656">
        <v>73239990</v>
      </c>
      <c r="E1656" t="s">
        <v>2359</v>
      </c>
      <c r="N1656">
        <v>15588</v>
      </c>
      <c r="O1656" t="s">
        <v>2748</v>
      </c>
      <c r="P1656">
        <v>85.11740441000001</v>
      </c>
      <c r="Q1656">
        <v>1326810.1</v>
      </c>
      <c r="R1656">
        <v>1.171609145</v>
      </c>
      <c r="S1656">
        <v>18263.04336</v>
      </c>
      <c r="T1656">
        <v>322680.2</v>
      </c>
    </row>
    <row r="1657" spans="1:20">
      <c r="A1657" t="s">
        <v>20</v>
      </c>
      <c r="B1657" t="s">
        <v>629</v>
      </c>
      <c r="C1657">
        <v>301049751</v>
      </c>
      <c r="D1657">
        <v>73239990</v>
      </c>
      <c r="E1657" t="s">
        <v>2360</v>
      </c>
      <c r="N1657">
        <v>19044</v>
      </c>
      <c r="O1657" t="s">
        <v>2748</v>
      </c>
      <c r="P1657">
        <v>83.54980098999999</v>
      </c>
      <c r="Q1657">
        <v>1591122.41</v>
      </c>
      <c r="R1657">
        <v>1.150031672</v>
      </c>
      <c r="S1657">
        <v>21901.20317</v>
      </c>
      <c r="T1657">
        <v>386960.9</v>
      </c>
    </row>
    <row r="1658" spans="1:20">
      <c r="A1658" t="s">
        <v>20</v>
      </c>
      <c r="B1658" t="s">
        <v>629</v>
      </c>
      <c r="C1658">
        <v>301049751</v>
      </c>
      <c r="D1658">
        <v>73239990</v>
      </c>
      <c r="E1658" t="s">
        <v>2361</v>
      </c>
      <c r="N1658">
        <v>28800</v>
      </c>
      <c r="O1658" t="s">
        <v>2748</v>
      </c>
      <c r="P1658">
        <v>92.30193715</v>
      </c>
      <c r="Q1658">
        <v>2658295.79</v>
      </c>
      <c r="R1658">
        <v>1.270501544</v>
      </c>
      <c r="S1658">
        <v>36590.44446</v>
      </c>
      <c r="T1658">
        <v>646497.6</v>
      </c>
    </row>
    <row r="1659" spans="1:20">
      <c r="A1659" t="s">
        <v>20</v>
      </c>
      <c r="B1659" t="s">
        <v>629</v>
      </c>
      <c r="C1659">
        <v>301049751</v>
      </c>
      <c r="D1659">
        <v>73239990</v>
      </c>
      <c r="E1659" t="s">
        <v>2362</v>
      </c>
      <c r="N1659">
        <v>11772</v>
      </c>
      <c r="O1659" t="s">
        <v>2748</v>
      </c>
      <c r="P1659">
        <v>75.2021755</v>
      </c>
      <c r="Q1659">
        <v>885280.01</v>
      </c>
      <c r="R1659">
        <v>1.035129738</v>
      </c>
      <c r="S1659">
        <v>12185.54728</v>
      </c>
      <c r="T1659">
        <v>215300.1</v>
      </c>
    </row>
    <row r="1660" spans="1:20">
      <c r="A1660" t="s">
        <v>20</v>
      </c>
      <c r="B1660" t="s">
        <v>630</v>
      </c>
      <c r="C1660">
        <v>301049751</v>
      </c>
      <c r="D1660">
        <v>73239990</v>
      </c>
      <c r="E1660" t="s">
        <v>2363</v>
      </c>
      <c r="N1660">
        <v>1200</v>
      </c>
      <c r="O1660" t="s">
        <v>2748</v>
      </c>
      <c r="P1660">
        <v>184.4697417</v>
      </c>
      <c r="Q1660">
        <v>221363.69</v>
      </c>
      <c r="R1660">
        <v>2.539156802</v>
      </c>
      <c r="S1660">
        <v>3046.988162</v>
      </c>
      <c r="T1660">
        <v>53835.6</v>
      </c>
    </row>
    <row r="1661" spans="1:20">
      <c r="A1661" t="s">
        <v>20</v>
      </c>
      <c r="B1661" t="s">
        <v>630</v>
      </c>
      <c r="C1661">
        <v>301049751</v>
      </c>
      <c r="D1661">
        <v>73239990</v>
      </c>
      <c r="E1661" t="s">
        <v>2364</v>
      </c>
      <c r="N1661">
        <v>38400</v>
      </c>
      <c r="O1661" t="s">
        <v>2748</v>
      </c>
      <c r="P1661">
        <v>58.29243906</v>
      </c>
      <c r="Q1661">
        <v>2238429.66</v>
      </c>
      <c r="R1661">
        <v>0.802373559</v>
      </c>
      <c r="S1661">
        <v>30811.14467</v>
      </c>
      <c r="T1661">
        <v>544386.1</v>
      </c>
    </row>
    <row r="1662" spans="1:20">
      <c r="A1662" t="s">
        <v>20</v>
      </c>
      <c r="B1662" t="s">
        <v>630</v>
      </c>
      <c r="C1662">
        <v>301049751</v>
      </c>
      <c r="D1662">
        <v>73239990</v>
      </c>
      <c r="E1662" t="s">
        <v>2365</v>
      </c>
      <c r="N1662">
        <v>16800</v>
      </c>
      <c r="O1662" t="s">
        <v>2748</v>
      </c>
      <c r="P1662">
        <v>256.0440048</v>
      </c>
      <c r="Q1662">
        <v>4301539.28</v>
      </c>
      <c r="R1662">
        <v>3.524349687</v>
      </c>
      <c r="S1662">
        <v>59209.07474</v>
      </c>
      <c r="T1662">
        <v>1046134.3</v>
      </c>
    </row>
    <row r="1663" spans="1:20">
      <c r="A1663" t="s">
        <v>20</v>
      </c>
      <c r="B1663" t="s">
        <v>630</v>
      </c>
      <c r="C1663">
        <v>301049751</v>
      </c>
      <c r="D1663">
        <v>73239990</v>
      </c>
      <c r="E1663" t="s">
        <v>2366</v>
      </c>
      <c r="N1663">
        <v>25860</v>
      </c>
      <c r="O1663" t="s">
        <v>2748</v>
      </c>
      <c r="P1663">
        <v>154.9545851</v>
      </c>
      <c r="Q1663">
        <v>4007125.57</v>
      </c>
      <c r="R1663">
        <v>2.132891742</v>
      </c>
      <c r="S1663">
        <v>55156.58045</v>
      </c>
      <c r="T1663">
        <v>974533</v>
      </c>
    </row>
    <row r="1664" spans="1:20">
      <c r="A1664" t="s">
        <v>20</v>
      </c>
      <c r="B1664" t="s">
        <v>631</v>
      </c>
      <c r="C1664">
        <v>301049751</v>
      </c>
      <c r="D1664">
        <v>73231000</v>
      </c>
      <c r="E1664" t="s">
        <v>2367</v>
      </c>
      <c r="N1664">
        <v>235800</v>
      </c>
      <c r="O1664" t="s">
        <v>2748</v>
      </c>
      <c r="P1664">
        <v>4.938705895</v>
      </c>
      <c r="Q1664">
        <v>1164546.85</v>
      </c>
      <c r="R1664">
        <v>0.068498001</v>
      </c>
      <c r="S1664">
        <v>16151.82871</v>
      </c>
      <c r="T1664">
        <v>360776.7</v>
      </c>
    </row>
    <row r="1665" spans="1:20">
      <c r="A1665" t="s">
        <v>20</v>
      </c>
      <c r="B1665" t="s">
        <v>632</v>
      </c>
      <c r="C1665">
        <v>301049751</v>
      </c>
      <c r="D1665">
        <v>73239990</v>
      </c>
      <c r="E1665" t="s">
        <v>2368</v>
      </c>
      <c r="N1665">
        <v>50400</v>
      </c>
      <c r="O1665" t="s">
        <v>2748</v>
      </c>
      <c r="P1665">
        <v>77.08109921</v>
      </c>
      <c r="Q1665">
        <v>3884887.4</v>
      </c>
      <c r="R1665">
        <v>1.069085981</v>
      </c>
      <c r="S1665">
        <v>53881.93343</v>
      </c>
      <c r="T1665">
        <v>944804.6</v>
      </c>
    </row>
    <row r="1666" spans="1:20">
      <c r="A1666" t="s">
        <v>20</v>
      </c>
      <c r="B1666" t="s">
        <v>632</v>
      </c>
      <c r="C1666">
        <v>301049751</v>
      </c>
      <c r="D1666">
        <v>73239990</v>
      </c>
      <c r="E1666" t="s">
        <v>2369</v>
      </c>
      <c r="N1666">
        <v>48000</v>
      </c>
      <c r="O1666" t="s">
        <v>2746</v>
      </c>
      <c r="P1666">
        <v>33.51349021</v>
      </c>
      <c r="Q1666">
        <v>1608647.53</v>
      </c>
      <c r="R1666">
        <v>0.464819559</v>
      </c>
      <c r="S1666">
        <v>22311.33883</v>
      </c>
      <c r="T1666">
        <v>391223.2</v>
      </c>
    </row>
    <row r="1667" spans="1:20">
      <c r="A1667" t="s">
        <v>20</v>
      </c>
      <c r="B1667" t="s">
        <v>632</v>
      </c>
      <c r="C1667">
        <v>301049751</v>
      </c>
      <c r="D1667">
        <v>73239990</v>
      </c>
      <c r="E1667" t="s">
        <v>2370</v>
      </c>
      <c r="N1667">
        <v>27000</v>
      </c>
      <c r="O1667" t="s">
        <v>2748</v>
      </c>
      <c r="P1667">
        <v>76.09752963</v>
      </c>
      <c r="Q1667">
        <v>2054633.3</v>
      </c>
      <c r="R1667">
        <v>1.055444239</v>
      </c>
      <c r="S1667">
        <v>28496.99445</v>
      </c>
      <c r="T1667">
        <v>499686.8</v>
      </c>
    </row>
    <row r="1668" spans="1:20">
      <c r="A1668" t="s">
        <v>20</v>
      </c>
      <c r="B1668" t="s">
        <v>632</v>
      </c>
      <c r="C1668">
        <v>301049751</v>
      </c>
      <c r="D1668">
        <v>73239990</v>
      </c>
      <c r="E1668" t="s">
        <v>2371</v>
      </c>
      <c r="N1668">
        <v>14796</v>
      </c>
      <c r="O1668" t="s">
        <v>2748</v>
      </c>
      <c r="P1668">
        <v>84.58590362</v>
      </c>
      <c r="Q1668">
        <v>1251533.03</v>
      </c>
      <c r="R1668">
        <v>1.173174808</v>
      </c>
      <c r="S1668">
        <v>17358.29445</v>
      </c>
      <c r="T1668">
        <v>304372.8</v>
      </c>
    </row>
    <row r="1669" spans="1:20">
      <c r="A1669" t="s">
        <v>20</v>
      </c>
      <c r="B1669" t="s">
        <v>632</v>
      </c>
      <c r="C1669">
        <v>301049751</v>
      </c>
      <c r="D1669">
        <v>73239990</v>
      </c>
      <c r="E1669" t="s">
        <v>2372</v>
      </c>
      <c r="N1669">
        <v>18432</v>
      </c>
      <c r="O1669" t="s">
        <v>2748</v>
      </c>
      <c r="P1669">
        <v>38.00253906</v>
      </c>
      <c r="Q1669">
        <v>700462.8</v>
      </c>
      <c r="R1669">
        <v>0.527080986</v>
      </c>
      <c r="S1669">
        <v>9715.156727</v>
      </c>
      <c r="T1669">
        <v>170352.6</v>
      </c>
    </row>
    <row r="1670" spans="1:20">
      <c r="A1670" t="s">
        <v>20</v>
      </c>
      <c r="B1670" t="s">
        <v>632</v>
      </c>
      <c r="C1670">
        <v>301049751</v>
      </c>
      <c r="D1670">
        <v>73239990</v>
      </c>
      <c r="E1670" t="s">
        <v>2373</v>
      </c>
      <c r="N1670">
        <v>29160</v>
      </c>
      <c r="O1670" t="s">
        <v>2748</v>
      </c>
      <c r="P1670">
        <v>23.47453944</v>
      </c>
      <c r="Q1670">
        <v>684517.5699999999</v>
      </c>
      <c r="R1670">
        <v>0.325583071</v>
      </c>
      <c r="S1670">
        <v>9494.002358</v>
      </c>
      <c r="T1670">
        <v>166474.7</v>
      </c>
    </row>
    <row r="1671" spans="1:20">
      <c r="A1671" t="s">
        <v>20</v>
      </c>
      <c r="B1671" t="s">
        <v>633</v>
      </c>
      <c r="C1671">
        <v>301049751</v>
      </c>
      <c r="D1671">
        <v>73239990</v>
      </c>
      <c r="E1671" t="s">
        <v>2374</v>
      </c>
      <c r="N1671">
        <v>6800</v>
      </c>
      <c r="O1671" t="s">
        <v>2748</v>
      </c>
      <c r="P1671">
        <v>91.54969853</v>
      </c>
      <c r="Q1671">
        <v>622537.95</v>
      </c>
      <c r="R1671">
        <v>1.269760035</v>
      </c>
      <c r="S1671">
        <v>8634.368238999999</v>
      </c>
      <c r="T1671">
        <v>151401.3</v>
      </c>
    </row>
    <row r="1672" spans="1:20">
      <c r="A1672" t="s">
        <v>20</v>
      </c>
      <c r="B1672" t="s">
        <v>633</v>
      </c>
      <c r="C1672">
        <v>301049751</v>
      </c>
      <c r="D1672">
        <v>73239990</v>
      </c>
      <c r="E1672" t="s">
        <v>2375</v>
      </c>
      <c r="N1672">
        <v>11100</v>
      </c>
      <c r="O1672" t="s">
        <v>2748</v>
      </c>
      <c r="P1672">
        <v>111.1674901</v>
      </c>
      <c r="Q1672">
        <v>1233959.14</v>
      </c>
      <c r="R1672">
        <v>1.541851458</v>
      </c>
      <c r="S1672">
        <v>17114.55118</v>
      </c>
      <c r="T1672">
        <v>300098.9</v>
      </c>
    </row>
    <row r="1673" spans="1:20">
      <c r="A1673" t="s">
        <v>20</v>
      </c>
      <c r="B1673" t="s">
        <v>634</v>
      </c>
      <c r="C1673">
        <v>301049751</v>
      </c>
      <c r="D1673">
        <v>73231000</v>
      </c>
      <c r="E1673" t="s">
        <v>2376</v>
      </c>
      <c r="N1673">
        <v>10000</v>
      </c>
      <c r="O1673" t="s">
        <v>2751</v>
      </c>
      <c r="P1673">
        <v>15.529305</v>
      </c>
      <c r="Q1673">
        <v>155293.05</v>
      </c>
      <c r="R1673">
        <v>0.215385645</v>
      </c>
      <c r="S1673">
        <v>2153.856449</v>
      </c>
      <c r="T1673">
        <v>48109.8</v>
      </c>
    </row>
    <row r="1674" spans="1:20">
      <c r="A1674" t="s">
        <v>20</v>
      </c>
      <c r="B1674" t="s">
        <v>635</v>
      </c>
      <c r="C1674">
        <v>301049751</v>
      </c>
      <c r="D1674">
        <v>73239990</v>
      </c>
      <c r="E1674" t="s">
        <v>2377</v>
      </c>
      <c r="N1674">
        <v>1800</v>
      </c>
      <c r="O1674" t="s">
        <v>2748</v>
      </c>
      <c r="P1674">
        <v>99.89136111000001</v>
      </c>
      <c r="Q1674">
        <v>179804.45</v>
      </c>
      <c r="R1674">
        <v>1.385455771</v>
      </c>
      <c r="S1674">
        <v>2493.820388</v>
      </c>
      <c r="T1674">
        <v>43728.4</v>
      </c>
    </row>
    <row r="1675" spans="1:20">
      <c r="A1675" t="s">
        <v>20</v>
      </c>
      <c r="B1675" t="s">
        <v>635</v>
      </c>
      <c r="C1675">
        <v>301049751</v>
      </c>
      <c r="D1675">
        <v>73239990</v>
      </c>
      <c r="E1675" t="s">
        <v>2375</v>
      </c>
      <c r="N1675">
        <v>11100</v>
      </c>
      <c r="O1675" t="s">
        <v>2748</v>
      </c>
      <c r="P1675">
        <v>111.380709</v>
      </c>
      <c r="Q1675">
        <v>1236325.87</v>
      </c>
      <c r="R1675">
        <v>1.544808724</v>
      </c>
      <c r="S1675">
        <v>17147.37684</v>
      </c>
      <c r="T1675">
        <v>300674.5</v>
      </c>
    </row>
    <row r="1676" spans="1:20">
      <c r="A1676" t="s">
        <v>20</v>
      </c>
      <c r="B1676" t="s">
        <v>635</v>
      </c>
      <c r="C1676">
        <v>301049751</v>
      </c>
      <c r="D1676">
        <v>73239990</v>
      </c>
      <c r="E1676" t="s">
        <v>2374</v>
      </c>
      <c r="N1676">
        <v>6800</v>
      </c>
      <c r="O1676" t="s">
        <v>2748</v>
      </c>
      <c r="P1676">
        <v>91.72528971</v>
      </c>
      <c r="Q1676">
        <v>623731.97</v>
      </c>
      <c r="R1676">
        <v>1.272195419</v>
      </c>
      <c r="S1676">
        <v>8650.928849</v>
      </c>
      <c r="T1676">
        <v>151691.6</v>
      </c>
    </row>
    <row r="1677" spans="1:20">
      <c r="A1677" t="s">
        <v>20</v>
      </c>
      <c r="B1677" t="s">
        <v>636</v>
      </c>
      <c r="C1677">
        <v>301049751</v>
      </c>
      <c r="D1677">
        <v>73239990</v>
      </c>
      <c r="E1677" t="s">
        <v>2378</v>
      </c>
      <c r="N1677">
        <v>14112</v>
      </c>
      <c r="O1677" t="s">
        <v>2748</v>
      </c>
      <c r="P1677">
        <v>80.85876276</v>
      </c>
      <c r="Q1677">
        <v>1141078.86</v>
      </c>
      <c r="R1677">
        <v>1.121480759</v>
      </c>
      <c r="S1677">
        <v>15826.33648</v>
      </c>
      <c r="T1677">
        <v>277510.4</v>
      </c>
    </row>
    <row r="1678" spans="1:20">
      <c r="A1678" t="s">
        <v>20</v>
      </c>
      <c r="B1678" t="s">
        <v>637</v>
      </c>
      <c r="C1678">
        <v>301049751</v>
      </c>
      <c r="D1678">
        <v>73239990</v>
      </c>
      <c r="E1678" t="s">
        <v>2379</v>
      </c>
      <c r="N1678">
        <v>18000</v>
      </c>
      <c r="O1678" t="s">
        <v>2748</v>
      </c>
      <c r="P1678">
        <v>76.15621333</v>
      </c>
      <c r="Q1678">
        <v>1370811.84</v>
      </c>
      <c r="R1678">
        <v>1.05625816</v>
      </c>
      <c r="S1678">
        <v>19012.64688</v>
      </c>
      <c r="T1678">
        <v>333381.4</v>
      </c>
    </row>
    <row r="1679" spans="1:20">
      <c r="A1679" t="s">
        <v>20</v>
      </c>
      <c r="B1679" t="s">
        <v>637</v>
      </c>
      <c r="C1679">
        <v>301049751</v>
      </c>
      <c r="D1679">
        <v>73239990</v>
      </c>
      <c r="E1679" t="s">
        <v>2380</v>
      </c>
      <c r="N1679">
        <v>6048</v>
      </c>
      <c r="O1679" t="s">
        <v>2748</v>
      </c>
      <c r="P1679">
        <v>80.96455357000001</v>
      </c>
      <c r="Q1679">
        <v>489673.62</v>
      </c>
      <c r="R1679">
        <v>1.122948038</v>
      </c>
      <c r="S1679">
        <v>6791.589736</v>
      </c>
      <c r="T1679">
        <v>119088.6</v>
      </c>
    </row>
    <row r="1680" spans="1:20">
      <c r="A1680" t="s">
        <v>20</v>
      </c>
      <c r="B1680" t="s">
        <v>637</v>
      </c>
      <c r="C1680">
        <v>301049751</v>
      </c>
      <c r="D1680">
        <v>73239990</v>
      </c>
      <c r="E1680" t="s">
        <v>2381</v>
      </c>
      <c r="N1680">
        <v>21420</v>
      </c>
      <c r="O1680" t="s">
        <v>2748</v>
      </c>
      <c r="P1680">
        <v>84.65113352</v>
      </c>
      <c r="Q1680">
        <v>1813227.28</v>
      </c>
      <c r="R1680">
        <v>1.174079522</v>
      </c>
      <c r="S1680">
        <v>25148.78336</v>
      </c>
      <c r="T1680">
        <v>440976.9</v>
      </c>
    </row>
    <row r="1681" spans="1:20">
      <c r="A1681" t="s">
        <v>20</v>
      </c>
      <c r="B1681" t="s">
        <v>638</v>
      </c>
      <c r="C1681">
        <v>301049751</v>
      </c>
      <c r="D1681">
        <v>73239990</v>
      </c>
      <c r="E1681" t="s">
        <v>2382</v>
      </c>
      <c r="N1681">
        <v>19188</v>
      </c>
      <c r="O1681" t="s">
        <v>2748</v>
      </c>
      <c r="P1681">
        <v>71.99756984</v>
      </c>
      <c r="Q1681">
        <v>1381489.37</v>
      </c>
      <c r="R1681">
        <v>1.010492208</v>
      </c>
      <c r="S1681">
        <v>19389.32449</v>
      </c>
      <c r="T1681">
        <v>335978.2</v>
      </c>
    </row>
    <row r="1682" spans="1:20">
      <c r="A1682" t="s">
        <v>20</v>
      </c>
      <c r="B1682" t="s">
        <v>638</v>
      </c>
      <c r="C1682">
        <v>301049751</v>
      </c>
      <c r="D1682">
        <v>73239990</v>
      </c>
      <c r="E1682" t="s">
        <v>2383</v>
      </c>
      <c r="N1682">
        <v>14040</v>
      </c>
      <c r="O1682" t="s">
        <v>2748</v>
      </c>
      <c r="P1682">
        <v>75.51662607</v>
      </c>
      <c r="Q1682">
        <v>1060253.43</v>
      </c>
      <c r="R1682">
        <v>1.059882471</v>
      </c>
      <c r="S1682">
        <v>14880.74989</v>
      </c>
      <c r="T1682">
        <v>257853.6</v>
      </c>
    </row>
    <row r="1683" spans="1:20">
      <c r="A1683" t="s">
        <v>20</v>
      </c>
      <c r="B1683" t="s">
        <v>638</v>
      </c>
      <c r="C1683">
        <v>301049751</v>
      </c>
      <c r="D1683">
        <v>73239990</v>
      </c>
      <c r="E1683" t="s">
        <v>2384</v>
      </c>
      <c r="N1683">
        <v>19476</v>
      </c>
      <c r="O1683" t="s">
        <v>2748</v>
      </c>
      <c r="P1683">
        <v>79.19732645000001</v>
      </c>
      <c r="Q1683">
        <v>1542447.13</v>
      </c>
      <c r="R1683">
        <v>1.111541424</v>
      </c>
      <c r="S1683">
        <v>21648.38077</v>
      </c>
      <c r="T1683">
        <v>375123.2</v>
      </c>
    </row>
    <row r="1684" spans="1:20">
      <c r="A1684" t="s">
        <v>20</v>
      </c>
      <c r="B1684" t="s">
        <v>638</v>
      </c>
      <c r="C1684">
        <v>301049751</v>
      </c>
      <c r="D1684">
        <v>73239990</v>
      </c>
      <c r="E1684" t="s">
        <v>2385</v>
      </c>
      <c r="N1684">
        <v>14040</v>
      </c>
      <c r="O1684" t="s">
        <v>2748</v>
      </c>
      <c r="P1684">
        <v>71.92059614999999</v>
      </c>
      <c r="Q1684">
        <v>1009765.17</v>
      </c>
      <c r="R1684">
        <v>1.009411876</v>
      </c>
      <c r="S1684">
        <v>14172.14274</v>
      </c>
      <c r="T1684">
        <v>245574.9</v>
      </c>
    </row>
    <row r="1685" spans="1:20">
      <c r="A1685" t="s">
        <v>20</v>
      </c>
      <c r="B1685" t="s">
        <v>638</v>
      </c>
      <c r="C1685">
        <v>301049751</v>
      </c>
      <c r="D1685">
        <v>73239990</v>
      </c>
      <c r="E1685" t="s">
        <v>2386</v>
      </c>
      <c r="N1685">
        <v>14040</v>
      </c>
      <c r="O1685" t="s">
        <v>2748</v>
      </c>
      <c r="P1685">
        <v>84.86630341999999</v>
      </c>
      <c r="Q1685">
        <v>1191522.9</v>
      </c>
      <c r="R1685">
        <v>1.191106013</v>
      </c>
      <c r="S1685">
        <v>16723.12842</v>
      </c>
      <c r="T1685">
        <v>289778.4</v>
      </c>
    </row>
    <row r="1686" spans="1:20">
      <c r="A1686" t="s">
        <v>20</v>
      </c>
      <c r="B1686" t="s">
        <v>639</v>
      </c>
      <c r="C1686">
        <v>301049751</v>
      </c>
      <c r="D1686">
        <v>73239990</v>
      </c>
      <c r="E1686" t="s">
        <v>2387</v>
      </c>
      <c r="N1686">
        <v>50400</v>
      </c>
      <c r="O1686" t="s">
        <v>2748</v>
      </c>
      <c r="P1686">
        <v>23.07264683</v>
      </c>
      <c r="Q1686">
        <v>1162861.4</v>
      </c>
      <c r="R1686">
        <v>0.323826622</v>
      </c>
      <c r="S1686">
        <v>16320.86175</v>
      </c>
      <c r="T1686">
        <v>282807.8</v>
      </c>
    </row>
    <row r="1687" spans="1:20">
      <c r="A1687" t="s">
        <v>20</v>
      </c>
      <c r="B1687" t="s">
        <v>640</v>
      </c>
      <c r="C1687">
        <v>301049751</v>
      </c>
      <c r="D1687">
        <v>73239990</v>
      </c>
      <c r="E1687" t="s">
        <v>2360</v>
      </c>
      <c r="N1687">
        <v>19044</v>
      </c>
      <c r="O1687" t="s">
        <v>2748</v>
      </c>
      <c r="P1687">
        <v>83.54980098999999</v>
      </c>
      <c r="Q1687">
        <v>1591122.41</v>
      </c>
      <c r="R1687">
        <v>1.172628786</v>
      </c>
      <c r="S1687">
        <v>22331.5426</v>
      </c>
      <c r="T1687">
        <v>386960.9</v>
      </c>
    </row>
    <row r="1688" spans="1:20">
      <c r="A1688" t="s">
        <v>20</v>
      </c>
      <c r="B1688" t="s">
        <v>640</v>
      </c>
      <c r="C1688">
        <v>301049751</v>
      </c>
      <c r="D1688">
        <v>73239990</v>
      </c>
      <c r="E1688" t="s">
        <v>2362</v>
      </c>
      <c r="N1688">
        <v>11772</v>
      </c>
      <c r="O1688" t="s">
        <v>2748</v>
      </c>
      <c r="P1688">
        <v>75.2021755</v>
      </c>
      <c r="Q1688">
        <v>885280.01</v>
      </c>
      <c r="R1688">
        <v>1.05546913</v>
      </c>
      <c r="S1688">
        <v>12424.9826</v>
      </c>
      <c r="T1688">
        <v>215300.1</v>
      </c>
    </row>
    <row r="1689" spans="1:20">
      <c r="A1689" t="s">
        <v>20</v>
      </c>
      <c r="B1689" t="s">
        <v>640</v>
      </c>
      <c r="C1689">
        <v>301049751</v>
      </c>
      <c r="D1689">
        <v>73239990</v>
      </c>
      <c r="E1689" t="s">
        <v>2361</v>
      </c>
      <c r="N1689">
        <v>28800</v>
      </c>
      <c r="O1689" t="s">
        <v>2748</v>
      </c>
      <c r="P1689">
        <v>92.30193715</v>
      </c>
      <c r="Q1689">
        <v>2658295.79</v>
      </c>
      <c r="R1689">
        <v>1.295465785</v>
      </c>
      <c r="S1689">
        <v>37309.4146</v>
      </c>
      <c r="T1689">
        <v>646497.6</v>
      </c>
    </row>
    <row r="1690" spans="1:20">
      <c r="A1690" t="s">
        <v>20</v>
      </c>
      <c r="B1690" t="s">
        <v>641</v>
      </c>
      <c r="C1690">
        <v>301049751</v>
      </c>
      <c r="D1690">
        <v>73239990</v>
      </c>
      <c r="E1690" t="s">
        <v>2388</v>
      </c>
      <c r="N1690">
        <v>2592</v>
      </c>
      <c r="O1690" t="s">
        <v>2748</v>
      </c>
      <c r="P1690">
        <v>637.835841</v>
      </c>
      <c r="Q1690">
        <v>1653270.5</v>
      </c>
      <c r="R1690">
        <v>8.952081980000001</v>
      </c>
      <c r="S1690">
        <v>23203.79649</v>
      </c>
      <c r="T1690">
        <v>402075.4</v>
      </c>
    </row>
    <row r="1691" spans="1:20">
      <c r="A1691" t="s">
        <v>20</v>
      </c>
      <c r="B1691" t="s">
        <v>642</v>
      </c>
      <c r="C1691">
        <v>301049751</v>
      </c>
      <c r="D1691">
        <v>73239990</v>
      </c>
      <c r="E1691" t="s">
        <v>2389</v>
      </c>
      <c r="N1691">
        <v>72</v>
      </c>
      <c r="O1691" t="s">
        <v>2748</v>
      </c>
      <c r="P1691">
        <v>152.0622222</v>
      </c>
      <c r="Q1691">
        <v>10948.48</v>
      </c>
      <c r="R1691">
        <v>2.134206628</v>
      </c>
      <c r="S1691">
        <v>153.6628772</v>
      </c>
      <c r="T1691">
        <v>2662.6</v>
      </c>
    </row>
    <row r="1692" spans="1:20">
      <c r="A1692" t="s">
        <v>20</v>
      </c>
      <c r="B1692" t="s">
        <v>642</v>
      </c>
      <c r="C1692">
        <v>301049751</v>
      </c>
      <c r="D1692">
        <v>73239990</v>
      </c>
      <c r="E1692" t="s">
        <v>2390</v>
      </c>
      <c r="N1692">
        <v>31680</v>
      </c>
      <c r="O1692" t="s">
        <v>2748</v>
      </c>
      <c r="P1692">
        <v>75.01245896</v>
      </c>
      <c r="Q1692">
        <v>2376394.7</v>
      </c>
      <c r="R1692">
        <v>1.052806442</v>
      </c>
      <c r="S1692">
        <v>33352.90807</v>
      </c>
      <c r="T1692">
        <v>577939.2</v>
      </c>
    </row>
    <row r="1693" spans="1:20">
      <c r="A1693" t="s">
        <v>20</v>
      </c>
      <c r="B1693" t="s">
        <v>642</v>
      </c>
      <c r="C1693">
        <v>301049751</v>
      </c>
      <c r="D1693">
        <v>73239990</v>
      </c>
      <c r="E1693" t="s">
        <v>2391</v>
      </c>
      <c r="N1693">
        <v>29592</v>
      </c>
      <c r="O1693" t="s">
        <v>2748</v>
      </c>
      <c r="P1693">
        <v>83.37979758</v>
      </c>
      <c r="Q1693">
        <v>2467374.97</v>
      </c>
      <c r="R1693">
        <v>1.170242773</v>
      </c>
      <c r="S1693">
        <v>34629.82414</v>
      </c>
      <c r="T1693">
        <v>600065.6</v>
      </c>
    </row>
    <row r="1694" spans="1:20">
      <c r="A1694" t="s">
        <v>20</v>
      </c>
      <c r="B1694" t="s">
        <v>642</v>
      </c>
      <c r="C1694">
        <v>301049751</v>
      </c>
      <c r="D1694">
        <v>73239990</v>
      </c>
      <c r="E1694" t="s">
        <v>2392</v>
      </c>
      <c r="N1694">
        <v>20400</v>
      </c>
      <c r="O1694" t="s">
        <v>2748</v>
      </c>
      <c r="P1694">
        <v>36.97199265</v>
      </c>
      <c r="Q1694">
        <v>754228.65</v>
      </c>
      <c r="R1694">
        <v>0.51890516</v>
      </c>
      <c r="S1694">
        <v>10585.66526</v>
      </c>
      <c r="T1694">
        <v>183428.5</v>
      </c>
    </row>
    <row r="1695" spans="1:20">
      <c r="A1695" t="s">
        <v>20</v>
      </c>
      <c r="B1695" t="s">
        <v>642</v>
      </c>
      <c r="C1695">
        <v>301049751</v>
      </c>
      <c r="D1695">
        <v>73239990</v>
      </c>
      <c r="E1695" t="s">
        <v>2393</v>
      </c>
      <c r="N1695">
        <v>22068</v>
      </c>
      <c r="O1695" t="s">
        <v>2748</v>
      </c>
      <c r="P1695">
        <v>92.1288046</v>
      </c>
      <c r="Q1695">
        <v>2033098.46</v>
      </c>
      <c r="R1695">
        <v>1.293035854</v>
      </c>
      <c r="S1695">
        <v>28534.71523</v>
      </c>
      <c r="T1695">
        <v>494449.5</v>
      </c>
    </row>
    <row r="1696" spans="1:20">
      <c r="A1696" t="s">
        <v>20</v>
      </c>
      <c r="B1696" t="s">
        <v>642</v>
      </c>
      <c r="C1696">
        <v>301049751</v>
      </c>
      <c r="D1696">
        <v>73239990</v>
      </c>
      <c r="E1696" t="s">
        <v>2394</v>
      </c>
      <c r="N1696">
        <v>144</v>
      </c>
      <c r="O1696" t="s">
        <v>2748</v>
      </c>
      <c r="P1696">
        <v>84.23055556</v>
      </c>
      <c r="Q1696">
        <v>12129.2</v>
      </c>
      <c r="R1696">
        <v>1.182183236</v>
      </c>
      <c r="S1696">
        <v>170.234386</v>
      </c>
      <c r="T1696">
        <v>2949.8</v>
      </c>
    </row>
    <row r="1697" spans="1:20">
      <c r="A1697" t="s">
        <v>20</v>
      </c>
      <c r="B1697" t="s">
        <v>643</v>
      </c>
      <c r="C1697">
        <v>301049751</v>
      </c>
      <c r="D1697">
        <v>73239990</v>
      </c>
      <c r="E1697" t="s">
        <v>2395</v>
      </c>
      <c r="N1697">
        <v>71400</v>
      </c>
      <c r="O1697" t="s">
        <v>2748</v>
      </c>
      <c r="P1697">
        <v>32.48791345</v>
      </c>
      <c r="Q1697">
        <v>2319637.02</v>
      </c>
      <c r="R1697">
        <v>0.455970715</v>
      </c>
      <c r="S1697">
        <v>32556.30905</v>
      </c>
      <c r="T1697">
        <v>564135.8</v>
      </c>
    </row>
    <row r="1698" spans="1:20">
      <c r="A1698" t="s">
        <v>20</v>
      </c>
      <c r="B1698" t="s">
        <v>644</v>
      </c>
      <c r="C1698">
        <v>301049751</v>
      </c>
      <c r="D1698">
        <v>73239990</v>
      </c>
      <c r="E1698" t="s">
        <v>2396</v>
      </c>
      <c r="N1698">
        <v>4752</v>
      </c>
      <c r="O1698" t="s">
        <v>2750</v>
      </c>
      <c r="P1698">
        <v>173.4268056</v>
      </c>
      <c r="Q1698">
        <v>824124.1800000001</v>
      </c>
      <c r="R1698">
        <v>2.427247104</v>
      </c>
      <c r="S1698">
        <v>11534.27824</v>
      </c>
      <c r="T1698">
        <v>200426.9</v>
      </c>
    </row>
    <row r="1699" spans="1:20">
      <c r="A1699" t="s">
        <v>20</v>
      </c>
      <c r="B1699" t="s">
        <v>644</v>
      </c>
      <c r="C1699">
        <v>301049751</v>
      </c>
      <c r="D1699">
        <v>73239990</v>
      </c>
      <c r="E1699" t="s">
        <v>2397</v>
      </c>
      <c r="N1699">
        <v>4004</v>
      </c>
      <c r="O1699" t="s">
        <v>2750</v>
      </c>
      <c r="P1699">
        <v>313.9572727</v>
      </c>
      <c r="Q1699">
        <v>1257084.92</v>
      </c>
      <c r="R1699">
        <v>4.394083593</v>
      </c>
      <c r="S1699">
        <v>17593.91071</v>
      </c>
      <c r="T1699">
        <v>305723</v>
      </c>
    </row>
    <row r="1700" spans="1:20">
      <c r="A1700" t="s">
        <v>20</v>
      </c>
      <c r="B1700" t="s">
        <v>645</v>
      </c>
      <c r="C1700">
        <v>301049751</v>
      </c>
      <c r="D1700">
        <v>73239990</v>
      </c>
      <c r="E1700" t="s">
        <v>2398</v>
      </c>
      <c r="N1700">
        <v>33588</v>
      </c>
      <c r="O1700" t="s">
        <v>2748</v>
      </c>
      <c r="P1700">
        <v>83.59243687999999</v>
      </c>
      <c r="Q1700">
        <v>2807702.77</v>
      </c>
      <c r="R1700">
        <v>1.169943133</v>
      </c>
      <c r="S1700">
        <v>39296.04997</v>
      </c>
      <c r="T1700">
        <v>682833.3</v>
      </c>
    </row>
    <row r="1701" spans="1:20">
      <c r="A1701" t="s">
        <v>20</v>
      </c>
      <c r="B1701" t="s">
        <v>645</v>
      </c>
      <c r="C1701">
        <v>301049751</v>
      </c>
      <c r="D1701">
        <v>73239990</v>
      </c>
      <c r="E1701" t="s">
        <v>2399</v>
      </c>
      <c r="N1701">
        <v>450</v>
      </c>
      <c r="O1701" t="s">
        <v>2751</v>
      </c>
      <c r="P1701">
        <v>84.97268889</v>
      </c>
      <c r="Q1701">
        <v>38237.71</v>
      </c>
      <c r="R1701">
        <v>1.189260866</v>
      </c>
      <c r="S1701">
        <v>535.1673898</v>
      </c>
      <c r="T1701">
        <v>9299.5</v>
      </c>
    </row>
    <row r="1702" spans="1:20">
      <c r="A1702" t="s">
        <v>20</v>
      </c>
      <c r="B1702" t="s">
        <v>645</v>
      </c>
      <c r="C1702">
        <v>301049751</v>
      </c>
      <c r="D1702">
        <v>73239990</v>
      </c>
      <c r="E1702" t="s">
        <v>2400</v>
      </c>
      <c r="N1702">
        <v>3600</v>
      </c>
      <c r="O1702" t="s">
        <v>2748</v>
      </c>
      <c r="P1702">
        <v>86.83017221999999</v>
      </c>
      <c r="Q1702">
        <v>312588.62</v>
      </c>
      <c r="R1702">
        <v>1.215257834</v>
      </c>
      <c r="S1702">
        <v>4374.928202</v>
      </c>
      <c r="T1702">
        <v>76021.60000000001</v>
      </c>
    </row>
    <row r="1703" spans="1:20">
      <c r="A1703" t="s">
        <v>20</v>
      </c>
      <c r="B1703" t="s">
        <v>645</v>
      </c>
      <c r="C1703">
        <v>301049751</v>
      </c>
      <c r="D1703">
        <v>73231000</v>
      </c>
      <c r="E1703" t="s">
        <v>2401</v>
      </c>
      <c r="N1703">
        <v>10800</v>
      </c>
      <c r="O1703" t="s">
        <v>2751</v>
      </c>
      <c r="P1703">
        <v>17.36722685</v>
      </c>
      <c r="Q1703">
        <v>187566.05</v>
      </c>
      <c r="R1703">
        <v>0.243068255</v>
      </c>
      <c r="S1703">
        <v>2625.137159</v>
      </c>
      <c r="T1703">
        <v>58108</v>
      </c>
    </row>
    <row r="1704" spans="1:20">
      <c r="A1704" t="s">
        <v>20</v>
      </c>
      <c r="B1704" t="s">
        <v>645</v>
      </c>
      <c r="C1704">
        <v>301049751</v>
      </c>
      <c r="D1704">
        <v>73239990</v>
      </c>
      <c r="E1704" t="s">
        <v>2402</v>
      </c>
      <c r="N1704">
        <v>21600</v>
      </c>
      <c r="O1704" t="s">
        <v>2748</v>
      </c>
      <c r="P1704">
        <v>92.34903889</v>
      </c>
      <c r="Q1704">
        <v>1994739.24</v>
      </c>
      <c r="R1704">
        <v>1.292498795</v>
      </c>
      <c r="S1704">
        <v>27917.97397</v>
      </c>
      <c r="T1704">
        <v>485120.6</v>
      </c>
    </row>
    <row r="1705" spans="1:20">
      <c r="A1705" t="s">
        <v>20</v>
      </c>
      <c r="B1705" t="s">
        <v>645</v>
      </c>
      <c r="C1705">
        <v>301049751</v>
      </c>
      <c r="D1705">
        <v>73239990</v>
      </c>
      <c r="E1705" t="s">
        <v>2403</v>
      </c>
      <c r="N1705">
        <v>500</v>
      </c>
      <c r="O1705" t="s">
        <v>2751</v>
      </c>
      <c r="P1705">
        <v>58.88458</v>
      </c>
      <c r="Q1705">
        <v>29442.29</v>
      </c>
      <c r="R1705">
        <v>0.824136879</v>
      </c>
      <c r="S1705">
        <v>412.0684395</v>
      </c>
      <c r="T1705">
        <v>7160.3</v>
      </c>
    </row>
    <row r="1706" spans="1:20">
      <c r="A1706" t="s">
        <v>20</v>
      </c>
      <c r="B1706" t="s">
        <v>645</v>
      </c>
      <c r="C1706">
        <v>301049751</v>
      </c>
      <c r="D1706">
        <v>73231000</v>
      </c>
      <c r="E1706" t="s">
        <v>2404</v>
      </c>
      <c r="N1706">
        <v>6000</v>
      </c>
      <c r="O1706" t="s">
        <v>2751</v>
      </c>
      <c r="P1706">
        <v>21.69039833</v>
      </c>
      <c r="Q1706">
        <v>130142.39</v>
      </c>
      <c r="R1706">
        <v>0.303574504</v>
      </c>
      <c r="S1706">
        <v>1821.447026</v>
      </c>
      <c r="T1706">
        <v>40318.1</v>
      </c>
    </row>
    <row r="1707" spans="1:20">
      <c r="A1707" t="s">
        <v>20</v>
      </c>
      <c r="B1707" t="s">
        <v>645</v>
      </c>
      <c r="C1707">
        <v>301049751</v>
      </c>
      <c r="D1707">
        <v>73239990</v>
      </c>
      <c r="E1707" t="s">
        <v>2405</v>
      </c>
      <c r="N1707">
        <v>21708</v>
      </c>
      <c r="O1707" t="s">
        <v>2748</v>
      </c>
      <c r="P1707">
        <v>75.20375944</v>
      </c>
      <c r="Q1707">
        <v>1632523.21</v>
      </c>
      <c r="R1707">
        <v>1.052536871</v>
      </c>
      <c r="S1707">
        <v>22848.4704</v>
      </c>
      <c r="T1707">
        <v>397029.6</v>
      </c>
    </row>
    <row r="1708" spans="1:20">
      <c r="A1708" t="s">
        <v>20</v>
      </c>
      <c r="B1708" t="s">
        <v>645</v>
      </c>
      <c r="C1708">
        <v>301049751</v>
      </c>
      <c r="D1708">
        <v>73239990</v>
      </c>
      <c r="E1708" t="s">
        <v>2406</v>
      </c>
      <c r="N1708">
        <v>3600</v>
      </c>
      <c r="O1708" t="s">
        <v>2748</v>
      </c>
      <c r="P1708">
        <v>85.358475</v>
      </c>
      <c r="Q1708">
        <v>307290.51</v>
      </c>
      <c r="R1708">
        <v>1.194660252</v>
      </c>
      <c r="S1708">
        <v>4300.776907</v>
      </c>
      <c r="T1708">
        <v>74733.10000000001</v>
      </c>
    </row>
    <row r="1709" spans="1:20">
      <c r="A1709" t="s">
        <v>20</v>
      </c>
      <c r="B1709" t="s">
        <v>645</v>
      </c>
      <c r="C1709">
        <v>301049751</v>
      </c>
      <c r="D1709">
        <v>73239990</v>
      </c>
      <c r="E1709" t="s">
        <v>2407</v>
      </c>
      <c r="N1709">
        <v>20160</v>
      </c>
      <c r="O1709" t="s">
        <v>2748</v>
      </c>
      <c r="P1709">
        <v>79.30784970000001</v>
      </c>
      <c r="Q1709">
        <v>1598846.25</v>
      </c>
      <c r="R1709">
        <v>1.109976903</v>
      </c>
      <c r="S1709">
        <v>22377.13436</v>
      </c>
      <c r="T1709">
        <v>388839.4</v>
      </c>
    </row>
    <row r="1710" spans="1:20">
      <c r="A1710" t="s">
        <v>20</v>
      </c>
      <c r="B1710" t="s">
        <v>645</v>
      </c>
      <c r="C1710">
        <v>301049751</v>
      </c>
      <c r="D1710">
        <v>73239990</v>
      </c>
      <c r="E1710" t="s">
        <v>2408</v>
      </c>
      <c r="N1710">
        <v>450</v>
      </c>
      <c r="O1710" t="s">
        <v>2751</v>
      </c>
      <c r="P1710">
        <v>106.5885556</v>
      </c>
      <c r="Q1710">
        <v>47964.85</v>
      </c>
      <c r="R1710">
        <v>1.49179224</v>
      </c>
      <c r="S1710">
        <v>671.306508</v>
      </c>
      <c r="T1710">
        <v>11665</v>
      </c>
    </row>
    <row r="1711" spans="1:20">
      <c r="A1711" t="s">
        <v>20</v>
      </c>
      <c r="B1711" t="s">
        <v>646</v>
      </c>
      <c r="C1711">
        <v>301049751</v>
      </c>
      <c r="D1711">
        <v>73231000</v>
      </c>
      <c r="E1711" t="s">
        <v>2409</v>
      </c>
      <c r="N1711">
        <v>280800</v>
      </c>
      <c r="O1711" t="s">
        <v>2748</v>
      </c>
      <c r="P1711">
        <v>4.856987678</v>
      </c>
      <c r="Q1711">
        <v>1363842.14</v>
      </c>
      <c r="R1711">
        <v>0.067977434</v>
      </c>
      <c r="S1711">
        <v>19088.06354</v>
      </c>
      <c r="T1711">
        <v>422518.3</v>
      </c>
    </row>
    <row r="1712" spans="1:20">
      <c r="A1712" t="s">
        <v>20</v>
      </c>
      <c r="B1712" t="s">
        <v>647</v>
      </c>
      <c r="C1712">
        <v>301049751</v>
      </c>
      <c r="D1712">
        <v>73239990</v>
      </c>
      <c r="E1712" t="s">
        <v>2410</v>
      </c>
      <c r="N1712">
        <v>46044</v>
      </c>
      <c r="O1712" t="s">
        <v>2748</v>
      </c>
      <c r="P1712">
        <v>71.22714925</v>
      </c>
      <c r="Q1712">
        <v>3279582.86</v>
      </c>
      <c r="R1712">
        <v>0.996881025</v>
      </c>
      <c r="S1712">
        <v>45900.38992</v>
      </c>
      <c r="T1712">
        <v>797594.5</v>
      </c>
    </row>
    <row r="1713" spans="1:20">
      <c r="A1713" t="s">
        <v>20</v>
      </c>
      <c r="B1713" t="s">
        <v>648</v>
      </c>
      <c r="C1713">
        <v>301049751</v>
      </c>
      <c r="D1713">
        <v>73239990</v>
      </c>
      <c r="E1713" t="s">
        <v>2411</v>
      </c>
      <c r="N1713">
        <v>20160</v>
      </c>
      <c r="O1713" t="s">
        <v>2748</v>
      </c>
      <c r="P1713">
        <v>75.4131379</v>
      </c>
      <c r="Q1713">
        <v>1520328.86</v>
      </c>
      <c r="R1713">
        <v>1.05546729</v>
      </c>
      <c r="S1713">
        <v>21278.22057</v>
      </c>
      <c r="T1713">
        <v>369744</v>
      </c>
    </row>
    <row r="1714" spans="1:20">
      <c r="A1714" t="s">
        <v>20</v>
      </c>
      <c r="B1714" t="s">
        <v>648</v>
      </c>
      <c r="C1714">
        <v>301049751</v>
      </c>
      <c r="D1714">
        <v>73239990</v>
      </c>
      <c r="E1714" t="s">
        <v>2412</v>
      </c>
      <c r="N1714">
        <v>21600</v>
      </c>
      <c r="O1714" t="s">
        <v>2748</v>
      </c>
      <c r="P1714">
        <v>92.61922731</v>
      </c>
      <c r="Q1714">
        <v>2000575.31</v>
      </c>
      <c r="R1714">
        <v>1.296280298</v>
      </c>
      <c r="S1714">
        <v>27999.65444</v>
      </c>
      <c r="T1714">
        <v>486539.9</v>
      </c>
    </row>
    <row r="1715" spans="1:20">
      <c r="A1715" t="s">
        <v>20</v>
      </c>
      <c r="B1715" t="s">
        <v>649</v>
      </c>
      <c r="C1715">
        <v>301049751</v>
      </c>
      <c r="D1715">
        <v>73239990</v>
      </c>
      <c r="E1715" t="s">
        <v>2413</v>
      </c>
      <c r="N1715">
        <v>2330.2</v>
      </c>
      <c r="O1715" t="s">
        <v>2746</v>
      </c>
      <c r="P1715">
        <v>990.766402</v>
      </c>
      <c r="Q1715">
        <v>2308683.87</v>
      </c>
      <c r="R1715">
        <v>13.80859097</v>
      </c>
      <c r="S1715">
        <v>32176.77868</v>
      </c>
      <c r="T1715">
        <v>561471.9</v>
      </c>
    </row>
    <row r="1716" spans="1:20">
      <c r="A1716" t="s">
        <v>20</v>
      </c>
      <c r="B1716" t="s">
        <v>649</v>
      </c>
      <c r="C1716">
        <v>301049751</v>
      </c>
      <c r="D1716">
        <v>73239990</v>
      </c>
      <c r="E1716" t="s">
        <v>2414</v>
      </c>
      <c r="N1716">
        <v>23580</v>
      </c>
      <c r="O1716" t="s">
        <v>2748</v>
      </c>
      <c r="P1716">
        <v>83.97529092000001</v>
      </c>
      <c r="Q1716">
        <v>1980137.36</v>
      </c>
      <c r="R1716">
        <v>1.17038733</v>
      </c>
      <c r="S1716">
        <v>27597.73324</v>
      </c>
      <c r="T1716">
        <v>481569.4</v>
      </c>
    </row>
    <row r="1717" spans="1:20">
      <c r="A1717" t="s">
        <v>20</v>
      </c>
      <c r="B1717" t="s">
        <v>649</v>
      </c>
      <c r="C1717">
        <v>301049751</v>
      </c>
      <c r="D1717">
        <v>73239990</v>
      </c>
      <c r="E1717" t="s">
        <v>2415</v>
      </c>
      <c r="N1717">
        <v>15600</v>
      </c>
      <c r="O1717" t="s">
        <v>2748</v>
      </c>
      <c r="P1717">
        <v>33.15121154</v>
      </c>
      <c r="Q1717">
        <v>517158.9</v>
      </c>
      <c r="R1717">
        <v>0.462037791</v>
      </c>
      <c r="S1717">
        <v>7207.789547</v>
      </c>
      <c r="T1717">
        <v>125773.1</v>
      </c>
    </row>
    <row r="1718" spans="1:20">
      <c r="A1718" t="s">
        <v>20</v>
      </c>
      <c r="B1718" t="s">
        <v>649</v>
      </c>
      <c r="C1718">
        <v>301049751</v>
      </c>
      <c r="D1718">
        <v>73239990</v>
      </c>
      <c r="E1718" t="s">
        <v>2416</v>
      </c>
      <c r="N1718">
        <v>19080</v>
      </c>
      <c r="O1718" t="s">
        <v>2748</v>
      </c>
      <c r="P1718">
        <v>75.55484382</v>
      </c>
      <c r="Q1718">
        <v>1441586.42</v>
      </c>
      <c r="R1718">
        <v>1.053029182</v>
      </c>
      <c r="S1718">
        <v>20091.79679</v>
      </c>
      <c r="T1718">
        <v>350593.8</v>
      </c>
    </row>
    <row r="1719" spans="1:20">
      <c r="A1719" t="s">
        <v>20</v>
      </c>
      <c r="B1719" t="s">
        <v>650</v>
      </c>
      <c r="C1719">
        <v>301049751</v>
      </c>
      <c r="D1719">
        <v>73239990</v>
      </c>
      <c r="E1719" t="s">
        <v>2417</v>
      </c>
      <c r="N1719">
        <v>7875</v>
      </c>
      <c r="O1719" t="s">
        <v>2746</v>
      </c>
      <c r="P1719">
        <v>498.2311124</v>
      </c>
      <c r="Q1719">
        <v>3923570.01</v>
      </c>
      <c r="R1719">
        <v>6.943987629</v>
      </c>
      <c r="S1719">
        <v>54683.90258</v>
      </c>
      <c r="T1719">
        <v>954212.2</v>
      </c>
    </row>
    <row r="1720" spans="1:20">
      <c r="A1720" t="s">
        <v>20</v>
      </c>
      <c r="B1720" t="s">
        <v>651</v>
      </c>
      <c r="C1720">
        <v>301049751</v>
      </c>
      <c r="D1720">
        <v>73231000</v>
      </c>
      <c r="E1720" t="s">
        <v>2418</v>
      </c>
      <c r="N1720">
        <v>274320</v>
      </c>
      <c r="O1720" t="s">
        <v>2748</v>
      </c>
      <c r="P1720">
        <v>4.896323965</v>
      </c>
      <c r="Q1720">
        <v>1343159.59</v>
      </c>
      <c r="R1720">
        <v>0.068241449</v>
      </c>
      <c r="S1720">
        <v>18719.99429</v>
      </c>
      <c r="T1720">
        <v>416110.9</v>
      </c>
    </row>
    <row r="1721" spans="1:20">
      <c r="A1721" t="s">
        <v>20</v>
      </c>
      <c r="B1721" t="s">
        <v>652</v>
      </c>
      <c r="C1721">
        <v>301049751</v>
      </c>
      <c r="D1721">
        <v>73239990</v>
      </c>
      <c r="E1721" t="s">
        <v>2419</v>
      </c>
      <c r="N1721">
        <v>50400</v>
      </c>
      <c r="O1721" t="s">
        <v>2748</v>
      </c>
      <c r="P1721">
        <v>22.76209266</v>
      </c>
      <c r="Q1721">
        <v>1147209.47</v>
      </c>
      <c r="R1721">
        <v>0.31724171</v>
      </c>
      <c r="S1721">
        <v>15988.98216</v>
      </c>
      <c r="T1721">
        <v>279001.3</v>
      </c>
    </row>
    <row r="1722" spans="1:20">
      <c r="A1722" t="s">
        <v>20</v>
      </c>
      <c r="B1722" t="s">
        <v>652</v>
      </c>
      <c r="C1722">
        <v>301049751</v>
      </c>
      <c r="D1722">
        <v>73239990</v>
      </c>
      <c r="E1722" t="s">
        <v>2420</v>
      </c>
      <c r="N1722">
        <v>26028</v>
      </c>
      <c r="O1722" t="s">
        <v>2748</v>
      </c>
      <c r="P1722">
        <v>95.15216229000001</v>
      </c>
      <c r="Q1722">
        <v>2476620.48</v>
      </c>
      <c r="R1722">
        <v>1.326162541</v>
      </c>
      <c r="S1722">
        <v>34517.35861</v>
      </c>
      <c r="T1722">
        <v>602314.1</v>
      </c>
    </row>
    <row r="1723" spans="1:20">
      <c r="A1723" t="s">
        <v>20</v>
      </c>
      <c r="B1723" t="s">
        <v>652</v>
      </c>
      <c r="C1723">
        <v>301049751</v>
      </c>
      <c r="D1723">
        <v>73239990</v>
      </c>
      <c r="E1723" t="s">
        <v>2421</v>
      </c>
      <c r="N1723">
        <v>62280</v>
      </c>
      <c r="O1723" t="s">
        <v>2748</v>
      </c>
      <c r="P1723">
        <v>32.49588215</v>
      </c>
      <c r="Q1723">
        <v>2023843.54</v>
      </c>
      <c r="R1723">
        <v>0.452904281</v>
      </c>
      <c r="S1723">
        <v>28206.87861</v>
      </c>
      <c r="T1723">
        <v>492198.8</v>
      </c>
    </row>
    <row r="1724" spans="1:20">
      <c r="A1724" t="s">
        <v>20</v>
      </c>
      <c r="B1724" t="s">
        <v>652</v>
      </c>
      <c r="C1724">
        <v>301049751</v>
      </c>
      <c r="D1724">
        <v>73239990</v>
      </c>
      <c r="E1724" t="s">
        <v>2422</v>
      </c>
      <c r="N1724">
        <v>15156</v>
      </c>
      <c r="O1724" t="s">
        <v>2748</v>
      </c>
      <c r="P1724">
        <v>85.28289126</v>
      </c>
      <c r="Q1724">
        <v>1292547.5</v>
      </c>
      <c r="R1724">
        <v>1.188611725</v>
      </c>
      <c r="S1724">
        <v>18014.5993</v>
      </c>
      <c r="T1724">
        <v>314347.6</v>
      </c>
    </row>
    <row r="1725" spans="1:20">
      <c r="A1725" t="s">
        <v>20</v>
      </c>
      <c r="B1725" t="s">
        <v>653</v>
      </c>
      <c r="C1725">
        <v>301049751</v>
      </c>
      <c r="D1725">
        <v>73231000</v>
      </c>
      <c r="E1725" t="s">
        <v>2423</v>
      </c>
      <c r="N1725">
        <v>83000</v>
      </c>
      <c r="O1725" t="s">
        <v>2751</v>
      </c>
      <c r="P1725">
        <v>7.276342048</v>
      </c>
      <c r="Q1725">
        <v>603936.39</v>
      </c>
      <c r="R1725">
        <v>0.101412433</v>
      </c>
      <c r="S1725">
        <v>8417.231916000001</v>
      </c>
      <c r="T1725">
        <v>187099.5</v>
      </c>
    </row>
    <row r="1726" spans="1:20">
      <c r="A1726" t="s">
        <v>20</v>
      </c>
      <c r="B1726" t="s">
        <v>654</v>
      </c>
      <c r="C1726">
        <v>301049751</v>
      </c>
      <c r="D1726">
        <v>73239990</v>
      </c>
      <c r="E1726" t="s">
        <v>2424</v>
      </c>
      <c r="N1726">
        <v>52800</v>
      </c>
      <c r="O1726" t="s">
        <v>2748</v>
      </c>
      <c r="P1726">
        <v>44.5127661</v>
      </c>
      <c r="Q1726">
        <v>2350274.05</v>
      </c>
      <c r="R1726">
        <v>0.610181852</v>
      </c>
      <c r="S1726">
        <v>32217.60178</v>
      </c>
      <c r="T1726">
        <v>571586.6</v>
      </c>
    </row>
    <row r="1727" spans="1:20">
      <c r="A1727" t="s">
        <v>20</v>
      </c>
      <c r="B1727" t="s">
        <v>655</v>
      </c>
      <c r="C1727">
        <v>301049751</v>
      </c>
      <c r="D1727">
        <v>73239990</v>
      </c>
      <c r="E1727" t="s">
        <v>2425</v>
      </c>
      <c r="N1727">
        <v>2592</v>
      </c>
      <c r="O1727" t="s">
        <v>2748</v>
      </c>
      <c r="P1727">
        <v>693.1804398</v>
      </c>
      <c r="Q1727">
        <v>1796723.7</v>
      </c>
      <c r="R1727">
        <v>9.502130771999999</v>
      </c>
      <c r="S1727">
        <v>24629.52296</v>
      </c>
      <c r="T1727">
        <v>436963.2</v>
      </c>
    </row>
    <row r="1728" spans="1:20">
      <c r="A1728" t="s">
        <v>20</v>
      </c>
      <c r="B1728" t="s">
        <v>656</v>
      </c>
      <c r="C1728">
        <v>301049751</v>
      </c>
      <c r="D1728">
        <v>73239990</v>
      </c>
      <c r="E1728" t="s">
        <v>2426</v>
      </c>
      <c r="N1728">
        <v>50400</v>
      </c>
      <c r="O1728" t="s">
        <v>2748</v>
      </c>
      <c r="P1728">
        <v>23.08038829</v>
      </c>
      <c r="Q1728">
        <v>1163251.57</v>
      </c>
      <c r="R1728">
        <v>0.316386406</v>
      </c>
      <c r="S1728">
        <v>15945.87485</v>
      </c>
      <c r="T1728">
        <v>282902.8</v>
      </c>
    </row>
    <row r="1729" spans="1:20">
      <c r="A1729" t="s">
        <v>20</v>
      </c>
      <c r="B1729" t="s">
        <v>656</v>
      </c>
      <c r="C1729">
        <v>301049751</v>
      </c>
      <c r="D1729">
        <v>73239990</v>
      </c>
      <c r="E1729" t="s">
        <v>2427</v>
      </c>
      <c r="N1729">
        <v>1000</v>
      </c>
      <c r="O1729" t="s">
        <v>2751</v>
      </c>
      <c r="P1729">
        <v>28.18397</v>
      </c>
      <c r="Q1729">
        <v>28183.97</v>
      </c>
      <c r="R1729">
        <v>0.386346402</v>
      </c>
      <c r="S1729">
        <v>386.3464016</v>
      </c>
      <c r="T1729">
        <v>6854.3</v>
      </c>
    </row>
    <row r="1730" spans="1:20">
      <c r="A1730" t="s">
        <v>20</v>
      </c>
      <c r="B1730" t="s">
        <v>656</v>
      </c>
      <c r="C1730">
        <v>301049751</v>
      </c>
      <c r="D1730">
        <v>73239990</v>
      </c>
      <c r="E1730" t="s">
        <v>2428</v>
      </c>
      <c r="N1730">
        <v>30360</v>
      </c>
      <c r="O1730" t="s">
        <v>2748</v>
      </c>
      <c r="P1730">
        <v>33.05903821</v>
      </c>
      <c r="Q1730">
        <v>1003672.4</v>
      </c>
      <c r="R1730">
        <v>0.45317393</v>
      </c>
      <c r="S1730">
        <v>13758.36052</v>
      </c>
      <c r="T1730">
        <v>244093.1</v>
      </c>
    </row>
    <row r="1731" spans="1:20">
      <c r="A1731" t="s">
        <v>20</v>
      </c>
      <c r="B1731" t="s">
        <v>657</v>
      </c>
      <c r="C1731">
        <v>301049751</v>
      </c>
      <c r="D1731">
        <v>73239990</v>
      </c>
      <c r="E1731" t="s">
        <v>2429</v>
      </c>
      <c r="N1731">
        <v>1692</v>
      </c>
      <c r="O1731" t="s">
        <v>2748</v>
      </c>
      <c r="P1731">
        <v>91.00553191</v>
      </c>
      <c r="Q1731">
        <v>153981.36</v>
      </c>
      <c r="R1731">
        <v>1.247505578</v>
      </c>
      <c r="S1731">
        <v>2110.779438</v>
      </c>
      <c r="T1731">
        <v>37448.2</v>
      </c>
    </row>
    <row r="1732" spans="1:20">
      <c r="A1732" t="s">
        <v>20</v>
      </c>
      <c r="B1732" t="s">
        <v>657</v>
      </c>
      <c r="C1732">
        <v>301049751</v>
      </c>
      <c r="D1732">
        <v>73239990</v>
      </c>
      <c r="E1732" t="s">
        <v>2430</v>
      </c>
      <c r="N1732">
        <v>20448</v>
      </c>
      <c r="O1732" t="s">
        <v>2748</v>
      </c>
      <c r="P1732">
        <v>79.64864387999999</v>
      </c>
      <c r="Q1732">
        <v>1628655.47</v>
      </c>
      <c r="R1732">
        <v>1.091825139</v>
      </c>
      <c r="S1732">
        <v>22325.64044</v>
      </c>
      <c r="T1732">
        <v>396089</v>
      </c>
    </row>
    <row r="1733" spans="1:20">
      <c r="A1733" t="s">
        <v>20</v>
      </c>
      <c r="B1733" t="s">
        <v>657</v>
      </c>
      <c r="C1733">
        <v>301049751</v>
      </c>
      <c r="D1733">
        <v>73239990</v>
      </c>
      <c r="E1733" t="s">
        <v>2431</v>
      </c>
      <c r="N1733">
        <v>1800</v>
      </c>
      <c r="O1733" t="s">
        <v>2748</v>
      </c>
      <c r="P1733">
        <v>92.50975556</v>
      </c>
      <c r="Q1733">
        <v>166517.56</v>
      </c>
      <c r="R1733">
        <v>1.268125505</v>
      </c>
      <c r="S1733">
        <v>2282.625908</v>
      </c>
      <c r="T1733">
        <v>40497.1</v>
      </c>
    </row>
    <row r="1734" spans="1:20">
      <c r="A1734" t="s">
        <v>20</v>
      </c>
      <c r="B1734" t="s">
        <v>657</v>
      </c>
      <c r="C1734">
        <v>301049751</v>
      </c>
      <c r="D1734">
        <v>73239990</v>
      </c>
      <c r="E1734" t="s">
        <v>2432</v>
      </c>
      <c r="N1734">
        <v>15732</v>
      </c>
      <c r="O1734" t="s">
        <v>2748</v>
      </c>
      <c r="P1734">
        <v>97.02242754</v>
      </c>
      <c r="Q1734">
        <v>1526356.83</v>
      </c>
      <c r="R1734">
        <v>1.329985299</v>
      </c>
      <c r="S1734">
        <v>20923.32872</v>
      </c>
      <c r="T1734">
        <v>371210</v>
      </c>
    </row>
    <row r="1735" spans="1:20">
      <c r="A1735" t="s">
        <v>20</v>
      </c>
      <c r="B1735" t="s">
        <v>658</v>
      </c>
      <c r="C1735">
        <v>301049751</v>
      </c>
      <c r="D1735">
        <v>73239990</v>
      </c>
      <c r="E1735" t="s">
        <v>2433</v>
      </c>
      <c r="N1735">
        <v>252</v>
      </c>
      <c r="O1735" t="s">
        <v>2748</v>
      </c>
      <c r="P1735">
        <v>192.8527381</v>
      </c>
      <c r="Q1735">
        <v>48598.89</v>
      </c>
      <c r="R1735">
        <v>2.643629035</v>
      </c>
      <c r="S1735">
        <v>666.1945168</v>
      </c>
      <c r="T1735">
        <v>11819.3</v>
      </c>
    </row>
    <row r="1736" spans="1:20">
      <c r="A1736" t="s">
        <v>20</v>
      </c>
      <c r="B1736" t="s">
        <v>658</v>
      </c>
      <c r="C1736">
        <v>301049751</v>
      </c>
      <c r="D1736">
        <v>73239990</v>
      </c>
      <c r="E1736" t="s">
        <v>2434</v>
      </c>
      <c r="N1736">
        <v>144</v>
      </c>
      <c r="O1736" t="s">
        <v>2748</v>
      </c>
      <c r="P1736">
        <v>327.5435417</v>
      </c>
      <c r="Q1736">
        <v>47166.27</v>
      </c>
      <c r="R1736">
        <v>4.489973155</v>
      </c>
      <c r="S1736">
        <v>646.5561343000001</v>
      </c>
      <c r="T1736">
        <v>11470.9</v>
      </c>
    </row>
    <row r="1737" spans="1:20">
      <c r="A1737" t="s">
        <v>20</v>
      </c>
      <c r="B1737" t="s">
        <v>659</v>
      </c>
      <c r="C1737">
        <v>301049751</v>
      </c>
      <c r="D1737">
        <v>73231000</v>
      </c>
      <c r="E1737" t="s">
        <v>2418</v>
      </c>
      <c r="N1737">
        <v>274320</v>
      </c>
      <c r="O1737" t="s">
        <v>2748</v>
      </c>
      <c r="P1737">
        <v>5.117878099</v>
      </c>
      <c r="Q1737">
        <v>1403936.32</v>
      </c>
      <c r="R1737">
        <v>0.068512424</v>
      </c>
      <c r="S1737">
        <v>18794.32825</v>
      </c>
      <c r="T1737">
        <v>434939.5</v>
      </c>
    </row>
    <row r="1738" spans="1:20">
      <c r="A1738" t="s">
        <v>20</v>
      </c>
      <c r="B1738" t="s">
        <v>660</v>
      </c>
      <c r="C1738">
        <v>301049751</v>
      </c>
      <c r="D1738">
        <v>73239990</v>
      </c>
      <c r="E1738" t="s">
        <v>2435</v>
      </c>
      <c r="N1738">
        <v>52800</v>
      </c>
      <c r="O1738" t="s">
        <v>2748</v>
      </c>
      <c r="P1738">
        <v>45.54046269</v>
      </c>
      <c r="Q1738">
        <v>2404536.43</v>
      </c>
      <c r="R1738">
        <v>0.609644748</v>
      </c>
      <c r="S1738">
        <v>32189.2427</v>
      </c>
      <c r="T1738">
        <v>584783.3</v>
      </c>
    </row>
    <row r="1739" spans="1:20">
      <c r="A1739" t="s">
        <v>20</v>
      </c>
      <c r="B1739" t="s">
        <v>660</v>
      </c>
      <c r="C1739">
        <v>301049751</v>
      </c>
      <c r="D1739">
        <v>73239990</v>
      </c>
      <c r="E1739" t="s">
        <v>2425</v>
      </c>
      <c r="N1739">
        <v>2592</v>
      </c>
      <c r="O1739" t="s">
        <v>2748</v>
      </c>
      <c r="P1739">
        <v>715.2824846</v>
      </c>
      <c r="Q1739">
        <v>1854012.2</v>
      </c>
      <c r="R1739">
        <v>9.575401400000001</v>
      </c>
      <c r="S1739">
        <v>24819.44043</v>
      </c>
      <c r="T1739">
        <v>450895.7</v>
      </c>
    </row>
    <row r="1740" spans="1:20">
      <c r="A1740" t="s">
        <v>20</v>
      </c>
      <c r="B1740" t="s">
        <v>660</v>
      </c>
      <c r="C1740">
        <v>301049751</v>
      </c>
      <c r="D1740">
        <v>73239990</v>
      </c>
      <c r="E1740" t="s">
        <v>2436</v>
      </c>
      <c r="N1740">
        <v>576</v>
      </c>
      <c r="O1740" t="s">
        <v>2748</v>
      </c>
      <c r="P1740">
        <v>38.90706597</v>
      </c>
      <c r="Q1740">
        <v>22410.47</v>
      </c>
      <c r="R1740">
        <v>0.520844257</v>
      </c>
      <c r="S1740">
        <v>300.0062918</v>
      </c>
      <c r="T1740">
        <v>5450.2</v>
      </c>
    </row>
    <row r="1741" spans="1:20">
      <c r="A1741" t="s">
        <v>20</v>
      </c>
      <c r="B1741" t="s">
        <v>660</v>
      </c>
      <c r="C1741">
        <v>301049751</v>
      </c>
      <c r="D1741">
        <v>73239990</v>
      </c>
      <c r="E1741" t="s">
        <v>2437</v>
      </c>
      <c r="N1741">
        <v>20160</v>
      </c>
      <c r="O1741" t="s">
        <v>2748</v>
      </c>
      <c r="P1741">
        <v>36.87577431</v>
      </c>
      <c r="Q1741">
        <v>743415.61</v>
      </c>
      <c r="R1741">
        <v>0.493651597</v>
      </c>
      <c r="S1741">
        <v>9952.016197999999</v>
      </c>
      <c r="T1741">
        <v>180798.8</v>
      </c>
    </row>
    <row r="1742" spans="1:20">
      <c r="A1742" t="s">
        <v>20</v>
      </c>
      <c r="B1742" t="s">
        <v>660</v>
      </c>
      <c r="C1742">
        <v>301049751</v>
      </c>
      <c r="D1742">
        <v>73239990</v>
      </c>
      <c r="E1742" t="s">
        <v>2438</v>
      </c>
      <c r="N1742">
        <v>396</v>
      </c>
      <c r="O1742" t="s">
        <v>2748</v>
      </c>
      <c r="P1742">
        <v>189.7519192</v>
      </c>
      <c r="Q1742">
        <v>75141.75999999999</v>
      </c>
      <c r="R1742">
        <v>2.540186335</v>
      </c>
      <c r="S1742">
        <v>1005.913788</v>
      </c>
      <c r="T1742">
        <v>18274.5</v>
      </c>
    </row>
    <row r="1743" spans="1:20">
      <c r="A1743" t="s">
        <v>20</v>
      </c>
      <c r="B1743" t="s">
        <v>661</v>
      </c>
      <c r="C1743">
        <v>301049751</v>
      </c>
      <c r="D1743">
        <v>73239990</v>
      </c>
      <c r="E1743" t="s">
        <v>2439</v>
      </c>
      <c r="N1743">
        <v>180</v>
      </c>
      <c r="O1743" t="s">
        <v>2748</v>
      </c>
      <c r="P1743">
        <v>189.1106667</v>
      </c>
      <c r="Q1743">
        <v>34039.92</v>
      </c>
      <c r="R1743">
        <v>2.531601963</v>
      </c>
      <c r="S1743">
        <v>455.6883534</v>
      </c>
      <c r="T1743">
        <v>8278.5</v>
      </c>
    </row>
    <row r="1744" spans="1:20">
      <c r="A1744" t="s">
        <v>20</v>
      </c>
      <c r="B1744" t="s">
        <v>661</v>
      </c>
      <c r="C1744">
        <v>301049751</v>
      </c>
      <c r="D1744">
        <v>73239990</v>
      </c>
      <c r="E1744" t="s">
        <v>2440</v>
      </c>
      <c r="N1744">
        <v>39504</v>
      </c>
      <c r="O1744" t="s">
        <v>2748</v>
      </c>
      <c r="P1744">
        <v>60.28848395</v>
      </c>
      <c r="Q1744">
        <v>2381636.27</v>
      </c>
      <c r="R1744">
        <v>0.807074752</v>
      </c>
      <c r="S1744">
        <v>31882.68099</v>
      </c>
      <c r="T1744">
        <v>579214</v>
      </c>
    </row>
    <row r="1745" spans="1:20">
      <c r="A1745" t="s">
        <v>20</v>
      </c>
      <c r="B1745" t="s">
        <v>661</v>
      </c>
      <c r="C1745">
        <v>301049751</v>
      </c>
      <c r="D1745">
        <v>73239990</v>
      </c>
      <c r="E1745" t="s">
        <v>2441</v>
      </c>
      <c r="N1745">
        <v>59640</v>
      </c>
      <c r="O1745" t="s">
        <v>2748</v>
      </c>
      <c r="P1745">
        <v>34.06294987</v>
      </c>
      <c r="Q1745">
        <v>2031514.33</v>
      </c>
      <c r="R1745">
        <v>0.455996651</v>
      </c>
      <c r="S1745">
        <v>27195.64029</v>
      </c>
      <c r="T1745">
        <v>494064.2</v>
      </c>
    </row>
    <row r="1746" spans="1:20">
      <c r="A1746" t="s">
        <v>20</v>
      </c>
      <c r="B1746" t="s">
        <v>662</v>
      </c>
      <c r="C1746">
        <v>301049751</v>
      </c>
      <c r="D1746">
        <v>73239990</v>
      </c>
      <c r="E1746" t="s">
        <v>2442</v>
      </c>
      <c r="N1746">
        <v>26784</v>
      </c>
      <c r="O1746" t="s">
        <v>2748</v>
      </c>
      <c r="P1746">
        <v>93.16186604000001</v>
      </c>
      <c r="Q1746">
        <v>2495247.42</v>
      </c>
      <c r="R1746">
        <v>1.247146801</v>
      </c>
      <c r="S1746">
        <v>33403.57992</v>
      </c>
      <c r="T1746">
        <v>606844.2</v>
      </c>
    </row>
    <row r="1747" spans="1:20">
      <c r="A1747" t="s">
        <v>20</v>
      </c>
      <c r="B1747" t="s">
        <v>662</v>
      </c>
      <c r="C1747">
        <v>301049751</v>
      </c>
      <c r="D1747">
        <v>73239990</v>
      </c>
      <c r="E1747" t="s">
        <v>2443</v>
      </c>
      <c r="N1747">
        <v>7164</v>
      </c>
      <c r="O1747" t="s">
        <v>2748</v>
      </c>
      <c r="P1747">
        <v>93.25547598999999</v>
      </c>
      <c r="Q1747">
        <v>668082.23</v>
      </c>
      <c r="R1747">
        <v>1.248399946</v>
      </c>
      <c r="S1747">
        <v>8943.537216000001</v>
      </c>
      <c r="T1747">
        <v>162477.6</v>
      </c>
    </row>
    <row r="1748" spans="1:20">
      <c r="A1748" t="s">
        <v>20</v>
      </c>
      <c r="B1748" t="s">
        <v>662</v>
      </c>
      <c r="C1748">
        <v>301049751</v>
      </c>
      <c r="D1748">
        <v>73239990</v>
      </c>
      <c r="E1748" t="s">
        <v>2444</v>
      </c>
      <c r="N1748">
        <v>21240</v>
      </c>
      <c r="O1748" t="s">
        <v>2748</v>
      </c>
      <c r="P1748">
        <v>81.61780932000001</v>
      </c>
      <c r="Q1748">
        <v>1733562.27</v>
      </c>
      <c r="R1748">
        <v>1.092607889</v>
      </c>
      <c r="S1748">
        <v>23206.99157</v>
      </c>
      <c r="T1748">
        <v>421602.3</v>
      </c>
    </row>
    <row r="1749" spans="1:20">
      <c r="A1749" t="s">
        <v>20</v>
      </c>
      <c r="B1749" t="s">
        <v>663</v>
      </c>
      <c r="C1749">
        <v>301049751</v>
      </c>
      <c r="D1749">
        <v>73239990</v>
      </c>
      <c r="E1749" t="s">
        <v>2368</v>
      </c>
      <c r="N1749">
        <v>50400</v>
      </c>
      <c r="O1749" t="s">
        <v>2748</v>
      </c>
      <c r="P1749">
        <v>80.86887381</v>
      </c>
      <c r="Q1749">
        <v>4075791.24</v>
      </c>
      <c r="R1749">
        <v>1.088410145</v>
      </c>
      <c r="S1749">
        <v>54855.87133</v>
      </c>
      <c r="T1749">
        <v>991232.4</v>
      </c>
    </row>
    <row r="1750" spans="1:20">
      <c r="A1750" t="s">
        <v>20</v>
      </c>
      <c r="B1750" t="s">
        <v>663</v>
      </c>
      <c r="C1750">
        <v>301049751</v>
      </c>
      <c r="D1750">
        <v>73239990</v>
      </c>
      <c r="E1750" t="s">
        <v>2375</v>
      </c>
      <c r="N1750">
        <v>27000</v>
      </c>
      <c r="O1750" t="s">
        <v>2748</v>
      </c>
      <c r="P1750">
        <v>116.8105956</v>
      </c>
      <c r="Q1750">
        <v>3153886.08</v>
      </c>
      <c r="R1750">
        <v>1.572147989</v>
      </c>
      <c r="S1750">
        <v>42447.99569</v>
      </c>
      <c r="T1750">
        <v>767025.1</v>
      </c>
    </row>
    <row r="1751" spans="1:20">
      <c r="A1751" t="s">
        <v>20</v>
      </c>
      <c r="B1751" t="s">
        <v>664</v>
      </c>
      <c r="C1751">
        <v>301049751</v>
      </c>
      <c r="D1751">
        <v>73239990</v>
      </c>
      <c r="E1751" t="s">
        <v>2445</v>
      </c>
      <c r="N1751">
        <v>29400</v>
      </c>
      <c r="O1751" t="s">
        <v>2748</v>
      </c>
      <c r="P1751">
        <v>37.83477755</v>
      </c>
      <c r="Q1751">
        <v>1112342.46</v>
      </c>
      <c r="R1751">
        <v>0.509216387</v>
      </c>
      <c r="S1751">
        <v>14970.96178</v>
      </c>
      <c r="T1751">
        <v>270521.6</v>
      </c>
    </row>
    <row r="1752" spans="1:20">
      <c r="A1752" t="s">
        <v>20</v>
      </c>
      <c r="B1752" t="s">
        <v>664</v>
      </c>
      <c r="C1752">
        <v>301049751</v>
      </c>
      <c r="D1752">
        <v>73239990</v>
      </c>
      <c r="E1752" t="s">
        <v>2446</v>
      </c>
      <c r="N1752">
        <v>21024</v>
      </c>
      <c r="O1752" t="s">
        <v>2748</v>
      </c>
      <c r="P1752">
        <v>38.87829433</v>
      </c>
      <c r="Q1752">
        <v>817377.26</v>
      </c>
      <c r="R1752">
        <v>0.523261027</v>
      </c>
      <c r="S1752">
        <v>11001.03984</v>
      </c>
      <c r="T1752">
        <v>198786.2</v>
      </c>
    </row>
    <row r="1753" spans="1:20">
      <c r="A1753" t="s">
        <v>20</v>
      </c>
      <c r="B1753" t="s">
        <v>664</v>
      </c>
      <c r="C1753">
        <v>301049751</v>
      </c>
      <c r="D1753">
        <v>73239990</v>
      </c>
      <c r="E1753" t="s">
        <v>2447</v>
      </c>
      <c r="N1753">
        <v>25200</v>
      </c>
      <c r="O1753" t="s">
        <v>2748</v>
      </c>
      <c r="P1753">
        <v>36.59596548</v>
      </c>
      <c r="Q1753">
        <v>922218.33</v>
      </c>
      <c r="R1753">
        <v>0.492543277</v>
      </c>
      <c r="S1753">
        <v>12412.09058</v>
      </c>
      <c r="T1753">
        <v>224283.5</v>
      </c>
    </row>
    <row r="1754" spans="1:20">
      <c r="A1754" t="s">
        <v>20</v>
      </c>
      <c r="B1754" t="s">
        <v>664</v>
      </c>
      <c r="C1754">
        <v>301049751</v>
      </c>
      <c r="D1754">
        <v>73239990</v>
      </c>
      <c r="E1754" t="s">
        <v>2448</v>
      </c>
      <c r="N1754">
        <v>50400</v>
      </c>
      <c r="O1754" t="s">
        <v>2748</v>
      </c>
      <c r="P1754">
        <v>24.00380516</v>
      </c>
      <c r="Q1754">
        <v>1209791.78</v>
      </c>
      <c r="R1754">
        <v>0.323066018</v>
      </c>
      <c r="S1754">
        <v>16282.52732</v>
      </c>
      <c r="T1754">
        <v>294221.4</v>
      </c>
    </row>
    <row r="1755" spans="1:20">
      <c r="A1755" t="s">
        <v>20</v>
      </c>
      <c r="B1755" t="s">
        <v>664</v>
      </c>
      <c r="C1755">
        <v>301049751</v>
      </c>
      <c r="D1755">
        <v>73239990</v>
      </c>
      <c r="E1755" t="s">
        <v>2449</v>
      </c>
      <c r="N1755">
        <v>22164</v>
      </c>
      <c r="O1755" t="s">
        <v>2748</v>
      </c>
      <c r="P1755">
        <v>187.8804367</v>
      </c>
      <c r="Q1755">
        <v>4164182</v>
      </c>
      <c r="R1755">
        <v>2.528673442</v>
      </c>
      <c r="S1755">
        <v>56045.51817</v>
      </c>
      <c r="T1755">
        <v>1012729</v>
      </c>
    </row>
    <row r="1756" spans="1:20">
      <c r="A1756" t="s">
        <v>20</v>
      </c>
      <c r="B1756" t="s">
        <v>665</v>
      </c>
      <c r="C1756">
        <v>301049751</v>
      </c>
      <c r="D1756">
        <v>73239990</v>
      </c>
      <c r="E1756" t="s">
        <v>2450</v>
      </c>
      <c r="N1756">
        <v>2330.2</v>
      </c>
      <c r="O1756" t="s">
        <v>2746</v>
      </c>
      <c r="P1756">
        <v>1039.764866</v>
      </c>
      <c r="Q1756">
        <v>2422860.09</v>
      </c>
      <c r="R1756">
        <v>13.93786683</v>
      </c>
      <c r="S1756">
        <v>32478.01729</v>
      </c>
      <c r="T1756">
        <v>589239.6</v>
      </c>
    </row>
    <row r="1757" spans="1:20">
      <c r="A1757" t="s">
        <v>20</v>
      </c>
      <c r="B1757" t="s">
        <v>666</v>
      </c>
      <c r="C1757">
        <v>301049751</v>
      </c>
      <c r="D1757">
        <v>73239990</v>
      </c>
      <c r="E1757" t="s">
        <v>2451</v>
      </c>
      <c r="N1757">
        <v>47400</v>
      </c>
      <c r="O1757" t="s">
        <v>2748</v>
      </c>
      <c r="P1757">
        <v>36.58892468</v>
      </c>
      <c r="Q1757">
        <v>1734315.03</v>
      </c>
      <c r="R1757">
        <v>0.490468159</v>
      </c>
      <c r="S1757">
        <v>23248.19075</v>
      </c>
      <c r="T1757">
        <v>421785.5</v>
      </c>
    </row>
    <row r="1758" spans="1:20">
      <c r="A1758" t="s">
        <v>20</v>
      </c>
      <c r="B1758" t="s">
        <v>667</v>
      </c>
      <c r="C1758">
        <v>301049751</v>
      </c>
      <c r="D1758">
        <v>73239990</v>
      </c>
      <c r="E1758" t="s">
        <v>2388</v>
      </c>
      <c r="N1758">
        <v>2592</v>
      </c>
      <c r="O1758" t="s">
        <v>2748</v>
      </c>
      <c r="P1758">
        <v>708.856713</v>
      </c>
      <c r="Q1758">
        <v>1837356.6</v>
      </c>
      <c r="R1758">
        <v>9.502100710000001</v>
      </c>
      <c r="S1758">
        <v>24629.44504</v>
      </c>
      <c r="T1758">
        <v>446845.2</v>
      </c>
    </row>
    <row r="1759" spans="1:20">
      <c r="A1759" t="s">
        <v>20</v>
      </c>
      <c r="B1759" t="s">
        <v>668</v>
      </c>
      <c r="C1759">
        <v>301049751</v>
      </c>
      <c r="D1759">
        <v>73239990</v>
      </c>
      <c r="E1759" t="s">
        <v>2452</v>
      </c>
      <c r="N1759">
        <v>30960</v>
      </c>
      <c r="O1759" t="s">
        <v>2748</v>
      </c>
      <c r="P1759">
        <v>39.14738211</v>
      </c>
      <c r="Q1759">
        <v>1212002.95</v>
      </c>
      <c r="R1759">
        <v>0.524763835</v>
      </c>
      <c r="S1759">
        <v>16246.68834</v>
      </c>
      <c r="T1759">
        <v>294759.1</v>
      </c>
    </row>
    <row r="1760" spans="1:20">
      <c r="A1760" t="s">
        <v>20</v>
      </c>
      <c r="B1760" t="s">
        <v>668</v>
      </c>
      <c r="C1760">
        <v>301049751</v>
      </c>
      <c r="D1760">
        <v>73239990</v>
      </c>
      <c r="E1760" t="s">
        <v>2453</v>
      </c>
      <c r="N1760">
        <v>36360</v>
      </c>
      <c r="O1760" t="s">
        <v>2748</v>
      </c>
      <c r="P1760">
        <v>92.93378629999999</v>
      </c>
      <c r="Q1760">
        <v>3379072.47</v>
      </c>
      <c r="R1760">
        <v>1.245761211</v>
      </c>
      <c r="S1760">
        <v>45295.87761</v>
      </c>
      <c r="T1760">
        <v>821790.4</v>
      </c>
    </row>
    <row r="1761" spans="1:20">
      <c r="A1761" t="s">
        <v>20</v>
      </c>
      <c r="B1761" t="s">
        <v>669</v>
      </c>
      <c r="C1761">
        <v>301049751</v>
      </c>
      <c r="D1761">
        <v>73239990</v>
      </c>
      <c r="E1761" t="s">
        <v>2388</v>
      </c>
      <c r="N1761">
        <v>2592</v>
      </c>
      <c r="O1761" t="s">
        <v>2748</v>
      </c>
      <c r="P1761">
        <v>699.8309799</v>
      </c>
      <c r="Q1761">
        <v>1813961.9</v>
      </c>
      <c r="R1761">
        <v>9.502117854</v>
      </c>
      <c r="S1761">
        <v>24629.48948</v>
      </c>
      <c r="T1761">
        <v>441155.5</v>
      </c>
    </row>
    <row r="1762" spans="1:20">
      <c r="A1762" t="s">
        <v>20</v>
      </c>
      <c r="B1762" t="s">
        <v>669</v>
      </c>
      <c r="C1762">
        <v>301049751</v>
      </c>
      <c r="D1762">
        <v>73239990</v>
      </c>
      <c r="E1762" t="s">
        <v>2454</v>
      </c>
      <c r="N1762">
        <v>7440</v>
      </c>
      <c r="O1762" t="s">
        <v>2748</v>
      </c>
      <c r="P1762">
        <v>38.39010887</v>
      </c>
      <c r="Q1762">
        <v>285622.41</v>
      </c>
      <c r="R1762">
        <v>0.52125063</v>
      </c>
      <c r="S1762">
        <v>3878.104684</v>
      </c>
      <c r="T1762">
        <v>69463.3</v>
      </c>
    </row>
    <row r="1763" spans="1:20">
      <c r="A1763" t="s">
        <v>20</v>
      </c>
      <c r="B1763" t="s">
        <v>669</v>
      </c>
      <c r="C1763">
        <v>301049751</v>
      </c>
      <c r="D1763">
        <v>73239990</v>
      </c>
      <c r="E1763" t="s">
        <v>2455</v>
      </c>
      <c r="N1763">
        <v>1232</v>
      </c>
      <c r="O1763" t="s">
        <v>2748</v>
      </c>
      <c r="P1763">
        <v>1113.291177</v>
      </c>
      <c r="Q1763">
        <v>1371574.73</v>
      </c>
      <c r="R1763">
        <v>15.11596982</v>
      </c>
      <c r="S1763">
        <v>18622.87481</v>
      </c>
      <c r="T1763">
        <v>333567</v>
      </c>
    </row>
    <row r="1764" spans="1:20">
      <c r="A1764" t="s">
        <v>20</v>
      </c>
      <c r="B1764" t="s">
        <v>670</v>
      </c>
      <c r="C1764">
        <v>301049751</v>
      </c>
      <c r="D1764">
        <v>73239990</v>
      </c>
      <c r="E1764" t="s">
        <v>2456</v>
      </c>
      <c r="N1764">
        <v>51000</v>
      </c>
      <c r="O1764" t="s">
        <v>2748</v>
      </c>
      <c r="P1764">
        <v>16.13491549</v>
      </c>
      <c r="Q1764">
        <v>822880.6899999999</v>
      </c>
      <c r="R1764">
        <v>0.219075567</v>
      </c>
      <c r="S1764">
        <v>11172.8539</v>
      </c>
      <c r="T1764">
        <v>200124.6</v>
      </c>
    </row>
    <row r="1765" spans="1:20">
      <c r="A1765" t="s">
        <v>20</v>
      </c>
      <c r="B1765" t="s">
        <v>670</v>
      </c>
      <c r="C1765">
        <v>301049751</v>
      </c>
      <c r="D1765">
        <v>73239990</v>
      </c>
      <c r="E1765" t="s">
        <v>2457</v>
      </c>
      <c r="N1765">
        <v>31824</v>
      </c>
      <c r="O1765" t="s">
        <v>2748</v>
      </c>
      <c r="P1765">
        <v>93.20184641</v>
      </c>
      <c r="Q1765">
        <v>2966055.56</v>
      </c>
      <c r="R1765">
        <v>1.265469741</v>
      </c>
      <c r="S1765">
        <v>40272.30903</v>
      </c>
      <c r="T1765">
        <v>721344.8</v>
      </c>
    </row>
    <row r="1766" spans="1:20">
      <c r="A1766" t="s">
        <v>20</v>
      </c>
      <c r="B1766" t="s">
        <v>670</v>
      </c>
      <c r="C1766">
        <v>301049751</v>
      </c>
      <c r="D1766">
        <v>73239990</v>
      </c>
      <c r="E1766" t="s">
        <v>2458</v>
      </c>
      <c r="N1766">
        <v>1200</v>
      </c>
      <c r="O1766" t="s">
        <v>2751</v>
      </c>
      <c r="P1766">
        <v>20.84415</v>
      </c>
      <c r="Q1766">
        <v>25012.98</v>
      </c>
      <c r="R1766">
        <v>0.283016293</v>
      </c>
      <c r="S1766">
        <v>339.6195519</v>
      </c>
      <c r="T1766">
        <v>6083.1</v>
      </c>
    </row>
    <row r="1767" spans="1:20">
      <c r="A1767" t="s">
        <v>20</v>
      </c>
      <c r="B1767" t="s">
        <v>670</v>
      </c>
      <c r="C1767">
        <v>301049751</v>
      </c>
      <c r="D1767">
        <v>73239990</v>
      </c>
      <c r="E1767" t="s">
        <v>2459</v>
      </c>
      <c r="N1767">
        <v>36</v>
      </c>
      <c r="O1767" t="s">
        <v>2748</v>
      </c>
      <c r="P1767">
        <v>86.03833333</v>
      </c>
      <c r="Q1767">
        <v>3097.38</v>
      </c>
      <c r="R1767">
        <v>1.168205476</v>
      </c>
      <c r="S1767">
        <v>42.05539715</v>
      </c>
      <c r="T1767">
        <v>753.3</v>
      </c>
    </row>
    <row r="1768" spans="1:20">
      <c r="A1768" t="s">
        <v>20</v>
      </c>
      <c r="B1768" t="s">
        <v>670</v>
      </c>
      <c r="C1768">
        <v>301049751</v>
      </c>
      <c r="D1768">
        <v>73239990</v>
      </c>
      <c r="E1768" t="s">
        <v>2460</v>
      </c>
      <c r="N1768">
        <v>17760</v>
      </c>
      <c r="O1768" t="s">
        <v>2748</v>
      </c>
      <c r="P1768">
        <v>82.86492792999999</v>
      </c>
      <c r="Q1768">
        <v>1471681.12</v>
      </c>
      <c r="R1768">
        <v>1.125117827</v>
      </c>
      <c r="S1768">
        <v>19982.0926</v>
      </c>
      <c r="T1768">
        <v>357912.8</v>
      </c>
    </row>
    <row r="1769" spans="1:20">
      <c r="A1769" t="s">
        <v>20</v>
      </c>
      <c r="B1769" t="s">
        <v>671</v>
      </c>
      <c r="C1769">
        <v>301049751</v>
      </c>
      <c r="D1769">
        <v>73239990</v>
      </c>
      <c r="E1769" t="s">
        <v>2461</v>
      </c>
      <c r="N1769">
        <v>27600</v>
      </c>
      <c r="O1769" t="s">
        <v>2748</v>
      </c>
      <c r="P1769">
        <v>33.51151957</v>
      </c>
      <c r="Q1769">
        <v>924917.9399999999</v>
      </c>
      <c r="R1769">
        <v>0.455010449</v>
      </c>
      <c r="S1769">
        <v>12558.28839</v>
      </c>
      <c r="T1769">
        <v>224940.1</v>
      </c>
    </row>
    <row r="1770" spans="1:20">
      <c r="A1770" t="s">
        <v>20</v>
      </c>
      <c r="B1770" t="s">
        <v>672</v>
      </c>
      <c r="C1770">
        <v>301049751</v>
      </c>
      <c r="D1770">
        <v>73239990</v>
      </c>
      <c r="E1770" t="s">
        <v>2462</v>
      </c>
      <c r="N1770">
        <v>50400</v>
      </c>
      <c r="O1770" t="s">
        <v>2748</v>
      </c>
      <c r="P1770">
        <v>23.5919619</v>
      </c>
      <c r="Q1770">
        <v>1189034.88</v>
      </c>
      <c r="R1770">
        <v>0.320325348</v>
      </c>
      <c r="S1770">
        <v>16144.39756</v>
      </c>
      <c r="T1770">
        <v>289173.3</v>
      </c>
    </row>
    <row r="1771" spans="1:20">
      <c r="A1771" t="s">
        <v>20</v>
      </c>
      <c r="B1771" t="s">
        <v>672</v>
      </c>
      <c r="C1771">
        <v>301049751</v>
      </c>
      <c r="D1771">
        <v>73239990</v>
      </c>
      <c r="E1771" t="s">
        <v>2463</v>
      </c>
      <c r="N1771">
        <v>39960</v>
      </c>
      <c r="O1771" t="s">
        <v>2748</v>
      </c>
      <c r="P1771">
        <v>82.57186661999999</v>
      </c>
      <c r="Q1771">
        <v>3299571.79</v>
      </c>
      <c r="R1771">
        <v>1.121138718</v>
      </c>
      <c r="S1771">
        <v>44800.70319</v>
      </c>
      <c r="T1771">
        <v>802455.9</v>
      </c>
    </row>
    <row r="1772" spans="1:20">
      <c r="A1772" t="s">
        <v>20</v>
      </c>
      <c r="B1772" t="s">
        <v>673</v>
      </c>
      <c r="C1772">
        <v>301049751</v>
      </c>
      <c r="D1772">
        <v>73239990</v>
      </c>
      <c r="E1772" t="s">
        <v>2464</v>
      </c>
      <c r="N1772">
        <v>9036</v>
      </c>
      <c r="O1772" t="s">
        <v>2748</v>
      </c>
      <c r="P1772">
        <v>85.80915449</v>
      </c>
      <c r="Q1772">
        <v>775371.52</v>
      </c>
      <c r="R1772">
        <v>1.165093747</v>
      </c>
      <c r="S1772">
        <v>10527.7871</v>
      </c>
      <c r="T1772">
        <v>188570.4</v>
      </c>
    </row>
    <row r="1773" spans="1:20">
      <c r="A1773" t="s">
        <v>20</v>
      </c>
      <c r="B1773" t="s">
        <v>673</v>
      </c>
      <c r="C1773">
        <v>301049751</v>
      </c>
      <c r="D1773">
        <v>73239990</v>
      </c>
      <c r="E1773" t="s">
        <v>2465</v>
      </c>
      <c r="N1773">
        <v>30600</v>
      </c>
      <c r="O1773" t="s">
        <v>2748</v>
      </c>
      <c r="P1773">
        <v>99.79566797</v>
      </c>
      <c r="Q1773">
        <v>3053747.44</v>
      </c>
      <c r="R1773">
        <v>1.354998886</v>
      </c>
      <c r="S1773">
        <v>41462.96592</v>
      </c>
      <c r="T1773">
        <v>742671.4</v>
      </c>
    </row>
    <row r="1774" spans="1:20">
      <c r="A1774" t="s">
        <v>20</v>
      </c>
      <c r="B1774" t="s">
        <v>673</v>
      </c>
      <c r="C1774">
        <v>301049751</v>
      </c>
      <c r="D1774">
        <v>73239990</v>
      </c>
      <c r="E1774" t="s">
        <v>2425</v>
      </c>
      <c r="N1774">
        <v>2592</v>
      </c>
      <c r="O1774" t="s">
        <v>2748</v>
      </c>
      <c r="P1774">
        <v>699.8213349</v>
      </c>
      <c r="Q1774">
        <v>1813936.9</v>
      </c>
      <c r="R1774">
        <v>9.501986896</v>
      </c>
      <c r="S1774">
        <v>24629.15003</v>
      </c>
      <c r="T1774">
        <v>441149.5</v>
      </c>
    </row>
    <row r="1775" spans="1:20">
      <c r="A1775" t="s">
        <v>20</v>
      </c>
      <c r="B1775" t="s">
        <v>673</v>
      </c>
      <c r="C1775">
        <v>301049751</v>
      </c>
      <c r="D1775">
        <v>73239990</v>
      </c>
      <c r="E1775" t="s">
        <v>2466</v>
      </c>
      <c r="N1775">
        <v>15840</v>
      </c>
      <c r="O1775" t="s">
        <v>2748</v>
      </c>
      <c r="P1775">
        <v>59.45097601</v>
      </c>
      <c r="Q1775">
        <v>941703.46</v>
      </c>
      <c r="R1775">
        <v>0.80720945</v>
      </c>
      <c r="S1775">
        <v>12786.19769</v>
      </c>
      <c r="T1775">
        <v>229022.2</v>
      </c>
    </row>
    <row r="1776" spans="1:20">
      <c r="A1776" t="s">
        <v>20</v>
      </c>
      <c r="B1776" t="s">
        <v>673</v>
      </c>
      <c r="C1776">
        <v>301049751</v>
      </c>
      <c r="D1776">
        <v>73239990</v>
      </c>
      <c r="E1776" t="s">
        <v>2467</v>
      </c>
      <c r="N1776">
        <v>540</v>
      </c>
      <c r="O1776" t="s">
        <v>2748</v>
      </c>
      <c r="P1776">
        <v>94.88148148000001</v>
      </c>
      <c r="Q1776">
        <v>51236</v>
      </c>
      <c r="R1776">
        <v>1.288275377</v>
      </c>
      <c r="S1776">
        <v>695.6687032999999</v>
      </c>
      <c r="T1776">
        <v>12460.6</v>
      </c>
    </row>
    <row r="1777" spans="1:20">
      <c r="A1777" t="s">
        <v>20</v>
      </c>
      <c r="B1777" t="s">
        <v>674</v>
      </c>
      <c r="C1777">
        <v>301049751</v>
      </c>
      <c r="D1777">
        <v>73239990</v>
      </c>
      <c r="E1777" t="s">
        <v>2468</v>
      </c>
      <c r="N1777">
        <v>22020</v>
      </c>
      <c r="O1777" t="s">
        <v>2748</v>
      </c>
      <c r="P1777">
        <v>182.9397911</v>
      </c>
      <c r="Q1777">
        <v>4028334.2</v>
      </c>
      <c r="R1777">
        <v>2.521568451</v>
      </c>
      <c r="S1777">
        <v>55524.93728</v>
      </c>
      <c r="T1777">
        <v>979690.8</v>
      </c>
    </row>
    <row r="1778" spans="1:20">
      <c r="A1778" t="s">
        <v>20</v>
      </c>
      <c r="B1778" t="s">
        <v>674</v>
      </c>
      <c r="C1778">
        <v>301049751</v>
      </c>
      <c r="D1778">
        <v>73239990</v>
      </c>
      <c r="E1778" t="s">
        <v>2469</v>
      </c>
      <c r="N1778">
        <v>14820</v>
      </c>
      <c r="O1778" t="s">
        <v>2748</v>
      </c>
      <c r="P1778">
        <v>253.9204298</v>
      </c>
      <c r="Q1778">
        <v>3763100.77</v>
      </c>
      <c r="R1778">
        <v>3.499937007</v>
      </c>
      <c r="S1778">
        <v>51869.06644</v>
      </c>
      <c r="T1778">
        <v>915186.1</v>
      </c>
    </row>
    <row r="1779" spans="1:20">
      <c r="A1779" t="s">
        <v>20</v>
      </c>
      <c r="B1779" t="s">
        <v>675</v>
      </c>
      <c r="C1779">
        <v>301049751</v>
      </c>
      <c r="D1779">
        <v>73239990</v>
      </c>
      <c r="E1779" t="s">
        <v>2470</v>
      </c>
      <c r="N1779">
        <v>10548</v>
      </c>
      <c r="O1779" t="s">
        <v>2748</v>
      </c>
      <c r="P1779">
        <v>53.7290273</v>
      </c>
      <c r="Q1779">
        <v>566733.78</v>
      </c>
      <c r="R1779">
        <v>0.740579287</v>
      </c>
      <c r="S1779">
        <v>7811.630324</v>
      </c>
      <c r="T1779">
        <v>137829.6</v>
      </c>
    </row>
    <row r="1780" spans="1:20">
      <c r="A1780" t="s">
        <v>20</v>
      </c>
      <c r="B1780" t="s">
        <v>675</v>
      </c>
      <c r="C1780">
        <v>301049751</v>
      </c>
      <c r="D1780">
        <v>73239990</v>
      </c>
      <c r="E1780" t="s">
        <v>2471</v>
      </c>
      <c r="N1780">
        <v>18000</v>
      </c>
      <c r="O1780" t="s">
        <v>2748</v>
      </c>
      <c r="P1780">
        <v>32.72447889</v>
      </c>
      <c r="Q1780">
        <v>589040.62</v>
      </c>
      <c r="R1780">
        <v>0.451061046</v>
      </c>
      <c r="S1780">
        <v>8119.098828</v>
      </c>
      <c r="T1780">
        <v>143254.7</v>
      </c>
    </row>
    <row r="1781" spans="1:20">
      <c r="A1781" t="s">
        <v>20</v>
      </c>
      <c r="B1781" t="s">
        <v>675</v>
      </c>
      <c r="C1781">
        <v>301049751</v>
      </c>
      <c r="D1781">
        <v>73231000</v>
      </c>
      <c r="E1781" t="s">
        <v>2472</v>
      </c>
      <c r="N1781">
        <v>270864</v>
      </c>
      <c r="O1781" t="s">
        <v>2748</v>
      </c>
      <c r="P1781">
        <v>4.919737101</v>
      </c>
      <c r="Q1781">
        <v>1332579.67</v>
      </c>
      <c r="R1781">
        <v>0.067811676</v>
      </c>
      <c r="S1781">
        <v>18367.74183</v>
      </c>
      <c r="T1781">
        <v>412833.2</v>
      </c>
    </row>
    <row r="1782" spans="1:20">
      <c r="A1782" t="s">
        <v>20</v>
      </c>
      <c r="B1782" t="s">
        <v>675</v>
      </c>
      <c r="C1782">
        <v>301049751</v>
      </c>
      <c r="D1782">
        <v>73239990</v>
      </c>
      <c r="E1782" t="s">
        <v>2473</v>
      </c>
      <c r="N1782">
        <v>1812</v>
      </c>
      <c r="O1782" t="s">
        <v>2748</v>
      </c>
      <c r="P1782">
        <v>253.7221302</v>
      </c>
      <c r="Q1782">
        <v>459744.5</v>
      </c>
      <c r="R1782">
        <v>3.497203725</v>
      </c>
      <c r="S1782">
        <v>6336.93315</v>
      </c>
      <c r="T1782">
        <v>111809.8</v>
      </c>
    </row>
    <row r="1783" spans="1:20">
      <c r="A1783" t="s">
        <v>20</v>
      </c>
      <c r="B1783" t="s">
        <v>675</v>
      </c>
      <c r="C1783">
        <v>301049751</v>
      </c>
      <c r="D1783">
        <v>73239990</v>
      </c>
      <c r="E1783" t="s">
        <v>2474</v>
      </c>
      <c r="N1783">
        <v>6480</v>
      </c>
      <c r="O1783" t="s">
        <v>2748</v>
      </c>
      <c r="P1783">
        <v>191.5711759</v>
      </c>
      <c r="Q1783">
        <v>1241381.22</v>
      </c>
      <c r="R1783">
        <v>2.640539985</v>
      </c>
      <c r="S1783">
        <v>17110.6991</v>
      </c>
      <c r="T1783">
        <v>301903.9</v>
      </c>
    </row>
    <row r="1784" spans="1:20">
      <c r="A1784" t="s">
        <v>20</v>
      </c>
      <c r="B1784" t="s">
        <v>675</v>
      </c>
      <c r="C1784">
        <v>301049751</v>
      </c>
      <c r="D1784">
        <v>73239990</v>
      </c>
      <c r="E1784" t="s">
        <v>2475</v>
      </c>
      <c r="N1784">
        <v>23760</v>
      </c>
      <c r="O1784" t="s">
        <v>2748</v>
      </c>
      <c r="P1784">
        <v>61.41976599</v>
      </c>
      <c r="Q1784">
        <v>1459333.64</v>
      </c>
      <c r="R1784">
        <v>0.846585334</v>
      </c>
      <c r="S1784">
        <v>20114.86754</v>
      </c>
      <c r="T1784">
        <v>354909.9</v>
      </c>
    </row>
    <row r="1785" spans="1:20">
      <c r="A1785" t="s">
        <v>20</v>
      </c>
      <c r="B1785" t="s">
        <v>675</v>
      </c>
      <c r="C1785">
        <v>301049751</v>
      </c>
      <c r="D1785">
        <v>73239990</v>
      </c>
      <c r="E1785" t="s">
        <v>2476</v>
      </c>
      <c r="N1785">
        <v>22944</v>
      </c>
      <c r="O1785" t="s">
        <v>2748</v>
      </c>
      <c r="P1785">
        <v>58.275659</v>
      </c>
      <c r="Q1785">
        <v>1337076.72</v>
      </c>
      <c r="R1785">
        <v>0.803248229</v>
      </c>
      <c r="S1785">
        <v>18429.72736</v>
      </c>
      <c r="T1785">
        <v>325177.1</v>
      </c>
    </row>
    <row r="1786" spans="1:20">
      <c r="A1786" t="s">
        <v>20</v>
      </c>
      <c r="B1786" t="s">
        <v>676</v>
      </c>
      <c r="C1786">
        <v>301049751</v>
      </c>
      <c r="D1786">
        <v>73239990</v>
      </c>
      <c r="E1786" t="s">
        <v>2477</v>
      </c>
      <c r="N1786">
        <v>21600</v>
      </c>
      <c r="O1786" t="s">
        <v>2748</v>
      </c>
      <c r="P1786">
        <v>84.6257537</v>
      </c>
      <c r="Q1786">
        <v>1827916.28</v>
      </c>
      <c r="R1786">
        <v>1.166447329</v>
      </c>
      <c r="S1786">
        <v>25195.2623</v>
      </c>
      <c r="T1786">
        <v>444549.3</v>
      </c>
    </row>
    <row r="1787" spans="1:20">
      <c r="A1787" t="s">
        <v>20</v>
      </c>
      <c r="B1787" t="s">
        <v>676</v>
      </c>
      <c r="C1787">
        <v>301049751</v>
      </c>
      <c r="D1787">
        <v>73239990</v>
      </c>
      <c r="E1787" t="s">
        <v>2478</v>
      </c>
      <c r="N1787">
        <v>20988</v>
      </c>
      <c r="O1787" t="s">
        <v>2748</v>
      </c>
      <c r="P1787">
        <v>93.57297027</v>
      </c>
      <c r="Q1787">
        <v>1963909.5</v>
      </c>
      <c r="R1787">
        <v>1.289772161</v>
      </c>
      <c r="S1787">
        <v>27069.73811</v>
      </c>
      <c r="T1787">
        <v>477622.7</v>
      </c>
    </row>
    <row r="1788" spans="1:20">
      <c r="A1788" t="s">
        <v>20</v>
      </c>
      <c r="B1788" t="s">
        <v>677</v>
      </c>
      <c r="C1788">
        <v>301049751</v>
      </c>
      <c r="D1788">
        <v>73239990</v>
      </c>
      <c r="E1788" t="s">
        <v>2479</v>
      </c>
      <c r="N1788">
        <v>4788</v>
      </c>
      <c r="O1788" t="s">
        <v>2748</v>
      </c>
      <c r="P1788">
        <v>54.64257101</v>
      </c>
      <c r="Q1788">
        <v>261628.63</v>
      </c>
      <c r="R1788">
        <v>0.753171206</v>
      </c>
      <c r="S1788">
        <v>3606.183735</v>
      </c>
      <c r="T1788">
        <v>63628.1</v>
      </c>
    </row>
    <row r="1789" spans="1:20">
      <c r="A1789" t="s">
        <v>20</v>
      </c>
      <c r="B1789" t="s">
        <v>678</v>
      </c>
      <c r="C1789">
        <v>301049751</v>
      </c>
      <c r="D1789">
        <v>73239990</v>
      </c>
      <c r="E1789" t="s">
        <v>2480</v>
      </c>
      <c r="N1789">
        <v>12600</v>
      </c>
      <c r="O1789" t="s">
        <v>2748</v>
      </c>
      <c r="P1789">
        <v>97.22706508</v>
      </c>
      <c r="Q1789">
        <v>1225061.02</v>
      </c>
      <c r="R1789">
        <v>1.36746927</v>
      </c>
      <c r="S1789">
        <v>17230.1128</v>
      </c>
      <c r="T1789">
        <v>297934.8</v>
      </c>
    </row>
    <row r="1790" spans="1:20">
      <c r="A1790" t="s">
        <v>20</v>
      </c>
      <c r="B1790" t="s">
        <v>678</v>
      </c>
      <c r="C1790">
        <v>301049751</v>
      </c>
      <c r="D1790">
        <v>73239990</v>
      </c>
      <c r="E1790" t="s">
        <v>2481</v>
      </c>
      <c r="N1790">
        <v>24000</v>
      </c>
      <c r="O1790" t="s">
        <v>2748</v>
      </c>
      <c r="P1790">
        <v>32.17004333</v>
      </c>
      <c r="Q1790">
        <v>772081.04</v>
      </c>
      <c r="R1790">
        <v>0.452461932</v>
      </c>
      <c r="S1790">
        <v>10859.08636</v>
      </c>
      <c r="T1790">
        <v>187770.1</v>
      </c>
    </row>
    <row r="1791" spans="1:20">
      <c r="A1791" t="s">
        <v>20</v>
      </c>
      <c r="B1791" t="s">
        <v>678</v>
      </c>
      <c r="C1791">
        <v>301049751</v>
      </c>
      <c r="D1791">
        <v>73239990</v>
      </c>
      <c r="E1791" t="s">
        <v>2482</v>
      </c>
      <c r="N1791">
        <v>50400</v>
      </c>
      <c r="O1791" t="s">
        <v>2748</v>
      </c>
      <c r="P1791">
        <v>23.03685258</v>
      </c>
      <c r="Q1791">
        <v>1161057.37</v>
      </c>
      <c r="R1791">
        <v>0.324006365</v>
      </c>
      <c r="S1791">
        <v>16329.92082</v>
      </c>
      <c r="T1791">
        <v>282369.1</v>
      </c>
    </row>
    <row r="1792" spans="1:20">
      <c r="A1792" t="s">
        <v>20</v>
      </c>
      <c r="B1792" t="s">
        <v>678</v>
      </c>
      <c r="C1792">
        <v>301049751</v>
      </c>
      <c r="D1792">
        <v>73239990</v>
      </c>
      <c r="E1792" t="s">
        <v>2483</v>
      </c>
      <c r="N1792">
        <v>24336</v>
      </c>
      <c r="O1792" t="s">
        <v>2748</v>
      </c>
      <c r="P1792">
        <v>91.74433555</v>
      </c>
      <c r="Q1792">
        <v>2232690.15</v>
      </c>
      <c r="R1792">
        <v>1.290356337</v>
      </c>
      <c r="S1792">
        <v>31402.11181</v>
      </c>
      <c r="T1792">
        <v>542990.2</v>
      </c>
    </row>
    <row r="1793" spans="1:20">
      <c r="A1793" t="s">
        <v>20</v>
      </c>
      <c r="B1793" t="s">
        <v>678</v>
      </c>
      <c r="C1793">
        <v>301049751</v>
      </c>
      <c r="D1793">
        <v>73239990</v>
      </c>
      <c r="E1793" t="s">
        <v>2484</v>
      </c>
      <c r="N1793">
        <v>7020</v>
      </c>
      <c r="O1793" t="s">
        <v>2748</v>
      </c>
      <c r="P1793">
        <v>82.97196866</v>
      </c>
      <c r="Q1793">
        <v>582463.22</v>
      </c>
      <c r="R1793">
        <v>1.166975649</v>
      </c>
      <c r="S1793">
        <v>8192.169057999999</v>
      </c>
      <c r="T1793">
        <v>141655</v>
      </c>
    </row>
    <row r="1794" spans="1:20">
      <c r="A1794" t="s">
        <v>20</v>
      </c>
      <c r="B1794" t="s">
        <v>679</v>
      </c>
      <c r="C1794">
        <v>301049751</v>
      </c>
      <c r="D1794">
        <v>73239990</v>
      </c>
      <c r="E1794" t="s">
        <v>2485</v>
      </c>
      <c r="N1794">
        <v>1232</v>
      </c>
      <c r="O1794" t="s">
        <v>2748</v>
      </c>
      <c r="P1794">
        <v>1076.178344</v>
      </c>
      <c r="Q1794">
        <v>1325851.72</v>
      </c>
      <c r="R1794">
        <v>15.13612298</v>
      </c>
      <c r="S1794">
        <v>18647.70352</v>
      </c>
      <c r="T1794">
        <v>322447.2</v>
      </c>
    </row>
    <row r="1795" spans="1:20">
      <c r="A1795" t="s">
        <v>20</v>
      </c>
      <c r="B1795" t="s">
        <v>680</v>
      </c>
      <c r="C1795">
        <v>301049751</v>
      </c>
      <c r="D1795">
        <v>73239990</v>
      </c>
      <c r="E1795" t="s">
        <v>2486</v>
      </c>
      <c r="N1795">
        <v>50544</v>
      </c>
      <c r="O1795" t="s">
        <v>2748</v>
      </c>
      <c r="P1795">
        <v>82.37398425000001</v>
      </c>
      <c r="Q1795">
        <v>4163510.66</v>
      </c>
      <c r="R1795">
        <v>1.158565179</v>
      </c>
      <c r="S1795">
        <v>58558.51842</v>
      </c>
      <c r="T1795">
        <v>1012565.8</v>
      </c>
    </row>
    <row r="1796" spans="1:20">
      <c r="A1796" t="s">
        <v>20</v>
      </c>
      <c r="B1796" t="s">
        <v>681</v>
      </c>
      <c r="C1796">
        <v>301049751</v>
      </c>
      <c r="D1796">
        <v>73239990</v>
      </c>
      <c r="E1796" t="s">
        <v>2487</v>
      </c>
      <c r="N1796">
        <v>2184</v>
      </c>
      <c r="O1796" t="s">
        <v>2748</v>
      </c>
      <c r="P1796">
        <v>57.88220238</v>
      </c>
      <c r="Q1796">
        <v>126414.73</v>
      </c>
      <c r="R1796">
        <v>0.814095673</v>
      </c>
      <c r="S1796">
        <v>1777.984951</v>
      </c>
      <c r="T1796">
        <v>30744</v>
      </c>
    </row>
    <row r="1797" spans="1:20">
      <c r="A1797" t="s">
        <v>20</v>
      </c>
      <c r="B1797" t="s">
        <v>681</v>
      </c>
      <c r="C1797">
        <v>301049751</v>
      </c>
      <c r="D1797">
        <v>73239990</v>
      </c>
      <c r="E1797" t="s">
        <v>2488</v>
      </c>
      <c r="N1797">
        <v>26112</v>
      </c>
      <c r="O1797" t="s">
        <v>2748</v>
      </c>
      <c r="P1797">
        <v>57.2273809</v>
      </c>
      <c r="Q1797">
        <v>1494321.37</v>
      </c>
      <c r="R1797">
        <v>0.804885807</v>
      </c>
      <c r="S1797">
        <v>21017.1782</v>
      </c>
      <c r="T1797">
        <v>363418.9</v>
      </c>
    </row>
    <row r="1798" spans="1:20">
      <c r="A1798" t="s">
        <v>20</v>
      </c>
      <c r="B1798" t="s">
        <v>681</v>
      </c>
      <c r="C1798">
        <v>301049751</v>
      </c>
      <c r="D1798">
        <v>73239990</v>
      </c>
      <c r="E1798" t="s">
        <v>2489</v>
      </c>
      <c r="N1798">
        <v>6720</v>
      </c>
      <c r="O1798" t="s">
        <v>2748</v>
      </c>
      <c r="P1798">
        <v>85.44615179</v>
      </c>
      <c r="Q1798">
        <v>574198.14</v>
      </c>
      <c r="R1798">
        <v>1.201774287</v>
      </c>
      <c r="S1798">
        <v>8075.923207</v>
      </c>
      <c r="T1798">
        <v>139645</v>
      </c>
    </row>
    <row r="1799" spans="1:20">
      <c r="A1799" t="s">
        <v>20</v>
      </c>
      <c r="B1799" t="s">
        <v>681</v>
      </c>
      <c r="C1799">
        <v>301049751</v>
      </c>
      <c r="D1799">
        <v>73239990</v>
      </c>
      <c r="E1799" t="s">
        <v>2490</v>
      </c>
      <c r="N1799">
        <v>6480</v>
      </c>
      <c r="O1799" t="s">
        <v>2748</v>
      </c>
      <c r="P1799">
        <v>172.328375</v>
      </c>
      <c r="Q1799">
        <v>1116687.87</v>
      </c>
      <c r="R1799">
        <v>2.423746484</v>
      </c>
      <c r="S1799">
        <v>15705.87722</v>
      </c>
      <c r="T1799">
        <v>271578.5</v>
      </c>
    </row>
    <row r="1800" spans="1:20">
      <c r="A1800" t="s">
        <v>20</v>
      </c>
      <c r="B1800" t="s">
        <v>681</v>
      </c>
      <c r="C1800">
        <v>301049751</v>
      </c>
      <c r="D1800">
        <v>73239990</v>
      </c>
      <c r="E1800" t="s">
        <v>2491</v>
      </c>
      <c r="N1800">
        <v>24240</v>
      </c>
      <c r="O1800" t="s">
        <v>2748</v>
      </c>
      <c r="P1800">
        <v>60.31493111</v>
      </c>
      <c r="Q1800">
        <v>1462033.93</v>
      </c>
      <c r="R1800">
        <v>0.848311267</v>
      </c>
      <c r="S1800">
        <v>20563.06512</v>
      </c>
      <c r="T1800">
        <v>355566.6</v>
      </c>
    </row>
    <row r="1801" spans="1:20">
      <c r="A1801" t="s">
        <v>20</v>
      </c>
      <c r="B1801" t="s">
        <v>681</v>
      </c>
      <c r="C1801">
        <v>301049751</v>
      </c>
      <c r="D1801">
        <v>73239990</v>
      </c>
      <c r="E1801" t="s">
        <v>2492</v>
      </c>
      <c r="N1801">
        <v>1656</v>
      </c>
      <c r="O1801" t="s">
        <v>2748</v>
      </c>
      <c r="P1801">
        <v>57.8615157</v>
      </c>
      <c r="Q1801">
        <v>95818.67</v>
      </c>
      <c r="R1801">
        <v>0.813804722</v>
      </c>
      <c r="S1801">
        <v>1347.660619</v>
      </c>
      <c r="T1801">
        <v>23303.2</v>
      </c>
    </row>
    <row r="1802" spans="1:20">
      <c r="A1802" t="s">
        <v>20</v>
      </c>
      <c r="B1802" t="s">
        <v>681</v>
      </c>
      <c r="C1802">
        <v>301049751</v>
      </c>
      <c r="D1802">
        <v>73239990</v>
      </c>
      <c r="E1802" t="s">
        <v>2493</v>
      </c>
      <c r="N1802">
        <v>10500</v>
      </c>
      <c r="O1802" t="s">
        <v>2748</v>
      </c>
      <c r="P1802">
        <v>162.6802229</v>
      </c>
      <c r="Q1802">
        <v>1708142.34</v>
      </c>
      <c r="R1802">
        <v>2.288048141</v>
      </c>
      <c r="S1802">
        <v>24024.50549</v>
      </c>
      <c r="T1802">
        <v>415420.2</v>
      </c>
    </row>
    <row r="1803" spans="1:20">
      <c r="A1803" t="s">
        <v>20</v>
      </c>
      <c r="B1803" t="s">
        <v>682</v>
      </c>
      <c r="C1803">
        <v>301049751</v>
      </c>
      <c r="D1803">
        <v>73239990</v>
      </c>
      <c r="E1803" t="s">
        <v>2494</v>
      </c>
      <c r="N1803">
        <v>960</v>
      </c>
      <c r="O1803" t="s">
        <v>2748</v>
      </c>
      <c r="P1803">
        <v>104.9557188</v>
      </c>
      <c r="Q1803">
        <v>100757.49</v>
      </c>
      <c r="R1803">
        <v>1.476170447</v>
      </c>
      <c r="S1803">
        <v>1417.123629</v>
      </c>
      <c r="T1803">
        <v>24504.2</v>
      </c>
    </row>
    <row r="1804" spans="1:20">
      <c r="A1804" t="s">
        <v>20</v>
      </c>
      <c r="B1804" t="s">
        <v>682</v>
      </c>
      <c r="C1804">
        <v>301049751</v>
      </c>
      <c r="D1804">
        <v>73239990</v>
      </c>
      <c r="E1804" t="s">
        <v>2495</v>
      </c>
      <c r="N1804">
        <v>1920</v>
      </c>
      <c r="O1804" t="s">
        <v>2748</v>
      </c>
      <c r="P1804">
        <v>74.43667708</v>
      </c>
      <c r="Q1804">
        <v>142918.42</v>
      </c>
      <c r="R1804">
        <v>1.046929354</v>
      </c>
      <c r="S1804">
        <v>2010.10436</v>
      </c>
      <c r="T1804">
        <v>34757.7</v>
      </c>
    </row>
    <row r="1805" spans="1:20">
      <c r="A1805" t="s">
        <v>20</v>
      </c>
      <c r="B1805" t="s">
        <v>683</v>
      </c>
      <c r="C1805">
        <v>301049751</v>
      </c>
      <c r="D1805">
        <v>73239990</v>
      </c>
      <c r="E1805" t="s">
        <v>2496</v>
      </c>
      <c r="N1805">
        <v>14400</v>
      </c>
      <c r="O1805" t="s">
        <v>2748</v>
      </c>
      <c r="P1805">
        <v>32.2596125</v>
      </c>
      <c r="Q1805">
        <v>464538.42</v>
      </c>
      <c r="R1805">
        <v>0.453721695</v>
      </c>
      <c r="S1805">
        <v>6533.592405</v>
      </c>
      <c r="T1805">
        <v>112975.7</v>
      </c>
    </row>
    <row r="1806" spans="1:20">
      <c r="A1806" t="s">
        <v>20</v>
      </c>
      <c r="B1806" t="s">
        <v>683</v>
      </c>
      <c r="C1806">
        <v>301049751</v>
      </c>
      <c r="D1806">
        <v>73239990</v>
      </c>
      <c r="E1806" t="s">
        <v>2497</v>
      </c>
      <c r="N1806">
        <v>68760</v>
      </c>
      <c r="O1806" t="s">
        <v>2751</v>
      </c>
      <c r="P1806">
        <v>33.33225131</v>
      </c>
      <c r="Q1806">
        <v>2291925.6</v>
      </c>
      <c r="R1806">
        <v>0.468808035</v>
      </c>
      <c r="S1806">
        <v>32235.24051</v>
      </c>
      <c r="T1806">
        <v>557396.4</v>
      </c>
    </row>
    <row r="1807" spans="1:20">
      <c r="A1807" t="s">
        <v>20</v>
      </c>
      <c r="B1807" t="s">
        <v>683</v>
      </c>
      <c r="C1807">
        <v>301049751</v>
      </c>
      <c r="D1807">
        <v>73239990</v>
      </c>
      <c r="E1807" t="s">
        <v>2498</v>
      </c>
      <c r="N1807">
        <v>240</v>
      </c>
      <c r="O1807" t="s">
        <v>2748</v>
      </c>
      <c r="P1807">
        <v>106.7929167</v>
      </c>
      <c r="Q1807">
        <v>25630.3</v>
      </c>
      <c r="R1807">
        <v>1.50201008</v>
      </c>
      <c r="S1807">
        <v>360.4824191</v>
      </c>
      <c r="T1807">
        <v>6233.3</v>
      </c>
    </row>
    <row r="1808" spans="1:20">
      <c r="A1808" t="s">
        <v>20</v>
      </c>
      <c r="B1808" t="s">
        <v>683</v>
      </c>
      <c r="C1808">
        <v>301049751</v>
      </c>
      <c r="D1808">
        <v>73239990</v>
      </c>
      <c r="E1808" t="s">
        <v>2499</v>
      </c>
      <c r="N1808">
        <v>7200</v>
      </c>
      <c r="O1808" t="s">
        <v>2748</v>
      </c>
      <c r="P1808">
        <v>81.58463472</v>
      </c>
      <c r="Q1808">
        <v>587409.37</v>
      </c>
      <c r="R1808">
        <v>1.147463217</v>
      </c>
      <c r="S1808">
        <v>8261.735162000001</v>
      </c>
      <c r="T1808">
        <v>142857.9</v>
      </c>
    </row>
    <row r="1809" spans="1:20">
      <c r="A1809" t="s">
        <v>20</v>
      </c>
      <c r="B1809" t="s">
        <v>683</v>
      </c>
      <c r="C1809">
        <v>301049751</v>
      </c>
      <c r="D1809">
        <v>73239990</v>
      </c>
      <c r="E1809" t="s">
        <v>2500</v>
      </c>
      <c r="N1809">
        <v>52800</v>
      </c>
      <c r="O1809" t="s">
        <v>2748</v>
      </c>
      <c r="P1809">
        <v>37.41485511</v>
      </c>
      <c r="Q1809">
        <v>1975504.35</v>
      </c>
      <c r="R1809">
        <v>0.526228623</v>
      </c>
      <c r="S1809">
        <v>27784.87131</v>
      </c>
      <c r="T1809">
        <v>480442.6</v>
      </c>
    </row>
    <row r="1810" spans="1:20">
      <c r="A1810" t="s">
        <v>20</v>
      </c>
      <c r="B1810" t="s">
        <v>684</v>
      </c>
      <c r="C1810">
        <v>301049751</v>
      </c>
      <c r="D1810">
        <v>73239990</v>
      </c>
      <c r="E1810" t="s">
        <v>2485</v>
      </c>
      <c r="N1810">
        <v>2464</v>
      </c>
      <c r="O1810" t="s">
        <v>2748</v>
      </c>
      <c r="P1810">
        <v>1057.735471</v>
      </c>
      <c r="Q1810">
        <v>2606260.2</v>
      </c>
      <c r="R1810">
        <v>15.27415842</v>
      </c>
      <c r="S1810">
        <v>37635.52635</v>
      </c>
      <c r="T1810">
        <v>633842.5</v>
      </c>
    </row>
    <row r="1811" spans="1:20">
      <c r="A1811" t="s">
        <v>20</v>
      </c>
      <c r="B1811" t="s">
        <v>685</v>
      </c>
      <c r="C1811">
        <v>301049751</v>
      </c>
      <c r="D1811">
        <v>73231000</v>
      </c>
      <c r="E1811" t="s">
        <v>2501</v>
      </c>
      <c r="N1811">
        <v>305400</v>
      </c>
      <c r="O1811" t="s">
        <v>2748</v>
      </c>
      <c r="P1811">
        <v>7.022338736</v>
      </c>
      <c r="Q1811">
        <v>2144622.25</v>
      </c>
      <c r="R1811">
        <v>0.101405614</v>
      </c>
      <c r="S1811">
        <v>30969.27437</v>
      </c>
      <c r="T1811">
        <v>664403.9</v>
      </c>
    </row>
    <row r="1812" spans="1:20">
      <c r="A1812" t="s">
        <v>20</v>
      </c>
      <c r="B1812" t="s">
        <v>686</v>
      </c>
      <c r="C1812">
        <v>301049751</v>
      </c>
      <c r="D1812">
        <v>73239990</v>
      </c>
      <c r="E1812" t="s">
        <v>2502</v>
      </c>
      <c r="N1812">
        <v>22020</v>
      </c>
      <c r="O1812" t="s">
        <v>2748</v>
      </c>
      <c r="P1812">
        <v>174.9696871</v>
      </c>
      <c r="Q1812">
        <v>3852832.51</v>
      </c>
      <c r="R1812">
        <v>2.526638081</v>
      </c>
      <c r="S1812">
        <v>55636.57054</v>
      </c>
      <c r="T1812">
        <v>937008.9</v>
      </c>
    </row>
    <row r="1813" spans="1:20">
      <c r="A1813" t="s">
        <v>20</v>
      </c>
      <c r="B1813" t="s">
        <v>686</v>
      </c>
      <c r="C1813">
        <v>301049751</v>
      </c>
      <c r="D1813">
        <v>73239990</v>
      </c>
      <c r="E1813" t="s">
        <v>2503</v>
      </c>
      <c r="N1813">
        <v>41508</v>
      </c>
      <c r="O1813" t="s">
        <v>2748</v>
      </c>
      <c r="P1813">
        <v>81.06695913999999</v>
      </c>
      <c r="Q1813">
        <v>3364927.34</v>
      </c>
      <c r="R1813">
        <v>1.170642009</v>
      </c>
      <c r="S1813">
        <v>48591.00852</v>
      </c>
      <c r="T1813">
        <v>818350.3</v>
      </c>
    </row>
    <row r="1814" spans="1:20">
      <c r="A1814" t="s">
        <v>20</v>
      </c>
      <c r="B1814" t="s">
        <v>686</v>
      </c>
      <c r="C1814">
        <v>301049751</v>
      </c>
      <c r="D1814">
        <v>73239990</v>
      </c>
      <c r="E1814" t="s">
        <v>2504</v>
      </c>
      <c r="N1814">
        <v>16632</v>
      </c>
      <c r="O1814" t="s">
        <v>2748</v>
      </c>
      <c r="P1814">
        <v>242.8579251</v>
      </c>
      <c r="Q1814">
        <v>4039213.01</v>
      </c>
      <c r="R1814">
        <v>3.506973647</v>
      </c>
      <c r="S1814">
        <v>58327.9857</v>
      </c>
      <c r="T1814">
        <v>982336.6</v>
      </c>
    </row>
    <row r="1815" spans="1:20">
      <c r="A1815" t="s">
        <v>20</v>
      </c>
      <c r="B1815" t="s">
        <v>687</v>
      </c>
      <c r="C1815">
        <v>301049751</v>
      </c>
      <c r="D1815">
        <v>73239990</v>
      </c>
      <c r="E1815" t="s">
        <v>2505</v>
      </c>
      <c r="N1815">
        <v>5904</v>
      </c>
      <c r="O1815" t="s">
        <v>2748</v>
      </c>
      <c r="P1815">
        <v>35.73043191</v>
      </c>
      <c r="Q1815">
        <v>210952.47</v>
      </c>
      <c r="R1815">
        <v>0.515962916</v>
      </c>
      <c r="S1815">
        <v>3046.245054</v>
      </c>
      <c r="T1815">
        <v>51303.6</v>
      </c>
    </row>
    <row r="1816" spans="1:20">
      <c r="A1816" t="s">
        <v>20</v>
      </c>
      <c r="B1816" t="s">
        <v>687</v>
      </c>
      <c r="C1816">
        <v>301049751</v>
      </c>
      <c r="D1816">
        <v>73239990</v>
      </c>
      <c r="E1816" t="s">
        <v>2506</v>
      </c>
      <c r="N1816">
        <v>12600</v>
      </c>
      <c r="O1816" t="s">
        <v>2748</v>
      </c>
      <c r="P1816">
        <v>81.20552619</v>
      </c>
      <c r="Q1816">
        <v>1023189.63</v>
      </c>
      <c r="R1816">
        <v>1.172642977</v>
      </c>
      <c r="S1816">
        <v>14775.30152</v>
      </c>
      <c r="T1816">
        <v>248839.8</v>
      </c>
    </row>
    <row r="1817" spans="1:20">
      <c r="A1817" t="s">
        <v>20</v>
      </c>
      <c r="B1817" t="s">
        <v>688</v>
      </c>
      <c r="C1817">
        <v>301049751</v>
      </c>
      <c r="D1817">
        <v>73239990</v>
      </c>
      <c r="E1817" t="s">
        <v>2507</v>
      </c>
      <c r="N1817">
        <v>16000</v>
      </c>
      <c r="O1817" t="s">
        <v>2748</v>
      </c>
      <c r="P1817">
        <v>95.9244375</v>
      </c>
      <c r="Q1817">
        <v>1534791</v>
      </c>
      <c r="R1817">
        <v>1.385190433</v>
      </c>
      <c r="S1817">
        <v>22163.04693</v>
      </c>
      <c r="T1817">
        <v>373261.2</v>
      </c>
    </row>
    <row r="1818" spans="1:20">
      <c r="A1818" t="s">
        <v>20</v>
      </c>
      <c r="B1818" t="s">
        <v>689</v>
      </c>
      <c r="C1818">
        <v>301049751</v>
      </c>
      <c r="D1818">
        <v>73239990</v>
      </c>
      <c r="E1818" t="s">
        <v>2508</v>
      </c>
      <c r="N1818">
        <v>17280</v>
      </c>
      <c r="O1818" t="s">
        <v>2748</v>
      </c>
      <c r="P1818">
        <v>98.10715278000001</v>
      </c>
      <c r="Q1818">
        <v>1695291.6</v>
      </c>
      <c r="R1818">
        <v>1.409585528</v>
      </c>
      <c r="S1818">
        <v>24357.63793</v>
      </c>
      <c r="T1818">
        <v>412294.9</v>
      </c>
    </row>
    <row r="1819" spans="1:20">
      <c r="A1819" t="s">
        <v>20</v>
      </c>
      <c r="B1819" t="s">
        <v>689</v>
      </c>
      <c r="C1819">
        <v>301049751</v>
      </c>
      <c r="D1819">
        <v>73239990</v>
      </c>
      <c r="E1819" t="s">
        <v>2509</v>
      </c>
      <c r="N1819">
        <v>19152</v>
      </c>
      <c r="O1819" t="s">
        <v>2748</v>
      </c>
      <c r="P1819">
        <v>89.87188073999999</v>
      </c>
      <c r="Q1819">
        <v>1721226.26</v>
      </c>
      <c r="R1819">
        <v>1.291262654</v>
      </c>
      <c r="S1819">
        <v>24730.26236</v>
      </c>
      <c r="T1819">
        <v>418602.2</v>
      </c>
    </row>
    <row r="1820" spans="1:20">
      <c r="A1820" t="s">
        <v>20</v>
      </c>
      <c r="B1820" t="s">
        <v>689</v>
      </c>
      <c r="C1820">
        <v>301049751</v>
      </c>
      <c r="D1820">
        <v>73231000</v>
      </c>
      <c r="E1820" t="s">
        <v>2510</v>
      </c>
      <c r="N1820">
        <v>6000</v>
      </c>
      <c r="O1820" t="s">
        <v>2748</v>
      </c>
      <c r="P1820">
        <v>17.253965</v>
      </c>
      <c r="Q1820">
        <v>103523.79</v>
      </c>
      <c r="R1820">
        <v>0.247901796</v>
      </c>
      <c r="S1820">
        <v>1487.410776</v>
      </c>
      <c r="T1820">
        <v>32071.7</v>
      </c>
    </row>
    <row r="1821" spans="1:20">
      <c r="A1821" t="s">
        <v>20</v>
      </c>
      <c r="B1821" t="s">
        <v>689</v>
      </c>
      <c r="C1821">
        <v>301049751</v>
      </c>
      <c r="D1821">
        <v>73239990</v>
      </c>
      <c r="E1821" t="s">
        <v>2511</v>
      </c>
      <c r="N1821">
        <v>50400</v>
      </c>
      <c r="O1821" t="s">
        <v>2748</v>
      </c>
      <c r="P1821">
        <v>23.1261131</v>
      </c>
      <c r="Q1821">
        <v>1165556.1</v>
      </c>
      <c r="R1821">
        <v>0.33227174</v>
      </c>
      <c r="S1821">
        <v>16746.49569</v>
      </c>
      <c r="T1821">
        <v>283463.3</v>
      </c>
    </row>
    <row r="1822" spans="1:20">
      <c r="A1822" t="s">
        <v>20</v>
      </c>
      <c r="B1822" t="s">
        <v>690</v>
      </c>
      <c r="C1822">
        <v>301049751</v>
      </c>
      <c r="D1822">
        <v>73239990</v>
      </c>
      <c r="E1822" t="s">
        <v>2512</v>
      </c>
      <c r="N1822">
        <v>27000</v>
      </c>
      <c r="O1822" t="s">
        <v>2748</v>
      </c>
      <c r="P1822">
        <v>116.2931389</v>
      </c>
      <c r="Q1822">
        <v>3139914.75</v>
      </c>
      <c r="R1822">
        <v>1.670878432</v>
      </c>
      <c r="S1822">
        <v>45113.71767</v>
      </c>
      <c r="T1822">
        <v>763627.2</v>
      </c>
    </row>
    <row r="1823" spans="1:20">
      <c r="A1823" t="s">
        <v>20</v>
      </c>
      <c r="B1823" t="s">
        <v>691</v>
      </c>
      <c r="C1823">
        <v>301049751</v>
      </c>
      <c r="D1823">
        <v>73231000</v>
      </c>
      <c r="E1823" t="s">
        <v>2513</v>
      </c>
      <c r="N1823">
        <v>259800</v>
      </c>
      <c r="O1823" t="s">
        <v>2751</v>
      </c>
      <c r="P1823">
        <v>7.045251771</v>
      </c>
      <c r="Q1823">
        <v>1830356.41</v>
      </c>
      <c r="R1823">
        <v>0.101224882</v>
      </c>
      <c r="S1823">
        <v>26298.22428</v>
      </c>
      <c r="T1823">
        <v>567044.4</v>
      </c>
    </row>
    <row r="1824" spans="1:20">
      <c r="A1824" t="s">
        <v>20</v>
      </c>
      <c r="B1824" t="s">
        <v>691</v>
      </c>
      <c r="C1824">
        <v>301049751</v>
      </c>
      <c r="D1824">
        <v>73231000</v>
      </c>
      <c r="E1824" t="s">
        <v>2514</v>
      </c>
      <c r="N1824">
        <v>265680</v>
      </c>
      <c r="O1824" t="s">
        <v>2748</v>
      </c>
      <c r="P1824">
        <v>4.756953139</v>
      </c>
      <c r="Q1824">
        <v>1263827.31</v>
      </c>
      <c r="R1824">
        <v>0.068347028</v>
      </c>
      <c r="S1824">
        <v>18158.43836</v>
      </c>
      <c r="T1824">
        <v>391533.7</v>
      </c>
    </row>
    <row r="1825" spans="1:20">
      <c r="A1825" t="s">
        <v>20</v>
      </c>
      <c r="B1825" t="s">
        <v>691</v>
      </c>
      <c r="C1825">
        <v>301049751</v>
      </c>
      <c r="D1825">
        <v>73231000</v>
      </c>
      <c r="E1825" t="s">
        <v>2515</v>
      </c>
      <c r="N1825">
        <v>30000</v>
      </c>
      <c r="O1825" t="s">
        <v>2751</v>
      </c>
      <c r="P1825">
        <v>12.681453</v>
      </c>
      <c r="Q1825">
        <v>380443.59</v>
      </c>
      <c r="R1825">
        <v>0.182204784</v>
      </c>
      <c r="S1825">
        <v>5466.143534</v>
      </c>
      <c r="T1825">
        <v>117861.4</v>
      </c>
    </row>
    <row r="1826" spans="1:20">
      <c r="A1826" t="s">
        <v>20</v>
      </c>
      <c r="B1826" t="s">
        <v>692</v>
      </c>
      <c r="C1826">
        <v>301049751</v>
      </c>
      <c r="D1826">
        <v>73239990</v>
      </c>
      <c r="E1826" t="s">
        <v>2516</v>
      </c>
      <c r="N1826">
        <v>11880</v>
      </c>
      <c r="O1826" t="s">
        <v>2748</v>
      </c>
      <c r="P1826">
        <v>81.34374411</v>
      </c>
      <c r="Q1826">
        <v>966363.6800000001</v>
      </c>
      <c r="R1826">
        <v>1.168731956</v>
      </c>
      <c r="S1826">
        <v>13884.53563</v>
      </c>
      <c r="T1826">
        <v>235019.6</v>
      </c>
    </row>
    <row r="1827" spans="1:20">
      <c r="A1827" t="s">
        <v>20</v>
      </c>
      <c r="B1827" t="s">
        <v>692</v>
      </c>
      <c r="C1827">
        <v>301049751</v>
      </c>
      <c r="D1827">
        <v>73239990</v>
      </c>
      <c r="E1827" t="s">
        <v>2517</v>
      </c>
      <c r="N1827">
        <v>360</v>
      </c>
      <c r="O1827" t="s">
        <v>2748</v>
      </c>
      <c r="P1827">
        <v>89.94397222000001</v>
      </c>
      <c r="Q1827">
        <v>32379.83</v>
      </c>
      <c r="R1827">
        <v>1.292298451</v>
      </c>
      <c r="S1827">
        <v>465.2274425</v>
      </c>
      <c r="T1827">
        <v>7874.8</v>
      </c>
    </row>
    <row r="1828" spans="1:20">
      <c r="A1828" t="s">
        <v>20</v>
      </c>
      <c r="B1828" t="s">
        <v>692</v>
      </c>
      <c r="C1828">
        <v>301049751</v>
      </c>
      <c r="D1828">
        <v>73239990</v>
      </c>
      <c r="E1828" t="s">
        <v>2518</v>
      </c>
      <c r="N1828">
        <v>42120</v>
      </c>
      <c r="O1828" t="s">
        <v>2748</v>
      </c>
      <c r="P1828">
        <v>32.47571557</v>
      </c>
      <c r="Q1828">
        <v>1367877.14</v>
      </c>
      <c r="R1828">
        <v>0.466605109</v>
      </c>
      <c r="S1828">
        <v>19653.40718</v>
      </c>
      <c r="T1828">
        <v>332667.7</v>
      </c>
    </row>
    <row r="1829" spans="1:20">
      <c r="A1829" t="s">
        <v>20</v>
      </c>
      <c r="B1829" t="s">
        <v>692</v>
      </c>
      <c r="C1829">
        <v>301049751</v>
      </c>
      <c r="D1829">
        <v>73239990</v>
      </c>
      <c r="E1829" t="s">
        <v>2519</v>
      </c>
      <c r="N1829">
        <v>15120</v>
      </c>
      <c r="O1829" t="s">
        <v>2748</v>
      </c>
      <c r="P1829">
        <v>98.18584061</v>
      </c>
      <c r="Q1829">
        <v>1484569.91</v>
      </c>
      <c r="R1829">
        <v>1.410716101</v>
      </c>
      <c r="S1829">
        <v>21330.02744</v>
      </c>
      <c r="T1829">
        <v>361047.4</v>
      </c>
    </row>
    <row r="1830" spans="1:20">
      <c r="A1830" t="s">
        <v>20</v>
      </c>
      <c r="B1830" t="s">
        <v>693</v>
      </c>
      <c r="C1830">
        <v>301049751</v>
      </c>
      <c r="D1830">
        <v>73239990</v>
      </c>
      <c r="E1830" t="s">
        <v>2520</v>
      </c>
      <c r="N1830">
        <v>22020</v>
      </c>
      <c r="O1830" t="s">
        <v>2748</v>
      </c>
      <c r="P1830">
        <v>176.1571853</v>
      </c>
      <c r="Q1830">
        <v>3878981.22</v>
      </c>
      <c r="R1830">
        <v>2.527362773</v>
      </c>
      <c r="S1830">
        <v>55652.52826</v>
      </c>
      <c r="T1830">
        <v>943368.2</v>
      </c>
    </row>
    <row r="1831" spans="1:20">
      <c r="A1831" t="s">
        <v>20</v>
      </c>
      <c r="B1831" t="s">
        <v>693</v>
      </c>
      <c r="C1831">
        <v>301049751</v>
      </c>
      <c r="D1831">
        <v>73239990</v>
      </c>
      <c r="E1831" t="s">
        <v>2521</v>
      </c>
      <c r="N1831">
        <v>16200</v>
      </c>
      <c r="O1831" t="s">
        <v>2748</v>
      </c>
      <c r="P1831">
        <v>83.57875494</v>
      </c>
      <c r="Q1831">
        <v>1353975.83</v>
      </c>
      <c r="R1831">
        <v>1.199121305</v>
      </c>
      <c r="S1831">
        <v>19425.76514</v>
      </c>
      <c r="T1831">
        <v>329287</v>
      </c>
    </row>
    <row r="1832" spans="1:20">
      <c r="A1832" t="s">
        <v>20</v>
      </c>
      <c r="B1832" t="s">
        <v>693</v>
      </c>
      <c r="C1832">
        <v>301049751</v>
      </c>
      <c r="D1832">
        <v>73239990</v>
      </c>
      <c r="E1832" t="s">
        <v>2504</v>
      </c>
      <c r="N1832">
        <v>16632</v>
      </c>
      <c r="O1832" t="s">
        <v>2748</v>
      </c>
      <c r="P1832">
        <v>244.506173</v>
      </c>
      <c r="Q1832">
        <v>4066626.67</v>
      </c>
      <c r="R1832">
        <v>3.507979527</v>
      </c>
      <c r="S1832">
        <v>58344.71549</v>
      </c>
      <c r="T1832">
        <v>989003.7</v>
      </c>
    </row>
    <row r="1833" spans="1:20">
      <c r="A1833" t="s">
        <v>20</v>
      </c>
      <c r="B1833" t="s">
        <v>694</v>
      </c>
      <c r="C1833">
        <v>301049751</v>
      </c>
      <c r="D1833">
        <v>73239990</v>
      </c>
      <c r="E1833" t="s">
        <v>2522</v>
      </c>
      <c r="N1833">
        <v>42120</v>
      </c>
      <c r="O1833" t="s">
        <v>2748</v>
      </c>
      <c r="P1833">
        <v>81.44147316999999</v>
      </c>
      <c r="Q1833">
        <v>3430314.85</v>
      </c>
      <c r="R1833">
        <v>1.168457291</v>
      </c>
      <c r="S1833">
        <v>49215.42109</v>
      </c>
      <c r="T1833">
        <v>834252.5</v>
      </c>
    </row>
    <row r="1834" spans="1:20">
      <c r="A1834" t="s">
        <v>20</v>
      </c>
      <c r="B1834" t="s">
        <v>694</v>
      </c>
      <c r="C1834">
        <v>301049751</v>
      </c>
      <c r="D1834">
        <v>73239990</v>
      </c>
      <c r="E1834" t="s">
        <v>2523</v>
      </c>
      <c r="N1834">
        <v>15480</v>
      </c>
      <c r="O1834" t="s">
        <v>2748</v>
      </c>
      <c r="P1834">
        <v>90.05202518999999</v>
      </c>
      <c r="Q1834">
        <v>1394005.35</v>
      </c>
      <c r="R1834">
        <v>1.291994623</v>
      </c>
      <c r="S1834">
        <v>20000.07676</v>
      </c>
      <c r="T1834">
        <v>339022.1</v>
      </c>
    </row>
    <row r="1835" spans="1:20">
      <c r="A1835" t="s">
        <v>20</v>
      </c>
      <c r="B1835" t="s">
        <v>694</v>
      </c>
      <c r="C1835">
        <v>301049751</v>
      </c>
      <c r="D1835">
        <v>73239990</v>
      </c>
      <c r="E1835" t="s">
        <v>2524</v>
      </c>
      <c r="N1835">
        <v>7200</v>
      </c>
      <c r="O1835" t="s">
        <v>2748</v>
      </c>
      <c r="P1835">
        <v>98.30380417000001</v>
      </c>
      <c r="Q1835">
        <v>707787.39</v>
      </c>
      <c r="R1835">
        <v>1.410384565</v>
      </c>
      <c r="S1835">
        <v>10154.76887</v>
      </c>
      <c r="T1835">
        <v>172133.9</v>
      </c>
    </row>
    <row r="1836" spans="1:20">
      <c r="A1836" t="s">
        <v>20</v>
      </c>
      <c r="B1836" t="s">
        <v>695</v>
      </c>
      <c r="C1836">
        <v>301049751</v>
      </c>
      <c r="D1836">
        <v>73239990</v>
      </c>
      <c r="E1836" t="s">
        <v>2425</v>
      </c>
      <c r="N1836">
        <v>5184</v>
      </c>
      <c r="O1836" t="s">
        <v>2748</v>
      </c>
      <c r="P1836">
        <v>649.9747492</v>
      </c>
      <c r="Q1836">
        <v>3369469.1</v>
      </c>
      <c r="R1836">
        <v>9.325319214</v>
      </c>
      <c r="S1836">
        <v>48342.45481</v>
      </c>
      <c r="T1836">
        <v>819454.9</v>
      </c>
    </row>
    <row r="1837" spans="1:20">
      <c r="A1837" t="s">
        <v>20</v>
      </c>
      <c r="B1837" t="s">
        <v>696</v>
      </c>
      <c r="C1837">
        <v>301049751</v>
      </c>
      <c r="D1837">
        <v>73239990</v>
      </c>
      <c r="E1837" t="s">
        <v>2425</v>
      </c>
      <c r="N1837">
        <v>5184</v>
      </c>
      <c r="O1837" t="s">
        <v>2748</v>
      </c>
      <c r="P1837">
        <v>644.3803106</v>
      </c>
      <c r="Q1837">
        <v>3340467.53</v>
      </c>
      <c r="R1837">
        <v>9.325330109999999</v>
      </c>
      <c r="S1837">
        <v>48342.51129</v>
      </c>
      <c r="T1837">
        <v>812401.8</v>
      </c>
    </row>
    <row r="1838" spans="1:20">
      <c r="A1838" t="s">
        <v>20</v>
      </c>
      <c r="B1838" t="s">
        <v>697</v>
      </c>
      <c r="C1838">
        <v>301049751</v>
      </c>
      <c r="D1838">
        <v>73239990</v>
      </c>
      <c r="E1838" t="s">
        <v>2525</v>
      </c>
      <c r="N1838">
        <v>27324</v>
      </c>
      <c r="O1838" t="s">
        <v>2748</v>
      </c>
      <c r="P1838">
        <v>89.18133435999999</v>
      </c>
      <c r="Q1838">
        <v>2436790.78</v>
      </c>
      <c r="R1838">
        <v>1.290612654</v>
      </c>
      <c r="S1838">
        <v>35264.70014</v>
      </c>
      <c r="T1838">
        <v>592627.5</v>
      </c>
    </row>
    <row r="1839" spans="1:20">
      <c r="A1839" t="s">
        <v>20</v>
      </c>
      <c r="B1839" t="s">
        <v>697</v>
      </c>
      <c r="C1839">
        <v>301049751</v>
      </c>
      <c r="D1839">
        <v>73239990</v>
      </c>
      <c r="E1839" t="s">
        <v>2526</v>
      </c>
      <c r="N1839">
        <v>11592</v>
      </c>
      <c r="O1839" t="s">
        <v>2748</v>
      </c>
      <c r="P1839">
        <v>51.96774845</v>
      </c>
      <c r="Q1839">
        <v>602410.14</v>
      </c>
      <c r="R1839">
        <v>0.752065824</v>
      </c>
      <c r="S1839">
        <v>8717.947033</v>
      </c>
      <c r="T1839">
        <v>146506.1</v>
      </c>
    </row>
    <row r="1840" spans="1:20">
      <c r="A1840" t="s">
        <v>20</v>
      </c>
      <c r="B1840" t="s">
        <v>697</v>
      </c>
      <c r="C1840">
        <v>301049751</v>
      </c>
      <c r="D1840">
        <v>73239990</v>
      </c>
      <c r="E1840" t="s">
        <v>2527</v>
      </c>
      <c r="N1840">
        <v>19440</v>
      </c>
      <c r="O1840" t="s">
        <v>2748</v>
      </c>
      <c r="P1840">
        <v>36.84985751</v>
      </c>
      <c r="Q1840">
        <v>716361.23</v>
      </c>
      <c r="R1840">
        <v>0.533283032</v>
      </c>
      <c r="S1840">
        <v>10367.02214</v>
      </c>
      <c r="T1840">
        <v>174219</v>
      </c>
    </row>
    <row r="1841" spans="1:20">
      <c r="A1841" t="s">
        <v>20</v>
      </c>
      <c r="B1841" t="s">
        <v>697</v>
      </c>
      <c r="C1841">
        <v>301049751</v>
      </c>
      <c r="D1841">
        <v>73239990</v>
      </c>
      <c r="E1841" t="s">
        <v>2528</v>
      </c>
      <c r="N1841">
        <v>15516</v>
      </c>
      <c r="O1841" t="s">
        <v>2748</v>
      </c>
      <c r="P1841">
        <v>80.65403583</v>
      </c>
      <c r="Q1841">
        <v>1251428.02</v>
      </c>
      <c r="R1841">
        <v>1.167207465</v>
      </c>
      <c r="S1841">
        <v>18110.39103</v>
      </c>
      <c r="T1841">
        <v>304347.3</v>
      </c>
    </row>
    <row r="1842" spans="1:20">
      <c r="A1842" t="s">
        <v>20</v>
      </c>
      <c r="B1842" t="s">
        <v>698</v>
      </c>
      <c r="C1842">
        <v>301049751</v>
      </c>
      <c r="D1842">
        <v>73239990</v>
      </c>
      <c r="E1842" t="s">
        <v>2529</v>
      </c>
      <c r="N1842">
        <v>2556</v>
      </c>
      <c r="O1842" t="s">
        <v>2748</v>
      </c>
      <c r="P1842">
        <v>52.26910407</v>
      </c>
      <c r="Q1842">
        <v>133599.83</v>
      </c>
      <c r="R1842">
        <v>0.756426976</v>
      </c>
      <c r="S1842">
        <v>1933.427352</v>
      </c>
      <c r="T1842">
        <v>32491.5</v>
      </c>
    </row>
    <row r="1843" spans="1:20">
      <c r="A1843" t="s">
        <v>20</v>
      </c>
      <c r="B1843" t="s">
        <v>698</v>
      </c>
      <c r="C1843">
        <v>301049751</v>
      </c>
      <c r="D1843">
        <v>73239990</v>
      </c>
      <c r="E1843" t="s">
        <v>2530</v>
      </c>
      <c r="N1843">
        <v>42000</v>
      </c>
      <c r="O1843" t="s">
        <v>2748</v>
      </c>
      <c r="P1843">
        <v>33.39414929</v>
      </c>
      <c r="Q1843">
        <v>1402554.27</v>
      </c>
      <c r="R1843">
        <v>0.483272783</v>
      </c>
      <c r="S1843">
        <v>20297.45687</v>
      </c>
      <c r="T1843">
        <v>341101.1</v>
      </c>
    </row>
    <row r="1844" spans="1:20">
      <c r="A1844" t="s">
        <v>20</v>
      </c>
      <c r="B1844" t="s">
        <v>699</v>
      </c>
      <c r="C1844">
        <v>301049751</v>
      </c>
      <c r="D1844">
        <v>73239990</v>
      </c>
      <c r="E1844" t="s">
        <v>2531</v>
      </c>
      <c r="N1844">
        <v>17316</v>
      </c>
      <c r="O1844" t="s">
        <v>2748</v>
      </c>
      <c r="P1844">
        <v>87.62716736</v>
      </c>
      <c r="Q1844">
        <v>1517352.03</v>
      </c>
      <c r="R1844">
        <v>1.291483675</v>
      </c>
      <c r="S1844">
        <v>22363.33132</v>
      </c>
      <c r="T1844">
        <v>369020</v>
      </c>
    </row>
    <row r="1845" spans="1:20">
      <c r="A1845" t="s">
        <v>20</v>
      </c>
      <c r="B1845" t="s">
        <v>699</v>
      </c>
      <c r="C1845">
        <v>301049751</v>
      </c>
      <c r="D1845">
        <v>73239990</v>
      </c>
      <c r="E1845" t="s">
        <v>2532</v>
      </c>
      <c r="N1845">
        <v>18000</v>
      </c>
      <c r="O1845" t="s">
        <v>2748</v>
      </c>
      <c r="P1845">
        <v>79.24847389</v>
      </c>
      <c r="Q1845">
        <v>1426472.53</v>
      </c>
      <c r="R1845">
        <v>1.167995194</v>
      </c>
      <c r="S1845">
        <v>21023.91349</v>
      </c>
      <c r="T1845">
        <v>346918.1</v>
      </c>
    </row>
    <row r="1846" spans="1:20">
      <c r="A1846" t="s">
        <v>20</v>
      </c>
      <c r="B1846" t="s">
        <v>699</v>
      </c>
      <c r="C1846">
        <v>301049751</v>
      </c>
      <c r="D1846">
        <v>73239990</v>
      </c>
      <c r="E1846" t="s">
        <v>2533</v>
      </c>
      <c r="N1846">
        <v>6120</v>
      </c>
      <c r="O1846" t="s">
        <v>2748</v>
      </c>
      <c r="P1846">
        <v>94.26029902000001</v>
      </c>
      <c r="Q1846">
        <v>576873.03</v>
      </c>
      <c r="R1846">
        <v>1.38924538</v>
      </c>
      <c r="S1846">
        <v>8502.181724</v>
      </c>
      <c r="T1846">
        <v>140295.5</v>
      </c>
    </row>
    <row r="1847" spans="1:20">
      <c r="A1847" t="s">
        <v>20</v>
      </c>
      <c r="B1847" t="s">
        <v>700</v>
      </c>
      <c r="C1847">
        <v>301049751</v>
      </c>
      <c r="D1847">
        <v>73239990</v>
      </c>
      <c r="E1847" t="s">
        <v>2455</v>
      </c>
      <c r="N1847">
        <v>1232</v>
      </c>
      <c r="O1847" t="s">
        <v>2748</v>
      </c>
      <c r="P1847">
        <v>1033.244058</v>
      </c>
      <c r="Q1847">
        <v>1272956.68</v>
      </c>
      <c r="R1847">
        <v>15.22835753</v>
      </c>
      <c r="S1847">
        <v>18761.33648</v>
      </c>
      <c r="T1847">
        <v>309583.1</v>
      </c>
    </row>
    <row r="1848" spans="1:20">
      <c r="A1848" t="s">
        <v>20</v>
      </c>
      <c r="B1848" t="s">
        <v>700</v>
      </c>
      <c r="C1848">
        <v>301049751</v>
      </c>
      <c r="D1848">
        <v>73239990</v>
      </c>
      <c r="E1848" t="s">
        <v>2388</v>
      </c>
      <c r="N1848">
        <v>6480</v>
      </c>
      <c r="O1848" t="s">
        <v>2748</v>
      </c>
      <c r="P1848">
        <v>629.9657731</v>
      </c>
      <c r="Q1848">
        <v>4082178.21</v>
      </c>
      <c r="R1848">
        <v>9.284683466000001</v>
      </c>
      <c r="S1848">
        <v>60164.74886</v>
      </c>
      <c r="T1848">
        <v>992785.7</v>
      </c>
    </row>
    <row r="1849" spans="1:20">
      <c r="A1849" t="s">
        <v>20</v>
      </c>
      <c r="B1849" t="s">
        <v>701</v>
      </c>
      <c r="C1849">
        <v>301049751</v>
      </c>
      <c r="D1849">
        <v>73239990</v>
      </c>
      <c r="E1849" t="s">
        <v>2534</v>
      </c>
      <c r="N1849">
        <v>2160</v>
      </c>
      <c r="O1849" t="s">
        <v>2748</v>
      </c>
      <c r="P1849">
        <v>38.09446759</v>
      </c>
      <c r="Q1849">
        <v>82284.05</v>
      </c>
      <c r="R1849">
        <v>0.561451254</v>
      </c>
      <c r="S1849">
        <v>1212.734709</v>
      </c>
      <c r="T1849">
        <v>20011.4</v>
      </c>
    </row>
    <row r="1850" spans="1:20">
      <c r="A1850" t="s">
        <v>20</v>
      </c>
      <c r="B1850" t="s">
        <v>702</v>
      </c>
      <c r="C1850">
        <v>301049751</v>
      </c>
      <c r="D1850">
        <v>73239990</v>
      </c>
      <c r="E1850" t="s">
        <v>2535</v>
      </c>
      <c r="N1850">
        <v>47568</v>
      </c>
      <c r="O1850" t="s">
        <v>2748</v>
      </c>
      <c r="P1850">
        <v>41.81176757</v>
      </c>
      <c r="Q1850">
        <v>1988902.16</v>
      </c>
      <c r="R1850">
        <v>0.609057066</v>
      </c>
      <c r="S1850">
        <v>28971.62651</v>
      </c>
      <c r="T1850">
        <v>483701</v>
      </c>
    </row>
    <row r="1851" spans="1:20">
      <c r="A1851" t="s">
        <v>20</v>
      </c>
      <c r="B1851" t="s">
        <v>703</v>
      </c>
      <c r="C1851">
        <v>301049751</v>
      </c>
      <c r="D1851">
        <v>73239990</v>
      </c>
      <c r="E1851" t="s">
        <v>2536</v>
      </c>
      <c r="N1851">
        <v>240</v>
      </c>
      <c r="O1851" t="s">
        <v>2748</v>
      </c>
      <c r="P1851">
        <v>88.16920833</v>
      </c>
      <c r="Q1851">
        <v>21160.61</v>
      </c>
      <c r="R1851">
        <v>1.284329328</v>
      </c>
      <c r="S1851">
        <v>308.2390386</v>
      </c>
      <c r="T1851">
        <v>5146.3</v>
      </c>
    </row>
    <row r="1852" spans="1:20">
      <c r="A1852" t="s">
        <v>20</v>
      </c>
      <c r="B1852" t="s">
        <v>703</v>
      </c>
      <c r="C1852">
        <v>301049751</v>
      </c>
      <c r="D1852">
        <v>73239990</v>
      </c>
      <c r="E1852" t="s">
        <v>2537</v>
      </c>
      <c r="N1852">
        <v>300</v>
      </c>
      <c r="O1852" t="s">
        <v>2748</v>
      </c>
      <c r="P1852">
        <v>67.93363333000001</v>
      </c>
      <c r="Q1852">
        <v>20380.09</v>
      </c>
      <c r="R1852">
        <v>0.989564943</v>
      </c>
      <c r="S1852">
        <v>296.8694829</v>
      </c>
      <c r="T1852">
        <v>4956.4</v>
      </c>
    </row>
    <row r="1853" spans="1:20">
      <c r="A1853" t="s">
        <v>20</v>
      </c>
      <c r="B1853" t="s">
        <v>703</v>
      </c>
      <c r="C1853">
        <v>301049751</v>
      </c>
      <c r="D1853">
        <v>73239990</v>
      </c>
      <c r="E1853" t="s">
        <v>2538</v>
      </c>
      <c r="N1853">
        <v>59040</v>
      </c>
      <c r="O1853" t="s">
        <v>2748</v>
      </c>
      <c r="P1853">
        <v>38.63016277</v>
      </c>
      <c r="Q1853">
        <v>2280724.81</v>
      </c>
      <c r="R1853">
        <v>0.562711767</v>
      </c>
      <c r="S1853">
        <v>33222.50269</v>
      </c>
      <c r="T1853">
        <v>554672.2</v>
      </c>
    </row>
    <row r="1854" spans="1:20">
      <c r="A1854" t="s">
        <v>20</v>
      </c>
      <c r="B1854" t="s">
        <v>703</v>
      </c>
      <c r="C1854">
        <v>301049751</v>
      </c>
      <c r="D1854">
        <v>73239990</v>
      </c>
      <c r="E1854" t="s">
        <v>2539</v>
      </c>
      <c r="N1854">
        <v>21600</v>
      </c>
      <c r="O1854" t="s">
        <v>2748</v>
      </c>
      <c r="P1854">
        <v>88.58100324</v>
      </c>
      <c r="Q1854">
        <v>1913349.67</v>
      </c>
      <c r="R1854">
        <v>1.290327797</v>
      </c>
      <c r="S1854">
        <v>27871.08041</v>
      </c>
      <c r="T1854">
        <v>465326.7</v>
      </c>
    </row>
    <row r="1855" spans="1:20">
      <c r="A1855" t="s">
        <v>20</v>
      </c>
      <c r="B1855" t="s">
        <v>703</v>
      </c>
      <c r="C1855">
        <v>301049751</v>
      </c>
      <c r="D1855">
        <v>73239990</v>
      </c>
      <c r="E1855" t="s">
        <v>2540</v>
      </c>
      <c r="N1855">
        <v>50400</v>
      </c>
      <c r="O1855" t="s">
        <v>2748</v>
      </c>
      <c r="P1855">
        <v>24.08114048</v>
      </c>
      <c r="Q1855">
        <v>1213689.48</v>
      </c>
      <c r="R1855">
        <v>0.350781362</v>
      </c>
      <c r="S1855">
        <v>17679.38063</v>
      </c>
      <c r="T1855">
        <v>295169.2</v>
      </c>
    </row>
    <row r="1856" spans="1:20">
      <c r="A1856" t="s">
        <v>20</v>
      </c>
      <c r="B1856" t="s">
        <v>703</v>
      </c>
      <c r="C1856">
        <v>301049751</v>
      </c>
      <c r="D1856">
        <v>73239990</v>
      </c>
      <c r="E1856" t="s">
        <v>2541</v>
      </c>
      <c r="N1856">
        <v>14400</v>
      </c>
      <c r="O1856" t="s">
        <v>2748</v>
      </c>
      <c r="P1856">
        <v>80.11110625000001</v>
      </c>
      <c r="Q1856">
        <v>1153599.93</v>
      </c>
      <c r="R1856">
        <v>1.166949836</v>
      </c>
      <c r="S1856">
        <v>16804.07764</v>
      </c>
      <c r="T1856">
        <v>280555.5</v>
      </c>
    </row>
    <row r="1857" spans="1:20">
      <c r="A1857" t="s">
        <v>20</v>
      </c>
      <c r="B1857" t="s">
        <v>703</v>
      </c>
      <c r="C1857">
        <v>301049751</v>
      </c>
      <c r="D1857">
        <v>73239990</v>
      </c>
      <c r="E1857" t="s">
        <v>2542</v>
      </c>
      <c r="N1857">
        <v>5796</v>
      </c>
      <c r="O1857" t="s">
        <v>2748</v>
      </c>
      <c r="P1857">
        <v>95.28633885000001</v>
      </c>
      <c r="Q1857">
        <v>552279.62</v>
      </c>
      <c r="R1857">
        <v>1.388002023</v>
      </c>
      <c r="S1857">
        <v>8044.859723</v>
      </c>
      <c r="T1857">
        <v>134314.5</v>
      </c>
    </row>
    <row r="1858" spans="1:20">
      <c r="A1858" t="s">
        <v>20</v>
      </c>
      <c r="B1858" t="s">
        <v>704</v>
      </c>
      <c r="C1858">
        <v>301049751</v>
      </c>
      <c r="D1858">
        <v>73239990</v>
      </c>
      <c r="E1858" t="s">
        <v>2368</v>
      </c>
      <c r="N1858">
        <v>50400</v>
      </c>
      <c r="O1858" t="s">
        <v>2748</v>
      </c>
      <c r="P1858">
        <v>79.48987103</v>
      </c>
      <c r="Q1858">
        <v>4006289.5</v>
      </c>
      <c r="R1858">
        <v>1.157900525</v>
      </c>
      <c r="S1858">
        <v>58358.18645</v>
      </c>
      <c r="T1858">
        <v>974329.7</v>
      </c>
    </row>
    <row r="1859" spans="1:20">
      <c r="A1859" t="s">
        <v>20</v>
      </c>
      <c r="B1859" t="s">
        <v>705</v>
      </c>
      <c r="C1859">
        <v>301049751</v>
      </c>
      <c r="D1859">
        <v>73231000</v>
      </c>
      <c r="E1859" t="s">
        <v>2543</v>
      </c>
      <c r="N1859">
        <v>134400</v>
      </c>
      <c r="O1859" t="s">
        <v>2751</v>
      </c>
      <c r="P1859">
        <v>12.52905074</v>
      </c>
      <c r="Q1859">
        <v>1683904.42</v>
      </c>
      <c r="R1859">
        <v>0.182506202</v>
      </c>
      <c r="S1859">
        <v>24528.8335</v>
      </c>
      <c r="T1859">
        <v>521673.5</v>
      </c>
    </row>
    <row r="1860" spans="1:20">
      <c r="A1860" t="s">
        <v>20</v>
      </c>
      <c r="B1860" t="s">
        <v>705</v>
      </c>
      <c r="C1860">
        <v>301049751</v>
      </c>
      <c r="D1860">
        <v>73239990</v>
      </c>
      <c r="E1860" t="s">
        <v>2455</v>
      </c>
      <c r="N1860">
        <v>2464</v>
      </c>
      <c r="O1860" t="s">
        <v>2748</v>
      </c>
      <c r="P1860">
        <v>1043.942565</v>
      </c>
      <c r="Q1860">
        <v>2572274.48</v>
      </c>
      <c r="R1860">
        <v>15.20673802</v>
      </c>
      <c r="S1860">
        <v>37469.40248</v>
      </c>
      <c r="T1860">
        <v>625577.1</v>
      </c>
    </row>
    <row r="1861" spans="1:20">
      <c r="A1861" t="s">
        <v>20</v>
      </c>
      <c r="B1861" t="s">
        <v>705</v>
      </c>
      <c r="C1861">
        <v>301049751</v>
      </c>
      <c r="D1861">
        <v>73239990</v>
      </c>
      <c r="E1861" t="s">
        <v>2388</v>
      </c>
      <c r="N1861">
        <v>6480</v>
      </c>
      <c r="O1861" t="s">
        <v>2748</v>
      </c>
      <c r="P1861">
        <v>636.4886173</v>
      </c>
      <c r="Q1861">
        <v>4124446.24</v>
      </c>
      <c r="R1861">
        <v>9.271502073000001</v>
      </c>
      <c r="S1861">
        <v>60079.33343</v>
      </c>
      <c r="T1861">
        <v>1003065.3</v>
      </c>
    </row>
    <row r="1862" spans="1:20">
      <c r="A1862" t="s">
        <v>20</v>
      </c>
      <c r="B1862" t="s">
        <v>706</v>
      </c>
      <c r="C1862">
        <v>301049751</v>
      </c>
      <c r="D1862">
        <v>73239990</v>
      </c>
      <c r="E1862" t="s">
        <v>2544</v>
      </c>
      <c r="N1862">
        <v>48000</v>
      </c>
      <c r="O1862" t="s">
        <v>2748</v>
      </c>
      <c r="P1862">
        <v>33.5236775</v>
      </c>
      <c r="Q1862">
        <v>1609136.52</v>
      </c>
      <c r="R1862">
        <v>0.488327422</v>
      </c>
      <c r="S1862">
        <v>23439.71624</v>
      </c>
      <c r="T1862">
        <v>391342.1</v>
      </c>
    </row>
    <row r="1863" spans="1:20">
      <c r="A1863" t="s">
        <v>20</v>
      </c>
      <c r="B1863" t="s">
        <v>706</v>
      </c>
      <c r="C1863">
        <v>301049751</v>
      </c>
      <c r="D1863">
        <v>73239990</v>
      </c>
      <c r="E1863" t="s">
        <v>2545</v>
      </c>
      <c r="N1863">
        <v>9612</v>
      </c>
      <c r="O1863" t="s">
        <v>2748</v>
      </c>
      <c r="P1863">
        <v>95.29614544</v>
      </c>
      <c r="Q1863">
        <v>915986.55</v>
      </c>
      <c r="R1863">
        <v>1.388144872</v>
      </c>
      <c r="S1863">
        <v>13342.84851</v>
      </c>
      <c r="T1863">
        <v>222768</v>
      </c>
    </row>
    <row r="1864" spans="1:20">
      <c r="A1864" t="s">
        <v>20</v>
      </c>
      <c r="B1864" t="s">
        <v>706</v>
      </c>
      <c r="C1864">
        <v>301049751</v>
      </c>
      <c r="D1864">
        <v>73239990</v>
      </c>
      <c r="E1864" t="s">
        <v>2546</v>
      </c>
      <c r="N1864">
        <v>31608</v>
      </c>
      <c r="O1864" t="s">
        <v>2748</v>
      </c>
      <c r="P1864">
        <v>85.97830043</v>
      </c>
      <c r="Q1864">
        <v>2717602.12</v>
      </c>
      <c r="R1864">
        <v>1.252415156</v>
      </c>
      <c r="S1864">
        <v>39586.33824</v>
      </c>
      <c r="T1864">
        <v>660920.8</v>
      </c>
    </row>
    <row r="1865" spans="1:20">
      <c r="A1865" t="s">
        <v>20</v>
      </c>
      <c r="B1865" t="s">
        <v>706</v>
      </c>
      <c r="C1865">
        <v>301049751</v>
      </c>
      <c r="D1865">
        <v>73239990</v>
      </c>
      <c r="E1865" t="s">
        <v>2547</v>
      </c>
      <c r="N1865">
        <v>7200</v>
      </c>
      <c r="O1865" t="s">
        <v>2748</v>
      </c>
      <c r="P1865">
        <v>85.30803056000001</v>
      </c>
      <c r="Q1865">
        <v>614217.8199999999</v>
      </c>
      <c r="R1865">
        <v>1.242651574</v>
      </c>
      <c r="S1865">
        <v>8947.091333</v>
      </c>
      <c r="T1865">
        <v>149377.8</v>
      </c>
    </row>
    <row r="1866" spans="1:20">
      <c r="A1866" t="s">
        <v>20</v>
      </c>
      <c r="B1866" t="s">
        <v>707</v>
      </c>
      <c r="C1866">
        <v>301049751</v>
      </c>
      <c r="D1866">
        <v>73239990</v>
      </c>
      <c r="E1866" t="s">
        <v>2548</v>
      </c>
      <c r="N1866">
        <v>864</v>
      </c>
      <c r="O1866" t="s">
        <v>2748</v>
      </c>
      <c r="P1866">
        <v>40.53390046</v>
      </c>
      <c r="Q1866">
        <v>35021.29</v>
      </c>
      <c r="R1866">
        <v>0.590442833</v>
      </c>
      <c r="S1866">
        <v>510.1426074</v>
      </c>
      <c r="T1866">
        <v>8517.1</v>
      </c>
    </row>
    <row r="1867" spans="1:20">
      <c r="A1867" t="s">
        <v>20</v>
      </c>
      <c r="B1867" t="s">
        <v>708</v>
      </c>
      <c r="C1867">
        <v>301049751</v>
      </c>
      <c r="D1867">
        <v>73239990</v>
      </c>
      <c r="E1867" t="s">
        <v>2375</v>
      </c>
      <c r="N1867">
        <v>27000</v>
      </c>
      <c r="O1867" t="s">
        <v>2748</v>
      </c>
      <c r="P1867">
        <v>113.4410741</v>
      </c>
      <c r="Q1867">
        <v>3062909</v>
      </c>
      <c r="R1867">
        <v>1.680608505</v>
      </c>
      <c r="S1867">
        <v>45376.42963</v>
      </c>
      <c r="T1867">
        <v>744899.5</v>
      </c>
    </row>
    <row r="1868" spans="1:20">
      <c r="A1868" t="s">
        <v>20</v>
      </c>
      <c r="B1868" t="s">
        <v>709</v>
      </c>
      <c r="C1868">
        <v>301049751</v>
      </c>
      <c r="D1868">
        <v>73239990</v>
      </c>
      <c r="E1868" t="s">
        <v>2549</v>
      </c>
      <c r="N1868">
        <v>3696</v>
      </c>
      <c r="O1868" t="s">
        <v>2748</v>
      </c>
      <c r="P1868">
        <v>1027.720135</v>
      </c>
      <c r="Q1868">
        <v>3798453.62</v>
      </c>
      <c r="R1868">
        <v>15.22548349</v>
      </c>
      <c r="S1868">
        <v>56273.38696</v>
      </c>
      <c r="T1868">
        <v>923783.9</v>
      </c>
    </row>
    <row r="1869" spans="1:20">
      <c r="A1869" t="s">
        <v>20</v>
      </c>
      <c r="B1869" t="s">
        <v>709</v>
      </c>
      <c r="C1869">
        <v>301049751</v>
      </c>
      <c r="D1869">
        <v>73239990</v>
      </c>
      <c r="E1869" t="s">
        <v>2550</v>
      </c>
      <c r="N1869">
        <v>7776</v>
      </c>
      <c r="O1869" t="s">
        <v>2748</v>
      </c>
      <c r="P1869">
        <v>626.5977842</v>
      </c>
      <c r="Q1869">
        <v>4872424.37</v>
      </c>
      <c r="R1869">
        <v>9.282930135999999</v>
      </c>
      <c r="S1869">
        <v>72184.06474</v>
      </c>
      <c r="T1869">
        <v>1184973.5</v>
      </c>
    </row>
    <row r="1870" spans="1:20">
      <c r="A1870" t="s">
        <v>20</v>
      </c>
      <c r="B1870" t="s">
        <v>710</v>
      </c>
      <c r="C1870">
        <v>301049751</v>
      </c>
      <c r="D1870">
        <v>73239990</v>
      </c>
      <c r="E1870" t="s">
        <v>2551</v>
      </c>
      <c r="N1870">
        <v>12636</v>
      </c>
      <c r="O1870" t="s">
        <v>2748</v>
      </c>
      <c r="P1870">
        <v>78.62968107</v>
      </c>
      <c r="Q1870">
        <v>993564.65</v>
      </c>
      <c r="R1870">
        <v>1.164884164</v>
      </c>
      <c r="S1870">
        <v>14719.4763</v>
      </c>
      <c r="T1870">
        <v>241634.9</v>
      </c>
    </row>
    <row r="1871" spans="1:20">
      <c r="A1871" t="s">
        <v>20</v>
      </c>
      <c r="B1871" t="s">
        <v>710</v>
      </c>
      <c r="C1871">
        <v>301049751</v>
      </c>
      <c r="D1871">
        <v>73239990</v>
      </c>
      <c r="E1871" t="s">
        <v>2552</v>
      </c>
      <c r="N1871">
        <v>14832</v>
      </c>
      <c r="O1871" t="s">
        <v>2748</v>
      </c>
      <c r="P1871">
        <v>93.52429005</v>
      </c>
      <c r="Q1871">
        <v>1387152.27</v>
      </c>
      <c r="R1871">
        <v>1.385545038</v>
      </c>
      <c r="S1871">
        <v>20550.404</v>
      </c>
      <c r="T1871">
        <v>337355.4</v>
      </c>
    </row>
    <row r="1872" spans="1:20">
      <c r="A1872" t="s">
        <v>20</v>
      </c>
      <c r="B1872" t="s">
        <v>710</v>
      </c>
      <c r="C1872">
        <v>301049751</v>
      </c>
      <c r="D1872">
        <v>73239990</v>
      </c>
      <c r="E1872" t="s">
        <v>2553</v>
      </c>
      <c r="N1872">
        <v>54000</v>
      </c>
      <c r="O1872" t="s">
        <v>2748</v>
      </c>
      <c r="P1872">
        <v>13.41698556</v>
      </c>
      <c r="Q1872">
        <v>724517.22</v>
      </c>
      <c r="R1872">
        <v>0.198770156</v>
      </c>
      <c r="S1872">
        <v>10733.58844</v>
      </c>
      <c r="T1872">
        <v>224455.4</v>
      </c>
    </row>
    <row r="1873" spans="1:20">
      <c r="A1873" t="s">
        <v>20</v>
      </c>
      <c r="B1873" t="s">
        <v>710</v>
      </c>
      <c r="C1873">
        <v>301049751</v>
      </c>
      <c r="D1873">
        <v>73239990</v>
      </c>
      <c r="E1873" t="s">
        <v>2554</v>
      </c>
      <c r="N1873">
        <v>14364</v>
      </c>
      <c r="O1873" t="s">
        <v>2748</v>
      </c>
      <c r="P1873">
        <v>84.37969298</v>
      </c>
      <c r="Q1873">
        <v>1212029.91</v>
      </c>
      <c r="R1873">
        <v>1.250069526</v>
      </c>
      <c r="S1873">
        <v>17955.99867</v>
      </c>
      <c r="T1873">
        <v>294765.7</v>
      </c>
    </row>
    <row r="1874" spans="1:20">
      <c r="A1874" t="s">
        <v>20</v>
      </c>
      <c r="B1874" t="s">
        <v>711</v>
      </c>
      <c r="C1874">
        <v>301049751</v>
      </c>
      <c r="D1874">
        <v>73239990</v>
      </c>
      <c r="E1874" t="s">
        <v>2374</v>
      </c>
      <c r="N1874">
        <v>38204</v>
      </c>
      <c r="O1874" t="s">
        <v>2748</v>
      </c>
      <c r="P1874">
        <v>91.49159879</v>
      </c>
      <c r="Q1874">
        <v>3495345.04</v>
      </c>
      <c r="R1874">
        <v>1.371688138</v>
      </c>
      <c r="S1874">
        <v>52403.97361</v>
      </c>
      <c r="T1874">
        <v>850068</v>
      </c>
    </row>
    <row r="1875" spans="1:20">
      <c r="A1875" t="s">
        <v>20</v>
      </c>
      <c r="B1875" t="s">
        <v>712</v>
      </c>
      <c r="C1875">
        <v>301049751</v>
      </c>
      <c r="D1875">
        <v>73239990</v>
      </c>
      <c r="E1875" t="s">
        <v>2555</v>
      </c>
      <c r="N1875">
        <v>9000</v>
      </c>
      <c r="O1875" t="s">
        <v>2748</v>
      </c>
      <c r="P1875">
        <v>83.24053000000001</v>
      </c>
      <c r="Q1875">
        <v>749164.77</v>
      </c>
      <c r="R1875">
        <v>1.247983958</v>
      </c>
      <c r="S1875">
        <v>11231.85562</v>
      </c>
      <c r="T1875">
        <v>182196.9</v>
      </c>
    </row>
    <row r="1876" spans="1:20">
      <c r="A1876" t="s">
        <v>20</v>
      </c>
      <c r="B1876" t="s">
        <v>712</v>
      </c>
      <c r="C1876">
        <v>301049751</v>
      </c>
      <c r="D1876">
        <v>73239990</v>
      </c>
      <c r="E1876" t="s">
        <v>2396</v>
      </c>
      <c r="N1876">
        <v>4752</v>
      </c>
      <c r="O1876" t="s">
        <v>2746</v>
      </c>
      <c r="P1876">
        <v>172.1453199</v>
      </c>
      <c r="Q1876">
        <v>818034.5600000001</v>
      </c>
      <c r="R1876">
        <v>2.580889353</v>
      </c>
      <c r="S1876">
        <v>12264.38621</v>
      </c>
      <c r="T1876">
        <v>198946</v>
      </c>
    </row>
    <row r="1877" spans="1:20">
      <c r="A1877" t="s">
        <v>20</v>
      </c>
      <c r="B1877" t="s">
        <v>712</v>
      </c>
      <c r="C1877">
        <v>301049751</v>
      </c>
      <c r="D1877">
        <v>73239990</v>
      </c>
      <c r="E1877" t="s">
        <v>2397</v>
      </c>
      <c r="N1877">
        <v>4004</v>
      </c>
      <c r="O1877" t="s">
        <v>2746</v>
      </c>
      <c r="P1877">
        <v>311.7942333</v>
      </c>
      <c r="Q1877">
        <v>1248424.11</v>
      </c>
      <c r="R1877">
        <v>4.674576211</v>
      </c>
      <c r="S1877">
        <v>18717.00315</v>
      </c>
      <c r="T1877">
        <v>303616.7</v>
      </c>
    </row>
    <row r="1878" spans="1:20">
      <c r="A1878" t="s">
        <v>20</v>
      </c>
      <c r="B1878" t="s">
        <v>713</v>
      </c>
      <c r="C1878">
        <v>301049751</v>
      </c>
      <c r="D1878">
        <v>73239990</v>
      </c>
      <c r="E1878" t="s">
        <v>2556</v>
      </c>
      <c r="N1878">
        <v>12360</v>
      </c>
      <c r="O1878" t="s">
        <v>2748</v>
      </c>
      <c r="P1878">
        <v>165.4495696</v>
      </c>
      <c r="Q1878">
        <v>2044956.68</v>
      </c>
      <c r="R1878">
        <v>2.480503292</v>
      </c>
      <c r="S1878">
        <v>30659.02069</v>
      </c>
      <c r="T1878">
        <v>497333.5</v>
      </c>
    </row>
    <row r="1879" spans="1:20">
      <c r="A1879" t="s">
        <v>20</v>
      </c>
      <c r="B1879" t="s">
        <v>713</v>
      </c>
      <c r="C1879">
        <v>301049751</v>
      </c>
      <c r="D1879">
        <v>73239990</v>
      </c>
      <c r="E1879" t="s">
        <v>2557</v>
      </c>
      <c r="N1879">
        <v>36000</v>
      </c>
      <c r="O1879" t="s">
        <v>2748</v>
      </c>
      <c r="P1879">
        <v>53.60297028</v>
      </c>
      <c r="Q1879">
        <v>1929706.93</v>
      </c>
      <c r="R1879">
        <v>0.803642733</v>
      </c>
      <c r="S1879">
        <v>28931.13838</v>
      </c>
      <c r="T1879">
        <v>469304.8</v>
      </c>
    </row>
    <row r="1880" spans="1:20">
      <c r="A1880" t="s">
        <v>20</v>
      </c>
      <c r="B1880" t="s">
        <v>713</v>
      </c>
      <c r="C1880">
        <v>301049751</v>
      </c>
      <c r="D1880">
        <v>73239990</v>
      </c>
      <c r="E1880" t="s">
        <v>2558</v>
      </c>
      <c r="N1880">
        <v>1392</v>
      </c>
      <c r="O1880" t="s">
        <v>2748</v>
      </c>
      <c r="P1880">
        <v>40.35355603</v>
      </c>
      <c r="Q1880">
        <v>56172.15</v>
      </c>
      <c r="R1880">
        <v>0.60500084</v>
      </c>
      <c r="S1880">
        <v>842.1611693999999</v>
      </c>
      <c r="T1880">
        <v>13661</v>
      </c>
    </row>
    <row r="1881" spans="1:20">
      <c r="A1881" t="s">
        <v>20</v>
      </c>
      <c r="B1881" t="s">
        <v>714</v>
      </c>
      <c r="C1881">
        <v>301049751</v>
      </c>
      <c r="D1881">
        <v>73239990</v>
      </c>
      <c r="E1881" t="s">
        <v>2559</v>
      </c>
      <c r="N1881">
        <v>5904</v>
      </c>
      <c r="O1881" t="s">
        <v>2748</v>
      </c>
      <c r="P1881">
        <v>83.48713753</v>
      </c>
      <c r="Q1881">
        <v>492908.06</v>
      </c>
      <c r="R1881">
        <v>1.251681222</v>
      </c>
      <c r="S1881">
        <v>7389.925937</v>
      </c>
      <c r="T1881">
        <v>119875.3</v>
      </c>
    </row>
    <row r="1882" spans="1:20">
      <c r="A1882" t="s">
        <v>20</v>
      </c>
      <c r="B1882" t="s">
        <v>714</v>
      </c>
      <c r="C1882">
        <v>301049751</v>
      </c>
      <c r="D1882">
        <v>73239990</v>
      </c>
      <c r="E1882" t="s">
        <v>2560</v>
      </c>
      <c r="N1882">
        <v>34992</v>
      </c>
      <c r="O1882" t="s">
        <v>2748</v>
      </c>
      <c r="P1882">
        <v>76.57785665</v>
      </c>
      <c r="Q1882">
        <v>2679612.36</v>
      </c>
      <c r="R1882">
        <v>1.148093803</v>
      </c>
      <c r="S1882">
        <v>40174.09835</v>
      </c>
      <c r="T1882">
        <v>651681.7</v>
      </c>
    </row>
    <row r="1883" spans="1:20">
      <c r="A1883" t="s">
        <v>20</v>
      </c>
      <c r="B1883" t="s">
        <v>715</v>
      </c>
      <c r="C1883">
        <v>301049751</v>
      </c>
      <c r="D1883">
        <v>73239990</v>
      </c>
      <c r="E1883" t="s">
        <v>2561</v>
      </c>
      <c r="N1883">
        <v>3576</v>
      </c>
      <c r="O1883" t="s">
        <v>2748</v>
      </c>
      <c r="P1883">
        <v>87.30247204</v>
      </c>
      <c r="Q1883">
        <v>312193.64</v>
      </c>
      <c r="R1883">
        <v>1.324771958</v>
      </c>
      <c r="S1883">
        <v>4737.384522</v>
      </c>
      <c r="T1883">
        <v>75925.5</v>
      </c>
    </row>
    <row r="1884" spans="1:20">
      <c r="A1884" t="s">
        <v>20</v>
      </c>
      <c r="B1884" t="s">
        <v>715</v>
      </c>
      <c r="C1884">
        <v>301049751</v>
      </c>
      <c r="D1884">
        <v>73239990</v>
      </c>
      <c r="E1884" t="s">
        <v>2562</v>
      </c>
      <c r="N1884">
        <v>10812</v>
      </c>
      <c r="O1884" t="s">
        <v>2748</v>
      </c>
      <c r="P1884">
        <v>163.9420459</v>
      </c>
      <c r="Q1884">
        <v>1772541.4</v>
      </c>
      <c r="R1884">
        <v>2.487739695</v>
      </c>
      <c r="S1884">
        <v>26897.44158</v>
      </c>
      <c r="T1884">
        <v>431082</v>
      </c>
    </row>
    <row r="1885" spans="1:20">
      <c r="A1885" t="s">
        <v>20</v>
      </c>
      <c r="B1885" t="s">
        <v>715</v>
      </c>
      <c r="C1885">
        <v>301049751</v>
      </c>
      <c r="D1885">
        <v>73239990</v>
      </c>
      <c r="E1885" t="s">
        <v>2563</v>
      </c>
      <c r="N1885">
        <v>12300</v>
      </c>
      <c r="O1885" t="s">
        <v>2748</v>
      </c>
      <c r="P1885">
        <v>149.2805626</v>
      </c>
      <c r="Q1885">
        <v>1836150.92</v>
      </c>
      <c r="R1885">
        <v>2.265258917</v>
      </c>
      <c r="S1885">
        <v>27862.68467</v>
      </c>
      <c r="T1885">
        <v>446551.9</v>
      </c>
    </row>
    <row r="1886" spans="1:20">
      <c r="A1886" t="s">
        <v>20</v>
      </c>
      <c r="B1886" t="s">
        <v>715</v>
      </c>
      <c r="C1886">
        <v>301049751</v>
      </c>
      <c r="D1886">
        <v>73239990</v>
      </c>
      <c r="E1886" t="s">
        <v>2564</v>
      </c>
      <c r="N1886">
        <v>16632</v>
      </c>
      <c r="O1886" t="s">
        <v>2748</v>
      </c>
      <c r="P1886">
        <v>221.9215506</v>
      </c>
      <c r="Q1886">
        <v>3690999.23</v>
      </c>
      <c r="R1886">
        <v>3.367550085</v>
      </c>
      <c r="S1886">
        <v>56009.09302</v>
      </c>
      <c r="T1886">
        <v>897651</v>
      </c>
    </row>
    <row r="1887" spans="1:20">
      <c r="A1887" t="s">
        <v>20</v>
      </c>
      <c r="B1887" t="s">
        <v>715</v>
      </c>
      <c r="C1887">
        <v>301049751</v>
      </c>
      <c r="D1887">
        <v>73239990</v>
      </c>
      <c r="E1887" t="s">
        <v>2565</v>
      </c>
      <c r="N1887">
        <v>35328</v>
      </c>
      <c r="O1887" t="s">
        <v>2748</v>
      </c>
      <c r="P1887">
        <v>53.11455729</v>
      </c>
      <c r="Q1887">
        <v>1876431.08</v>
      </c>
      <c r="R1887">
        <v>0.805987212</v>
      </c>
      <c r="S1887">
        <v>28473.91624</v>
      </c>
      <c r="T1887">
        <v>456348</v>
      </c>
    </row>
    <row r="1888" spans="1:20">
      <c r="A1888" t="s">
        <v>20</v>
      </c>
      <c r="B1888" t="s">
        <v>715</v>
      </c>
      <c r="C1888">
        <v>301049751</v>
      </c>
      <c r="D1888">
        <v>73239990</v>
      </c>
      <c r="E1888" t="s">
        <v>2566</v>
      </c>
      <c r="N1888">
        <v>2640</v>
      </c>
      <c r="O1888" t="s">
        <v>2748</v>
      </c>
      <c r="P1888">
        <v>39.98586364</v>
      </c>
      <c r="Q1888">
        <v>105562.68</v>
      </c>
      <c r="R1888">
        <v>0.606765761</v>
      </c>
      <c r="S1888">
        <v>1601.861608</v>
      </c>
      <c r="T1888">
        <v>25672.9</v>
      </c>
    </row>
    <row r="1889" spans="1:20">
      <c r="A1889" t="s">
        <v>20</v>
      </c>
      <c r="B1889" t="s">
        <v>716</v>
      </c>
      <c r="C1889">
        <v>301049751</v>
      </c>
      <c r="D1889">
        <v>73239990</v>
      </c>
      <c r="E1889" t="s">
        <v>2567</v>
      </c>
      <c r="N1889">
        <v>3600</v>
      </c>
      <c r="O1889" t="s">
        <v>2748</v>
      </c>
      <c r="P1889">
        <v>834.158</v>
      </c>
      <c r="Q1889">
        <v>3002968.8</v>
      </c>
      <c r="R1889">
        <v>12.65793627</v>
      </c>
      <c r="S1889">
        <v>45568.57056</v>
      </c>
      <c r="T1889">
        <v>730322</v>
      </c>
    </row>
    <row r="1890" spans="1:20">
      <c r="A1890" t="s">
        <v>20</v>
      </c>
      <c r="B1890" t="s">
        <v>717</v>
      </c>
      <c r="C1890">
        <v>301049751</v>
      </c>
      <c r="D1890">
        <v>73239990</v>
      </c>
      <c r="E1890" t="s">
        <v>2568</v>
      </c>
      <c r="N1890">
        <v>1800</v>
      </c>
      <c r="O1890" t="s">
        <v>2748</v>
      </c>
      <c r="P1890">
        <v>834.1043889</v>
      </c>
      <c r="Q1890">
        <v>1501387.9</v>
      </c>
      <c r="R1890">
        <v>12.65712274</v>
      </c>
      <c r="S1890">
        <v>22782.82094</v>
      </c>
      <c r="T1890">
        <v>365137.6</v>
      </c>
    </row>
    <row r="1891" spans="1:20">
      <c r="A1891" t="s">
        <v>20</v>
      </c>
      <c r="B1891" t="s">
        <v>718</v>
      </c>
      <c r="C1891">
        <v>301049751</v>
      </c>
      <c r="D1891">
        <v>73239990</v>
      </c>
      <c r="E1891" t="s">
        <v>2569</v>
      </c>
      <c r="N1891">
        <v>13680</v>
      </c>
      <c r="O1891" t="s">
        <v>2748</v>
      </c>
      <c r="P1891">
        <v>82.65892836</v>
      </c>
      <c r="Q1891">
        <v>1130774.14</v>
      </c>
      <c r="R1891">
        <v>1.254308473</v>
      </c>
      <c r="S1891">
        <v>17158.93991</v>
      </c>
      <c r="T1891">
        <v>275004.2</v>
      </c>
    </row>
    <row r="1892" spans="1:20">
      <c r="A1892" t="s">
        <v>20</v>
      </c>
      <c r="B1892" t="s">
        <v>718</v>
      </c>
      <c r="C1892">
        <v>301049751</v>
      </c>
      <c r="D1892">
        <v>73239990</v>
      </c>
      <c r="E1892" t="s">
        <v>2570</v>
      </c>
      <c r="N1892">
        <v>12960</v>
      </c>
      <c r="O1892" t="s">
        <v>2748</v>
      </c>
      <c r="P1892">
        <v>74.99024306</v>
      </c>
      <c r="Q1892">
        <v>971873.55</v>
      </c>
      <c r="R1892">
        <v>1.137939955</v>
      </c>
      <c r="S1892">
        <v>14747.70182</v>
      </c>
      <c r="T1892">
        <v>236359.7</v>
      </c>
    </row>
    <row r="1893" spans="1:20">
      <c r="A1893" t="s">
        <v>20</v>
      </c>
      <c r="B1893" t="s">
        <v>719</v>
      </c>
      <c r="C1893">
        <v>301049751</v>
      </c>
      <c r="D1893">
        <v>73239990</v>
      </c>
      <c r="E1893" t="s">
        <v>2571</v>
      </c>
      <c r="N1893">
        <v>39960</v>
      </c>
      <c r="O1893" t="s">
        <v>2748</v>
      </c>
      <c r="P1893">
        <v>23.56984184</v>
      </c>
      <c r="Q1893">
        <v>941850.88</v>
      </c>
      <c r="R1893">
        <v>0.358204283</v>
      </c>
      <c r="S1893">
        <v>14313.84316</v>
      </c>
      <c r="T1893">
        <v>229058.1</v>
      </c>
    </row>
    <row r="1894" spans="1:20">
      <c r="A1894" t="s">
        <v>20</v>
      </c>
      <c r="B1894" t="s">
        <v>719</v>
      </c>
      <c r="C1894">
        <v>301049751</v>
      </c>
      <c r="D1894">
        <v>73239990</v>
      </c>
      <c r="E1894" t="s">
        <v>2572</v>
      </c>
      <c r="N1894">
        <v>24000</v>
      </c>
      <c r="O1894" t="s">
        <v>2748</v>
      </c>
      <c r="P1894">
        <v>32.63516583</v>
      </c>
      <c r="Q1894">
        <v>783243.98</v>
      </c>
      <c r="R1894">
        <v>0.495975165</v>
      </c>
      <c r="S1894">
        <v>11903.40395</v>
      </c>
      <c r="T1894">
        <v>190484.9</v>
      </c>
    </row>
    <row r="1895" spans="1:20">
      <c r="A1895" t="s">
        <v>20</v>
      </c>
      <c r="B1895" t="s">
        <v>720</v>
      </c>
      <c r="C1895">
        <v>301049751</v>
      </c>
      <c r="D1895">
        <v>73239990</v>
      </c>
      <c r="E1895" t="s">
        <v>2573</v>
      </c>
      <c r="N1895">
        <v>10701</v>
      </c>
      <c r="O1895" t="s">
        <v>2746</v>
      </c>
      <c r="P1895">
        <v>140.104208</v>
      </c>
      <c r="Q1895">
        <v>1499255.13</v>
      </c>
      <c r="R1895">
        <v>2.129243283</v>
      </c>
      <c r="S1895">
        <v>22785.03237</v>
      </c>
      <c r="T1895">
        <v>364618.9</v>
      </c>
    </row>
    <row r="1896" spans="1:20">
      <c r="A1896" t="s">
        <v>20</v>
      </c>
      <c r="B1896" t="s">
        <v>721</v>
      </c>
      <c r="C1896">
        <v>301049751</v>
      </c>
      <c r="D1896">
        <v>73239990</v>
      </c>
      <c r="E1896" t="s">
        <v>2368</v>
      </c>
      <c r="N1896">
        <v>50400</v>
      </c>
      <c r="O1896" t="s">
        <v>2748</v>
      </c>
      <c r="P1896">
        <v>76.68434524</v>
      </c>
      <c r="Q1896">
        <v>3864891</v>
      </c>
      <c r="R1896">
        <v>1.160126252</v>
      </c>
      <c r="S1896">
        <v>58470.36309</v>
      </c>
      <c r="T1896">
        <v>939941.5</v>
      </c>
    </row>
    <row r="1897" spans="1:20">
      <c r="A1897" t="s">
        <v>20</v>
      </c>
      <c r="B1897" t="s">
        <v>722</v>
      </c>
      <c r="C1897">
        <v>301049751</v>
      </c>
      <c r="D1897">
        <v>73239990</v>
      </c>
      <c r="E1897" t="s">
        <v>2574</v>
      </c>
      <c r="N1897">
        <v>39960</v>
      </c>
      <c r="O1897" t="s">
        <v>2748</v>
      </c>
      <c r="P1897">
        <v>23.18727978</v>
      </c>
      <c r="Q1897">
        <v>926563.7</v>
      </c>
      <c r="R1897">
        <v>0.357552502</v>
      </c>
      <c r="S1897">
        <v>14287.798</v>
      </c>
      <c r="T1897">
        <v>225340.3</v>
      </c>
    </row>
    <row r="1898" spans="1:20">
      <c r="A1898" t="s">
        <v>20</v>
      </c>
      <c r="B1898" t="s">
        <v>723</v>
      </c>
      <c r="C1898">
        <v>301049751</v>
      </c>
      <c r="D1898">
        <v>73239990</v>
      </c>
      <c r="E1898" t="s">
        <v>2575</v>
      </c>
      <c r="N1898">
        <v>2376</v>
      </c>
      <c r="O1898" t="s">
        <v>2748</v>
      </c>
      <c r="P1898">
        <v>74.22217172000001</v>
      </c>
      <c r="Q1898">
        <v>176351.88</v>
      </c>
      <c r="R1898">
        <v>1.144520767</v>
      </c>
      <c r="S1898">
        <v>2719.381342</v>
      </c>
      <c r="T1898">
        <v>42888.8</v>
      </c>
    </row>
    <row r="1899" spans="1:20">
      <c r="A1899" t="s">
        <v>20</v>
      </c>
      <c r="B1899" t="s">
        <v>723</v>
      </c>
      <c r="C1899">
        <v>301049751</v>
      </c>
      <c r="D1899">
        <v>73239990</v>
      </c>
      <c r="E1899" t="s">
        <v>2576</v>
      </c>
      <c r="N1899">
        <v>36000</v>
      </c>
      <c r="O1899" t="s">
        <v>2748</v>
      </c>
      <c r="P1899">
        <v>31.21482611</v>
      </c>
      <c r="Q1899">
        <v>1123733.74</v>
      </c>
      <c r="R1899">
        <v>0.481338876</v>
      </c>
      <c r="S1899">
        <v>17328.19954</v>
      </c>
      <c r="T1899">
        <v>273292</v>
      </c>
    </row>
    <row r="1900" spans="1:20">
      <c r="A1900" t="s">
        <v>20</v>
      </c>
      <c r="B1900" t="s">
        <v>723</v>
      </c>
      <c r="C1900">
        <v>301049751</v>
      </c>
      <c r="D1900">
        <v>73239990</v>
      </c>
      <c r="E1900" t="s">
        <v>2577</v>
      </c>
      <c r="N1900">
        <v>60000</v>
      </c>
      <c r="O1900" t="s">
        <v>2748</v>
      </c>
      <c r="P1900">
        <v>36.71719483</v>
      </c>
      <c r="Q1900">
        <v>2203031.69</v>
      </c>
      <c r="R1900">
        <v>0.566186505</v>
      </c>
      <c r="S1900">
        <v>33971.19029</v>
      </c>
      <c r="T1900">
        <v>535777.3</v>
      </c>
    </row>
    <row r="1901" spans="1:20">
      <c r="A1901" t="s">
        <v>20</v>
      </c>
      <c r="B1901" t="s">
        <v>723</v>
      </c>
      <c r="C1901">
        <v>301049751</v>
      </c>
      <c r="D1901">
        <v>73239990</v>
      </c>
      <c r="E1901" t="s">
        <v>2578</v>
      </c>
      <c r="N1901">
        <v>10080</v>
      </c>
      <c r="O1901" t="s">
        <v>2748</v>
      </c>
      <c r="P1901">
        <v>90.67867063</v>
      </c>
      <c r="Q1901">
        <v>914041</v>
      </c>
      <c r="R1901">
        <v>1.398283279</v>
      </c>
      <c r="S1901">
        <v>14094.69545</v>
      </c>
      <c r="T1901">
        <v>222294.8</v>
      </c>
    </row>
    <row r="1902" spans="1:20">
      <c r="A1902" t="s">
        <v>20</v>
      </c>
      <c r="B1902" t="s">
        <v>723</v>
      </c>
      <c r="C1902">
        <v>301049751</v>
      </c>
      <c r="D1902">
        <v>73239990</v>
      </c>
      <c r="E1902" t="s">
        <v>2579</v>
      </c>
      <c r="N1902">
        <v>12528</v>
      </c>
      <c r="O1902" t="s">
        <v>2748</v>
      </c>
      <c r="P1902">
        <v>81.81231162</v>
      </c>
      <c r="Q1902">
        <v>1024944.64</v>
      </c>
      <c r="R1902">
        <v>1.261562246</v>
      </c>
      <c r="S1902">
        <v>15804.85181</v>
      </c>
      <c r="T1902">
        <v>249266.5</v>
      </c>
    </row>
    <row r="1903" spans="1:20">
      <c r="A1903" t="s">
        <v>20</v>
      </c>
      <c r="B1903" t="s">
        <v>723</v>
      </c>
      <c r="C1903">
        <v>301049751</v>
      </c>
      <c r="D1903">
        <v>73239990</v>
      </c>
      <c r="E1903" t="s">
        <v>2580</v>
      </c>
      <c r="N1903">
        <v>17604</v>
      </c>
      <c r="O1903" t="s">
        <v>2748</v>
      </c>
      <c r="P1903">
        <v>74.21958986999999</v>
      </c>
      <c r="Q1903">
        <v>1306561.66</v>
      </c>
      <c r="R1903">
        <v>1.144480954</v>
      </c>
      <c r="S1903">
        <v>20147.44271</v>
      </c>
      <c r="T1903">
        <v>317755.8</v>
      </c>
    </row>
    <row r="1904" spans="1:20">
      <c r="A1904" t="s">
        <v>20</v>
      </c>
      <c r="B1904" t="s">
        <v>723</v>
      </c>
      <c r="C1904">
        <v>301049751</v>
      </c>
      <c r="D1904">
        <v>73239990</v>
      </c>
      <c r="E1904" t="s">
        <v>2581</v>
      </c>
      <c r="N1904">
        <v>1000</v>
      </c>
      <c r="O1904" t="s">
        <v>2751</v>
      </c>
      <c r="P1904">
        <v>40.04278</v>
      </c>
      <c r="Q1904">
        <v>40042.78</v>
      </c>
      <c r="R1904">
        <v>0.617467695</v>
      </c>
      <c r="S1904">
        <v>617.4676947</v>
      </c>
      <c r="T1904">
        <v>9738.4</v>
      </c>
    </row>
    <row r="1905" spans="1:20">
      <c r="A1905" t="s">
        <v>20</v>
      </c>
      <c r="B1905" t="s">
        <v>723</v>
      </c>
      <c r="C1905">
        <v>301049751</v>
      </c>
      <c r="D1905">
        <v>73239990</v>
      </c>
      <c r="E1905" t="s">
        <v>2582</v>
      </c>
      <c r="N1905">
        <v>11916</v>
      </c>
      <c r="O1905" t="s">
        <v>2748</v>
      </c>
      <c r="P1905">
        <v>81.80946710000001</v>
      </c>
      <c r="Q1905">
        <v>974841.61</v>
      </c>
      <c r="R1905">
        <v>1.261518382</v>
      </c>
      <c r="S1905">
        <v>15032.25305</v>
      </c>
      <c r="T1905">
        <v>237081.5</v>
      </c>
    </row>
    <row r="1906" spans="1:20">
      <c r="A1906" t="s">
        <v>20</v>
      </c>
      <c r="B1906" t="s">
        <v>724</v>
      </c>
      <c r="C1906">
        <v>301049751</v>
      </c>
      <c r="D1906">
        <v>73239990</v>
      </c>
      <c r="E1906" t="s">
        <v>2583</v>
      </c>
      <c r="N1906">
        <v>16596</v>
      </c>
      <c r="O1906" t="s">
        <v>2748</v>
      </c>
      <c r="P1906">
        <v>74.20633827</v>
      </c>
      <c r="Q1906">
        <v>1231528.39</v>
      </c>
      <c r="R1906">
        <v>1.144276612</v>
      </c>
      <c r="S1906">
        <v>18990.41465</v>
      </c>
      <c r="T1906">
        <v>299507.7</v>
      </c>
    </row>
    <row r="1907" spans="1:20">
      <c r="A1907" t="s">
        <v>20</v>
      </c>
      <c r="B1907" t="s">
        <v>725</v>
      </c>
      <c r="C1907">
        <v>301049751</v>
      </c>
      <c r="D1907">
        <v>73231000</v>
      </c>
      <c r="E1907" t="s">
        <v>2584</v>
      </c>
      <c r="N1907">
        <v>318384</v>
      </c>
      <c r="O1907" t="s">
        <v>2748</v>
      </c>
      <c r="P1907">
        <v>4.964384517</v>
      </c>
      <c r="Q1907">
        <v>1580580.6</v>
      </c>
      <c r="R1907">
        <v>0.076967202</v>
      </c>
      <c r="S1907">
        <v>24505.12558</v>
      </c>
      <c r="T1907">
        <v>489663.9</v>
      </c>
    </row>
    <row r="1908" spans="1:20">
      <c r="A1908" t="s">
        <v>20</v>
      </c>
      <c r="B1908" t="s">
        <v>726</v>
      </c>
      <c r="C1908">
        <v>301049751</v>
      </c>
      <c r="D1908">
        <v>73239990</v>
      </c>
      <c r="E1908" t="s">
        <v>2585</v>
      </c>
      <c r="N1908">
        <v>1206</v>
      </c>
      <c r="O1908" t="s">
        <v>2748</v>
      </c>
      <c r="P1908">
        <v>610.9728939</v>
      </c>
      <c r="Q1908">
        <v>736833.3100000001</v>
      </c>
      <c r="R1908">
        <v>9.472447967000001</v>
      </c>
      <c r="S1908">
        <v>11423.77225</v>
      </c>
      <c r="T1908">
        <v>179197.8</v>
      </c>
    </row>
    <row r="1909" spans="1:20">
      <c r="A1909" t="s">
        <v>20</v>
      </c>
      <c r="B1909" t="s">
        <v>726</v>
      </c>
      <c r="C1909">
        <v>301049751</v>
      </c>
      <c r="D1909">
        <v>73239990</v>
      </c>
      <c r="E1909" t="s">
        <v>2586</v>
      </c>
      <c r="N1909">
        <v>14712</v>
      </c>
      <c r="O1909" t="s">
        <v>2748</v>
      </c>
      <c r="P1909">
        <v>85.58171629</v>
      </c>
      <c r="Q1909">
        <v>1259078.21</v>
      </c>
      <c r="R1909">
        <v>1.326848315</v>
      </c>
      <c r="S1909">
        <v>19520.5924</v>
      </c>
      <c r="T1909">
        <v>306207.8</v>
      </c>
    </row>
    <row r="1910" spans="1:20">
      <c r="A1910" t="s">
        <v>20</v>
      </c>
      <c r="B1910" t="s">
        <v>726</v>
      </c>
      <c r="C1910">
        <v>301049751</v>
      </c>
      <c r="D1910">
        <v>73239990</v>
      </c>
      <c r="E1910" t="s">
        <v>2587</v>
      </c>
      <c r="N1910">
        <v>13680</v>
      </c>
      <c r="O1910" t="s">
        <v>2748</v>
      </c>
      <c r="P1910">
        <v>107.14047</v>
      </c>
      <c r="Q1910">
        <v>1465681.63</v>
      </c>
      <c r="R1910">
        <v>1.661092559</v>
      </c>
      <c r="S1910">
        <v>22723.7462</v>
      </c>
      <c r="T1910">
        <v>356453.8</v>
      </c>
    </row>
    <row r="1911" spans="1:20">
      <c r="A1911" t="s">
        <v>20</v>
      </c>
      <c r="B1911" t="s">
        <v>727</v>
      </c>
      <c r="C1911">
        <v>301049751</v>
      </c>
      <c r="D1911">
        <v>73239990</v>
      </c>
      <c r="E1911" t="s">
        <v>2588</v>
      </c>
      <c r="N1911">
        <v>16632</v>
      </c>
      <c r="O1911" t="s">
        <v>2748</v>
      </c>
      <c r="P1911">
        <v>217.5061243</v>
      </c>
      <c r="Q1911">
        <v>3617561.86</v>
      </c>
      <c r="R1911">
        <v>3.372187974</v>
      </c>
      <c r="S1911">
        <v>56086.23039</v>
      </c>
      <c r="T1911">
        <v>879791</v>
      </c>
    </row>
    <row r="1912" spans="1:20">
      <c r="A1912" t="s">
        <v>20</v>
      </c>
      <c r="B1912" t="s">
        <v>727</v>
      </c>
      <c r="C1912">
        <v>301049751</v>
      </c>
      <c r="D1912">
        <v>73239990</v>
      </c>
      <c r="E1912" t="s">
        <v>2589</v>
      </c>
      <c r="N1912">
        <v>912</v>
      </c>
      <c r="O1912" t="s">
        <v>2748</v>
      </c>
      <c r="P1912">
        <v>85.56547148999999</v>
      </c>
      <c r="Q1912">
        <v>78035.71000000001</v>
      </c>
      <c r="R1912">
        <v>1.326596457</v>
      </c>
      <c r="S1912">
        <v>1209.855969</v>
      </c>
      <c r="T1912">
        <v>18978.4</v>
      </c>
    </row>
    <row r="1913" spans="1:20">
      <c r="A1913" t="s">
        <v>20</v>
      </c>
      <c r="B1913" t="s">
        <v>727</v>
      </c>
      <c r="C1913">
        <v>301049751</v>
      </c>
      <c r="D1913">
        <v>73239990</v>
      </c>
      <c r="E1913" t="s">
        <v>2590</v>
      </c>
      <c r="N1913">
        <v>12300</v>
      </c>
      <c r="O1913" t="s">
        <v>2748</v>
      </c>
      <c r="P1913">
        <v>146.310426</v>
      </c>
      <c r="Q1913">
        <v>1799618.24</v>
      </c>
      <c r="R1913">
        <v>2.268378698</v>
      </c>
      <c r="S1913">
        <v>27901.05798</v>
      </c>
      <c r="T1913">
        <v>437667.2</v>
      </c>
    </row>
    <row r="1914" spans="1:20">
      <c r="A1914" t="s">
        <v>20</v>
      </c>
      <c r="B1914" t="s">
        <v>727</v>
      </c>
      <c r="C1914">
        <v>301049751</v>
      </c>
      <c r="D1914">
        <v>73239990</v>
      </c>
      <c r="E1914" t="s">
        <v>2591</v>
      </c>
      <c r="N1914">
        <v>10800</v>
      </c>
      <c r="O1914" t="s">
        <v>2748</v>
      </c>
      <c r="P1914">
        <v>160.6802</v>
      </c>
      <c r="Q1914">
        <v>1735346.16</v>
      </c>
      <c r="R1914">
        <v>2.491165891</v>
      </c>
      <c r="S1914">
        <v>26904.59163</v>
      </c>
      <c r="T1914">
        <v>422036.2</v>
      </c>
    </row>
    <row r="1915" spans="1:20">
      <c r="A1915" t="s">
        <v>20</v>
      </c>
      <c r="B1915" t="s">
        <v>728</v>
      </c>
      <c r="C1915">
        <v>301049751</v>
      </c>
      <c r="D1915">
        <v>73239990</v>
      </c>
      <c r="E1915" t="s">
        <v>2592</v>
      </c>
      <c r="N1915">
        <v>29952</v>
      </c>
      <c r="O1915" t="s">
        <v>2751</v>
      </c>
      <c r="P1915">
        <v>39.15467882</v>
      </c>
      <c r="Q1915">
        <v>1172760.94</v>
      </c>
      <c r="R1915">
        <v>0.6042388707</v>
      </c>
      <c r="S1915">
        <v>18098.16265</v>
      </c>
      <c r="T1915">
        <v>276021</v>
      </c>
    </row>
    <row r="1916" spans="1:20">
      <c r="A1916" t="s">
        <v>20</v>
      </c>
      <c r="B1916" t="s">
        <v>729</v>
      </c>
      <c r="C1916">
        <v>301049751</v>
      </c>
      <c r="D1916">
        <v>73231000</v>
      </c>
      <c r="E1916" t="s">
        <v>2584</v>
      </c>
      <c r="N1916">
        <v>318384</v>
      </c>
      <c r="O1916" t="s">
        <v>2748</v>
      </c>
      <c r="P1916">
        <v>4.973579828</v>
      </c>
      <c r="Q1916">
        <v>1583508.24</v>
      </c>
      <c r="R1916">
        <v>0.07675277513000001</v>
      </c>
      <c r="S1916">
        <v>24436.85556</v>
      </c>
      <c r="T1916">
        <v>477491</v>
      </c>
    </row>
    <row r="1917" spans="1:20">
      <c r="A1917" t="s">
        <v>20</v>
      </c>
      <c r="B1917" t="s">
        <v>729</v>
      </c>
      <c r="C1917">
        <v>301049751</v>
      </c>
      <c r="D1917">
        <v>73231000</v>
      </c>
      <c r="E1917" t="s">
        <v>2584</v>
      </c>
      <c r="N1917">
        <v>318384</v>
      </c>
      <c r="O1917" t="s">
        <v>2748</v>
      </c>
      <c r="P1917">
        <v>4.973579828</v>
      </c>
      <c r="Q1917">
        <v>1583508.24</v>
      </c>
      <c r="R1917">
        <v>0.07675277513000001</v>
      </c>
      <c r="S1917">
        <v>24436.85556</v>
      </c>
      <c r="T1917">
        <v>477491</v>
      </c>
    </row>
    <row r="1918" spans="1:20">
      <c r="A1918" t="s">
        <v>20</v>
      </c>
      <c r="B1918" t="s">
        <v>730</v>
      </c>
      <c r="C1918">
        <v>301049751</v>
      </c>
      <c r="D1918">
        <v>73239990</v>
      </c>
      <c r="E1918" t="s">
        <v>2593</v>
      </c>
      <c r="N1918">
        <v>5400</v>
      </c>
      <c r="O1918" t="s">
        <v>2748</v>
      </c>
      <c r="P1918">
        <v>81.24181296</v>
      </c>
      <c r="Q1918">
        <v>438705.79</v>
      </c>
      <c r="R1918">
        <v>1.259562992</v>
      </c>
      <c r="S1918">
        <v>6801.640155</v>
      </c>
      <c r="T1918">
        <v>103253.8</v>
      </c>
    </row>
    <row r="1919" spans="1:20">
      <c r="A1919" t="s">
        <v>20</v>
      </c>
      <c r="B1919" t="s">
        <v>731</v>
      </c>
      <c r="C1919">
        <v>301049751</v>
      </c>
      <c r="D1919">
        <v>73239990</v>
      </c>
      <c r="E1919" t="s">
        <v>2594</v>
      </c>
      <c r="N1919">
        <v>1512</v>
      </c>
      <c r="O1919" t="s">
        <v>2751</v>
      </c>
      <c r="P1919">
        <v>38.24743386</v>
      </c>
      <c r="Q1919">
        <v>57830.12</v>
      </c>
      <c r="R1919">
        <v>0.5929834707</v>
      </c>
      <c r="S1919">
        <v>896.5910078000001</v>
      </c>
      <c r="T1919">
        <v>13610.9</v>
      </c>
    </row>
    <row r="1920" spans="1:20">
      <c r="A1920" t="s">
        <v>20</v>
      </c>
      <c r="B1920" t="s">
        <v>731</v>
      </c>
      <c r="C1920">
        <v>301049751</v>
      </c>
      <c r="D1920">
        <v>73239990</v>
      </c>
      <c r="E1920" t="s">
        <v>2595</v>
      </c>
      <c r="N1920">
        <v>1296</v>
      </c>
      <c r="O1920" t="s">
        <v>2748</v>
      </c>
      <c r="P1920">
        <v>611.5107948</v>
      </c>
      <c r="Q1920">
        <v>792517.99</v>
      </c>
      <c r="R1920">
        <v>9.480787515999999</v>
      </c>
      <c r="S1920">
        <v>12287.10062</v>
      </c>
      <c r="T1920">
        <v>186527</v>
      </c>
    </row>
    <row r="1921" spans="1:20">
      <c r="A1921" t="s">
        <v>20</v>
      </c>
      <c r="B1921" t="s">
        <v>731</v>
      </c>
      <c r="C1921">
        <v>301049751</v>
      </c>
      <c r="D1921">
        <v>73239990</v>
      </c>
      <c r="E1921" t="s">
        <v>2596</v>
      </c>
      <c r="N1921">
        <v>1232</v>
      </c>
      <c r="O1921" t="s">
        <v>2748</v>
      </c>
      <c r="P1921">
        <v>981.7227354</v>
      </c>
      <c r="Q1921">
        <v>1209482.41</v>
      </c>
      <c r="R1921">
        <v>15.22050753</v>
      </c>
      <c r="S1921">
        <v>18751.66527</v>
      </c>
      <c r="T1921">
        <v>284663.8</v>
      </c>
    </row>
    <row r="1922" spans="1:20">
      <c r="A1922" t="s">
        <v>20</v>
      </c>
      <c r="B1922" t="s">
        <v>732</v>
      </c>
      <c r="C1922">
        <v>301049751</v>
      </c>
      <c r="D1922">
        <v>73239990</v>
      </c>
      <c r="E1922" t="s">
        <v>2597</v>
      </c>
      <c r="N1922">
        <v>8028</v>
      </c>
      <c r="O1922" t="s">
        <v>2748</v>
      </c>
      <c r="P1922">
        <v>47.60485675</v>
      </c>
      <c r="Q1922">
        <v>382171.79</v>
      </c>
      <c r="R1922">
        <v>0.7335108899</v>
      </c>
      <c r="S1922">
        <v>5888.625424</v>
      </c>
      <c r="T1922">
        <v>89948</v>
      </c>
    </row>
    <row r="1923" spans="1:20">
      <c r="A1923" t="s">
        <v>20</v>
      </c>
      <c r="B1923" t="s">
        <v>732</v>
      </c>
      <c r="C1923">
        <v>301049751</v>
      </c>
      <c r="D1923">
        <v>73239990</v>
      </c>
      <c r="E1923" t="s">
        <v>2598</v>
      </c>
      <c r="N1923">
        <v>28584</v>
      </c>
      <c r="O1923" t="s">
        <v>2751</v>
      </c>
      <c r="P1923">
        <v>38.01587881</v>
      </c>
      <c r="Q1923">
        <v>1086645.88</v>
      </c>
      <c r="R1923">
        <v>0.5857608446</v>
      </c>
      <c r="S1923">
        <v>16743.38798</v>
      </c>
      <c r="T1923">
        <v>255753</v>
      </c>
    </row>
    <row r="1924" spans="1:20">
      <c r="A1924" t="s">
        <v>20</v>
      </c>
      <c r="B1924" t="s">
        <v>732</v>
      </c>
      <c r="C1924">
        <v>301049751</v>
      </c>
      <c r="D1924">
        <v>73239990</v>
      </c>
      <c r="E1924" t="s">
        <v>2599</v>
      </c>
      <c r="N1924">
        <v>36000</v>
      </c>
      <c r="O1924" t="s">
        <v>2748</v>
      </c>
      <c r="P1924">
        <v>30.39910167</v>
      </c>
      <c r="Q1924">
        <v>1094367.66</v>
      </c>
      <c r="R1924">
        <v>0.4683991012</v>
      </c>
      <c r="S1924">
        <v>16862.36764</v>
      </c>
      <c r="T1924">
        <v>257570.4</v>
      </c>
    </row>
    <row r="1925" spans="1:20">
      <c r="A1925" t="s">
        <v>20</v>
      </c>
      <c r="B1925" t="s">
        <v>733</v>
      </c>
      <c r="C1925">
        <v>301049751</v>
      </c>
      <c r="D1925">
        <v>73239990</v>
      </c>
      <c r="E1925" t="s">
        <v>2600</v>
      </c>
      <c r="N1925">
        <v>480</v>
      </c>
      <c r="O1925" t="s">
        <v>2748</v>
      </c>
      <c r="P1925">
        <v>69.97033333</v>
      </c>
      <c r="Q1925">
        <v>33585.76</v>
      </c>
      <c r="R1925">
        <v>1.069882773</v>
      </c>
      <c r="S1925">
        <v>513.5437309</v>
      </c>
      <c r="T1925">
        <v>7904.8</v>
      </c>
    </row>
    <row r="1926" spans="1:20">
      <c r="A1926" t="s">
        <v>20</v>
      </c>
      <c r="B1926" t="s">
        <v>733</v>
      </c>
      <c r="C1926">
        <v>301049751</v>
      </c>
      <c r="D1926">
        <v>73239990</v>
      </c>
      <c r="E1926" t="s">
        <v>2601</v>
      </c>
      <c r="N1926">
        <v>360</v>
      </c>
      <c r="O1926" t="s">
        <v>2748</v>
      </c>
      <c r="P1926">
        <v>180.6377222</v>
      </c>
      <c r="Q1926">
        <v>65029.58</v>
      </c>
      <c r="R1926">
        <v>2.762044682</v>
      </c>
      <c r="S1926">
        <v>994.3360856</v>
      </c>
      <c r="T1926">
        <v>15305.4</v>
      </c>
    </row>
    <row r="1927" spans="1:20">
      <c r="A1927" t="s">
        <v>20</v>
      </c>
      <c r="B1927" t="s">
        <v>733</v>
      </c>
      <c r="C1927">
        <v>301049751</v>
      </c>
      <c r="D1927">
        <v>73239990</v>
      </c>
      <c r="E1927" t="s">
        <v>2602</v>
      </c>
      <c r="N1927">
        <v>10188</v>
      </c>
      <c r="O1927" t="s">
        <v>2748</v>
      </c>
      <c r="P1927">
        <v>49.90741461</v>
      </c>
      <c r="Q1927">
        <v>508456.74</v>
      </c>
      <c r="R1927">
        <v>0.7631103151</v>
      </c>
      <c r="S1927">
        <v>7774.56789</v>
      </c>
      <c r="T1927">
        <v>119670.4</v>
      </c>
    </row>
    <row r="1928" spans="1:20">
      <c r="A1928" t="s">
        <v>20</v>
      </c>
      <c r="B1928" t="s">
        <v>734</v>
      </c>
      <c r="C1928">
        <v>301049751</v>
      </c>
      <c r="D1928">
        <v>73239990</v>
      </c>
      <c r="E1928" t="s">
        <v>2486</v>
      </c>
      <c r="N1928">
        <v>50400</v>
      </c>
      <c r="O1928" t="s">
        <v>2748</v>
      </c>
      <c r="P1928">
        <v>76.83317460000001</v>
      </c>
      <c r="Q1928">
        <v>3872392</v>
      </c>
      <c r="R1928">
        <v>1.160621973</v>
      </c>
      <c r="S1928">
        <v>58495.34743</v>
      </c>
      <c r="T1928">
        <v>911406.2</v>
      </c>
    </row>
    <row r="1929" spans="1:20">
      <c r="A1929" t="s">
        <v>20</v>
      </c>
      <c r="B1929" t="s">
        <v>735</v>
      </c>
      <c r="C1929">
        <v>301049751</v>
      </c>
      <c r="D1929">
        <v>73239990</v>
      </c>
      <c r="E1929" t="s">
        <v>2603</v>
      </c>
      <c r="N1929">
        <v>8856</v>
      </c>
      <c r="O1929" t="s">
        <v>2748</v>
      </c>
      <c r="P1929">
        <v>75.8004607</v>
      </c>
      <c r="Q1929">
        <v>671288.88</v>
      </c>
      <c r="R1929">
        <v>1.145022065</v>
      </c>
      <c r="S1929">
        <v>10140.31541</v>
      </c>
      <c r="T1929">
        <v>157994.6</v>
      </c>
    </row>
    <row r="1930" spans="1:20">
      <c r="A1930" t="s">
        <v>20</v>
      </c>
      <c r="B1930" t="s">
        <v>735</v>
      </c>
      <c r="C1930">
        <v>301049751</v>
      </c>
      <c r="D1930">
        <v>73239990</v>
      </c>
      <c r="E1930" t="s">
        <v>2604</v>
      </c>
      <c r="N1930">
        <v>8028</v>
      </c>
      <c r="O1930" t="s">
        <v>2748</v>
      </c>
      <c r="P1930">
        <v>83.55200173999999</v>
      </c>
      <c r="Q1930">
        <v>670755.47</v>
      </c>
      <c r="R1930">
        <v>1.26211483</v>
      </c>
      <c r="S1930">
        <v>10132.25785</v>
      </c>
      <c r="T1930">
        <v>157869</v>
      </c>
    </row>
    <row r="1931" spans="1:20">
      <c r="A1931" t="s">
        <v>20</v>
      </c>
      <c r="B1931" t="s">
        <v>735</v>
      </c>
      <c r="C1931">
        <v>301049751</v>
      </c>
      <c r="D1931">
        <v>73239990</v>
      </c>
      <c r="E1931" t="s">
        <v>2605</v>
      </c>
      <c r="N1931">
        <v>30000</v>
      </c>
      <c r="O1931" t="s">
        <v>2748</v>
      </c>
      <c r="P1931">
        <v>36.26377433</v>
      </c>
      <c r="Q1931">
        <v>1087913.23</v>
      </c>
      <c r="R1931">
        <v>0.5477911531</v>
      </c>
      <c r="S1931">
        <v>16433.73459</v>
      </c>
      <c r="T1931">
        <v>256051.2</v>
      </c>
    </row>
    <row r="1932" spans="1:20">
      <c r="A1932" t="s">
        <v>20</v>
      </c>
      <c r="B1932" t="s">
        <v>735</v>
      </c>
      <c r="C1932">
        <v>301049751</v>
      </c>
      <c r="D1932">
        <v>73239990</v>
      </c>
      <c r="E1932" t="s">
        <v>2606</v>
      </c>
      <c r="N1932">
        <v>68760</v>
      </c>
      <c r="O1932" t="s">
        <v>2751</v>
      </c>
      <c r="P1932">
        <v>31.41526789</v>
      </c>
      <c r="Q1932">
        <v>2160113.82</v>
      </c>
      <c r="R1932">
        <v>0.4745508744</v>
      </c>
      <c r="S1932">
        <v>32630.11813</v>
      </c>
      <c r="T1932">
        <v>508404.4</v>
      </c>
    </row>
    <row r="1933" spans="1:20">
      <c r="A1933" t="s">
        <v>20</v>
      </c>
      <c r="B1933" t="s">
        <v>736</v>
      </c>
      <c r="C1933">
        <v>301049751</v>
      </c>
      <c r="D1933">
        <v>73239990</v>
      </c>
      <c r="E1933" t="s">
        <v>2607</v>
      </c>
      <c r="N1933">
        <v>25920</v>
      </c>
      <c r="O1933" t="s">
        <v>2748</v>
      </c>
      <c r="P1933">
        <v>22.40282909</v>
      </c>
      <c r="Q1933">
        <v>580681.33</v>
      </c>
      <c r="R1933">
        <v>0.3384113156</v>
      </c>
      <c r="S1933">
        <v>8771.621299</v>
      </c>
      <c r="T1933">
        <v>136669.2</v>
      </c>
    </row>
    <row r="1934" spans="1:20">
      <c r="A1934" t="s">
        <v>20</v>
      </c>
      <c r="B1934" t="s">
        <v>736</v>
      </c>
      <c r="C1934">
        <v>301049751</v>
      </c>
      <c r="D1934">
        <v>73239990</v>
      </c>
      <c r="E1934" t="s">
        <v>2608</v>
      </c>
      <c r="N1934">
        <v>20160</v>
      </c>
      <c r="O1934" t="s">
        <v>2748</v>
      </c>
      <c r="P1934">
        <v>34.29998363</v>
      </c>
      <c r="Q1934">
        <v>691487.67</v>
      </c>
      <c r="R1934">
        <v>0.5181266410000001</v>
      </c>
      <c r="S1934">
        <v>10445.43308</v>
      </c>
      <c r="T1934">
        <v>162748.6</v>
      </c>
    </row>
    <row r="1935" spans="1:20">
      <c r="A1935" t="s">
        <v>20</v>
      </c>
      <c r="B1935" t="s">
        <v>737</v>
      </c>
      <c r="C1935">
        <v>301049751</v>
      </c>
      <c r="D1935">
        <v>73239990</v>
      </c>
      <c r="E1935" t="s">
        <v>2609</v>
      </c>
      <c r="N1935">
        <v>43200</v>
      </c>
      <c r="O1935" t="s">
        <v>2748</v>
      </c>
      <c r="P1935">
        <v>16.72815741</v>
      </c>
      <c r="Q1935">
        <v>722656.4</v>
      </c>
      <c r="R1935">
        <v>0.2526911995</v>
      </c>
      <c r="S1935">
        <v>10916.25982</v>
      </c>
      <c r="T1935">
        <v>170084.4</v>
      </c>
    </row>
    <row r="1936" spans="1:20">
      <c r="A1936" t="s">
        <v>20</v>
      </c>
      <c r="B1936" t="s">
        <v>737</v>
      </c>
      <c r="C1936">
        <v>301049751</v>
      </c>
      <c r="D1936">
        <v>73239990</v>
      </c>
      <c r="E1936" t="s">
        <v>2610</v>
      </c>
      <c r="N1936">
        <v>10800</v>
      </c>
      <c r="O1936" t="s">
        <v>2748</v>
      </c>
      <c r="P1936">
        <v>75.76692593</v>
      </c>
      <c r="Q1936">
        <v>818282.8</v>
      </c>
      <c r="R1936">
        <v>1.144515497</v>
      </c>
      <c r="S1936">
        <v>12360.76737</v>
      </c>
      <c r="T1936">
        <v>192591.1</v>
      </c>
    </row>
    <row r="1937" spans="1:20">
      <c r="A1937" t="s">
        <v>20</v>
      </c>
      <c r="B1937" t="s">
        <v>737</v>
      </c>
      <c r="C1937">
        <v>301049751</v>
      </c>
      <c r="D1937">
        <v>73239990</v>
      </c>
      <c r="E1937" t="s">
        <v>2611</v>
      </c>
      <c r="N1937">
        <v>13824</v>
      </c>
      <c r="O1937" t="s">
        <v>2748</v>
      </c>
      <c r="P1937">
        <v>83.51503689</v>
      </c>
      <c r="Q1937">
        <v>1154511.87</v>
      </c>
      <c r="R1937">
        <v>1.261556449</v>
      </c>
      <c r="S1937">
        <v>17439.75634</v>
      </c>
      <c r="T1937">
        <v>271725.9</v>
      </c>
    </row>
    <row r="1938" spans="1:20">
      <c r="A1938" t="s">
        <v>20</v>
      </c>
      <c r="B1938" t="s">
        <v>738</v>
      </c>
      <c r="C1938">
        <v>301049751</v>
      </c>
      <c r="D1938">
        <v>73239990</v>
      </c>
      <c r="E1938" t="s">
        <v>2612</v>
      </c>
      <c r="N1938">
        <v>18000</v>
      </c>
      <c r="O1938" t="s">
        <v>2748</v>
      </c>
      <c r="P1938">
        <v>109.806775</v>
      </c>
      <c r="Q1938">
        <v>1976521.95</v>
      </c>
      <c r="R1938">
        <v>1.679002676</v>
      </c>
      <c r="S1938">
        <v>30222.04817</v>
      </c>
      <c r="T1938">
        <v>465194.2</v>
      </c>
    </row>
    <row r="1939" spans="1:20">
      <c r="A1939" t="s">
        <v>20</v>
      </c>
      <c r="B1939" t="s">
        <v>738</v>
      </c>
      <c r="C1939">
        <v>301049751</v>
      </c>
      <c r="D1939">
        <v>73239990</v>
      </c>
      <c r="E1939" t="s">
        <v>2613</v>
      </c>
      <c r="N1939">
        <v>6000</v>
      </c>
      <c r="O1939" t="s">
        <v>2748</v>
      </c>
      <c r="P1939">
        <v>89.96217667000001</v>
      </c>
      <c r="Q1939">
        <v>539773.0600000001</v>
      </c>
      <c r="R1939">
        <v>1.375568451</v>
      </c>
      <c r="S1939">
        <v>8253.410703</v>
      </c>
      <c r="T1939">
        <v>127041</v>
      </c>
    </row>
    <row r="1940" spans="1:20">
      <c r="A1940" t="s">
        <v>20</v>
      </c>
      <c r="B1940" t="s">
        <v>739</v>
      </c>
      <c r="C1940">
        <v>301049751</v>
      </c>
      <c r="D1940">
        <v>73239990</v>
      </c>
      <c r="E1940" t="s">
        <v>2614</v>
      </c>
      <c r="N1940">
        <v>2040</v>
      </c>
      <c r="O1940" t="s">
        <v>2748</v>
      </c>
      <c r="P1940">
        <v>120.8296176</v>
      </c>
      <c r="Q1940">
        <v>246492.42</v>
      </c>
      <c r="R1940">
        <v>1.84754767</v>
      </c>
      <c r="S1940">
        <v>3768.997248</v>
      </c>
      <c r="T1940">
        <v>58014.4</v>
      </c>
    </row>
    <row r="1941" spans="1:20">
      <c r="A1941" t="s">
        <v>20</v>
      </c>
      <c r="B1941" t="s">
        <v>739</v>
      </c>
      <c r="C1941">
        <v>301049751</v>
      </c>
      <c r="D1941">
        <v>73239990</v>
      </c>
      <c r="E1941" t="s">
        <v>2615</v>
      </c>
      <c r="N1941">
        <v>72000</v>
      </c>
      <c r="O1941" t="s">
        <v>2748</v>
      </c>
      <c r="P1941">
        <v>30.75998319</v>
      </c>
      <c r="Q1941">
        <v>2214718.79</v>
      </c>
      <c r="R1941">
        <v>0.4703361345</v>
      </c>
      <c r="S1941">
        <v>33864.20168</v>
      </c>
      <c r="T1941">
        <v>521256.2</v>
      </c>
    </row>
    <row r="1942" spans="1:20">
      <c r="A1942" t="s">
        <v>20</v>
      </c>
      <c r="B1942" t="s">
        <v>739</v>
      </c>
      <c r="C1942">
        <v>301049751</v>
      </c>
      <c r="D1942">
        <v>73239990</v>
      </c>
      <c r="E1942" t="s">
        <v>2616</v>
      </c>
      <c r="N1942">
        <v>18864</v>
      </c>
      <c r="O1942" t="s">
        <v>2748</v>
      </c>
      <c r="P1942">
        <v>74.53031436000001</v>
      </c>
      <c r="Q1942">
        <v>1405939.85</v>
      </c>
      <c r="R1942">
        <v>1.139607253</v>
      </c>
      <c r="S1942">
        <v>21497.55122</v>
      </c>
      <c r="T1942">
        <v>330902</v>
      </c>
    </row>
    <row r="1943" spans="1:20">
      <c r="A1943" t="s">
        <v>20</v>
      </c>
      <c r="B1943" t="s">
        <v>739</v>
      </c>
      <c r="C1943">
        <v>301049751</v>
      </c>
      <c r="D1943">
        <v>73239990</v>
      </c>
      <c r="E1943" t="s">
        <v>2617</v>
      </c>
      <c r="N1943">
        <v>14400</v>
      </c>
      <c r="O1943" t="s">
        <v>2748</v>
      </c>
      <c r="P1943">
        <v>21.98143333</v>
      </c>
      <c r="Q1943">
        <v>316532.64</v>
      </c>
      <c r="R1943">
        <v>0.3361075433</v>
      </c>
      <c r="S1943">
        <v>4839.948624</v>
      </c>
      <c r="T1943">
        <v>74499.2</v>
      </c>
    </row>
    <row r="1944" spans="1:20">
      <c r="A1944" t="s">
        <v>20</v>
      </c>
      <c r="B1944" t="s">
        <v>739</v>
      </c>
      <c r="C1944">
        <v>301049751</v>
      </c>
      <c r="D1944">
        <v>73239990</v>
      </c>
      <c r="E1944" t="s">
        <v>2618</v>
      </c>
      <c r="N1944">
        <v>15372</v>
      </c>
      <c r="O1944" t="s">
        <v>2748</v>
      </c>
      <c r="P1944">
        <v>82.15196656000001</v>
      </c>
      <c r="Q1944">
        <v>1262840.03</v>
      </c>
      <c r="R1944">
        <v>1.256146278</v>
      </c>
      <c r="S1944">
        <v>19309.48058</v>
      </c>
      <c r="T1944">
        <v>297222</v>
      </c>
    </row>
    <row r="1945" spans="1:20">
      <c r="A1945" t="s">
        <v>20</v>
      </c>
      <c r="B1945" t="s">
        <v>739</v>
      </c>
      <c r="C1945">
        <v>301049751</v>
      </c>
      <c r="D1945">
        <v>73239990</v>
      </c>
      <c r="E1945" t="s">
        <v>2619</v>
      </c>
      <c r="N1945">
        <v>40320</v>
      </c>
      <c r="O1945" t="s">
        <v>2748</v>
      </c>
      <c r="P1945">
        <v>22.04007738</v>
      </c>
      <c r="Q1945">
        <v>888655.92</v>
      </c>
      <c r="R1945">
        <v>0.3370042413</v>
      </c>
      <c r="S1945">
        <v>13588.01101</v>
      </c>
      <c r="T1945">
        <v>209154.1</v>
      </c>
    </row>
    <row r="1946" spans="1:20">
      <c r="A1946" t="s">
        <v>20</v>
      </c>
      <c r="B1946" t="s">
        <v>739</v>
      </c>
      <c r="C1946">
        <v>301049751</v>
      </c>
      <c r="D1946">
        <v>73239990</v>
      </c>
      <c r="E1946" t="s">
        <v>2620</v>
      </c>
      <c r="N1946">
        <v>5940</v>
      </c>
      <c r="O1946" t="s">
        <v>2748</v>
      </c>
      <c r="P1946">
        <v>93.07858249</v>
      </c>
      <c r="Q1946">
        <v>552886.78</v>
      </c>
      <c r="R1946">
        <v>1.423219916</v>
      </c>
      <c r="S1946">
        <v>8453.926299999999</v>
      </c>
      <c r="T1946">
        <v>130127.5</v>
      </c>
    </row>
    <row r="1947" spans="1:20">
      <c r="A1947" t="s">
        <v>20</v>
      </c>
      <c r="B1947" t="s">
        <v>740</v>
      </c>
      <c r="C1947">
        <v>301049751</v>
      </c>
      <c r="D1947">
        <v>73239990</v>
      </c>
      <c r="E1947" t="s">
        <v>2621</v>
      </c>
      <c r="N1947">
        <v>7368</v>
      </c>
      <c r="O1947" t="s">
        <v>2748</v>
      </c>
      <c r="P1947">
        <v>52.12792481</v>
      </c>
      <c r="Q1947">
        <v>384078.55</v>
      </c>
      <c r="R1947">
        <v>0.7970630705</v>
      </c>
      <c r="S1947">
        <v>5872.760703</v>
      </c>
      <c r="T1947">
        <v>90396.8</v>
      </c>
    </row>
    <row r="1948" spans="1:20">
      <c r="A1948" t="s">
        <v>20</v>
      </c>
      <c r="B1948" t="s">
        <v>740</v>
      </c>
      <c r="C1948">
        <v>301049751</v>
      </c>
      <c r="D1948">
        <v>73239990</v>
      </c>
      <c r="E1948" t="s">
        <v>2622</v>
      </c>
      <c r="N1948">
        <v>25200</v>
      </c>
      <c r="O1948" t="s">
        <v>2751</v>
      </c>
      <c r="P1948">
        <v>30.11989802</v>
      </c>
      <c r="Q1948">
        <v>759021.4300000001</v>
      </c>
      <c r="R1948">
        <v>0.4605488993</v>
      </c>
      <c r="S1948">
        <v>11605.83226</v>
      </c>
      <c r="T1948">
        <v>178643.2</v>
      </c>
    </row>
    <row r="1949" spans="1:20">
      <c r="A1949" t="s">
        <v>20</v>
      </c>
      <c r="B1949" t="s">
        <v>740</v>
      </c>
      <c r="C1949">
        <v>301049751</v>
      </c>
      <c r="D1949">
        <v>73239990</v>
      </c>
      <c r="E1949" t="s">
        <v>2623</v>
      </c>
      <c r="N1949">
        <v>40320</v>
      </c>
      <c r="O1949" t="s">
        <v>2748</v>
      </c>
      <c r="P1949">
        <v>22.57013393</v>
      </c>
      <c r="Q1949">
        <v>910027.8</v>
      </c>
      <c r="R1949">
        <v>0.3451090815</v>
      </c>
      <c r="S1949">
        <v>13914.79817</v>
      </c>
      <c r="T1949">
        <v>214184.2</v>
      </c>
    </row>
    <row r="1950" spans="1:20">
      <c r="A1950" t="s">
        <v>20</v>
      </c>
      <c r="B1950" t="s">
        <v>741</v>
      </c>
      <c r="C1950">
        <v>301049751</v>
      </c>
      <c r="D1950">
        <v>73239990</v>
      </c>
      <c r="E1950" t="s">
        <v>2624</v>
      </c>
      <c r="N1950">
        <v>25200</v>
      </c>
      <c r="O1950" t="s">
        <v>2751</v>
      </c>
      <c r="P1950">
        <v>38.73858889</v>
      </c>
      <c r="Q1950">
        <v>976212.4399999999</v>
      </c>
      <c r="R1950">
        <v>0.5923331634</v>
      </c>
      <c r="S1950">
        <v>14926.79572</v>
      </c>
      <c r="T1950">
        <v>229761.3</v>
      </c>
    </row>
    <row r="1951" spans="1:20">
      <c r="A1951" t="s">
        <v>20</v>
      </c>
      <c r="B1951" t="s">
        <v>741</v>
      </c>
      <c r="C1951">
        <v>301049751</v>
      </c>
      <c r="D1951">
        <v>73239990</v>
      </c>
      <c r="E1951" t="s">
        <v>2625</v>
      </c>
      <c r="N1951">
        <v>7350</v>
      </c>
      <c r="O1951" t="s">
        <v>2746</v>
      </c>
      <c r="P1951">
        <v>520.9797088</v>
      </c>
      <c r="Q1951">
        <v>3829200.86</v>
      </c>
      <c r="R1951">
        <v>7.966050594</v>
      </c>
      <c r="S1951">
        <v>58550.47187</v>
      </c>
      <c r="T1951">
        <v>901240.7</v>
      </c>
    </row>
    <row r="1952" spans="1:20">
      <c r="A1952" t="s">
        <v>20</v>
      </c>
      <c r="B1952" t="s">
        <v>741</v>
      </c>
      <c r="C1952">
        <v>301049751</v>
      </c>
      <c r="D1952">
        <v>73239990</v>
      </c>
      <c r="E1952" t="s">
        <v>2626</v>
      </c>
      <c r="N1952">
        <v>10632</v>
      </c>
      <c r="O1952" t="s">
        <v>2746</v>
      </c>
      <c r="P1952">
        <v>51.60533484</v>
      </c>
      <c r="Q1952">
        <v>548667.92</v>
      </c>
      <c r="R1952">
        <v>0.7890723981</v>
      </c>
      <c r="S1952">
        <v>8389.417737</v>
      </c>
      <c r="T1952">
        <v>129134.5</v>
      </c>
    </row>
    <row r="1953" spans="1:20">
      <c r="A1953" t="s">
        <v>20</v>
      </c>
      <c r="B1953" t="s">
        <v>742</v>
      </c>
      <c r="C1953">
        <v>301049751</v>
      </c>
      <c r="D1953">
        <v>73231000</v>
      </c>
      <c r="E1953" t="s">
        <v>2627</v>
      </c>
      <c r="N1953">
        <v>114336</v>
      </c>
      <c r="O1953" t="s">
        <v>2751</v>
      </c>
      <c r="P1953">
        <v>11.15</v>
      </c>
      <c r="Q1953">
        <v>1274903.21</v>
      </c>
      <c r="R1953">
        <v>0.17</v>
      </c>
      <c r="S1953">
        <v>19360.72</v>
      </c>
      <c r="T1953">
        <v>384434.3</v>
      </c>
    </row>
    <row r="1954" spans="1:20">
      <c r="A1954" t="s">
        <v>20</v>
      </c>
      <c r="B1954" t="s">
        <v>743</v>
      </c>
      <c r="C1954">
        <v>301049751</v>
      </c>
      <c r="D1954">
        <v>73239990</v>
      </c>
      <c r="E1954" t="s">
        <v>2628</v>
      </c>
      <c r="N1954">
        <v>360</v>
      </c>
      <c r="O1954" t="s">
        <v>2748</v>
      </c>
      <c r="P1954">
        <v>90.89</v>
      </c>
      <c r="Q1954">
        <v>32719.98</v>
      </c>
      <c r="R1954">
        <v>1.38</v>
      </c>
      <c r="S1954">
        <v>496.13</v>
      </c>
      <c r="T1954">
        <v>7700.9</v>
      </c>
    </row>
    <row r="1955" spans="1:20">
      <c r="A1955" t="s">
        <v>20</v>
      </c>
      <c r="B1955" t="s">
        <v>743</v>
      </c>
      <c r="C1955">
        <v>301049751</v>
      </c>
      <c r="D1955">
        <v>73239990</v>
      </c>
      <c r="E1955" t="s">
        <v>2628</v>
      </c>
      <c r="N1955">
        <v>360</v>
      </c>
      <c r="O1955" t="s">
        <v>2748</v>
      </c>
      <c r="P1955">
        <v>90.89</v>
      </c>
      <c r="Q1955">
        <v>32719.98</v>
      </c>
      <c r="R1955">
        <v>1.38</v>
      </c>
      <c r="S1955">
        <v>496.13</v>
      </c>
      <c r="T1955">
        <v>7700.9</v>
      </c>
    </row>
    <row r="1956" spans="1:20">
      <c r="A1956" t="s">
        <v>20</v>
      </c>
      <c r="B1956" t="s">
        <v>744</v>
      </c>
      <c r="C1956">
        <v>301049751</v>
      </c>
      <c r="D1956">
        <v>73239990</v>
      </c>
      <c r="E1956" t="s">
        <v>2629</v>
      </c>
      <c r="N1956">
        <v>24000</v>
      </c>
      <c r="O1956" t="s">
        <v>2748</v>
      </c>
      <c r="P1956">
        <v>31.82</v>
      </c>
      <c r="Q1956">
        <v>763664.97</v>
      </c>
      <c r="R1956">
        <v>0.48</v>
      </c>
      <c r="S1956">
        <v>11579.45</v>
      </c>
      <c r="T1956">
        <v>179736.2</v>
      </c>
    </row>
    <row r="1957" spans="1:20">
      <c r="A1957" t="s">
        <v>20</v>
      </c>
      <c r="B1957" t="s">
        <v>744</v>
      </c>
      <c r="C1957">
        <v>301049751</v>
      </c>
      <c r="D1957">
        <v>73231000</v>
      </c>
      <c r="E1957" t="s">
        <v>2630</v>
      </c>
      <c r="N1957">
        <v>318384</v>
      </c>
      <c r="O1957" t="s">
        <v>2748</v>
      </c>
      <c r="P1957">
        <v>4.76</v>
      </c>
      <c r="Q1957">
        <v>1514229.21</v>
      </c>
      <c r="R1957">
        <v>0.07000000000000001</v>
      </c>
      <c r="S1957">
        <v>22960.26</v>
      </c>
      <c r="T1957">
        <v>456600.7</v>
      </c>
    </row>
    <row r="1958" spans="1:20">
      <c r="A1958" t="s">
        <v>20</v>
      </c>
      <c r="B1958" t="s">
        <v>744</v>
      </c>
      <c r="C1958">
        <v>301049751</v>
      </c>
      <c r="D1958">
        <v>73239990</v>
      </c>
      <c r="E1958" t="s">
        <v>2629</v>
      </c>
      <c r="N1958">
        <v>24000</v>
      </c>
      <c r="O1958" t="s">
        <v>2748</v>
      </c>
      <c r="P1958">
        <v>31.82</v>
      </c>
      <c r="Q1958">
        <v>763664.97</v>
      </c>
      <c r="R1958">
        <v>0.48</v>
      </c>
      <c r="S1958">
        <v>11579.45</v>
      </c>
      <c r="T1958">
        <v>179736.2</v>
      </c>
    </row>
    <row r="1959" spans="1:20">
      <c r="A1959" t="s">
        <v>20</v>
      </c>
      <c r="B1959" t="s">
        <v>744</v>
      </c>
      <c r="C1959">
        <v>301049751</v>
      </c>
      <c r="D1959">
        <v>73231000</v>
      </c>
      <c r="E1959" t="s">
        <v>2630</v>
      </c>
      <c r="N1959">
        <v>318384</v>
      </c>
      <c r="O1959" t="s">
        <v>2748</v>
      </c>
      <c r="P1959">
        <v>4.76</v>
      </c>
      <c r="Q1959">
        <v>1514229.21</v>
      </c>
      <c r="R1959">
        <v>0.07000000000000001</v>
      </c>
      <c r="S1959">
        <v>22960.26</v>
      </c>
      <c r="T1959">
        <v>456600.7</v>
      </c>
    </row>
    <row r="1960" spans="1:20">
      <c r="A1960" t="s">
        <v>20</v>
      </c>
      <c r="B1960" t="s">
        <v>745</v>
      </c>
      <c r="C1960">
        <v>301049751</v>
      </c>
      <c r="D1960">
        <v>73239990</v>
      </c>
      <c r="E1960" t="s">
        <v>2631</v>
      </c>
      <c r="N1960">
        <v>6660</v>
      </c>
      <c r="O1960" t="s">
        <v>2748</v>
      </c>
      <c r="P1960">
        <v>93.62</v>
      </c>
      <c r="Q1960">
        <v>623511.88</v>
      </c>
      <c r="R1960">
        <v>1.43</v>
      </c>
      <c r="S1960">
        <v>9533.82</v>
      </c>
      <c r="T1960">
        <v>146749.7</v>
      </c>
    </row>
    <row r="1961" spans="1:20">
      <c r="A1961" t="s">
        <v>20</v>
      </c>
      <c r="B1961" t="s">
        <v>745</v>
      </c>
      <c r="C1961">
        <v>301049751</v>
      </c>
      <c r="D1961">
        <v>73239990</v>
      </c>
      <c r="E1961" t="s">
        <v>2632</v>
      </c>
      <c r="N1961">
        <v>5076</v>
      </c>
      <c r="O1961" t="s">
        <v>2748</v>
      </c>
      <c r="P1961">
        <v>82.63</v>
      </c>
      <c r="Q1961">
        <v>419430.8</v>
      </c>
      <c r="R1961">
        <v>1.26</v>
      </c>
      <c r="S1961">
        <v>6413.31</v>
      </c>
      <c r="T1961">
        <v>98717.3</v>
      </c>
    </row>
    <row r="1962" spans="1:20">
      <c r="A1962" t="s">
        <v>20</v>
      </c>
      <c r="B1962" t="s">
        <v>746</v>
      </c>
      <c r="C1962">
        <v>301049751</v>
      </c>
      <c r="D1962">
        <v>73239990</v>
      </c>
      <c r="E1962" t="s">
        <v>2633</v>
      </c>
      <c r="N1962">
        <v>12000</v>
      </c>
      <c r="O1962" t="s">
        <v>2748</v>
      </c>
      <c r="P1962">
        <v>91.751785</v>
      </c>
      <c r="Q1962">
        <v>1101021.42</v>
      </c>
      <c r="R1962">
        <v>1.402932492</v>
      </c>
      <c r="S1962">
        <v>16835.18991</v>
      </c>
      <c r="T1962">
        <v>259136.3</v>
      </c>
    </row>
    <row r="1963" spans="1:20">
      <c r="A1963" t="s">
        <v>20</v>
      </c>
      <c r="B1963" t="s">
        <v>746</v>
      </c>
      <c r="C1963">
        <v>301049751</v>
      </c>
      <c r="D1963">
        <v>73239990</v>
      </c>
      <c r="E1963" t="s">
        <v>2634</v>
      </c>
      <c r="N1963">
        <v>30000</v>
      </c>
      <c r="O1963" t="s">
        <v>2748</v>
      </c>
      <c r="P1963">
        <v>111.9911493</v>
      </c>
      <c r="Q1963">
        <v>3359734.48</v>
      </c>
      <c r="R1963">
        <v>1.712402895</v>
      </c>
      <c r="S1963">
        <v>51372.08685</v>
      </c>
      <c r="T1963">
        <v>790747.1</v>
      </c>
    </row>
    <row r="1964" spans="1:20">
      <c r="A1964" t="s">
        <v>20</v>
      </c>
      <c r="B1964" t="s">
        <v>747</v>
      </c>
      <c r="C1964">
        <v>301049751</v>
      </c>
      <c r="D1964">
        <v>73239990</v>
      </c>
      <c r="E1964" t="s">
        <v>2635</v>
      </c>
      <c r="N1964">
        <v>27000</v>
      </c>
      <c r="O1964" t="s">
        <v>2748</v>
      </c>
      <c r="P1964">
        <v>94.92545111</v>
      </c>
      <c r="Q1964">
        <v>2562987.18</v>
      </c>
      <c r="R1964">
        <v>1.462641774</v>
      </c>
      <c r="S1964">
        <v>39491.32789</v>
      </c>
      <c r="T1964">
        <v>603224.7</v>
      </c>
    </row>
    <row r="1965" spans="1:20">
      <c r="A1965" t="s">
        <v>20</v>
      </c>
      <c r="B1965" t="s">
        <v>747</v>
      </c>
      <c r="C1965">
        <v>301049751</v>
      </c>
      <c r="D1965">
        <v>73239990</v>
      </c>
      <c r="E1965" t="s">
        <v>2636</v>
      </c>
      <c r="N1965">
        <v>14904</v>
      </c>
      <c r="O1965" t="s">
        <v>2748</v>
      </c>
      <c r="P1965">
        <v>80.21200617</v>
      </c>
      <c r="Q1965">
        <v>1195479.74</v>
      </c>
      <c r="R1965">
        <v>1.235932299</v>
      </c>
      <c r="S1965">
        <v>18420.33498</v>
      </c>
      <c r="T1965">
        <v>281368.2</v>
      </c>
    </row>
    <row r="1966" spans="1:20">
      <c r="A1966" t="s">
        <v>20</v>
      </c>
      <c r="B1966" t="s">
        <v>747</v>
      </c>
      <c r="C1966">
        <v>301049751</v>
      </c>
      <c r="D1966">
        <v>73239990</v>
      </c>
      <c r="E1966" t="s">
        <v>2637</v>
      </c>
      <c r="N1966">
        <v>36000</v>
      </c>
      <c r="O1966" t="s">
        <v>2748</v>
      </c>
      <c r="P1966">
        <v>16.87024278</v>
      </c>
      <c r="Q1966">
        <v>607328.74</v>
      </c>
      <c r="R1966">
        <v>0.2599421075</v>
      </c>
      <c r="S1966">
        <v>9357.915870999999</v>
      </c>
      <c r="T1966">
        <v>142940.9</v>
      </c>
    </row>
    <row r="1967" spans="1:20">
      <c r="A1967" t="s">
        <v>20</v>
      </c>
      <c r="B1967" t="s">
        <v>748</v>
      </c>
      <c r="C1967">
        <v>301049751</v>
      </c>
      <c r="D1967">
        <v>73239990</v>
      </c>
      <c r="E1967" t="s">
        <v>2638</v>
      </c>
      <c r="N1967">
        <v>60000</v>
      </c>
      <c r="O1967" t="s">
        <v>2748</v>
      </c>
      <c r="P1967">
        <v>30.99395717</v>
      </c>
      <c r="Q1967">
        <v>1859637.43</v>
      </c>
      <c r="R1967">
        <v>0.4775648254</v>
      </c>
      <c r="S1967">
        <v>28653.88952</v>
      </c>
      <c r="T1967">
        <v>437684.2</v>
      </c>
    </row>
    <row r="1968" spans="1:20">
      <c r="A1968" t="s">
        <v>20</v>
      </c>
      <c r="B1968" t="s">
        <v>749</v>
      </c>
      <c r="C1968">
        <v>301049751</v>
      </c>
      <c r="D1968">
        <v>73239990</v>
      </c>
      <c r="E1968" t="s">
        <v>2639</v>
      </c>
      <c r="N1968">
        <v>2400</v>
      </c>
      <c r="O1968" t="s">
        <v>2748</v>
      </c>
      <c r="P1968">
        <v>51.4737625</v>
      </c>
      <c r="Q1968">
        <v>123537.03</v>
      </c>
      <c r="R1968">
        <v>0.7931242296</v>
      </c>
      <c r="S1968">
        <v>1903.498151</v>
      </c>
      <c r="T1968">
        <v>29075.7</v>
      </c>
    </row>
    <row r="1969" spans="1:20">
      <c r="A1969" t="s">
        <v>20</v>
      </c>
      <c r="B1969" t="s">
        <v>749</v>
      </c>
      <c r="C1969">
        <v>301049751</v>
      </c>
      <c r="D1969">
        <v>73239990</v>
      </c>
      <c r="E1969" t="s">
        <v>2640</v>
      </c>
      <c r="N1969">
        <v>3600</v>
      </c>
      <c r="O1969" t="s">
        <v>2748</v>
      </c>
      <c r="P1969">
        <v>12.45108611</v>
      </c>
      <c r="Q1969">
        <v>44823.91</v>
      </c>
      <c r="R1969">
        <v>0.1918503253</v>
      </c>
      <c r="S1969">
        <v>690.661171</v>
      </c>
      <c r="T1969">
        <v>13516.1</v>
      </c>
    </row>
    <row r="1970" spans="1:20">
      <c r="A1970" t="s">
        <v>20</v>
      </c>
      <c r="B1970" t="s">
        <v>749</v>
      </c>
      <c r="C1970">
        <v>301049751</v>
      </c>
      <c r="D1970">
        <v>73239990</v>
      </c>
      <c r="E1970" t="s">
        <v>2641</v>
      </c>
      <c r="N1970">
        <v>768</v>
      </c>
      <c r="O1970" t="s">
        <v>2748</v>
      </c>
      <c r="P1970">
        <v>82.07977864999999</v>
      </c>
      <c r="Q1970">
        <v>63037.27</v>
      </c>
      <c r="R1970">
        <v>1.264711535</v>
      </c>
      <c r="S1970">
        <v>971.2984592</v>
      </c>
      <c r="T1970">
        <v>14836.4</v>
      </c>
    </row>
    <row r="1971" spans="1:20">
      <c r="A1971" t="s">
        <v>20</v>
      </c>
      <c r="B1971" t="s">
        <v>749</v>
      </c>
      <c r="C1971">
        <v>301049751</v>
      </c>
      <c r="D1971">
        <v>73239990</v>
      </c>
      <c r="E1971" t="s">
        <v>2642</v>
      </c>
      <c r="N1971">
        <v>15600</v>
      </c>
      <c r="O1971" t="s">
        <v>2748</v>
      </c>
      <c r="P1971">
        <v>45.21344038</v>
      </c>
      <c r="Q1971">
        <v>705329.67</v>
      </c>
      <c r="R1971">
        <v>0.69666318</v>
      </c>
      <c r="S1971">
        <v>10867.94561</v>
      </c>
      <c r="T1971">
        <v>166006.4</v>
      </c>
    </row>
    <row r="1972" spans="1:20">
      <c r="A1972" t="s">
        <v>20</v>
      </c>
      <c r="B1972" t="s">
        <v>750</v>
      </c>
      <c r="C1972">
        <v>301049751</v>
      </c>
      <c r="D1972">
        <v>73239990</v>
      </c>
      <c r="E1972" t="s">
        <v>2643</v>
      </c>
      <c r="N1972">
        <v>2592</v>
      </c>
      <c r="O1972" t="s">
        <v>2748</v>
      </c>
      <c r="P1972">
        <v>593.8181443</v>
      </c>
      <c r="Q1972">
        <v>1539176.63</v>
      </c>
      <c r="R1972">
        <v>9.149740282</v>
      </c>
      <c r="S1972">
        <v>23716.12681</v>
      </c>
      <c r="T1972">
        <v>362260.7</v>
      </c>
    </row>
    <row r="1973" spans="1:20">
      <c r="A1973" t="s">
        <v>20</v>
      </c>
      <c r="B1973" t="s">
        <v>751</v>
      </c>
      <c r="C1973">
        <v>301049751</v>
      </c>
      <c r="D1973">
        <v>73239990</v>
      </c>
      <c r="E1973" t="s">
        <v>2644</v>
      </c>
      <c r="N1973">
        <v>35160</v>
      </c>
      <c r="O1973" t="s">
        <v>2748</v>
      </c>
      <c r="P1973">
        <v>31.37266866</v>
      </c>
      <c r="Q1973">
        <v>1103063.03</v>
      </c>
      <c r="R1973">
        <v>0.481545183</v>
      </c>
      <c r="S1973">
        <v>16931.12863</v>
      </c>
      <c r="T1973">
        <v>0</v>
      </c>
    </row>
    <row r="1974" spans="1:20">
      <c r="A1974" t="s">
        <v>20</v>
      </c>
      <c r="B1974" t="s">
        <v>751</v>
      </c>
      <c r="C1974">
        <v>301049751</v>
      </c>
      <c r="D1974">
        <v>73239990</v>
      </c>
      <c r="E1974" t="s">
        <v>2645</v>
      </c>
      <c r="N1974">
        <v>4644</v>
      </c>
      <c r="O1974" t="s">
        <v>2748</v>
      </c>
      <c r="P1974">
        <v>92.97331826</v>
      </c>
      <c r="Q1974">
        <v>431768.09</v>
      </c>
      <c r="R1974">
        <v>1.427065514</v>
      </c>
      <c r="S1974">
        <v>6627.292249</v>
      </c>
      <c r="T1974">
        <v>0</v>
      </c>
    </row>
    <row r="1975" spans="1:20">
      <c r="A1975" t="s">
        <v>20</v>
      </c>
      <c r="B1975" t="s">
        <v>751</v>
      </c>
      <c r="C1975">
        <v>301049751</v>
      </c>
      <c r="D1975">
        <v>73239990</v>
      </c>
      <c r="E1975" t="s">
        <v>2646</v>
      </c>
      <c r="N1975">
        <v>432</v>
      </c>
      <c r="O1975" t="s">
        <v>2748</v>
      </c>
      <c r="P1975">
        <v>73.35321759</v>
      </c>
      <c r="Q1975">
        <v>31688.59</v>
      </c>
      <c r="R1975">
        <v>1.12591278</v>
      </c>
      <c r="S1975">
        <v>486.3943208</v>
      </c>
      <c r="T1975">
        <v>0</v>
      </c>
    </row>
    <row r="1976" spans="1:20">
      <c r="A1976" t="s">
        <v>20</v>
      </c>
      <c r="B1976" t="s">
        <v>751</v>
      </c>
      <c r="C1976">
        <v>301049751</v>
      </c>
      <c r="D1976">
        <v>73239990</v>
      </c>
      <c r="E1976" t="s">
        <v>2647</v>
      </c>
      <c r="N1976">
        <v>28296</v>
      </c>
      <c r="O1976" t="s">
        <v>2748</v>
      </c>
      <c r="P1976">
        <v>80.87311422000001</v>
      </c>
      <c r="Q1976">
        <v>2288385.64</v>
      </c>
      <c r="R1976">
        <v>1.241337133</v>
      </c>
      <c r="S1976">
        <v>35124.87552</v>
      </c>
      <c r="T1976">
        <v>0</v>
      </c>
    </row>
    <row r="1977" spans="1:20">
      <c r="A1977" t="s">
        <v>20</v>
      </c>
      <c r="B1977" t="s">
        <v>752</v>
      </c>
      <c r="C1977">
        <v>301049751</v>
      </c>
      <c r="D1977">
        <v>73239990</v>
      </c>
      <c r="E1977" t="s">
        <v>2648</v>
      </c>
      <c r="N1977">
        <v>15120</v>
      </c>
      <c r="O1977" t="s">
        <v>2751</v>
      </c>
      <c r="P1977">
        <v>38.27503241</v>
      </c>
      <c r="Q1977">
        <v>578718.49</v>
      </c>
      <c r="R1977">
        <v>0.587490904</v>
      </c>
      <c r="S1977">
        <v>8882.862471</v>
      </c>
      <c r="T1977">
        <v>136207.1</v>
      </c>
    </row>
    <row r="1978" spans="1:20">
      <c r="A1978" t="s">
        <v>20</v>
      </c>
      <c r="B1978" t="s">
        <v>753</v>
      </c>
      <c r="C1978">
        <v>301049751</v>
      </c>
      <c r="D1978">
        <v>73239990</v>
      </c>
      <c r="E1978" t="s">
        <v>2649</v>
      </c>
      <c r="N1978">
        <v>36000</v>
      </c>
      <c r="O1978" t="s">
        <v>2748</v>
      </c>
      <c r="P1978">
        <v>16.37458694</v>
      </c>
      <c r="Q1978">
        <v>589485.13</v>
      </c>
      <c r="R1978">
        <v>0.251336714</v>
      </c>
      <c r="S1978">
        <v>9048.121719000001</v>
      </c>
      <c r="T1978">
        <v>138741.3</v>
      </c>
    </row>
    <row r="1979" spans="1:20">
      <c r="A1979" t="s">
        <v>20</v>
      </c>
      <c r="B1979" t="s">
        <v>754</v>
      </c>
      <c r="C1979">
        <v>301049751</v>
      </c>
      <c r="D1979">
        <v>73231000</v>
      </c>
      <c r="E1979" t="s">
        <v>2650</v>
      </c>
      <c r="N1979">
        <v>114432</v>
      </c>
      <c r="O1979" t="s">
        <v>2751</v>
      </c>
      <c r="P1979">
        <v>11.24517451</v>
      </c>
      <c r="Q1979">
        <v>1286807.81</v>
      </c>
      <c r="R1979">
        <v>0.172604367</v>
      </c>
      <c r="S1979">
        <v>19751.46293</v>
      </c>
      <c r="T1979">
        <v>388024</v>
      </c>
    </row>
    <row r="1980" spans="1:20">
      <c r="A1980" t="s">
        <v>20</v>
      </c>
      <c r="B1980" t="s">
        <v>755</v>
      </c>
      <c r="C1980">
        <v>301049751</v>
      </c>
      <c r="D1980">
        <v>73239990</v>
      </c>
      <c r="E1980" t="s">
        <v>2486</v>
      </c>
      <c r="N1980">
        <v>49776</v>
      </c>
      <c r="O1980" t="s">
        <v>2748</v>
      </c>
      <c r="P1980">
        <v>76.9413167</v>
      </c>
      <c r="Q1980">
        <v>3829830.98</v>
      </c>
      <c r="R1980">
        <v>1.180987209</v>
      </c>
      <c r="S1980">
        <v>58784.81934</v>
      </c>
      <c r="T1980">
        <v>901389</v>
      </c>
    </row>
    <row r="1981" spans="1:20">
      <c r="A1981" t="s">
        <v>20</v>
      </c>
      <c r="B1981" t="s">
        <v>756</v>
      </c>
      <c r="C1981">
        <v>301049751</v>
      </c>
      <c r="D1981">
        <v>73239990</v>
      </c>
      <c r="E1981" t="s">
        <v>2651</v>
      </c>
      <c r="N1981">
        <v>10200</v>
      </c>
      <c r="O1981" t="s">
        <v>2748</v>
      </c>
      <c r="P1981">
        <v>48.84181863</v>
      </c>
      <c r="Q1981">
        <v>498186.55</v>
      </c>
      <c r="R1981">
        <v>0.756650947</v>
      </c>
      <c r="S1981">
        <v>7717.839659</v>
      </c>
      <c r="T1981">
        <v>117253.3</v>
      </c>
    </row>
    <row r="1982" spans="1:20">
      <c r="A1982" t="s">
        <v>20</v>
      </c>
      <c r="B1982" t="s">
        <v>757</v>
      </c>
      <c r="C1982">
        <v>301049751</v>
      </c>
      <c r="D1982">
        <v>73239990</v>
      </c>
      <c r="E1982" t="s">
        <v>2652</v>
      </c>
      <c r="N1982">
        <v>18864</v>
      </c>
      <c r="O1982" t="s">
        <v>2748</v>
      </c>
      <c r="P1982">
        <v>74.11411366</v>
      </c>
      <c r="Q1982">
        <v>1398088.64</v>
      </c>
      <c r="R1982">
        <v>1.136719535</v>
      </c>
      <c r="S1982">
        <v>21443.0773</v>
      </c>
      <c r="T1982">
        <v>329054.2</v>
      </c>
    </row>
    <row r="1983" spans="1:20">
      <c r="A1983" t="s">
        <v>20</v>
      </c>
      <c r="B1983" t="s">
        <v>757</v>
      </c>
      <c r="C1983">
        <v>301049751</v>
      </c>
      <c r="D1983">
        <v>73239990</v>
      </c>
      <c r="E1983" t="s">
        <v>2653</v>
      </c>
      <c r="N1983">
        <v>23040</v>
      </c>
      <c r="O1983" t="s">
        <v>2748</v>
      </c>
      <c r="P1983">
        <v>81.71201910000001</v>
      </c>
      <c r="Q1983">
        <v>1882644.92</v>
      </c>
      <c r="R1983">
        <v>1.253251827</v>
      </c>
      <c r="S1983">
        <v>28874.92209</v>
      </c>
      <c r="T1983">
        <v>443099.3</v>
      </c>
    </row>
    <row r="1984" spans="1:20">
      <c r="A1984" t="s">
        <v>20</v>
      </c>
      <c r="B1984" t="s">
        <v>758</v>
      </c>
      <c r="C1984">
        <v>301049751</v>
      </c>
      <c r="D1984">
        <v>73239990</v>
      </c>
      <c r="E1984" t="s">
        <v>2654</v>
      </c>
      <c r="N1984">
        <v>2592</v>
      </c>
      <c r="O1984" t="s">
        <v>2748</v>
      </c>
      <c r="P1984">
        <v>618.784483</v>
      </c>
      <c r="Q1984">
        <v>1603889.38</v>
      </c>
      <c r="R1984">
        <v>9.490559555999999</v>
      </c>
      <c r="S1984">
        <v>24599.53037</v>
      </c>
      <c r="T1984">
        <v>377491.4</v>
      </c>
    </row>
    <row r="1985" spans="1:20">
      <c r="A1985" t="s">
        <v>20</v>
      </c>
      <c r="B1985" t="s">
        <v>758</v>
      </c>
      <c r="C1985">
        <v>301049751</v>
      </c>
      <c r="D1985">
        <v>73239990</v>
      </c>
      <c r="E1985" t="s">
        <v>2655</v>
      </c>
      <c r="N1985">
        <v>54000</v>
      </c>
      <c r="O1985" t="s">
        <v>2748</v>
      </c>
      <c r="P1985">
        <v>31.03236278</v>
      </c>
      <c r="Q1985">
        <v>1675747.59</v>
      </c>
      <c r="R1985">
        <v>0.475956484</v>
      </c>
      <c r="S1985">
        <v>25701.65015</v>
      </c>
      <c r="T1985">
        <v>394404</v>
      </c>
    </row>
    <row r="1986" spans="1:20">
      <c r="A1986" t="s">
        <v>20</v>
      </c>
      <c r="B1986" t="s">
        <v>758</v>
      </c>
      <c r="C1986">
        <v>301049751</v>
      </c>
      <c r="D1986">
        <v>73239990</v>
      </c>
      <c r="E1986" t="s">
        <v>2656</v>
      </c>
      <c r="N1986">
        <v>14976</v>
      </c>
      <c r="O1986" t="s">
        <v>2751</v>
      </c>
      <c r="P1986">
        <v>38.68251068</v>
      </c>
      <c r="Q1986">
        <v>579309.28</v>
      </c>
      <c r="R1986">
        <v>0.593290041</v>
      </c>
      <c r="S1986">
        <v>8885.111655999999</v>
      </c>
      <c r="T1986">
        <v>136346.2</v>
      </c>
    </row>
    <row r="1987" spans="1:20">
      <c r="A1987" t="s">
        <v>20</v>
      </c>
      <c r="B1987" t="s">
        <v>758</v>
      </c>
      <c r="C1987">
        <v>301049751</v>
      </c>
      <c r="D1987">
        <v>73239990</v>
      </c>
      <c r="E1987" t="s">
        <v>2657</v>
      </c>
      <c r="N1987">
        <v>12852</v>
      </c>
      <c r="O1987" t="s">
        <v>2748</v>
      </c>
      <c r="P1987">
        <v>73.89808979</v>
      </c>
      <c r="Q1987">
        <v>949738.25</v>
      </c>
      <c r="R1987">
        <v>1.133406285</v>
      </c>
      <c r="S1987">
        <v>14566.53758</v>
      </c>
      <c r="T1987">
        <v>223530.4</v>
      </c>
    </row>
    <row r="1988" spans="1:20">
      <c r="A1988" t="s">
        <v>20</v>
      </c>
      <c r="B1988" t="s">
        <v>758</v>
      </c>
      <c r="C1988">
        <v>301049751</v>
      </c>
      <c r="D1988">
        <v>73239990</v>
      </c>
      <c r="E1988" t="s">
        <v>2658</v>
      </c>
      <c r="N1988">
        <v>18000</v>
      </c>
      <c r="O1988" t="s">
        <v>2748</v>
      </c>
      <c r="P1988">
        <v>81.47384889</v>
      </c>
      <c r="Q1988">
        <v>1466529.28</v>
      </c>
      <c r="R1988">
        <v>1.249598909</v>
      </c>
      <c r="S1988">
        <v>22492.78037</v>
      </c>
      <c r="T1988">
        <v>345162.3</v>
      </c>
    </row>
    <row r="1989" spans="1:20">
      <c r="A1989" t="s">
        <v>20</v>
      </c>
      <c r="B1989" t="s">
        <v>759</v>
      </c>
      <c r="C1989">
        <v>301049751</v>
      </c>
      <c r="D1989">
        <v>73231000</v>
      </c>
      <c r="E1989" t="s">
        <v>2659</v>
      </c>
      <c r="N1989">
        <v>3000</v>
      </c>
      <c r="O1989" t="s">
        <v>2748</v>
      </c>
      <c r="P1989">
        <v>13.43324333</v>
      </c>
      <c r="Q1989">
        <v>40299.73</v>
      </c>
      <c r="R1989">
        <v>0.206031339</v>
      </c>
      <c r="S1989">
        <v>618.0940184</v>
      </c>
      <c r="T1989">
        <v>12152</v>
      </c>
    </row>
    <row r="1990" spans="1:20">
      <c r="A1990" t="s">
        <v>20</v>
      </c>
      <c r="B1990" t="s">
        <v>760</v>
      </c>
      <c r="C1990">
        <v>301049751</v>
      </c>
      <c r="D1990">
        <v>73239990</v>
      </c>
      <c r="E1990" t="s">
        <v>2649</v>
      </c>
      <c r="N1990">
        <v>36000</v>
      </c>
      <c r="O1990" t="s">
        <v>2748</v>
      </c>
      <c r="P1990">
        <v>16.27491306</v>
      </c>
      <c r="Q1990">
        <v>585896.87</v>
      </c>
      <c r="R1990">
        <v>0.249615231</v>
      </c>
      <c r="S1990">
        <v>8986.148313</v>
      </c>
      <c r="T1990">
        <v>137896.7</v>
      </c>
    </row>
    <row r="1991" spans="1:20">
      <c r="A1991" t="s">
        <v>20</v>
      </c>
      <c r="B1991" t="s">
        <v>761</v>
      </c>
      <c r="C1991">
        <v>301049751</v>
      </c>
      <c r="D1991">
        <v>73239990</v>
      </c>
      <c r="E1991" t="s">
        <v>2660</v>
      </c>
      <c r="N1991">
        <v>12</v>
      </c>
      <c r="O1991" t="s">
        <v>2748</v>
      </c>
      <c r="P1991">
        <v>1728.281667</v>
      </c>
      <c r="Q1991">
        <v>20739.38</v>
      </c>
      <c r="R1991">
        <v>26.50738753</v>
      </c>
      <c r="S1991">
        <v>318.0886503</v>
      </c>
      <c r="T1991">
        <v>4881.2</v>
      </c>
    </row>
    <row r="1992" spans="1:20">
      <c r="A1992" t="s">
        <v>20</v>
      </c>
      <c r="B1992" t="s">
        <v>761</v>
      </c>
      <c r="C1992">
        <v>301049751</v>
      </c>
      <c r="D1992">
        <v>73239990</v>
      </c>
      <c r="E1992" t="s">
        <v>2661</v>
      </c>
      <c r="N1992">
        <v>1800</v>
      </c>
      <c r="O1992" t="s">
        <v>2748</v>
      </c>
      <c r="P1992">
        <v>819.8969944</v>
      </c>
      <c r="Q1992">
        <v>1475814.59</v>
      </c>
      <c r="R1992">
        <v>12.57510728</v>
      </c>
      <c r="S1992">
        <v>22635.1931</v>
      </c>
      <c r="T1992">
        <v>347347.7</v>
      </c>
    </row>
    <row r="1993" spans="1:20">
      <c r="A1993" t="s">
        <v>20</v>
      </c>
      <c r="B1993" t="s">
        <v>762</v>
      </c>
      <c r="C1993">
        <v>301049751</v>
      </c>
      <c r="D1993">
        <v>73239990</v>
      </c>
      <c r="E1993" t="s">
        <v>2654</v>
      </c>
      <c r="N1993">
        <v>3888</v>
      </c>
      <c r="O1993" t="s">
        <v>2748</v>
      </c>
      <c r="P1993">
        <v>641.2903832</v>
      </c>
      <c r="Q1993">
        <v>2493337.01</v>
      </c>
      <c r="R1993">
        <v>9.768322669</v>
      </c>
      <c r="S1993">
        <v>37979.23854</v>
      </c>
      <c r="T1993">
        <v>586831.8</v>
      </c>
    </row>
    <row r="1994" spans="1:20">
      <c r="A1994" t="s">
        <v>20</v>
      </c>
      <c r="B1994" t="s">
        <v>762</v>
      </c>
      <c r="C1994">
        <v>301049751</v>
      </c>
      <c r="D1994">
        <v>73239990</v>
      </c>
      <c r="E1994" t="s">
        <v>2662</v>
      </c>
      <c r="N1994">
        <v>13608</v>
      </c>
      <c r="O1994" t="s">
        <v>2748</v>
      </c>
      <c r="P1994">
        <v>82.38369268</v>
      </c>
      <c r="Q1994">
        <v>1121077.29</v>
      </c>
      <c r="R1994">
        <v>1.254892501</v>
      </c>
      <c r="S1994">
        <v>17076.57715</v>
      </c>
      <c r="T1994">
        <v>263856.8</v>
      </c>
    </row>
    <row r="1995" spans="1:20">
      <c r="A1995" t="s">
        <v>20</v>
      </c>
      <c r="B1995" t="s">
        <v>762</v>
      </c>
      <c r="C1995">
        <v>301049751</v>
      </c>
      <c r="D1995">
        <v>73239990</v>
      </c>
      <c r="E1995" t="s">
        <v>2663</v>
      </c>
      <c r="N1995">
        <v>7056</v>
      </c>
      <c r="O1995" t="s">
        <v>2748</v>
      </c>
      <c r="P1995">
        <v>94.70990930000001</v>
      </c>
      <c r="Q1995">
        <v>668273.12</v>
      </c>
      <c r="R1995">
        <v>1.442649037</v>
      </c>
      <c r="S1995">
        <v>10179.33161</v>
      </c>
      <c r="T1995">
        <v>157284.7</v>
      </c>
    </row>
    <row r="1996" spans="1:20">
      <c r="A1996" t="s">
        <v>20</v>
      </c>
      <c r="B1996" t="s">
        <v>762</v>
      </c>
      <c r="C1996">
        <v>301049751</v>
      </c>
      <c r="D1996">
        <v>73239990</v>
      </c>
      <c r="E1996" t="s">
        <v>2664</v>
      </c>
      <c r="N1996">
        <v>11232</v>
      </c>
      <c r="O1996" t="s">
        <v>2748</v>
      </c>
      <c r="P1996">
        <v>74.72333243999999</v>
      </c>
      <c r="Q1996">
        <v>839292.47</v>
      </c>
      <c r="R1996">
        <v>1.138207653</v>
      </c>
      <c r="S1996">
        <v>12784.34836</v>
      </c>
      <c r="T1996">
        <v>197535.9</v>
      </c>
    </row>
    <row r="1997" spans="1:20">
      <c r="A1997" t="s">
        <v>20</v>
      </c>
      <c r="B1997" t="s">
        <v>762</v>
      </c>
      <c r="C1997">
        <v>301049751</v>
      </c>
      <c r="D1997">
        <v>73239990</v>
      </c>
      <c r="E1997" t="s">
        <v>2665</v>
      </c>
      <c r="N1997">
        <v>37248</v>
      </c>
      <c r="O1997" t="s">
        <v>2748</v>
      </c>
      <c r="P1997">
        <v>35.54962656</v>
      </c>
      <c r="Q1997">
        <v>1324152.49</v>
      </c>
      <c r="R1997">
        <v>0.541502309</v>
      </c>
      <c r="S1997">
        <v>20169.87799</v>
      </c>
      <c r="T1997">
        <v>311652.5</v>
      </c>
    </row>
    <row r="1998" spans="1:20">
      <c r="A1998" t="s">
        <v>20</v>
      </c>
      <c r="B1998" t="s">
        <v>762</v>
      </c>
      <c r="C1998">
        <v>301049751</v>
      </c>
      <c r="D1998">
        <v>73239990</v>
      </c>
      <c r="E1998" t="s">
        <v>2666</v>
      </c>
      <c r="N1998">
        <v>15120</v>
      </c>
      <c r="O1998" t="s">
        <v>2751</v>
      </c>
      <c r="P1998">
        <v>38.79141799</v>
      </c>
      <c r="Q1998">
        <v>586526.24</v>
      </c>
      <c r="R1998">
        <v>0.590882224</v>
      </c>
      <c r="S1998">
        <v>8934.139223</v>
      </c>
      <c r="T1998">
        <v>138044.8</v>
      </c>
    </row>
    <row r="1999" spans="1:20">
      <c r="A1999" t="s">
        <v>20</v>
      </c>
      <c r="B1999" t="s">
        <v>762</v>
      </c>
      <c r="C1999">
        <v>301049751</v>
      </c>
      <c r="D1999">
        <v>73239990</v>
      </c>
      <c r="E1999" t="s">
        <v>2667</v>
      </c>
      <c r="N1999">
        <v>51000</v>
      </c>
      <c r="O1999" t="s">
        <v>2748</v>
      </c>
      <c r="P1999">
        <v>15.11724373</v>
      </c>
      <c r="Q1999">
        <v>770979.4300000001</v>
      </c>
      <c r="R1999">
        <v>0.230270278</v>
      </c>
      <c r="S1999">
        <v>11743.78416</v>
      </c>
      <c r="T1999">
        <v>181457.7</v>
      </c>
    </row>
    <row r="2000" spans="1:20">
      <c r="A2000" t="s">
        <v>20</v>
      </c>
      <c r="B2000" t="s">
        <v>763</v>
      </c>
      <c r="C2000">
        <v>301049751</v>
      </c>
      <c r="D2000">
        <v>73239990</v>
      </c>
      <c r="E2000" t="s">
        <v>2668</v>
      </c>
      <c r="N2000">
        <v>13020</v>
      </c>
      <c r="O2000" t="s">
        <v>2748</v>
      </c>
      <c r="P2000">
        <v>174.8649171</v>
      </c>
      <c r="Q2000">
        <v>2276741.22</v>
      </c>
      <c r="R2000">
        <v>2.663593558</v>
      </c>
      <c r="S2000">
        <v>34679.98812</v>
      </c>
      <c r="T2000">
        <v>535853.8</v>
      </c>
    </row>
    <row r="2001" spans="1:20">
      <c r="A2001" t="s">
        <v>20</v>
      </c>
      <c r="B2001" t="s">
        <v>763</v>
      </c>
      <c r="C2001">
        <v>301049751</v>
      </c>
      <c r="D2001">
        <v>73239990</v>
      </c>
      <c r="E2001" t="s">
        <v>2669</v>
      </c>
      <c r="N2001">
        <v>20040</v>
      </c>
      <c r="O2001" t="s">
        <v>2748</v>
      </c>
      <c r="P2001">
        <v>54.37664421</v>
      </c>
      <c r="Q2001">
        <v>1089707.95</v>
      </c>
      <c r="R2001">
        <v>0.828280948</v>
      </c>
      <c r="S2001">
        <v>16598.75019</v>
      </c>
      <c r="T2001">
        <v>256473.6</v>
      </c>
    </row>
    <row r="2002" spans="1:20">
      <c r="A2002" t="s">
        <v>20</v>
      </c>
      <c r="B2002" t="s">
        <v>763</v>
      </c>
      <c r="C2002">
        <v>301049751</v>
      </c>
      <c r="D2002">
        <v>73239990</v>
      </c>
      <c r="E2002" t="s">
        <v>2670</v>
      </c>
      <c r="N2002">
        <v>3504</v>
      </c>
      <c r="O2002" t="s">
        <v>2748</v>
      </c>
      <c r="P2002">
        <v>241.6588813</v>
      </c>
      <c r="Q2002">
        <v>846772.72</v>
      </c>
      <c r="R2002">
        <v>3.681018755</v>
      </c>
      <c r="S2002">
        <v>12898.28972</v>
      </c>
      <c r="T2002">
        <v>199296.4</v>
      </c>
    </row>
    <row r="2003" spans="1:20">
      <c r="A2003" t="s">
        <v>20</v>
      </c>
      <c r="B2003" t="s">
        <v>764</v>
      </c>
      <c r="C2003">
        <v>301049751</v>
      </c>
      <c r="D2003">
        <v>73239990</v>
      </c>
      <c r="E2003" t="s">
        <v>2671</v>
      </c>
      <c r="N2003">
        <v>13152</v>
      </c>
      <c r="O2003" t="s">
        <v>2748</v>
      </c>
      <c r="P2003">
        <v>35.35496731</v>
      </c>
      <c r="Q2003">
        <v>464988.53</v>
      </c>
      <c r="R2003">
        <v>0.538537202</v>
      </c>
      <c r="S2003">
        <v>7082.84128</v>
      </c>
      <c r="T2003">
        <v>109439.8</v>
      </c>
    </row>
    <row r="2004" spans="1:20">
      <c r="A2004" t="s">
        <v>20</v>
      </c>
      <c r="B2004" t="s">
        <v>765</v>
      </c>
      <c r="C2004">
        <v>301049751</v>
      </c>
      <c r="D2004">
        <v>73239990</v>
      </c>
      <c r="E2004" t="s">
        <v>2672</v>
      </c>
      <c r="N2004">
        <v>41220</v>
      </c>
      <c r="O2004" t="s">
        <v>2748</v>
      </c>
      <c r="P2004">
        <v>74.01688136999999</v>
      </c>
      <c r="Q2004">
        <v>3050975.85</v>
      </c>
      <c r="R2004">
        <v>1.136099484</v>
      </c>
      <c r="S2004">
        <v>46830.02072</v>
      </c>
      <c r="T2004">
        <v>718077.8</v>
      </c>
    </row>
    <row r="2005" spans="1:20">
      <c r="A2005" t="s">
        <v>20</v>
      </c>
      <c r="B2005" t="s">
        <v>765</v>
      </c>
      <c r="C2005">
        <v>301049751</v>
      </c>
      <c r="D2005">
        <v>73239990</v>
      </c>
      <c r="E2005" t="s">
        <v>2673</v>
      </c>
      <c r="N2005">
        <v>43056</v>
      </c>
      <c r="O2005" t="s">
        <v>2748</v>
      </c>
      <c r="P2005">
        <v>81.60481883999999</v>
      </c>
      <c r="Q2005">
        <v>3513577.08</v>
      </c>
      <c r="R2005">
        <v>1.252568209</v>
      </c>
      <c r="S2005">
        <v>53930.57682</v>
      </c>
      <c r="T2005">
        <v>826955.6</v>
      </c>
    </row>
    <row r="2006" spans="1:20">
      <c r="A2006" t="s">
        <v>20</v>
      </c>
      <c r="B2006" t="s">
        <v>766</v>
      </c>
      <c r="C2006">
        <v>301049751</v>
      </c>
      <c r="D2006">
        <v>73231000</v>
      </c>
      <c r="E2006" t="s">
        <v>2674</v>
      </c>
      <c r="N2006">
        <v>114432</v>
      </c>
      <c r="O2006" t="s">
        <v>2751</v>
      </c>
      <c r="P2006">
        <v>10.59074953</v>
      </c>
      <c r="Q2006">
        <v>1211920.65</v>
      </c>
      <c r="R2006">
        <v>0.162559471</v>
      </c>
      <c r="S2006">
        <v>18602.00537</v>
      </c>
      <c r="T2006">
        <v>365442.5</v>
      </c>
    </row>
    <row r="2007" spans="1:20">
      <c r="A2007" t="s">
        <v>20</v>
      </c>
      <c r="B2007" t="s">
        <v>767</v>
      </c>
      <c r="C2007">
        <v>301049751</v>
      </c>
      <c r="D2007">
        <v>73239990</v>
      </c>
      <c r="E2007" t="s">
        <v>2675</v>
      </c>
      <c r="N2007">
        <v>500</v>
      </c>
      <c r="O2007" t="s">
        <v>2748</v>
      </c>
      <c r="P2007">
        <v>119.4809</v>
      </c>
      <c r="Q2007">
        <v>59740.45</v>
      </c>
      <c r="R2007">
        <v>1.833935533</v>
      </c>
      <c r="S2007">
        <v>916.9677667</v>
      </c>
      <c r="T2007">
        <v>14060.5</v>
      </c>
    </row>
    <row r="2008" spans="1:20">
      <c r="A2008" t="s">
        <v>20</v>
      </c>
      <c r="B2008" t="s">
        <v>767</v>
      </c>
      <c r="C2008">
        <v>301049751</v>
      </c>
      <c r="D2008">
        <v>73239990</v>
      </c>
      <c r="E2008" t="s">
        <v>2676</v>
      </c>
      <c r="N2008">
        <v>10224</v>
      </c>
      <c r="O2008" t="s">
        <v>2751</v>
      </c>
      <c r="P2008">
        <v>37.95275528</v>
      </c>
      <c r="Q2008">
        <v>388028.97</v>
      </c>
      <c r="R2008">
        <v>0.58254421</v>
      </c>
      <c r="S2008">
        <v>5955.932003</v>
      </c>
      <c r="T2008">
        <v>91326.5</v>
      </c>
    </row>
    <row r="2009" spans="1:20">
      <c r="A2009" t="s">
        <v>20</v>
      </c>
      <c r="B2009" t="s">
        <v>767</v>
      </c>
      <c r="C2009">
        <v>301049751</v>
      </c>
      <c r="D2009">
        <v>73239990</v>
      </c>
      <c r="E2009" t="s">
        <v>2677</v>
      </c>
      <c r="N2009">
        <v>36000</v>
      </c>
      <c r="O2009" t="s">
        <v>2748</v>
      </c>
      <c r="P2009">
        <v>16.30562833</v>
      </c>
      <c r="Q2009">
        <v>587002.62</v>
      </c>
      <c r="R2009">
        <v>0.250278255</v>
      </c>
      <c r="S2009">
        <v>9010.017191000001</v>
      </c>
      <c r="T2009">
        <v>138157</v>
      </c>
    </row>
    <row r="2010" spans="1:20">
      <c r="A2010" t="s">
        <v>20</v>
      </c>
      <c r="B2010" t="s">
        <v>767</v>
      </c>
      <c r="C2010">
        <v>301049751</v>
      </c>
      <c r="D2010">
        <v>73239990</v>
      </c>
      <c r="E2010" t="s">
        <v>2678</v>
      </c>
      <c r="N2010">
        <v>48000</v>
      </c>
      <c r="O2010" t="s">
        <v>2748</v>
      </c>
      <c r="P2010">
        <v>31.62729604</v>
      </c>
      <c r="Q2010">
        <v>1518110.21</v>
      </c>
      <c r="R2010">
        <v>0.485453508</v>
      </c>
      <c r="S2010">
        <v>23301.76838</v>
      </c>
      <c r="T2010">
        <v>357302.4</v>
      </c>
    </row>
    <row r="2011" spans="1:20">
      <c r="A2011" t="s">
        <v>20</v>
      </c>
      <c r="B2011" t="s">
        <v>768</v>
      </c>
      <c r="C2011">
        <v>301049751</v>
      </c>
      <c r="D2011">
        <v>73231000</v>
      </c>
      <c r="E2011" t="s">
        <v>2679</v>
      </c>
      <c r="N2011">
        <v>319248</v>
      </c>
      <c r="O2011" t="s">
        <v>2748</v>
      </c>
      <c r="P2011">
        <v>4.757571105</v>
      </c>
      <c r="Q2011">
        <v>1518845.06</v>
      </c>
      <c r="R2011">
        <v>0.07302488265</v>
      </c>
      <c r="S2011">
        <v>23313.04774</v>
      </c>
      <c r="T2011">
        <v>259692.2</v>
      </c>
    </row>
    <row r="2012" spans="1:20">
      <c r="A2012" t="s">
        <v>20</v>
      </c>
      <c r="B2012" t="s">
        <v>769</v>
      </c>
      <c r="C2012">
        <v>301049751</v>
      </c>
      <c r="D2012">
        <v>73239990</v>
      </c>
      <c r="E2012" t="s">
        <v>2680</v>
      </c>
      <c r="N2012">
        <v>30600</v>
      </c>
      <c r="O2012" t="s">
        <v>2748</v>
      </c>
      <c r="P2012">
        <v>21.86858268</v>
      </c>
      <c r="Q2012">
        <v>669178.63</v>
      </c>
      <c r="R2012">
        <v>0.334637837</v>
      </c>
      <c r="S2012">
        <v>10239.91783</v>
      </c>
      <c r="T2012">
        <v>114416.2</v>
      </c>
    </row>
    <row r="2013" spans="1:20">
      <c r="A2013" t="s">
        <v>20</v>
      </c>
      <c r="B2013" t="s">
        <v>770</v>
      </c>
      <c r="C2013">
        <v>301049751</v>
      </c>
      <c r="D2013">
        <v>73239990</v>
      </c>
      <c r="E2013" t="s">
        <v>2681</v>
      </c>
      <c r="N2013">
        <v>42264</v>
      </c>
      <c r="O2013" t="s">
        <v>2748</v>
      </c>
      <c r="P2013">
        <v>81.23973807</v>
      </c>
      <c r="Q2013">
        <v>3433516.29</v>
      </c>
      <c r="R2013">
        <v>1.243148249</v>
      </c>
      <c r="S2013">
        <v>52540.4176</v>
      </c>
      <c r="T2013">
        <v>587062.6</v>
      </c>
    </row>
    <row r="2014" spans="1:20">
      <c r="A2014" t="s">
        <v>20</v>
      </c>
      <c r="B2014" t="s">
        <v>771</v>
      </c>
      <c r="C2014">
        <v>301049751</v>
      </c>
      <c r="D2014">
        <v>73239990</v>
      </c>
      <c r="E2014" t="s">
        <v>2682</v>
      </c>
      <c r="N2014">
        <v>20160</v>
      </c>
      <c r="O2014" t="s">
        <v>2748</v>
      </c>
      <c r="P2014">
        <v>32.42696429</v>
      </c>
      <c r="Q2014">
        <v>653727.6</v>
      </c>
      <c r="R2014">
        <v>0.496204503</v>
      </c>
      <c r="S2014">
        <v>10003.48279</v>
      </c>
      <c r="T2014">
        <v>111774.4</v>
      </c>
    </row>
    <row r="2015" spans="1:20">
      <c r="A2015" t="s">
        <v>20</v>
      </c>
      <c r="B2015" t="s">
        <v>771</v>
      </c>
      <c r="C2015">
        <v>301049751</v>
      </c>
      <c r="D2015">
        <v>73239990</v>
      </c>
      <c r="E2015" t="s">
        <v>2683</v>
      </c>
      <c r="N2015">
        <v>79920</v>
      </c>
      <c r="O2015" t="s">
        <v>2748</v>
      </c>
      <c r="P2015">
        <v>21.59483058</v>
      </c>
      <c r="Q2015">
        <v>1725858.86</v>
      </c>
      <c r="R2015">
        <v>0.330448823</v>
      </c>
      <c r="S2015">
        <v>26409.46993</v>
      </c>
      <c r="T2015">
        <v>295087.4</v>
      </c>
    </row>
    <row r="2016" spans="1:20">
      <c r="A2016" t="s">
        <v>20</v>
      </c>
      <c r="B2016" t="s">
        <v>772</v>
      </c>
      <c r="C2016">
        <v>301049751</v>
      </c>
      <c r="D2016">
        <v>73239990</v>
      </c>
      <c r="E2016" t="s">
        <v>2684</v>
      </c>
      <c r="N2016">
        <v>4200</v>
      </c>
      <c r="O2016" t="s">
        <v>2748</v>
      </c>
      <c r="P2016">
        <v>28.75608333</v>
      </c>
      <c r="Q2016">
        <v>120775.55</v>
      </c>
      <c r="R2016">
        <v>0.44003188</v>
      </c>
      <c r="S2016">
        <v>1848.133894</v>
      </c>
      <c r="T2016">
        <v>20650.3</v>
      </c>
    </row>
    <row r="2017" spans="1:20">
      <c r="A2017" t="s">
        <v>20</v>
      </c>
      <c r="B2017" t="s">
        <v>772</v>
      </c>
      <c r="C2017">
        <v>301049751</v>
      </c>
      <c r="D2017">
        <v>73239990</v>
      </c>
      <c r="E2017" t="s">
        <v>2685</v>
      </c>
      <c r="N2017">
        <v>31800</v>
      </c>
      <c r="O2017" t="s">
        <v>2748</v>
      </c>
      <c r="P2017">
        <v>27.58596447</v>
      </c>
      <c r="Q2017">
        <v>877233.67</v>
      </c>
      <c r="R2017">
        <v>0.422126465</v>
      </c>
      <c r="S2017">
        <v>13423.62158</v>
      </c>
      <c r="T2017">
        <v>149989.4</v>
      </c>
    </row>
    <row r="2018" spans="1:20">
      <c r="A2018" t="s">
        <v>20</v>
      </c>
      <c r="B2018" t="s">
        <v>772</v>
      </c>
      <c r="C2018">
        <v>301049751</v>
      </c>
      <c r="D2018">
        <v>73239990</v>
      </c>
      <c r="E2018" t="s">
        <v>2686</v>
      </c>
      <c r="N2018">
        <v>38400</v>
      </c>
      <c r="O2018" t="s">
        <v>2748</v>
      </c>
      <c r="P2018">
        <v>14.59611797</v>
      </c>
      <c r="Q2018">
        <v>560490.9300000001</v>
      </c>
      <c r="R2018">
        <v>0.223352991</v>
      </c>
      <c r="S2018">
        <v>8576.754858</v>
      </c>
      <c r="T2018">
        <v>95832.7</v>
      </c>
    </row>
    <row r="2019" spans="1:20">
      <c r="A2019" t="s">
        <v>20</v>
      </c>
      <c r="B2019" t="s">
        <v>772</v>
      </c>
      <c r="C2019">
        <v>301049751</v>
      </c>
      <c r="D2019">
        <v>73239990</v>
      </c>
      <c r="E2019" t="s">
        <v>2687</v>
      </c>
      <c r="N2019">
        <v>30000</v>
      </c>
      <c r="O2019" t="s">
        <v>2748</v>
      </c>
      <c r="P2019">
        <v>30.58899367</v>
      </c>
      <c r="Q2019">
        <v>917669.8100000001</v>
      </c>
      <c r="R2019">
        <v>0.468079475</v>
      </c>
      <c r="S2019">
        <v>14042.38424</v>
      </c>
      <c r="T2019">
        <v>156903.2</v>
      </c>
    </row>
    <row r="2020" spans="1:20">
      <c r="A2020" t="s">
        <v>20</v>
      </c>
      <c r="B2020" t="s">
        <v>772</v>
      </c>
      <c r="C2020">
        <v>301049751</v>
      </c>
      <c r="D2020">
        <v>73239990</v>
      </c>
      <c r="E2020" t="s">
        <v>2688</v>
      </c>
      <c r="N2020">
        <v>115848</v>
      </c>
      <c r="O2020" t="s">
        <v>2748</v>
      </c>
      <c r="P2020">
        <v>24.25582418</v>
      </c>
      <c r="Q2020">
        <v>2809988.72</v>
      </c>
      <c r="R2020">
        <v>0.371167929</v>
      </c>
      <c r="S2020">
        <v>42999.06228</v>
      </c>
      <c r="T2020">
        <v>480452</v>
      </c>
    </row>
    <row r="2021" spans="1:20">
      <c r="A2021" t="s">
        <v>20</v>
      </c>
      <c r="B2021" t="s">
        <v>773</v>
      </c>
      <c r="C2021">
        <v>301049751</v>
      </c>
      <c r="D2021">
        <v>73239990</v>
      </c>
      <c r="E2021" t="s">
        <v>2689</v>
      </c>
      <c r="N2021">
        <v>9900</v>
      </c>
      <c r="O2021" t="s">
        <v>2748</v>
      </c>
      <c r="P2021">
        <v>39.04787475</v>
      </c>
      <c r="Q2021">
        <v>386573.96</v>
      </c>
      <c r="R2021">
        <v>0.597976642</v>
      </c>
      <c r="S2021">
        <v>5919.96876</v>
      </c>
      <c r="T2021">
        <v>66096.39999999999</v>
      </c>
    </row>
    <row r="2022" spans="1:20">
      <c r="A2022" t="s">
        <v>20</v>
      </c>
      <c r="B2022" t="s">
        <v>773</v>
      </c>
      <c r="C2022">
        <v>301049751</v>
      </c>
      <c r="D2022">
        <v>73239990</v>
      </c>
      <c r="E2022" t="s">
        <v>2690</v>
      </c>
      <c r="N2022">
        <v>480</v>
      </c>
      <c r="O2022" t="s">
        <v>2748</v>
      </c>
      <c r="P2022">
        <v>112.3679792</v>
      </c>
      <c r="Q2022">
        <v>53936.63</v>
      </c>
      <c r="R2022">
        <v>1.720796006</v>
      </c>
      <c r="S2022">
        <v>825.9820827</v>
      </c>
      <c r="T2022">
        <v>9222.1</v>
      </c>
    </row>
    <row r="2023" spans="1:20">
      <c r="A2023" t="s">
        <v>20</v>
      </c>
      <c r="B2023" t="s">
        <v>773</v>
      </c>
      <c r="C2023">
        <v>301049751</v>
      </c>
      <c r="D2023">
        <v>73239990</v>
      </c>
      <c r="E2023" t="s">
        <v>2691</v>
      </c>
      <c r="N2023">
        <v>42000</v>
      </c>
      <c r="O2023" t="s">
        <v>2748</v>
      </c>
      <c r="P2023">
        <v>14.6078381</v>
      </c>
      <c r="Q2023">
        <v>613529.2</v>
      </c>
      <c r="R2023">
        <v>0.223703493</v>
      </c>
      <c r="S2023">
        <v>9395.546708</v>
      </c>
      <c r="T2023">
        <v>104901.2</v>
      </c>
    </row>
    <row r="2024" spans="1:20">
      <c r="A2024" t="s">
        <v>20</v>
      </c>
      <c r="B2024" t="s">
        <v>773</v>
      </c>
      <c r="C2024">
        <v>301049751</v>
      </c>
      <c r="D2024">
        <v>73239990</v>
      </c>
      <c r="E2024" t="s">
        <v>2692</v>
      </c>
      <c r="N2024">
        <v>10224</v>
      </c>
      <c r="O2024" t="s">
        <v>2751</v>
      </c>
      <c r="P2024">
        <v>37.5730448</v>
      </c>
      <c r="Q2024">
        <v>384146.81</v>
      </c>
      <c r="R2024">
        <v>0.575391191</v>
      </c>
      <c r="S2024">
        <v>5882.799541</v>
      </c>
      <c r="T2024">
        <v>65681.5</v>
      </c>
    </row>
    <row r="2025" spans="1:20">
      <c r="A2025" t="s">
        <v>20</v>
      </c>
      <c r="B2025" t="s">
        <v>774</v>
      </c>
      <c r="C2025">
        <v>301049751</v>
      </c>
      <c r="D2025">
        <v>73239990</v>
      </c>
      <c r="E2025" t="s">
        <v>2693</v>
      </c>
      <c r="N2025">
        <v>17640</v>
      </c>
      <c r="O2025" t="s">
        <v>2748</v>
      </c>
      <c r="P2025">
        <v>73.67852154000001</v>
      </c>
      <c r="Q2025">
        <v>1299689.12</v>
      </c>
      <c r="R2025">
        <v>1.12830814</v>
      </c>
      <c r="S2025">
        <v>19903.35559</v>
      </c>
      <c r="T2025">
        <v>222220.9</v>
      </c>
    </row>
    <row r="2026" spans="1:20">
      <c r="A2026" t="s">
        <v>20</v>
      </c>
      <c r="B2026" t="s">
        <v>774</v>
      </c>
      <c r="C2026">
        <v>301049751</v>
      </c>
      <c r="D2026">
        <v>73239990</v>
      </c>
      <c r="E2026" t="s">
        <v>2694</v>
      </c>
      <c r="N2026">
        <v>16668</v>
      </c>
      <c r="O2026" t="s">
        <v>2748</v>
      </c>
      <c r="P2026">
        <v>81.23177166000001</v>
      </c>
      <c r="Q2026">
        <v>1353971.17</v>
      </c>
      <c r="R2026">
        <v>1.243978126</v>
      </c>
      <c r="S2026">
        <v>20734.62741</v>
      </c>
      <c r="T2026">
        <v>231502</v>
      </c>
    </row>
    <row r="2027" spans="1:20">
      <c r="A2027" t="s">
        <v>20</v>
      </c>
      <c r="B2027" t="s">
        <v>774</v>
      </c>
      <c r="C2027">
        <v>301049751</v>
      </c>
      <c r="D2027">
        <v>73239990</v>
      </c>
      <c r="E2027" t="s">
        <v>2695</v>
      </c>
      <c r="N2027">
        <v>6984</v>
      </c>
      <c r="O2027" t="s">
        <v>2748</v>
      </c>
      <c r="P2027">
        <v>97.50559278</v>
      </c>
      <c r="Q2027">
        <v>680979.0600000001</v>
      </c>
      <c r="R2027">
        <v>1.493194376</v>
      </c>
      <c r="S2027">
        <v>10428.46953</v>
      </c>
      <c r="T2027">
        <v>116433.8</v>
      </c>
    </row>
    <row r="2028" spans="1:20">
      <c r="A2028" t="s">
        <v>20</v>
      </c>
      <c r="B2028" t="s">
        <v>775</v>
      </c>
      <c r="C2028">
        <v>301049751</v>
      </c>
      <c r="D2028">
        <v>73231000</v>
      </c>
      <c r="E2028" t="s">
        <v>2696</v>
      </c>
      <c r="N2028">
        <v>100080</v>
      </c>
      <c r="O2028" t="s">
        <v>2748</v>
      </c>
      <c r="P2028">
        <v>10.52077888</v>
      </c>
      <c r="Q2028">
        <v>1052919.55</v>
      </c>
      <c r="R2028">
        <v>0.161114531</v>
      </c>
      <c r="S2028">
        <v>16124.34227</v>
      </c>
      <c r="T2028">
        <v>180028.2</v>
      </c>
    </row>
    <row r="2029" spans="1:20">
      <c r="A2029" t="s">
        <v>20</v>
      </c>
      <c r="B2029" t="s">
        <v>775</v>
      </c>
      <c r="C2029">
        <v>301049751</v>
      </c>
      <c r="D2029">
        <v>73239990</v>
      </c>
      <c r="E2029" t="s">
        <v>2697</v>
      </c>
      <c r="N2029">
        <v>24000</v>
      </c>
      <c r="O2029" t="s">
        <v>2748</v>
      </c>
      <c r="P2029">
        <v>27.74037917</v>
      </c>
      <c r="Q2029">
        <v>665769.1</v>
      </c>
      <c r="R2029">
        <v>0.424814382</v>
      </c>
      <c r="S2029">
        <v>10195.54518</v>
      </c>
      <c r="T2029">
        <v>113833.3</v>
      </c>
    </row>
    <row r="2030" spans="1:20">
      <c r="A2030" t="s">
        <v>20</v>
      </c>
      <c r="B2030" t="s">
        <v>775</v>
      </c>
      <c r="C2030">
        <v>301049751</v>
      </c>
      <c r="D2030">
        <v>73231000</v>
      </c>
      <c r="E2030" t="s">
        <v>2698</v>
      </c>
      <c r="N2030">
        <v>319248</v>
      </c>
      <c r="O2030" t="s">
        <v>2748</v>
      </c>
      <c r="P2030">
        <v>4.727564088</v>
      </c>
      <c r="Q2030">
        <v>1509265.38</v>
      </c>
      <c r="R2030">
        <v>0.072397612</v>
      </c>
      <c r="S2030">
        <v>23112.79296</v>
      </c>
      <c r="T2030">
        <v>258054.2</v>
      </c>
    </row>
    <row r="2031" spans="1:20">
      <c r="A2031" t="s">
        <v>20</v>
      </c>
      <c r="B2031" t="s">
        <v>776</v>
      </c>
      <c r="C2031">
        <v>301049751</v>
      </c>
      <c r="D2031">
        <v>73239990</v>
      </c>
      <c r="E2031" t="s">
        <v>2699</v>
      </c>
      <c r="N2031">
        <v>8640</v>
      </c>
      <c r="O2031" t="s">
        <v>2748</v>
      </c>
      <c r="P2031">
        <v>81.44256829</v>
      </c>
      <c r="Q2031">
        <v>703663.79</v>
      </c>
      <c r="R2031">
        <v>1.247206252</v>
      </c>
      <c r="S2031">
        <v>10775.86202</v>
      </c>
      <c r="T2031">
        <v>120312.5</v>
      </c>
    </row>
    <row r="2032" spans="1:20">
      <c r="A2032" t="s">
        <v>20</v>
      </c>
      <c r="B2032" t="s">
        <v>776</v>
      </c>
      <c r="C2032">
        <v>301049751</v>
      </c>
      <c r="D2032">
        <v>73239990</v>
      </c>
      <c r="E2032" t="s">
        <v>2700</v>
      </c>
      <c r="N2032">
        <v>10836</v>
      </c>
      <c r="O2032" t="s">
        <v>2748</v>
      </c>
      <c r="P2032">
        <v>97.75861942</v>
      </c>
      <c r="Q2032">
        <v>1059312.4</v>
      </c>
      <c r="R2032">
        <v>1.49706921</v>
      </c>
      <c r="S2032">
        <v>16222.24196</v>
      </c>
      <c r="T2032">
        <v>181121.2</v>
      </c>
    </row>
    <row r="2033" spans="1:20">
      <c r="A2033" t="s">
        <v>20</v>
      </c>
      <c r="B2033" t="s">
        <v>776</v>
      </c>
      <c r="C2033">
        <v>301049751</v>
      </c>
      <c r="D2033">
        <v>73239990</v>
      </c>
      <c r="E2033" t="s">
        <v>2701</v>
      </c>
      <c r="N2033">
        <v>8640</v>
      </c>
      <c r="O2033" t="s">
        <v>2748</v>
      </c>
      <c r="P2033">
        <v>73.86971758999999</v>
      </c>
      <c r="Q2033">
        <v>638234.36</v>
      </c>
      <c r="R2033">
        <v>1.131236104</v>
      </c>
      <c r="S2033">
        <v>9773.879939</v>
      </c>
      <c r="T2033">
        <v>109125.3</v>
      </c>
    </row>
    <row r="2034" spans="1:20">
      <c r="A2034" t="s">
        <v>20</v>
      </c>
      <c r="B2034" t="s">
        <v>777</v>
      </c>
      <c r="C2034">
        <v>301049751</v>
      </c>
      <c r="D2034">
        <v>73231000</v>
      </c>
      <c r="E2034" t="s">
        <v>2702</v>
      </c>
      <c r="N2034">
        <v>117120</v>
      </c>
      <c r="O2034" t="s">
        <v>2751</v>
      </c>
      <c r="P2034">
        <v>10.47982975</v>
      </c>
      <c r="Q2034">
        <v>1227397.66</v>
      </c>
      <c r="R2034">
        <v>0.1604874387</v>
      </c>
      <c r="S2034">
        <v>18796.28882</v>
      </c>
      <c r="T2034">
        <v>209860.5</v>
      </c>
    </row>
    <row r="2035" spans="1:20">
      <c r="A2035" t="s">
        <v>20</v>
      </c>
      <c r="B2035" t="s">
        <v>778</v>
      </c>
      <c r="C2035">
        <v>301049751</v>
      </c>
      <c r="D2035">
        <v>73239390</v>
      </c>
      <c r="E2035" t="s">
        <v>2486</v>
      </c>
      <c r="N2035">
        <v>45600</v>
      </c>
      <c r="O2035" t="s">
        <v>2748</v>
      </c>
      <c r="P2035">
        <v>77.00467039</v>
      </c>
      <c r="Q2035">
        <v>3511412.97</v>
      </c>
      <c r="R2035">
        <v>1.182867441</v>
      </c>
      <c r="S2035">
        <v>53938.7553</v>
      </c>
      <c r="T2035">
        <v>600381.4</v>
      </c>
    </row>
    <row r="2036" spans="1:20">
      <c r="A2036" t="s">
        <v>20</v>
      </c>
      <c r="B2036" t="s">
        <v>779</v>
      </c>
      <c r="C2036">
        <v>301049751</v>
      </c>
      <c r="D2036">
        <v>73239990</v>
      </c>
      <c r="E2036" t="s">
        <v>2703</v>
      </c>
      <c r="N2036">
        <v>22195</v>
      </c>
      <c r="O2036" t="s">
        <v>2751</v>
      </c>
      <c r="P2036">
        <v>29.20170083</v>
      </c>
      <c r="Q2036">
        <v>648131.75</v>
      </c>
      <c r="R2036">
        <v>0.448566833</v>
      </c>
      <c r="S2036">
        <v>9955.940860000001</v>
      </c>
      <c r="T2036">
        <v>110817.6</v>
      </c>
    </row>
    <row r="2037" spans="1:20">
      <c r="A2037" t="s">
        <v>20</v>
      </c>
      <c r="B2037" t="s">
        <v>780</v>
      </c>
      <c r="C2037">
        <v>301049751</v>
      </c>
      <c r="D2037">
        <v>73239990</v>
      </c>
      <c r="E2037" t="s">
        <v>2704</v>
      </c>
      <c r="N2037">
        <v>4020</v>
      </c>
      <c r="O2037" t="s">
        <v>2748</v>
      </c>
      <c r="P2037">
        <v>239.3047711</v>
      </c>
      <c r="Q2037">
        <v>962005.1800000001</v>
      </c>
      <c r="R2037">
        <v>3.675956546</v>
      </c>
      <c r="S2037">
        <v>14777.34531</v>
      </c>
      <c r="T2037">
        <v>164483.6</v>
      </c>
    </row>
    <row r="2038" spans="1:20">
      <c r="A2038" t="s">
        <v>20</v>
      </c>
      <c r="B2038" t="s">
        <v>781</v>
      </c>
      <c r="C2038">
        <v>301049751</v>
      </c>
      <c r="D2038">
        <v>73239990</v>
      </c>
      <c r="E2038" t="s">
        <v>2705</v>
      </c>
      <c r="N2038">
        <v>10980</v>
      </c>
      <c r="O2038" t="s">
        <v>2748</v>
      </c>
      <c r="P2038">
        <v>97.63753552</v>
      </c>
      <c r="Q2038">
        <v>1072060.14</v>
      </c>
      <c r="R2038">
        <v>1.489512365</v>
      </c>
      <c r="S2038">
        <v>16354.84577</v>
      </c>
      <c r="T2038">
        <v>183300.8</v>
      </c>
    </row>
    <row r="2039" spans="1:20">
      <c r="A2039" t="s">
        <v>20</v>
      </c>
      <c r="B2039" t="s">
        <v>781</v>
      </c>
      <c r="C2039">
        <v>301049751</v>
      </c>
      <c r="D2039">
        <v>73239990</v>
      </c>
      <c r="E2039" t="s">
        <v>2706</v>
      </c>
      <c r="N2039">
        <v>4680</v>
      </c>
      <c r="O2039" t="s">
        <v>2748</v>
      </c>
      <c r="P2039">
        <v>73.77822222</v>
      </c>
      <c r="Q2039">
        <v>345282.08</v>
      </c>
      <c r="R2039">
        <v>1.125525892</v>
      </c>
      <c r="S2039">
        <v>5267.461175</v>
      </c>
      <c r="T2039">
        <v>59036.3</v>
      </c>
    </row>
    <row r="2040" spans="1:20">
      <c r="A2040" t="s">
        <v>20</v>
      </c>
      <c r="B2040" t="s">
        <v>782</v>
      </c>
      <c r="C2040">
        <v>301049751</v>
      </c>
      <c r="D2040">
        <v>73239990</v>
      </c>
      <c r="E2040" t="s">
        <v>2707</v>
      </c>
      <c r="N2040">
        <v>13680</v>
      </c>
      <c r="O2040" t="s">
        <v>2748</v>
      </c>
      <c r="P2040">
        <v>15.76768787</v>
      </c>
      <c r="Q2040">
        <v>215701.97</v>
      </c>
      <c r="R2040">
        <v>0.240544437</v>
      </c>
      <c r="S2040">
        <v>3290.647902</v>
      </c>
      <c r="T2040">
        <v>36880.7</v>
      </c>
    </row>
    <row r="2041" spans="1:20">
      <c r="A2041" t="s">
        <v>20</v>
      </c>
      <c r="B2041" t="s">
        <v>782</v>
      </c>
      <c r="C2041">
        <v>301049751</v>
      </c>
      <c r="D2041">
        <v>73239990</v>
      </c>
      <c r="E2041" t="s">
        <v>2708</v>
      </c>
      <c r="N2041">
        <v>9720</v>
      </c>
      <c r="O2041" t="s">
        <v>2748</v>
      </c>
      <c r="P2041">
        <v>15.44622222</v>
      </c>
      <c r="Q2041">
        <v>150137.28</v>
      </c>
      <c r="R2041">
        <v>0.235640309</v>
      </c>
      <c r="S2041">
        <v>2290.423799</v>
      </c>
      <c r="T2041">
        <v>25670.5</v>
      </c>
    </row>
    <row r="2042" spans="1:20">
      <c r="A2042" t="s">
        <v>20</v>
      </c>
      <c r="B2042" t="s">
        <v>782</v>
      </c>
      <c r="C2042">
        <v>301049751</v>
      </c>
      <c r="D2042">
        <v>73239990</v>
      </c>
      <c r="E2042" t="s">
        <v>2709</v>
      </c>
      <c r="N2042">
        <v>10080</v>
      </c>
      <c r="O2042" t="s">
        <v>2748</v>
      </c>
      <c r="P2042">
        <v>32.20849107</v>
      </c>
      <c r="Q2042">
        <v>324661.59</v>
      </c>
      <c r="R2042">
        <v>0.491357606</v>
      </c>
      <c r="S2042">
        <v>4952.884668</v>
      </c>
      <c r="T2042">
        <v>79420.39999999999</v>
      </c>
    </row>
    <row r="2043" spans="1:20">
      <c r="A2043" t="s">
        <v>20</v>
      </c>
      <c r="B2043" t="s">
        <v>783</v>
      </c>
      <c r="C2043">
        <v>301049751</v>
      </c>
      <c r="D2043">
        <v>73239990</v>
      </c>
      <c r="E2043" t="s">
        <v>2710</v>
      </c>
      <c r="N2043">
        <v>30000</v>
      </c>
      <c r="O2043" t="s">
        <v>2748</v>
      </c>
      <c r="P2043">
        <v>35.529776</v>
      </c>
      <c r="Q2043">
        <v>1065893.28</v>
      </c>
      <c r="R2043">
        <v>0.542025568</v>
      </c>
      <c r="S2043">
        <v>16260.76705</v>
      </c>
      <c r="T2043">
        <v>182246.5</v>
      </c>
    </row>
    <row r="2044" spans="1:20">
      <c r="A2044" t="s">
        <v>20</v>
      </c>
      <c r="B2044" t="s">
        <v>783</v>
      </c>
      <c r="C2044">
        <v>301049751</v>
      </c>
      <c r="D2044">
        <v>73239390</v>
      </c>
      <c r="E2044" t="s">
        <v>2507</v>
      </c>
      <c r="N2044">
        <v>2000</v>
      </c>
      <c r="O2044" t="s">
        <v>2748</v>
      </c>
      <c r="P2044">
        <v>91.16943999999999</v>
      </c>
      <c r="Q2044">
        <v>182338.88</v>
      </c>
      <c r="R2044">
        <v>1.390838139</v>
      </c>
      <c r="S2044">
        <v>2781.676278</v>
      </c>
      <c r="T2044">
        <v>31176.4</v>
      </c>
    </row>
    <row r="2045" spans="1:20">
      <c r="A2045" t="s">
        <v>20</v>
      </c>
      <c r="B2045" t="s">
        <v>783</v>
      </c>
      <c r="C2045">
        <v>301049751</v>
      </c>
      <c r="D2045">
        <v>73239990</v>
      </c>
      <c r="E2045" t="s">
        <v>2711</v>
      </c>
      <c r="N2045">
        <v>10800</v>
      </c>
      <c r="O2045" t="s">
        <v>2748</v>
      </c>
      <c r="P2045">
        <v>73.75058241000001</v>
      </c>
      <c r="Q2045">
        <v>796506.29</v>
      </c>
      <c r="R2045">
        <v>1.125104232</v>
      </c>
      <c r="S2045">
        <v>12151.12571</v>
      </c>
      <c r="T2045">
        <v>136186.6</v>
      </c>
    </row>
    <row r="2046" spans="1:20">
      <c r="A2046" t="s">
        <v>20</v>
      </c>
      <c r="B2046" t="s">
        <v>783</v>
      </c>
      <c r="C2046">
        <v>301049751</v>
      </c>
      <c r="D2046">
        <v>73239390</v>
      </c>
      <c r="E2046" t="s">
        <v>2512</v>
      </c>
      <c r="N2046">
        <v>6000</v>
      </c>
      <c r="O2046" t="s">
        <v>2748</v>
      </c>
      <c r="P2046">
        <v>111.2803433</v>
      </c>
      <c r="Q2046">
        <v>667682.0600000001</v>
      </c>
      <c r="R2046">
        <v>1.697640631</v>
      </c>
      <c r="S2046">
        <v>10185.84378</v>
      </c>
      <c r="T2046">
        <v>114160.3</v>
      </c>
    </row>
    <row r="2047" spans="1:20">
      <c r="A2047" t="s">
        <v>20</v>
      </c>
      <c r="B2047" t="s">
        <v>783</v>
      </c>
      <c r="C2047">
        <v>301049751</v>
      </c>
      <c r="D2047">
        <v>73239990</v>
      </c>
      <c r="E2047" t="s">
        <v>2712</v>
      </c>
      <c r="N2047">
        <v>10800</v>
      </c>
      <c r="O2047" t="s">
        <v>2748</v>
      </c>
      <c r="P2047">
        <v>81.31122037</v>
      </c>
      <c r="Q2047">
        <v>878161.1800000001</v>
      </c>
      <c r="R2047">
        <v>1.240445772</v>
      </c>
      <c r="S2047">
        <v>13396.81434</v>
      </c>
      <c r="T2047">
        <v>150147.9</v>
      </c>
    </row>
    <row r="2048" spans="1:20">
      <c r="A2048" t="s">
        <v>20</v>
      </c>
      <c r="B2048" t="s">
        <v>784</v>
      </c>
      <c r="C2048">
        <v>301049751</v>
      </c>
      <c r="D2048">
        <v>73239990</v>
      </c>
      <c r="E2048" t="s">
        <v>2713</v>
      </c>
      <c r="N2048">
        <v>10800</v>
      </c>
      <c r="O2048" t="s">
        <v>2748</v>
      </c>
      <c r="P2048">
        <v>73.90716944</v>
      </c>
      <c r="Q2048">
        <v>798197.4300000001</v>
      </c>
      <c r="R2048">
        <v>1.121504847</v>
      </c>
      <c r="S2048">
        <v>12112.25235</v>
      </c>
      <c r="T2048">
        <v>136475.7</v>
      </c>
    </row>
    <row r="2049" spans="1:20">
      <c r="A2049" t="s">
        <v>20</v>
      </c>
      <c r="B2049" t="s">
        <v>784</v>
      </c>
      <c r="C2049">
        <v>301049751</v>
      </c>
      <c r="D2049">
        <v>73239990</v>
      </c>
      <c r="E2049" t="s">
        <v>2714</v>
      </c>
      <c r="N2049">
        <v>10800</v>
      </c>
      <c r="O2049" t="s">
        <v>2748</v>
      </c>
      <c r="P2049">
        <v>97.80818333000001</v>
      </c>
      <c r="Q2049">
        <v>1056328.38</v>
      </c>
      <c r="R2049">
        <v>1.484190946</v>
      </c>
      <c r="S2049">
        <v>16029.26222</v>
      </c>
      <c r="T2049">
        <v>180611</v>
      </c>
    </row>
    <row r="2050" spans="1:20">
      <c r="A2050" t="s">
        <v>20</v>
      </c>
      <c r="B2050" t="s">
        <v>784</v>
      </c>
      <c r="C2050">
        <v>301049751</v>
      </c>
      <c r="D2050">
        <v>73239990</v>
      </c>
      <c r="E2050" t="s">
        <v>2715</v>
      </c>
      <c r="N2050">
        <v>10188</v>
      </c>
      <c r="O2050" t="s">
        <v>2748</v>
      </c>
      <c r="P2050">
        <v>81.48385944</v>
      </c>
      <c r="Q2050">
        <v>830157.5600000001</v>
      </c>
      <c r="R2050">
        <v>1.236477382</v>
      </c>
      <c r="S2050">
        <v>12597.23156</v>
      </c>
      <c r="T2050">
        <v>141940.4</v>
      </c>
    </row>
    <row r="2051" spans="1:20">
      <c r="A2051" t="s">
        <v>20</v>
      </c>
      <c r="B2051" t="s">
        <v>785</v>
      </c>
      <c r="C2051">
        <v>301049751</v>
      </c>
      <c r="D2051">
        <v>73239990</v>
      </c>
      <c r="E2051" t="s">
        <v>2716</v>
      </c>
      <c r="N2051">
        <v>10199</v>
      </c>
      <c r="O2051" t="s">
        <v>2748</v>
      </c>
      <c r="P2051">
        <v>18.20892146</v>
      </c>
      <c r="Q2051">
        <v>185712.79</v>
      </c>
      <c r="R2051">
        <v>0.276311403</v>
      </c>
      <c r="S2051">
        <v>2818.1</v>
      </c>
      <c r="T2051">
        <v>31753.2</v>
      </c>
    </row>
    <row r="2052" spans="1:20">
      <c r="A2052" t="s">
        <v>20</v>
      </c>
      <c r="B2052" t="s">
        <v>785</v>
      </c>
      <c r="C2052">
        <v>301049751</v>
      </c>
      <c r="D2052">
        <v>73239990</v>
      </c>
      <c r="E2052" t="s">
        <v>2717</v>
      </c>
      <c r="N2052">
        <v>6168</v>
      </c>
      <c r="O2052" t="s">
        <v>2748</v>
      </c>
      <c r="P2052">
        <v>50.35153696</v>
      </c>
      <c r="Q2052">
        <v>310568.28</v>
      </c>
      <c r="R2052">
        <v>0.764059742</v>
      </c>
      <c r="S2052">
        <v>4712.720486</v>
      </c>
      <c r="T2052">
        <v>53100.9</v>
      </c>
    </row>
    <row r="2053" spans="1:20">
      <c r="A2053" t="s">
        <v>20</v>
      </c>
      <c r="B2053" t="s">
        <v>785</v>
      </c>
      <c r="C2053">
        <v>301049751</v>
      </c>
      <c r="D2053">
        <v>73239990</v>
      </c>
      <c r="E2053" t="s">
        <v>2718</v>
      </c>
      <c r="N2053">
        <v>5832</v>
      </c>
      <c r="O2053" t="s">
        <v>2748</v>
      </c>
      <c r="P2053">
        <v>50.704988</v>
      </c>
      <c r="Q2053">
        <v>295711.49</v>
      </c>
      <c r="R2053">
        <v>0.769423187</v>
      </c>
      <c r="S2053">
        <v>4487.276024</v>
      </c>
      <c r="T2053">
        <v>50560.8</v>
      </c>
    </row>
    <row r="2054" spans="1:20">
      <c r="A2054" t="s">
        <v>20</v>
      </c>
      <c r="B2054" t="s">
        <v>785</v>
      </c>
      <c r="C2054">
        <v>301049751</v>
      </c>
      <c r="D2054">
        <v>73239990</v>
      </c>
      <c r="E2054" t="s">
        <v>2719</v>
      </c>
      <c r="N2054">
        <v>15299</v>
      </c>
      <c r="O2054" t="s">
        <v>2748</v>
      </c>
      <c r="P2054">
        <v>45.38223413</v>
      </c>
      <c r="Q2054">
        <v>694302.8</v>
      </c>
      <c r="R2054">
        <v>0.688653022</v>
      </c>
      <c r="S2054">
        <v>10535.70258</v>
      </c>
      <c r="T2054">
        <v>118711.9</v>
      </c>
    </row>
    <row r="2055" spans="1:20">
      <c r="A2055" t="s">
        <v>20</v>
      </c>
      <c r="B2055" t="s">
        <v>786</v>
      </c>
      <c r="C2055">
        <v>301049751</v>
      </c>
      <c r="D2055">
        <v>73239990</v>
      </c>
      <c r="E2055" t="s">
        <v>2720</v>
      </c>
      <c r="N2055">
        <v>10800</v>
      </c>
      <c r="O2055" t="s">
        <v>2748</v>
      </c>
      <c r="P2055">
        <v>81.69054815</v>
      </c>
      <c r="Q2055">
        <v>882257.92</v>
      </c>
      <c r="R2055">
        <v>1.233996196</v>
      </c>
      <c r="S2055">
        <v>13327.15891</v>
      </c>
      <c r="T2055">
        <v>150848.4</v>
      </c>
    </row>
    <row r="2056" spans="1:20">
      <c r="A2056" t="s">
        <v>20</v>
      </c>
      <c r="B2056" t="s">
        <v>786</v>
      </c>
      <c r="C2056">
        <v>301049751</v>
      </c>
      <c r="D2056">
        <v>73239990</v>
      </c>
      <c r="E2056" t="s">
        <v>2721</v>
      </c>
      <c r="N2056">
        <v>7200</v>
      </c>
      <c r="O2056" t="s">
        <v>2748</v>
      </c>
      <c r="P2056">
        <v>74.09463889</v>
      </c>
      <c r="Q2056">
        <v>533481.4</v>
      </c>
      <c r="R2056">
        <v>1.119254364</v>
      </c>
      <c r="S2056">
        <v>8058.63142</v>
      </c>
      <c r="T2056">
        <v>91214.7</v>
      </c>
    </row>
    <row r="2057" spans="1:20">
      <c r="A2057" t="s">
        <v>20</v>
      </c>
      <c r="B2057" t="s">
        <v>787</v>
      </c>
      <c r="C2057">
        <v>301049751</v>
      </c>
      <c r="D2057">
        <v>73231000</v>
      </c>
      <c r="E2057" t="s">
        <v>2722</v>
      </c>
      <c r="N2057">
        <v>117504</v>
      </c>
      <c r="O2057" t="s">
        <v>2751</v>
      </c>
      <c r="P2057">
        <v>10.68500885</v>
      </c>
      <c r="Q2057">
        <v>1255531.28</v>
      </c>
      <c r="R2057">
        <v>0.157945438</v>
      </c>
      <c r="S2057">
        <v>18559.22069</v>
      </c>
      <c r="T2057">
        <v>214670.8</v>
      </c>
    </row>
    <row r="2058" spans="1:20">
      <c r="A2058" t="s">
        <v>20</v>
      </c>
      <c r="B2058" t="s">
        <v>788</v>
      </c>
      <c r="C2058">
        <v>301049751</v>
      </c>
      <c r="D2058">
        <v>73239390</v>
      </c>
      <c r="E2058" t="s">
        <v>2723</v>
      </c>
      <c r="N2058">
        <v>8952</v>
      </c>
      <c r="O2058" t="s">
        <v>2748</v>
      </c>
      <c r="P2058">
        <v>115.4871146</v>
      </c>
      <c r="Q2058">
        <v>1033840.65</v>
      </c>
      <c r="R2058">
        <v>1.688408108</v>
      </c>
      <c r="S2058">
        <v>15114.62939</v>
      </c>
      <c r="T2058">
        <v>176766.2</v>
      </c>
    </row>
    <row r="2059" spans="1:20">
      <c r="A2059" t="s">
        <v>20</v>
      </c>
      <c r="B2059" t="s">
        <v>788</v>
      </c>
      <c r="C2059">
        <v>301049751</v>
      </c>
      <c r="D2059">
        <v>73239390</v>
      </c>
      <c r="E2059" t="s">
        <v>2724</v>
      </c>
      <c r="N2059">
        <v>5000</v>
      </c>
      <c r="O2059" t="s">
        <v>2748</v>
      </c>
      <c r="P2059">
        <v>94.615398</v>
      </c>
      <c r="Q2059">
        <v>473076.99</v>
      </c>
      <c r="R2059">
        <v>1.383266053</v>
      </c>
      <c r="S2059">
        <v>6916.330263</v>
      </c>
      <c r="T2059">
        <v>80886.7</v>
      </c>
    </row>
    <row r="2060" spans="1:20">
      <c r="A2060" t="s">
        <v>20</v>
      </c>
      <c r="B2060" t="s">
        <v>788</v>
      </c>
      <c r="C2060">
        <v>301049751</v>
      </c>
      <c r="D2060">
        <v>73239390</v>
      </c>
      <c r="E2060" t="s">
        <v>2725</v>
      </c>
      <c r="N2060">
        <v>9000</v>
      </c>
      <c r="O2060" t="s">
        <v>2748</v>
      </c>
      <c r="P2060">
        <v>115.4864422</v>
      </c>
      <c r="Q2060">
        <v>1039377.98</v>
      </c>
      <c r="R2060">
        <v>1.688398278</v>
      </c>
      <c r="S2060">
        <v>15195.5845</v>
      </c>
      <c r="T2060">
        <v>177712.8</v>
      </c>
    </row>
    <row r="2061" spans="1:20">
      <c r="A2061" t="s">
        <v>20</v>
      </c>
      <c r="B2061" t="s">
        <v>788</v>
      </c>
      <c r="C2061">
        <v>301049751</v>
      </c>
      <c r="D2061">
        <v>73239390</v>
      </c>
      <c r="E2061" t="s">
        <v>2726</v>
      </c>
      <c r="N2061">
        <v>5020</v>
      </c>
      <c r="O2061" t="s">
        <v>2748</v>
      </c>
      <c r="P2061">
        <v>94.6159502</v>
      </c>
      <c r="Q2061">
        <v>474972.07</v>
      </c>
      <c r="R2061">
        <v>1.383274126</v>
      </c>
      <c r="S2061">
        <v>6944.036111</v>
      </c>
      <c r="T2061">
        <v>81210.8</v>
      </c>
    </row>
    <row r="2062" spans="1:20">
      <c r="A2062" t="s">
        <v>20</v>
      </c>
      <c r="B2062" t="s">
        <v>789</v>
      </c>
      <c r="C2062">
        <v>301049751</v>
      </c>
      <c r="D2062">
        <v>73239990</v>
      </c>
      <c r="E2062" t="s">
        <v>2727</v>
      </c>
      <c r="N2062">
        <v>12000</v>
      </c>
      <c r="O2062" t="s">
        <v>2748</v>
      </c>
      <c r="P2062">
        <v>180.0005667</v>
      </c>
      <c r="Q2062">
        <v>2160006.8</v>
      </c>
      <c r="R2062">
        <v>2.631587232</v>
      </c>
      <c r="S2062">
        <v>31579.04678</v>
      </c>
      <c r="T2062">
        <v>369317.9</v>
      </c>
    </row>
    <row r="2063" spans="1:20">
      <c r="A2063" t="s">
        <v>20</v>
      </c>
      <c r="B2063" t="s">
        <v>789</v>
      </c>
      <c r="C2063">
        <v>301049751</v>
      </c>
      <c r="D2063">
        <v>73239990</v>
      </c>
      <c r="E2063" t="s">
        <v>2728</v>
      </c>
      <c r="N2063">
        <v>50040</v>
      </c>
      <c r="O2063" t="s">
        <v>2748</v>
      </c>
      <c r="P2063">
        <v>15.18215008</v>
      </c>
      <c r="Q2063">
        <v>759714.79</v>
      </c>
      <c r="R2063">
        <v>0.221961258</v>
      </c>
      <c r="S2063">
        <v>11106.94137</v>
      </c>
      <c r="T2063">
        <v>129896.1</v>
      </c>
    </row>
    <row r="2064" spans="1:20">
      <c r="A2064" t="s">
        <v>20</v>
      </c>
      <c r="B2064" t="s">
        <v>789</v>
      </c>
      <c r="C2064">
        <v>301049751</v>
      </c>
      <c r="D2064">
        <v>73239990</v>
      </c>
      <c r="E2064" t="s">
        <v>2729</v>
      </c>
      <c r="N2064">
        <v>2016</v>
      </c>
      <c r="O2064" t="s">
        <v>2748</v>
      </c>
      <c r="P2064">
        <v>112.5794345</v>
      </c>
      <c r="Q2064">
        <v>226960.14</v>
      </c>
      <c r="R2064">
        <v>1.645898166</v>
      </c>
      <c r="S2064">
        <v>3318.130702</v>
      </c>
      <c r="T2064">
        <v>38805.7</v>
      </c>
    </row>
    <row r="2065" spans="1:20">
      <c r="A2065" t="s">
        <v>20</v>
      </c>
      <c r="B2065" t="s">
        <v>789</v>
      </c>
      <c r="C2065">
        <v>301049751</v>
      </c>
      <c r="D2065">
        <v>73239990</v>
      </c>
      <c r="E2065" t="s">
        <v>2730</v>
      </c>
      <c r="N2065">
        <v>7200</v>
      </c>
      <c r="O2065" t="s">
        <v>2748</v>
      </c>
      <c r="P2065">
        <v>16.27701667</v>
      </c>
      <c r="Q2065">
        <v>117194.52</v>
      </c>
      <c r="R2065">
        <v>0.23796808</v>
      </c>
      <c r="S2065">
        <v>1713.370175</v>
      </c>
      <c r="T2065">
        <v>20037.9</v>
      </c>
    </row>
    <row r="2066" spans="1:20">
      <c r="A2066" t="s">
        <v>20</v>
      </c>
      <c r="B2066" t="s">
        <v>789</v>
      </c>
      <c r="C2066">
        <v>301049751</v>
      </c>
      <c r="D2066">
        <v>73239990</v>
      </c>
      <c r="E2066" t="s">
        <v>2731</v>
      </c>
      <c r="N2066">
        <v>3504</v>
      </c>
      <c r="O2066" t="s">
        <v>2748</v>
      </c>
      <c r="P2066">
        <v>248.8263071</v>
      </c>
      <c r="Q2066">
        <v>871887.38</v>
      </c>
      <c r="R2066">
        <v>3.637811507</v>
      </c>
      <c r="S2066">
        <v>12746.89152</v>
      </c>
      <c r="T2066">
        <v>149075.3</v>
      </c>
    </row>
    <row r="2067" spans="1:20">
      <c r="A2067" t="s">
        <v>20</v>
      </c>
      <c r="B2067" t="s">
        <v>789</v>
      </c>
      <c r="C2067">
        <v>301049751</v>
      </c>
      <c r="D2067">
        <v>73239990</v>
      </c>
      <c r="E2067" t="s">
        <v>2732</v>
      </c>
      <c r="N2067">
        <v>15000</v>
      </c>
      <c r="O2067" t="s">
        <v>2748</v>
      </c>
      <c r="P2067">
        <v>55.97364467</v>
      </c>
      <c r="Q2067">
        <v>839604.67</v>
      </c>
      <c r="R2067">
        <v>0.818328138</v>
      </c>
      <c r="S2067">
        <v>12274.92208</v>
      </c>
      <c r="T2067">
        <v>143555.6</v>
      </c>
    </row>
    <row r="2068" spans="1:20">
      <c r="A2068" t="s">
        <v>20</v>
      </c>
      <c r="B2068" t="s">
        <v>790</v>
      </c>
      <c r="C2068">
        <v>301049751</v>
      </c>
      <c r="D2068">
        <v>73239990</v>
      </c>
      <c r="E2068" t="s">
        <v>2733</v>
      </c>
      <c r="N2068">
        <v>21240</v>
      </c>
      <c r="O2068" t="s">
        <v>2748</v>
      </c>
      <c r="P2068">
        <v>76.29763559</v>
      </c>
      <c r="Q2068">
        <v>1620561.78</v>
      </c>
      <c r="R2068">
        <v>1.115462509</v>
      </c>
      <c r="S2068">
        <v>23692.42368</v>
      </c>
      <c r="T2068">
        <v>277083.7</v>
      </c>
    </row>
    <row r="2069" spans="1:20">
      <c r="A2069" t="s">
        <v>20</v>
      </c>
      <c r="B2069" t="s">
        <v>790</v>
      </c>
      <c r="C2069">
        <v>301049751</v>
      </c>
      <c r="D2069">
        <v>73239990</v>
      </c>
      <c r="E2069" t="s">
        <v>2734</v>
      </c>
      <c r="N2069">
        <v>21240</v>
      </c>
      <c r="O2069" t="s">
        <v>2748</v>
      </c>
      <c r="P2069">
        <v>84.11938795</v>
      </c>
      <c r="Q2069">
        <v>1786695.8</v>
      </c>
      <c r="R2069">
        <v>1.229815613</v>
      </c>
      <c r="S2069">
        <v>26121.28363</v>
      </c>
      <c r="T2069">
        <v>305489.2</v>
      </c>
    </row>
    <row r="2070" spans="1:20">
      <c r="A2070" t="s">
        <v>20</v>
      </c>
      <c r="B2070" t="s">
        <v>791</v>
      </c>
      <c r="C2070">
        <v>301049751</v>
      </c>
      <c r="D2070">
        <v>73239990</v>
      </c>
      <c r="E2070" t="s">
        <v>2735</v>
      </c>
      <c r="N2070">
        <v>24048</v>
      </c>
      <c r="O2070" t="s">
        <v>2751</v>
      </c>
      <c r="P2070">
        <v>37.03133441</v>
      </c>
      <c r="Q2070">
        <v>890529.53</v>
      </c>
      <c r="R2070">
        <v>0.535909326</v>
      </c>
      <c r="S2070">
        <v>12887.54747</v>
      </c>
      <c r="T2070">
        <v>152262.8</v>
      </c>
    </row>
    <row r="2071" spans="1:20">
      <c r="A2071" t="s">
        <v>20</v>
      </c>
      <c r="B2071" t="s">
        <v>791</v>
      </c>
      <c r="C2071">
        <v>301049751</v>
      </c>
      <c r="D2071">
        <v>73231000</v>
      </c>
      <c r="E2071" t="s">
        <v>2736</v>
      </c>
      <c r="N2071">
        <v>118272</v>
      </c>
      <c r="O2071" t="s">
        <v>2751</v>
      </c>
      <c r="P2071">
        <v>10.88972064</v>
      </c>
      <c r="Q2071">
        <v>1287949.04</v>
      </c>
      <c r="R2071">
        <v>0.157593642</v>
      </c>
      <c r="S2071">
        <v>18638.9152</v>
      </c>
      <c r="T2071">
        <v>220213.5</v>
      </c>
    </row>
    <row r="2072" spans="1:20">
      <c r="A2072" t="s">
        <v>20</v>
      </c>
      <c r="B2072" t="s">
        <v>791</v>
      </c>
      <c r="C2072">
        <v>301049751</v>
      </c>
      <c r="D2072">
        <v>73239990</v>
      </c>
      <c r="E2072" t="s">
        <v>2737</v>
      </c>
      <c r="N2072">
        <v>432</v>
      </c>
      <c r="O2072" t="s">
        <v>2748</v>
      </c>
      <c r="P2072">
        <v>36.92085648</v>
      </c>
      <c r="Q2072">
        <v>15949.81</v>
      </c>
      <c r="R2072">
        <v>0.534310513</v>
      </c>
      <c r="S2072">
        <v>230.8221418</v>
      </c>
      <c r="T2072">
        <v>2727.2</v>
      </c>
    </row>
    <row r="2073" spans="1:20">
      <c r="A2073" t="s">
        <v>20</v>
      </c>
      <c r="B2073" t="s">
        <v>792</v>
      </c>
      <c r="C2073">
        <v>301049751</v>
      </c>
      <c r="D2073">
        <v>73239990</v>
      </c>
      <c r="E2073" t="s">
        <v>2738</v>
      </c>
      <c r="N2073">
        <v>21168</v>
      </c>
      <c r="O2073" t="s">
        <v>2748</v>
      </c>
      <c r="P2073">
        <v>36.8346764</v>
      </c>
      <c r="Q2073">
        <v>779716.4300000001</v>
      </c>
      <c r="R2073">
        <v>0.5330633340000001</v>
      </c>
      <c r="S2073">
        <v>11283.88466</v>
      </c>
      <c r="T2073">
        <v>133315.9</v>
      </c>
    </row>
    <row r="2074" spans="1:20">
      <c r="A2074" t="s">
        <v>20</v>
      </c>
      <c r="B2074" t="s">
        <v>793</v>
      </c>
      <c r="C2074">
        <v>301049751</v>
      </c>
      <c r="D2074">
        <v>73231000</v>
      </c>
      <c r="E2074" t="s">
        <v>2739</v>
      </c>
      <c r="N2074">
        <v>273600</v>
      </c>
      <c r="O2074" t="s">
        <v>2748</v>
      </c>
      <c r="P2074">
        <v>4.712748648</v>
      </c>
      <c r="Q2074">
        <v>1289408.03</v>
      </c>
      <c r="R2074">
        <v>0.068201862</v>
      </c>
      <c r="S2074">
        <v>18660.02938</v>
      </c>
      <c r="T2074">
        <v>220462.9</v>
      </c>
    </row>
    <row r="2075" spans="1:20">
      <c r="A2075" t="s">
        <v>20</v>
      </c>
      <c r="B2075" t="s">
        <v>794</v>
      </c>
      <c r="C2075">
        <v>301049751</v>
      </c>
      <c r="D2075">
        <v>73239990</v>
      </c>
      <c r="E2075" t="s">
        <v>2740</v>
      </c>
      <c r="N2075">
        <v>20400</v>
      </c>
      <c r="O2075" t="s">
        <v>2748</v>
      </c>
      <c r="P2075">
        <v>51.85472598</v>
      </c>
      <c r="Q2075">
        <v>1057836.41</v>
      </c>
      <c r="R2075">
        <v>0.753702413</v>
      </c>
      <c r="S2075">
        <v>15375.52922</v>
      </c>
      <c r="T2075">
        <v>180868.8</v>
      </c>
    </row>
    <row r="2076" spans="1:20">
      <c r="A2076" t="s">
        <v>20</v>
      </c>
      <c r="B2076" t="s">
        <v>794</v>
      </c>
      <c r="C2076">
        <v>301049751</v>
      </c>
      <c r="D2076">
        <v>73239990</v>
      </c>
      <c r="E2076" t="s">
        <v>2741</v>
      </c>
      <c r="N2076">
        <v>10800</v>
      </c>
      <c r="O2076" t="s">
        <v>2748</v>
      </c>
      <c r="P2076">
        <v>33.75199352</v>
      </c>
      <c r="Q2076">
        <v>364521.53</v>
      </c>
      <c r="R2076">
        <v>0.490581301</v>
      </c>
      <c r="S2076">
        <v>5298.278052</v>
      </c>
      <c r="T2076">
        <v>62325.9</v>
      </c>
    </row>
    <row r="2077" spans="1:20">
      <c r="A2077" t="s">
        <v>20</v>
      </c>
      <c r="B2077" t="s">
        <v>794</v>
      </c>
      <c r="C2077">
        <v>301049751</v>
      </c>
      <c r="D2077">
        <v>73239990</v>
      </c>
      <c r="E2077" t="s">
        <v>2742</v>
      </c>
      <c r="N2077">
        <v>39600</v>
      </c>
      <c r="O2077" t="s">
        <v>2748</v>
      </c>
      <c r="P2077">
        <v>20.35140202</v>
      </c>
      <c r="Q2077">
        <v>805915.52</v>
      </c>
      <c r="R2077">
        <v>0.295805262</v>
      </c>
      <c r="S2077">
        <v>11713.88837</v>
      </c>
      <c r="T2077">
        <v>137795.4</v>
      </c>
    </row>
    <row r="2078" spans="1:20">
      <c r="A2078" t="s">
        <v>20</v>
      </c>
      <c r="B2078" t="s">
        <v>794</v>
      </c>
      <c r="C2078">
        <v>301049751</v>
      </c>
      <c r="D2078">
        <v>73239990</v>
      </c>
      <c r="E2078" t="s">
        <v>2743</v>
      </c>
      <c r="N2078">
        <v>30600</v>
      </c>
      <c r="O2078" t="s">
        <v>2748</v>
      </c>
      <c r="P2078">
        <v>20.35140196</v>
      </c>
      <c r="Q2078">
        <v>622752.9</v>
      </c>
      <c r="R2078">
        <v>0.295805261</v>
      </c>
      <c r="S2078">
        <v>9051.640987999999</v>
      </c>
      <c r="T2078">
        <v>106478.3</v>
      </c>
    </row>
    <row r="2079" spans="1:20">
      <c r="A2079" t="s">
        <v>20</v>
      </c>
      <c r="B2079" t="s">
        <v>795</v>
      </c>
      <c r="C2079">
        <v>301049751</v>
      </c>
      <c r="D2079">
        <v>73239990</v>
      </c>
      <c r="E2079" t="s">
        <v>2744</v>
      </c>
      <c r="N2079">
        <v>22860</v>
      </c>
      <c r="O2079" t="s">
        <v>2748</v>
      </c>
      <c r="P2079">
        <v>84.73623928000001</v>
      </c>
      <c r="Q2079">
        <v>1937070.43</v>
      </c>
      <c r="R2079">
        <v>1.231631385</v>
      </c>
      <c r="S2079">
        <v>28155.09346</v>
      </c>
      <c r="T2079">
        <v>331200.2</v>
      </c>
    </row>
    <row r="2080" spans="1:20">
      <c r="A2080" t="s">
        <v>20</v>
      </c>
      <c r="B2080" t="s">
        <v>795</v>
      </c>
      <c r="C2080">
        <v>301049751</v>
      </c>
      <c r="D2080">
        <v>73239990</v>
      </c>
      <c r="E2080" t="s">
        <v>2745</v>
      </c>
      <c r="N2080">
        <v>1656</v>
      </c>
      <c r="O2080" t="s">
        <v>2748</v>
      </c>
      <c r="P2080">
        <v>79.14923309</v>
      </c>
      <c r="Q2080">
        <v>131071.13</v>
      </c>
      <c r="R2080">
        <v>1.1504249</v>
      </c>
      <c r="S2080">
        <v>1905.103634</v>
      </c>
      <c r="T2080">
        <v>22410.6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2752</v>
      </c>
      <c r="B1" t="s">
        <v>2753</v>
      </c>
      <c r="C1" t="s">
        <v>2754</v>
      </c>
    </row>
    <row r="2" spans="1:3">
      <c r="A2" t="s">
        <v>2755</v>
      </c>
      <c r="B2" t="s">
        <v>2756</v>
      </c>
      <c r="C2" t="s">
        <v>2757</v>
      </c>
    </row>
    <row r="3" spans="1:3">
      <c r="A3" t="s">
        <v>2758</v>
      </c>
      <c r="B3" t="s">
        <v>2759</v>
      </c>
      <c r="C3" t="s">
        <v>2757</v>
      </c>
    </row>
    <row r="4" spans="1:3">
      <c r="A4" t="s">
        <v>2760</v>
      </c>
      <c r="B4" t="s">
        <v>2761</v>
      </c>
      <c r="C4" t="s">
        <v>2757</v>
      </c>
    </row>
    <row r="5" spans="1:3">
      <c r="A5" t="s">
        <v>2762</v>
      </c>
      <c r="B5" t="s">
        <v>2763</v>
      </c>
      <c r="C5" t="s">
        <v>2757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80"/>
  <sheetViews>
    <sheetView workbookViewId="0"/>
  </sheetViews>
  <sheetFormatPr defaultRowHeight="15"/>
  <cols>
    <col min="1" max="4" width="12.7109375" customWidth="1"/>
    <col min="5" max="5" width="17.7109375" customWidth="1"/>
    <col min="6" max="6" width="19.7109375" customWidth="1"/>
    <col min="7" max="7" width="15.7109375" customWidth="1"/>
    <col min="8" max="8" width="14.7109375" customWidth="1"/>
    <col min="9" max="9" width="12.7109375" customWidth="1"/>
    <col min="10" max="10" width="14.7109375" customWidth="1"/>
    <col min="11" max="13" width="12.7109375" customWidth="1"/>
    <col min="14" max="14" width="16.7109375" customWidth="1"/>
    <col min="15" max="15" width="17.7109375" customWidth="1"/>
    <col min="16" max="16" width="16.7109375" customWidth="1"/>
    <col min="17" max="17" width="17.7109375" customWidth="1"/>
    <col min="18" max="18" width="15.7109375" customWidth="1"/>
    <col min="19" max="19" width="17.7109375" customWidth="1"/>
    <col min="20" max="20" width="12.7109375" customWidth="1"/>
  </cols>
  <sheetData>
    <row r="1" spans="1:20">
      <c r="A1" t="s">
        <v>2764</v>
      </c>
      <c r="B1" t="s">
        <v>2765</v>
      </c>
      <c r="C1" t="s">
        <v>2</v>
      </c>
      <c r="D1" t="s">
        <v>2752</v>
      </c>
      <c r="E1" t="s">
        <v>2753</v>
      </c>
      <c r="F1" t="s">
        <v>2766</v>
      </c>
      <c r="G1" t="s">
        <v>2754</v>
      </c>
      <c r="H1" t="s">
        <v>2767</v>
      </c>
      <c r="I1" t="s">
        <v>6</v>
      </c>
      <c r="J1" t="s">
        <v>7</v>
      </c>
      <c r="K1" t="s">
        <v>8</v>
      </c>
      <c r="L1" t="s">
        <v>2768</v>
      </c>
      <c r="M1" t="s">
        <v>2769</v>
      </c>
      <c r="N1" t="s">
        <v>2770</v>
      </c>
      <c r="O1" t="s">
        <v>2771</v>
      </c>
      <c r="P1" t="s">
        <v>2772</v>
      </c>
      <c r="Q1" t="s">
        <v>2773</v>
      </c>
      <c r="R1" t="s">
        <v>2774</v>
      </c>
      <c r="S1" t="s">
        <v>2775</v>
      </c>
      <c r="T1" t="s">
        <v>2776</v>
      </c>
    </row>
    <row r="2" spans="1:20">
      <c r="A2">
        <f>'Raw Data'!B2</f>
        <v>0</v>
      </c>
      <c r="B2">
        <f>'Raw Data'!A2</f>
        <v>0</v>
      </c>
      <c r="C2">
        <f>'Raw Data'!C2</f>
        <v>0</v>
      </c>
      <c r="D2">
        <f>'Raw Data'!D2</f>
        <v>0</v>
      </c>
      <c r="E2">
        <f>IFERROR(VLOOKUP(D2,'Lookup Tables'!$A:$B,2,FALSE),"Unknown")</f>
        <v>0</v>
      </c>
      <c r="F2">
        <f>'Raw Data'!E2</f>
        <v>0</v>
      </c>
      <c r="G2">
        <f>IFERROR(VLOOKUP(D2,'Lookup Tables'!$A:$C,3,FALSE),IF(ISNUMBER(SEARCH("STEEL",F2)),"Steel","Others"))</f>
        <v>0</v>
      </c>
      <c r="H2">
        <f>IF(ISNUMBER(SEARCH("scrubber",F2)) , "Scrubber", IF(ISNUMBER(SEARCH("container",F2)),"Container", IF(ISNUMBER(SEARCH("basket",F2)),"Basket", IF(ISNUMBER(SEARCH("lunch",F2)),"Lunch Box", IF(ISNUMBER(SEARCH("cutlery",F2)),"Cutlery","Other")))))</f>
        <v>0</v>
      </c>
      <c r="I2">
        <f>IF('Raw Data'!G2&lt;&gt;'','Raw Data'!G2,IFERROR(MID(F2,SEARCH("MODEL",F2)+6,20),""))</f>
        <v>0</v>
      </c>
      <c r="J2">
        <f>'Raw Data'!H2</f>
        <v>0</v>
      </c>
      <c r="K2">
        <f>'Raw Data'!I2</f>
        <v>0</v>
      </c>
      <c r="L2">
        <f>IF('Raw Data'!N2&lt;&gt;0,'Raw Data'!N2,IFERROR(VALUE(MID(F2,SEARCH("QTY",F2)+4,IFERROR(FIND(" ",F2,SEARCH("QTY",F2)+4)-(SEARCH("QTY",F2)+4),3))),""))</f>
        <v>0</v>
      </c>
      <c r="M2">
        <f>'Raw Data'!O2</f>
        <v>0</v>
      </c>
      <c r="N2">
        <f>'Raw Data'!P2</f>
        <v>0</v>
      </c>
      <c r="O2">
        <f>'Raw Data'!Q2</f>
        <v>0</v>
      </c>
      <c r="P2">
        <f>'Raw Data'!R2</f>
        <v>0</v>
      </c>
      <c r="Q2">
        <f>'Raw Data'!S2</f>
        <v>0</v>
      </c>
      <c r="R2">
        <f>'Raw Data'!T2</f>
        <v>0</v>
      </c>
      <c r="S2">
        <f>IFERROR(O2,0)+IFERROR(R2,0)</f>
        <v>0</v>
      </c>
      <c r="T2">
        <f>IF(A2="","",YEAR(A2))</f>
        <v>0</v>
      </c>
    </row>
    <row r="3" spans="1:20">
      <c r="A3">
        <f>'Raw Data'!B3</f>
        <v>0</v>
      </c>
      <c r="B3">
        <f>'Raw Data'!A3</f>
        <v>0</v>
      </c>
      <c r="C3">
        <f>'Raw Data'!C3</f>
        <v>0</v>
      </c>
      <c r="D3">
        <f>'Raw Data'!D3</f>
        <v>0</v>
      </c>
      <c r="E3">
        <f>IFERROR(VLOOKUP(D3,'Lookup Tables'!$A:$B,2,FALSE),"Unknown")</f>
        <v>0</v>
      </c>
      <c r="F3">
        <f>'Raw Data'!E3</f>
        <v>0</v>
      </c>
      <c r="G3">
        <f>IFERROR(VLOOKUP(D3,'Lookup Tables'!$A:$C,3,FALSE),IF(ISNUMBER(SEARCH("STEEL",F3)),"Steel","Others"))</f>
        <v>0</v>
      </c>
      <c r="H3">
        <f>IF(ISNUMBER(SEARCH("scrubber",F3)) , "Scrubber", IF(ISNUMBER(SEARCH("container",F3)),"Container", IF(ISNUMBER(SEARCH("basket",F3)),"Basket", IF(ISNUMBER(SEARCH("lunch",F3)),"Lunch Box", IF(ISNUMBER(SEARCH("cutlery",F3)),"Cutlery","Other")))))</f>
        <v>0</v>
      </c>
      <c r="I3">
        <f>IF('Raw Data'!G3&lt;&gt;'','Raw Data'!G3,IFERROR(MID(F3,SEARCH("MODEL",F3)+6,20),""))</f>
        <v>0</v>
      </c>
      <c r="J3">
        <f>'Raw Data'!H3</f>
        <v>0</v>
      </c>
      <c r="K3">
        <f>'Raw Data'!I3</f>
        <v>0</v>
      </c>
      <c r="L3">
        <f>IF('Raw Data'!N3&lt;&gt;0,'Raw Data'!N3,IFERROR(VALUE(MID(F3,SEARCH("QTY",F3)+4,IFERROR(FIND(" ",F3,SEARCH("QTY",F3)+4)-(SEARCH("QTY",F3)+4),3))),""))</f>
        <v>0</v>
      </c>
      <c r="M3">
        <f>'Raw Data'!O3</f>
        <v>0</v>
      </c>
      <c r="N3">
        <f>'Raw Data'!P3</f>
        <v>0</v>
      </c>
      <c r="O3">
        <f>'Raw Data'!Q3</f>
        <v>0</v>
      </c>
      <c r="P3">
        <f>'Raw Data'!R3</f>
        <v>0</v>
      </c>
      <c r="Q3">
        <f>'Raw Data'!S3</f>
        <v>0</v>
      </c>
      <c r="R3">
        <f>'Raw Data'!T3</f>
        <v>0</v>
      </c>
      <c r="S3">
        <f>IFERROR(O3,0)+IFERROR(R3,0)</f>
        <v>0</v>
      </c>
      <c r="T3">
        <f>IF(A3="","",YEAR(A3))</f>
        <v>0</v>
      </c>
    </row>
    <row r="4" spans="1:20">
      <c r="A4">
        <f>'Raw Data'!B4</f>
        <v>0</v>
      </c>
      <c r="B4">
        <f>'Raw Data'!A4</f>
        <v>0</v>
      </c>
      <c r="C4">
        <f>'Raw Data'!C4</f>
        <v>0</v>
      </c>
      <c r="D4">
        <f>'Raw Data'!D4</f>
        <v>0</v>
      </c>
      <c r="E4">
        <f>IFERROR(VLOOKUP(D4,'Lookup Tables'!$A:$B,2,FALSE),"Unknown")</f>
        <v>0</v>
      </c>
      <c r="F4">
        <f>'Raw Data'!E4</f>
        <v>0</v>
      </c>
      <c r="G4">
        <f>IFERROR(VLOOKUP(D4,'Lookup Tables'!$A:$C,3,FALSE),IF(ISNUMBER(SEARCH("STEEL",F4)),"Steel","Others"))</f>
        <v>0</v>
      </c>
      <c r="H4">
        <f>IF(ISNUMBER(SEARCH("scrubber",F4)) , "Scrubber", IF(ISNUMBER(SEARCH("container",F4)),"Container", IF(ISNUMBER(SEARCH("basket",F4)),"Basket", IF(ISNUMBER(SEARCH("lunch",F4)),"Lunch Box", IF(ISNUMBER(SEARCH("cutlery",F4)),"Cutlery","Other")))))</f>
        <v>0</v>
      </c>
      <c r="I4">
        <f>IF('Raw Data'!G4&lt;&gt;'','Raw Data'!G4,IFERROR(MID(F4,SEARCH("MODEL",F4)+6,20),""))</f>
        <v>0</v>
      </c>
      <c r="J4">
        <f>'Raw Data'!H4</f>
        <v>0</v>
      </c>
      <c r="K4">
        <f>'Raw Data'!I4</f>
        <v>0</v>
      </c>
      <c r="L4">
        <f>IF('Raw Data'!N4&lt;&gt;0,'Raw Data'!N4,IFERROR(VALUE(MID(F4,SEARCH("QTY",F4)+4,IFERROR(FIND(" ",F4,SEARCH("QTY",F4)+4)-(SEARCH("QTY",F4)+4),3))),""))</f>
        <v>0</v>
      </c>
      <c r="M4">
        <f>'Raw Data'!O4</f>
        <v>0</v>
      </c>
      <c r="N4">
        <f>'Raw Data'!P4</f>
        <v>0</v>
      </c>
      <c r="O4">
        <f>'Raw Data'!Q4</f>
        <v>0</v>
      </c>
      <c r="P4">
        <f>'Raw Data'!R4</f>
        <v>0</v>
      </c>
      <c r="Q4">
        <f>'Raw Data'!S4</f>
        <v>0</v>
      </c>
      <c r="R4">
        <f>'Raw Data'!T4</f>
        <v>0</v>
      </c>
      <c r="S4">
        <f>IFERROR(O4,0)+IFERROR(R4,0)</f>
        <v>0</v>
      </c>
      <c r="T4">
        <f>IF(A4="","",YEAR(A4))</f>
        <v>0</v>
      </c>
    </row>
    <row r="5" spans="1:20">
      <c r="A5">
        <f>'Raw Data'!B5</f>
        <v>0</v>
      </c>
      <c r="B5">
        <f>'Raw Data'!A5</f>
        <v>0</v>
      </c>
      <c r="C5">
        <f>'Raw Data'!C5</f>
        <v>0</v>
      </c>
      <c r="D5">
        <f>'Raw Data'!D5</f>
        <v>0</v>
      </c>
      <c r="E5">
        <f>IFERROR(VLOOKUP(D5,'Lookup Tables'!$A:$B,2,FALSE),"Unknown")</f>
        <v>0</v>
      </c>
      <c r="F5">
        <f>'Raw Data'!E5</f>
        <v>0</v>
      </c>
      <c r="G5">
        <f>IFERROR(VLOOKUP(D5,'Lookup Tables'!$A:$C,3,FALSE),IF(ISNUMBER(SEARCH("STEEL",F5)),"Steel","Others"))</f>
        <v>0</v>
      </c>
      <c r="H5">
        <f>IF(ISNUMBER(SEARCH("scrubber",F5)) , "Scrubber", IF(ISNUMBER(SEARCH("container",F5)),"Container", IF(ISNUMBER(SEARCH("basket",F5)),"Basket", IF(ISNUMBER(SEARCH("lunch",F5)),"Lunch Box", IF(ISNUMBER(SEARCH("cutlery",F5)),"Cutlery","Other")))))</f>
        <v>0</v>
      </c>
      <c r="I5">
        <f>IF('Raw Data'!G5&lt;&gt;'','Raw Data'!G5,IFERROR(MID(F5,SEARCH("MODEL",F5)+6,20),""))</f>
        <v>0</v>
      </c>
      <c r="J5">
        <f>'Raw Data'!H5</f>
        <v>0</v>
      </c>
      <c r="K5">
        <f>'Raw Data'!I5</f>
        <v>0</v>
      </c>
      <c r="L5">
        <f>IF('Raw Data'!N5&lt;&gt;0,'Raw Data'!N5,IFERROR(VALUE(MID(F5,SEARCH("QTY",F5)+4,IFERROR(FIND(" ",F5,SEARCH("QTY",F5)+4)-(SEARCH("QTY",F5)+4),3))),""))</f>
        <v>0</v>
      </c>
      <c r="M5">
        <f>'Raw Data'!O5</f>
        <v>0</v>
      </c>
      <c r="N5">
        <f>'Raw Data'!P5</f>
        <v>0</v>
      </c>
      <c r="O5">
        <f>'Raw Data'!Q5</f>
        <v>0</v>
      </c>
      <c r="P5">
        <f>'Raw Data'!R5</f>
        <v>0</v>
      </c>
      <c r="Q5">
        <f>'Raw Data'!S5</f>
        <v>0</v>
      </c>
      <c r="R5">
        <f>'Raw Data'!T5</f>
        <v>0</v>
      </c>
      <c r="S5">
        <f>IFERROR(O5,0)+IFERROR(R5,0)</f>
        <v>0</v>
      </c>
      <c r="T5">
        <f>IF(A5="","",YEAR(A5))</f>
        <v>0</v>
      </c>
    </row>
    <row r="6" spans="1:20">
      <c r="A6">
        <f>'Raw Data'!B6</f>
        <v>0</v>
      </c>
      <c r="B6">
        <f>'Raw Data'!A6</f>
        <v>0</v>
      </c>
      <c r="C6">
        <f>'Raw Data'!C6</f>
        <v>0</v>
      </c>
      <c r="D6">
        <f>'Raw Data'!D6</f>
        <v>0</v>
      </c>
      <c r="E6">
        <f>IFERROR(VLOOKUP(D6,'Lookup Tables'!$A:$B,2,FALSE),"Unknown")</f>
        <v>0</v>
      </c>
      <c r="F6">
        <f>'Raw Data'!E6</f>
        <v>0</v>
      </c>
      <c r="G6">
        <f>IFERROR(VLOOKUP(D6,'Lookup Tables'!$A:$C,3,FALSE),IF(ISNUMBER(SEARCH("STEEL",F6)),"Steel","Others"))</f>
        <v>0</v>
      </c>
      <c r="H6">
        <f>IF(ISNUMBER(SEARCH("scrubber",F6)) , "Scrubber", IF(ISNUMBER(SEARCH("container",F6)),"Container", IF(ISNUMBER(SEARCH("basket",F6)),"Basket", IF(ISNUMBER(SEARCH("lunch",F6)),"Lunch Box", IF(ISNUMBER(SEARCH("cutlery",F6)),"Cutlery","Other")))))</f>
        <v>0</v>
      </c>
      <c r="I6">
        <f>IF('Raw Data'!G6&lt;&gt;'','Raw Data'!G6,IFERROR(MID(F6,SEARCH("MODEL",F6)+6,20),""))</f>
        <v>0</v>
      </c>
      <c r="J6">
        <f>'Raw Data'!H6</f>
        <v>0</v>
      </c>
      <c r="K6">
        <f>'Raw Data'!I6</f>
        <v>0</v>
      </c>
      <c r="L6">
        <f>IF('Raw Data'!N6&lt;&gt;0,'Raw Data'!N6,IFERROR(VALUE(MID(F6,SEARCH("QTY",F6)+4,IFERROR(FIND(" ",F6,SEARCH("QTY",F6)+4)-(SEARCH("QTY",F6)+4),3))),""))</f>
        <v>0</v>
      </c>
      <c r="M6">
        <f>'Raw Data'!O6</f>
        <v>0</v>
      </c>
      <c r="N6">
        <f>'Raw Data'!P6</f>
        <v>0</v>
      </c>
      <c r="O6">
        <f>'Raw Data'!Q6</f>
        <v>0</v>
      </c>
      <c r="P6">
        <f>'Raw Data'!R6</f>
        <v>0</v>
      </c>
      <c r="Q6">
        <f>'Raw Data'!S6</f>
        <v>0</v>
      </c>
      <c r="R6">
        <f>'Raw Data'!T6</f>
        <v>0</v>
      </c>
      <c r="S6">
        <f>IFERROR(O6,0)+IFERROR(R6,0)</f>
        <v>0</v>
      </c>
      <c r="T6">
        <f>IF(A6="","",YEAR(A6))</f>
        <v>0</v>
      </c>
    </row>
    <row r="7" spans="1:20">
      <c r="A7">
        <f>'Raw Data'!B7</f>
        <v>0</v>
      </c>
      <c r="B7">
        <f>'Raw Data'!A7</f>
        <v>0</v>
      </c>
      <c r="C7">
        <f>'Raw Data'!C7</f>
        <v>0</v>
      </c>
      <c r="D7">
        <f>'Raw Data'!D7</f>
        <v>0</v>
      </c>
      <c r="E7">
        <f>IFERROR(VLOOKUP(D7,'Lookup Tables'!$A:$B,2,FALSE),"Unknown")</f>
        <v>0</v>
      </c>
      <c r="F7">
        <f>'Raw Data'!E7</f>
        <v>0</v>
      </c>
      <c r="G7">
        <f>IFERROR(VLOOKUP(D7,'Lookup Tables'!$A:$C,3,FALSE),IF(ISNUMBER(SEARCH("STEEL",F7)),"Steel","Others"))</f>
        <v>0</v>
      </c>
      <c r="H7">
        <f>IF(ISNUMBER(SEARCH("scrubber",F7)) , "Scrubber", IF(ISNUMBER(SEARCH("container",F7)),"Container", IF(ISNUMBER(SEARCH("basket",F7)),"Basket", IF(ISNUMBER(SEARCH("lunch",F7)),"Lunch Box", IF(ISNUMBER(SEARCH("cutlery",F7)),"Cutlery","Other")))))</f>
        <v>0</v>
      </c>
      <c r="I7">
        <f>IF('Raw Data'!G7&lt;&gt;'','Raw Data'!G7,IFERROR(MID(F7,SEARCH("MODEL",F7)+6,20),""))</f>
        <v>0</v>
      </c>
      <c r="J7">
        <f>'Raw Data'!H7</f>
        <v>0</v>
      </c>
      <c r="K7">
        <f>'Raw Data'!I7</f>
        <v>0</v>
      </c>
      <c r="L7">
        <f>IF('Raw Data'!N7&lt;&gt;0,'Raw Data'!N7,IFERROR(VALUE(MID(F7,SEARCH("QTY",F7)+4,IFERROR(FIND(" ",F7,SEARCH("QTY",F7)+4)-(SEARCH("QTY",F7)+4),3))),""))</f>
        <v>0</v>
      </c>
      <c r="M7">
        <f>'Raw Data'!O7</f>
        <v>0</v>
      </c>
      <c r="N7">
        <f>'Raw Data'!P7</f>
        <v>0</v>
      </c>
      <c r="O7">
        <f>'Raw Data'!Q7</f>
        <v>0</v>
      </c>
      <c r="P7">
        <f>'Raw Data'!R7</f>
        <v>0</v>
      </c>
      <c r="Q7">
        <f>'Raw Data'!S7</f>
        <v>0</v>
      </c>
      <c r="R7">
        <f>'Raw Data'!T7</f>
        <v>0</v>
      </c>
      <c r="S7">
        <f>IFERROR(O7,0)+IFERROR(R7,0)</f>
        <v>0</v>
      </c>
      <c r="T7">
        <f>IF(A7="","",YEAR(A7))</f>
        <v>0</v>
      </c>
    </row>
    <row r="8" spans="1:20">
      <c r="A8">
        <f>'Raw Data'!B8</f>
        <v>0</v>
      </c>
      <c r="B8">
        <f>'Raw Data'!A8</f>
        <v>0</v>
      </c>
      <c r="C8">
        <f>'Raw Data'!C8</f>
        <v>0</v>
      </c>
      <c r="D8">
        <f>'Raw Data'!D8</f>
        <v>0</v>
      </c>
      <c r="E8">
        <f>IFERROR(VLOOKUP(D8,'Lookup Tables'!$A:$B,2,FALSE),"Unknown")</f>
        <v>0</v>
      </c>
      <c r="F8">
        <f>'Raw Data'!E8</f>
        <v>0</v>
      </c>
      <c r="G8">
        <f>IFERROR(VLOOKUP(D8,'Lookup Tables'!$A:$C,3,FALSE),IF(ISNUMBER(SEARCH("STEEL",F8)),"Steel","Others"))</f>
        <v>0</v>
      </c>
      <c r="H8">
        <f>IF(ISNUMBER(SEARCH("scrubber",F8)) , "Scrubber", IF(ISNUMBER(SEARCH("container",F8)),"Container", IF(ISNUMBER(SEARCH("basket",F8)),"Basket", IF(ISNUMBER(SEARCH("lunch",F8)),"Lunch Box", IF(ISNUMBER(SEARCH("cutlery",F8)),"Cutlery","Other")))))</f>
        <v>0</v>
      </c>
      <c r="I8">
        <f>IF('Raw Data'!G8&lt;&gt;'','Raw Data'!G8,IFERROR(MID(F8,SEARCH("MODEL",F8)+6,20),""))</f>
        <v>0</v>
      </c>
      <c r="J8">
        <f>'Raw Data'!H8</f>
        <v>0</v>
      </c>
      <c r="K8">
        <f>'Raw Data'!I8</f>
        <v>0</v>
      </c>
      <c r="L8">
        <f>IF('Raw Data'!N8&lt;&gt;0,'Raw Data'!N8,IFERROR(VALUE(MID(F8,SEARCH("QTY",F8)+4,IFERROR(FIND(" ",F8,SEARCH("QTY",F8)+4)-(SEARCH("QTY",F8)+4),3))),""))</f>
        <v>0</v>
      </c>
      <c r="M8">
        <f>'Raw Data'!O8</f>
        <v>0</v>
      </c>
      <c r="N8">
        <f>'Raw Data'!P8</f>
        <v>0</v>
      </c>
      <c r="O8">
        <f>'Raw Data'!Q8</f>
        <v>0</v>
      </c>
      <c r="P8">
        <f>'Raw Data'!R8</f>
        <v>0</v>
      </c>
      <c r="Q8">
        <f>'Raw Data'!S8</f>
        <v>0</v>
      </c>
      <c r="R8">
        <f>'Raw Data'!T8</f>
        <v>0</v>
      </c>
      <c r="S8">
        <f>IFERROR(O8,0)+IFERROR(R8,0)</f>
        <v>0</v>
      </c>
      <c r="T8">
        <f>IF(A8="","",YEAR(A8))</f>
        <v>0</v>
      </c>
    </row>
    <row r="9" spans="1:20">
      <c r="A9">
        <f>'Raw Data'!B9</f>
        <v>0</v>
      </c>
      <c r="B9">
        <f>'Raw Data'!A9</f>
        <v>0</v>
      </c>
      <c r="C9">
        <f>'Raw Data'!C9</f>
        <v>0</v>
      </c>
      <c r="D9">
        <f>'Raw Data'!D9</f>
        <v>0</v>
      </c>
      <c r="E9">
        <f>IFERROR(VLOOKUP(D9,'Lookup Tables'!$A:$B,2,FALSE),"Unknown")</f>
        <v>0</v>
      </c>
      <c r="F9">
        <f>'Raw Data'!E9</f>
        <v>0</v>
      </c>
      <c r="G9">
        <f>IFERROR(VLOOKUP(D9,'Lookup Tables'!$A:$C,3,FALSE),IF(ISNUMBER(SEARCH("STEEL",F9)),"Steel","Others"))</f>
        <v>0</v>
      </c>
      <c r="H9">
        <f>IF(ISNUMBER(SEARCH("scrubber",F9)) , "Scrubber", IF(ISNUMBER(SEARCH("container",F9)),"Container", IF(ISNUMBER(SEARCH("basket",F9)),"Basket", IF(ISNUMBER(SEARCH("lunch",F9)),"Lunch Box", IF(ISNUMBER(SEARCH("cutlery",F9)),"Cutlery","Other")))))</f>
        <v>0</v>
      </c>
      <c r="I9">
        <f>IF('Raw Data'!G9&lt;&gt;'','Raw Data'!G9,IFERROR(MID(F9,SEARCH("MODEL",F9)+6,20),""))</f>
        <v>0</v>
      </c>
      <c r="J9">
        <f>'Raw Data'!H9</f>
        <v>0</v>
      </c>
      <c r="K9">
        <f>'Raw Data'!I9</f>
        <v>0</v>
      </c>
      <c r="L9">
        <f>IF('Raw Data'!N9&lt;&gt;0,'Raw Data'!N9,IFERROR(VALUE(MID(F9,SEARCH("QTY",F9)+4,IFERROR(FIND(" ",F9,SEARCH("QTY",F9)+4)-(SEARCH("QTY",F9)+4),3))),""))</f>
        <v>0</v>
      </c>
      <c r="M9">
        <f>'Raw Data'!O9</f>
        <v>0</v>
      </c>
      <c r="N9">
        <f>'Raw Data'!P9</f>
        <v>0</v>
      </c>
      <c r="O9">
        <f>'Raw Data'!Q9</f>
        <v>0</v>
      </c>
      <c r="P9">
        <f>'Raw Data'!R9</f>
        <v>0</v>
      </c>
      <c r="Q9">
        <f>'Raw Data'!S9</f>
        <v>0</v>
      </c>
      <c r="R9">
        <f>'Raw Data'!T9</f>
        <v>0</v>
      </c>
      <c r="S9">
        <f>IFERROR(O9,0)+IFERROR(R9,0)</f>
        <v>0</v>
      </c>
      <c r="T9">
        <f>IF(A9="","",YEAR(A9))</f>
        <v>0</v>
      </c>
    </row>
    <row r="10" spans="1:20">
      <c r="A10">
        <f>'Raw Data'!B10</f>
        <v>0</v>
      </c>
      <c r="B10">
        <f>'Raw Data'!A10</f>
        <v>0</v>
      </c>
      <c r="C10">
        <f>'Raw Data'!C10</f>
        <v>0</v>
      </c>
      <c r="D10">
        <f>'Raw Data'!D10</f>
        <v>0</v>
      </c>
      <c r="E10">
        <f>IFERROR(VLOOKUP(D10,'Lookup Tables'!$A:$B,2,FALSE),"Unknown")</f>
        <v>0</v>
      </c>
      <c r="F10">
        <f>'Raw Data'!E10</f>
        <v>0</v>
      </c>
      <c r="G10">
        <f>IFERROR(VLOOKUP(D10,'Lookup Tables'!$A:$C,3,FALSE),IF(ISNUMBER(SEARCH("STEEL",F10)),"Steel","Others"))</f>
        <v>0</v>
      </c>
      <c r="H10">
        <f>IF(ISNUMBER(SEARCH("scrubber",F10)) , "Scrubber", IF(ISNUMBER(SEARCH("container",F10)),"Container", IF(ISNUMBER(SEARCH("basket",F10)),"Basket", IF(ISNUMBER(SEARCH("lunch",F10)),"Lunch Box", IF(ISNUMBER(SEARCH("cutlery",F10)),"Cutlery","Other")))))</f>
        <v>0</v>
      </c>
      <c r="I10">
        <f>IF('Raw Data'!G10&lt;&gt;'','Raw Data'!G10,IFERROR(MID(F10,SEARCH("MODEL",F10)+6,20),""))</f>
        <v>0</v>
      </c>
      <c r="J10">
        <f>'Raw Data'!H10</f>
        <v>0</v>
      </c>
      <c r="K10">
        <f>'Raw Data'!I10</f>
        <v>0</v>
      </c>
      <c r="L10">
        <f>IF('Raw Data'!N10&lt;&gt;0,'Raw Data'!N10,IFERROR(VALUE(MID(F10,SEARCH("QTY",F10)+4,IFERROR(FIND(" ",F10,SEARCH("QTY",F10)+4)-(SEARCH("QTY",F10)+4),3))),""))</f>
        <v>0</v>
      </c>
      <c r="M10">
        <f>'Raw Data'!O10</f>
        <v>0</v>
      </c>
      <c r="N10">
        <f>'Raw Data'!P10</f>
        <v>0</v>
      </c>
      <c r="O10">
        <f>'Raw Data'!Q10</f>
        <v>0</v>
      </c>
      <c r="P10">
        <f>'Raw Data'!R10</f>
        <v>0</v>
      </c>
      <c r="Q10">
        <f>'Raw Data'!S10</f>
        <v>0</v>
      </c>
      <c r="R10">
        <f>'Raw Data'!T10</f>
        <v>0</v>
      </c>
      <c r="S10">
        <f>IFERROR(O10,0)+IFERROR(R10,0)</f>
        <v>0</v>
      </c>
      <c r="T10">
        <f>IF(A10="","",YEAR(A10))</f>
        <v>0</v>
      </c>
    </row>
    <row r="11" spans="1:20">
      <c r="A11">
        <f>'Raw Data'!B11</f>
        <v>0</v>
      </c>
      <c r="B11">
        <f>'Raw Data'!A11</f>
        <v>0</v>
      </c>
      <c r="C11">
        <f>'Raw Data'!C11</f>
        <v>0</v>
      </c>
      <c r="D11">
        <f>'Raw Data'!D11</f>
        <v>0</v>
      </c>
      <c r="E11">
        <f>IFERROR(VLOOKUP(D11,'Lookup Tables'!$A:$B,2,FALSE),"Unknown")</f>
        <v>0</v>
      </c>
      <c r="F11">
        <f>'Raw Data'!E11</f>
        <v>0</v>
      </c>
      <c r="G11">
        <f>IFERROR(VLOOKUP(D11,'Lookup Tables'!$A:$C,3,FALSE),IF(ISNUMBER(SEARCH("STEEL",F11)),"Steel","Others"))</f>
        <v>0</v>
      </c>
      <c r="H11">
        <f>IF(ISNUMBER(SEARCH("scrubber",F11)) , "Scrubber", IF(ISNUMBER(SEARCH("container",F11)),"Container", IF(ISNUMBER(SEARCH("basket",F11)),"Basket", IF(ISNUMBER(SEARCH("lunch",F11)),"Lunch Box", IF(ISNUMBER(SEARCH("cutlery",F11)),"Cutlery","Other")))))</f>
        <v>0</v>
      </c>
      <c r="I11">
        <f>IF('Raw Data'!G11&lt;&gt;'','Raw Data'!G11,IFERROR(MID(F11,SEARCH("MODEL",F11)+6,20),""))</f>
        <v>0</v>
      </c>
      <c r="J11">
        <f>'Raw Data'!H11</f>
        <v>0</v>
      </c>
      <c r="K11">
        <f>'Raw Data'!I11</f>
        <v>0</v>
      </c>
      <c r="L11">
        <f>IF('Raw Data'!N11&lt;&gt;0,'Raw Data'!N11,IFERROR(VALUE(MID(F11,SEARCH("QTY",F11)+4,IFERROR(FIND(" ",F11,SEARCH("QTY",F11)+4)-(SEARCH("QTY",F11)+4),3))),""))</f>
        <v>0</v>
      </c>
      <c r="M11">
        <f>'Raw Data'!O11</f>
        <v>0</v>
      </c>
      <c r="N11">
        <f>'Raw Data'!P11</f>
        <v>0</v>
      </c>
      <c r="O11">
        <f>'Raw Data'!Q11</f>
        <v>0</v>
      </c>
      <c r="P11">
        <f>'Raw Data'!R11</f>
        <v>0</v>
      </c>
      <c r="Q11">
        <f>'Raw Data'!S11</f>
        <v>0</v>
      </c>
      <c r="R11">
        <f>'Raw Data'!T11</f>
        <v>0</v>
      </c>
      <c r="S11">
        <f>IFERROR(O11,0)+IFERROR(R11,0)</f>
        <v>0</v>
      </c>
      <c r="T11">
        <f>IF(A11="","",YEAR(A11))</f>
        <v>0</v>
      </c>
    </row>
    <row r="12" spans="1:20">
      <c r="A12">
        <f>'Raw Data'!B12</f>
        <v>0</v>
      </c>
      <c r="B12">
        <f>'Raw Data'!A12</f>
        <v>0</v>
      </c>
      <c r="C12">
        <f>'Raw Data'!C12</f>
        <v>0</v>
      </c>
      <c r="D12">
        <f>'Raw Data'!D12</f>
        <v>0</v>
      </c>
      <c r="E12">
        <f>IFERROR(VLOOKUP(D12,'Lookup Tables'!$A:$B,2,FALSE),"Unknown")</f>
        <v>0</v>
      </c>
      <c r="F12">
        <f>'Raw Data'!E12</f>
        <v>0</v>
      </c>
      <c r="G12">
        <f>IFERROR(VLOOKUP(D12,'Lookup Tables'!$A:$C,3,FALSE),IF(ISNUMBER(SEARCH("STEEL",F12)),"Steel","Others"))</f>
        <v>0</v>
      </c>
      <c r="H12">
        <f>IF(ISNUMBER(SEARCH("scrubber",F12)) , "Scrubber", IF(ISNUMBER(SEARCH("container",F12)),"Container", IF(ISNUMBER(SEARCH("basket",F12)),"Basket", IF(ISNUMBER(SEARCH("lunch",F12)),"Lunch Box", IF(ISNUMBER(SEARCH("cutlery",F12)),"Cutlery","Other")))))</f>
        <v>0</v>
      </c>
      <c r="I12">
        <f>IF('Raw Data'!G12&lt;&gt;'','Raw Data'!G12,IFERROR(MID(F12,SEARCH("MODEL",F12)+6,20),""))</f>
        <v>0</v>
      </c>
      <c r="J12">
        <f>'Raw Data'!H12</f>
        <v>0</v>
      </c>
      <c r="K12">
        <f>'Raw Data'!I12</f>
        <v>0</v>
      </c>
      <c r="L12">
        <f>IF('Raw Data'!N12&lt;&gt;0,'Raw Data'!N12,IFERROR(VALUE(MID(F12,SEARCH("QTY",F12)+4,IFERROR(FIND(" ",F12,SEARCH("QTY",F12)+4)-(SEARCH("QTY",F12)+4),3))),""))</f>
        <v>0</v>
      </c>
      <c r="M12">
        <f>'Raw Data'!O12</f>
        <v>0</v>
      </c>
      <c r="N12">
        <f>'Raw Data'!P12</f>
        <v>0</v>
      </c>
      <c r="O12">
        <f>'Raw Data'!Q12</f>
        <v>0</v>
      </c>
      <c r="P12">
        <f>'Raw Data'!R12</f>
        <v>0</v>
      </c>
      <c r="Q12">
        <f>'Raw Data'!S12</f>
        <v>0</v>
      </c>
      <c r="R12">
        <f>'Raw Data'!T12</f>
        <v>0</v>
      </c>
      <c r="S12">
        <f>IFERROR(O12,0)+IFERROR(R12,0)</f>
        <v>0</v>
      </c>
      <c r="T12">
        <f>IF(A12="","",YEAR(A12))</f>
        <v>0</v>
      </c>
    </row>
    <row r="13" spans="1:20">
      <c r="A13">
        <f>'Raw Data'!B13</f>
        <v>0</v>
      </c>
      <c r="B13">
        <f>'Raw Data'!A13</f>
        <v>0</v>
      </c>
      <c r="C13">
        <f>'Raw Data'!C13</f>
        <v>0</v>
      </c>
      <c r="D13">
        <f>'Raw Data'!D13</f>
        <v>0</v>
      </c>
      <c r="E13">
        <f>IFERROR(VLOOKUP(D13,'Lookup Tables'!$A:$B,2,FALSE),"Unknown")</f>
        <v>0</v>
      </c>
      <c r="F13">
        <f>'Raw Data'!E13</f>
        <v>0</v>
      </c>
      <c r="G13">
        <f>IFERROR(VLOOKUP(D13,'Lookup Tables'!$A:$C,3,FALSE),IF(ISNUMBER(SEARCH("STEEL",F13)),"Steel","Others"))</f>
        <v>0</v>
      </c>
      <c r="H13">
        <f>IF(ISNUMBER(SEARCH("scrubber",F13)) , "Scrubber", IF(ISNUMBER(SEARCH("container",F13)),"Container", IF(ISNUMBER(SEARCH("basket",F13)),"Basket", IF(ISNUMBER(SEARCH("lunch",F13)),"Lunch Box", IF(ISNUMBER(SEARCH("cutlery",F13)),"Cutlery","Other")))))</f>
        <v>0</v>
      </c>
      <c r="I13">
        <f>IF('Raw Data'!G13&lt;&gt;'','Raw Data'!G13,IFERROR(MID(F13,SEARCH("MODEL",F13)+6,20),""))</f>
        <v>0</v>
      </c>
      <c r="J13">
        <f>'Raw Data'!H13</f>
        <v>0</v>
      </c>
      <c r="K13">
        <f>'Raw Data'!I13</f>
        <v>0</v>
      </c>
      <c r="L13">
        <f>IF('Raw Data'!N13&lt;&gt;0,'Raw Data'!N13,IFERROR(VALUE(MID(F13,SEARCH("QTY",F13)+4,IFERROR(FIND(" ",F13,SEARCH("QTY",F13)+4)-(SEARCH("QTY",F13)+4),3))),""))</f>
        <v>0</v>
      </c>
      <c r="M13">
        <f>'Raw Data'!O13</f>
        <v>0</v>
      </c>
      <c r="N13">
        <f>'Raw Data'!P13</f>
        <v>0</v>
      </c>
      <c r="O13">
        <f>'Raw Data'!Q13</f>
        <v>0</v>
      </c>
      <c r="P13">
        <f>'Raw Data'!R13</f>
        <v>0</v>
      </c>
      <c r="Q13">
        <f>'Raw Data'!S13</f>
        <v>0</v>
      </c>
      <c r="R13">
        <f>'Raw Data'!T13</f>
        <v>0</v>
      </c>
      <c r="S13">
        <f>IFERROR(O13,0)+IFERROR(R13,0)</f>
        <v>0</v>
      </c>
      <c r="T13">
        <f>IF(A13="","",YEAR(A13))</f>
        <v>0</v>
      </c>
    </row>
    <row r="14" spans="1:20">
      <c r="A14">
        <f>'Raw Data'!B14</f>
        <v>0</v>
      </c>
      <c r="B14">
        <f>'Raw Data'!A14</f>
        <v>0</v>
      </c>
      <c r="C14">
        <f>'Raw Data'!C14</f>
        <v>0</v>
      </c>
      <c r="D14">
        <f>'Raw Data'!D14</f>
        <v>0</v>
      </c>
      <c r="E14">
        <f>IFERROR(VLOOKUP(D14,'Lookup Tables'!$A:$B,2,FALSE),"Unknown")</f>
        <v>0</v>
      </c>
      <c r="F14">
        <f>'Raw Data'!E14</f>
        <v>0</v>
      </c>
      <c r="G14">
        <f>IFERROR(VLOOKUP(D14,'Lookup Tables'!$A:$C,3,FALSE),IF(ISNUMBER(SEARCH("STEEL",F14)),"Steel","Others"))</f>
        <v>0</v>
      </c>
      <c r="H14">
        <f>IF(ISNUMBER(SEARCH("scrubber",F14)) , "Scrubber", IF(ISNUMBER(SEARCH("container",F14)),"Container", IF(ISNUMBER(SEARCH("basket",F14)),"Basket", IF(ISNUMBER(SEARCH("lunch",F14)),"Lunch Box", IF(ISNUMBER(SEARCH("cutlery",F14)),"Cutlery","Other")))))</f>
        <v>0</v>
      </c>
      <c r="I14">
        <f>IF('Raw Data'!G14&lt;&gt;'','Raw Data'!G14,IFERROR(MID(F14,SEARCH("MODEL",F14)+6,20),""))</f>
        <v>0</v>
      </c>
      <c r="J14">
        <f>'Raw Data'!H14</f>
        <v>0</v>
      </c>
      <c r="K14">
        <f>'Raw Data'!I14</f>
        <v>0</v>
      </c>
      <c r="L14">
        <f>IF('Raw Data'!N14&lt;&gt;0,'Raw Data'!N14,IFERROR(VALUE(MID(F14,SEARCH("QTY",F14)+4,IFERROR(FIND(" ",F14,SEARCH("QTY",F14)+4)-(SEARCH("QTY",F14)+4),3))),""))</f>
        <v>0</v>
      </c>
      <c r="M14">
        <f>'Raw Data'!O14</f>
        <v>0</v>
      </c>
      <c r="N14">
        <f>'Raw Data'!P14</f>
        <v>0</v>
      </c>
      <c r="O14">
        <f>'Raw Data'!Q14</f>
        <v>0</v>
      </c>
      <c r="P14">
        <f>'Raw Data'!R14</f>
        <v>0</v>
      </c>
      <c r="Q14">
        <f>'Raw Data'!S14</f>
        <v>0</v>
      </c>
      <c r="R14">
        <f>'Raw Data'!T14</f>
        <v>0</v>
      </c>
      <c r="S14">
        <f>IFERROR(O14,0)+IFERROR(R14,0)</f>
        <v>0</v>
      </c>
      <c r="T14">
        <f>IF(A14="","",YEAR(A14))</f>
        <v>0</v>
      </c>
    </row>
    <row r="15" spans="1:20">
      <c r="A15">
        <f>'Raw Data'!B15</f>
        <v>0</v>
      </c>
      <c r="B15">
        <f>'Raw Data'!A15</f>
        <v>0</v>
      </c>
      <c r="C15">
        <f>'Raw Data'!C15</f>
        <v>0</v>
      </c>
      <c r="D15">
        <f>'Raw Data'!D15</f>
        <v>0</v>
      </c>
      <c r="E15">
        <f>IFERROR(VLOOKUP(D15,'Lookup Tables'!$A:$B,2,FALSE),"Unknown")</f>
        <v>0</v>
      </c>
      <c r="F15">
        <f>'Raw Data'!E15</f>
        <v>0</v>
      </c>
      <c r="G15">
        <f>IFERROR(VLOOKUP(D15,'Lookup Tables'!$A:$C,3,FALSE),IF(ISNUMBER(SEARCH("STEEL",F15)),"Steel","Others"))</f>
        <v>0</v>
      </c>
      <c r="H15">
        <f>IF(ISNUMBER(SEARCH("scrubber",F15)) , "Scrubber", IF(ISNUMBER(SEARCH("container",F15)),"Container", IF(ISNUMBER(SEARCH("basket",F15)),"Basket", IF(ISNUMBER(SEARCH("lunch",F15)),"Lunch Box", IF(ISNUMBER(SEARCH("cutlery",F15)),"Cutlery","Other")))))</f>
        <v>0</v>
      </c>
      <c r="I15">
        <f>IF('Raw Data'!G15&lt;&gt;'','Raw Data'!G15,IFERROR(MID(F15,SEARCH("MODEL",F15)+6,20),""))</f>
        <v>0</v>
      </c>
      <c r="J15">
        <f>'Raw Data'!H15</f>
        <v>0</v>
      </c>
      <c r="K15">
        <f>'Raw Data'!I15</f>
        <v>0</v>
      </c>
      <c r="L15">
        <f>IF('Raw Data'!N15&lt;&gt;0,'Raw Data'!N15,IFERROR(VALUE(MID(F15,SEARCH("QTY",F15)+4,IFERROR(FIND(" ",F15,SEARCH("QTY",F15)+4)-(SEARCH("QTY",F15)+4),3))),""))</f>
        <v>0</v>
      </c>
      <c r="M15">
        <f>'Raw Data'!O15</f>
        <v>0</v>
      </c>
      <c r="N15">
        <f>'Raw Data'!P15</f>
        <v>0</v>
      </c>
      <c r="O15">
        <f>'Raw Data'!Q15</f>
        <v>0</v>
      </c>
      <c r="P15">
        <f>'Raw Data'!R15</f>
        <v>0</v>
      </c>
      <c r="Q15">
        <f>'Raw Data'!S15</f>
        <v>0</v>
      </c>
      <c r="R15">
        <f>'Raw Data'!T15</f>
        <v>0</v>
      </c>
      <c r="S15">
        <f>IFERROR(O15,0)+IFERROR(R15,0)</f>
        <v>0</v>
      </c>
      <c r="T15">
        <f>IF(A15="","",YEAR(A15))</f>
        <v>0</v>
      </c>
    </row>
    <row r="16" spans="1:20">
      <c r="A16">
        <f>'Raw Data'!B16</f>
        <v>0</v>
      </c>
      <c r="B16">
        <f>'Raw Data'!A16</f>
        <v>0</v>
      </c>
      <c r="C16">
        <f>'Raw Data'!C16</f>
        <v>0</v>
      </c>
      <c r="D16">
        <f>'Raw Data'!D16</f>
        <v>0</v>
      </c>
      <c r="E16">
        <f>IFERROR(VLOOKUP(D16,'Lookup Tables'!$A:$B,2,FALSE),"Unknown")</f>
        <v>0</v>
      </c>
      <c r="F16">
        <f>'Raw Data'!E16</f>
        <v>0</v>
      </c>
      <c r="G16">
        <f>IFERROR(VLOOKUP(D16,'Lookup Tables'!$A:$C,3,FALSE),IF(ISNUMBER(SEARCH("STEEL",F16)),"Steel","Others"))</f>
        <v>0</v>
      </c>
      <c r="H16">
        <f>IF(ISNUMBER(SEARCH("scrubber",F16)) , "Scrubber", IF(ISNUMBER(SEARCH("container",F16)),"Container", IF(ISNUMBER(SEARCH("basket",F16)),"Basket", IF(ISNUMBER(SEARCH("lunch",F16)),"Lunch Box", IF(ISNUMBER(SEARCH("cutlery",F16)),"Cutlery","Other")))))</f>
        <v>0</v>
      </c>
      <c r="I16">
        <f>IF('Raw Data'!G16&lt;&gt;'','Raw Data'!G16,IFERROR(MID(F16,SEARCH("MODEL",F16)+6,20),""))</f>
        <v>0</v>
      </c>
      <c r="J16">
        <f>'Raw Data'!H16</f>
        <v>0</v>
      </c>
      <c r="K16">
        <f>'Raw Data'!I16</f>
        <v>0</v>
      </c>
      <c r="L16">
        <f>IF('Raw Data'!N16&lt;&gt;0,'Raw Data'!N16,IFERROR(VALUE(MID(F16,SEARCH("QTY",F16)+4,IFERROR(FIND(" ",F16,SEARCH("QTY",F16)+4)-(SEARCH("QTY",F16)+4),3))),""))</f>
        <v>0</v>
      </c>
      <c r="M16">
        <f>'Raw Data'!O16</f>
        <v>0</v>
      </c>
      <c r="N16">
        <f>'Raw Data'!P16</f>
        <v>0</v>
      </c>
      <c r="O16">
        <f>'Raw Data'!Q16</f>
        <v>0</v>
      </c>
      <c r="P16">
        <f>'Raw Data'!R16</f>
        <v>0</v>
      </c>
      <c r="Q16">
        <f>'Raw Data'!S16</f>
        <v>0</v>
      </c>
      <c r="R16">
        <f>'Raw Data'!T16</f>
        <v>0</v>
      </c>
      <c r="S16">
        <f>IFERROR(O16,0)+IFERROR(R16,0)</f>
        <v>0</v>
      </c>
      <c r="T16">
        <f>IF(A16="","",YEAR(A16))</f>
        <v>0</v>
      </c>
    </row>
    <row r="17" spans="1:20">
      <c r="A17">
        <f>'Raw Data'!B17</f>
        <v>0</v>
      </c>
      <c r="B17">
        <f>'Raw Data'!A17</f>
        <v>0</v>
      </c>
      <c r="C17">
        <f>'Raw Data'!C17</f>
        <v>0</v>
      </c>
      <c r="D17">
        <f>'Raw Data'!D17</f>
        <v>0</v>
      </c>
      <c r="E17">
        <f>IFERROR(VLOOKUP(D17,'Lookup Tables'!$A:$B,2,FALSE),"Unknown")</f>
        <v>0</v>
      </c>
      <c r="F17">
        <f>'Raw Data'!E17</f>
        <v>0</v>
      </c>
      <c r="G17">
        <f>IFERROR(VLOOKUP(D17,'Lookup Tables'!$A:$C,3,FALSE),IF(ISNUMBER(SEARCH("STEEL",F17)),"Steel","Others"))</f>
        <v>0</v>
      </c>
      <c r="H17">
        <f>IF(ISNUMBER(SEARCH("scrubber",F17)) , "Scrubber", IF(ISNUMBER(SEARCH("container",F17)),"Container", IF(ISNUMBER(SEARCH("basket",F17)),"Basket", IF(ISNUMBER(SEARCH("lunch",F17)),"Lunch Box", IF(ISNUMBER(SEARCH("cutlery",F17)),"Cutlery","Other")))))</f>
        <v>0</v>
      </c>
      <c r="I17">
        <f>IF('Raw Data'!G17&lt;&gt;'','Raw Data'!G17,IFERROR(MID(F17,SEARCH("MODEL",F17)+6,20),""))</f>
        <v>0</v>
      </c>
      <c r="J17">
        <f>'Raw Data'!H17</f>
        <v>0</v>
      </c>
      <c r="K17">
        <f>'Raw Data'!I17</f>
        <v>0</v>
      </c>
      <c r="L17">
        <f>IF('Raw Data'!N17&lt;&gt;0,'Raw Data'!N17,IFERROR(VALUE(MID(F17,SEARCH("QTY",F17)+4,IFERROR(FIND(" ",F17,SEARCH("QTY",F17)+4)-(SEARCH("QTY",F17)+4),3))),""))</f>
        <v>0</v>
      </c>
      <c r="M17">
        <f>'Raw Data'!O17</f>
        <v>0</v>
      </c>
      <c r="N17">
        <f>'Raw Data'!P17</f>
        <v>0</v>
      </c>
      <c r="O17">
        <f>'Raw Data'!Q17</f>
        <v>0</v>
      </c>
      <c r="P17">
        <f>'Raw Data'!R17</f>
        <v>0</v>
      </c>
      <c r="Q17">
        <f>'Raw Data'!S17</f>
        <v>0</v>
      </c>
      <c r="R17">
        <f>'Raw Data'!T17</f>
        <v>0</v>
      </c>
      <c r="S17">
        <f>IFERROR(O17,0)+IFERROR(R17,0)</f>
        <v>0</v>
      </c>
      <c r="T17">
        <f>IF(A17="","",YEAR(A17))</f>
        <v>0</v>
      </c>
    </row>
    <row r="18" spans="1:20">
      <c r="A18">
        <f>'Raw Data'!B18</f>
        <v>0</v>
      </c>
      <c r="B18">
        <f>'Raw Data'!A18</f>
        <v>0</v>
      </c>
      <c r="C18">
        <f>'Raw Data'!C18</f>
        <v>0</v>
      </c>
      <c r="D18">
        <f>'Raw Data'!D18</f>
        <v>0</v>
      </c>
      <c r="E18">
        <f>IFERROR(VLOOKUP(D18,'Lookup Tables'!$A:$B,2,FALSE),"Unknown")</f>
        <v>0</v>
      </c>
      <c r="F18">
        <f>'Raw Data'!E18</f>
        <v>0</v>
      </c>
      <c r="G18">
        <f>IFERROR(VLOOKUP(D18,'Lookup Tables'!$A:$C,3,FALSE),IF(ISNUMBER(SEARCH("STEEL",F18)),"Steel","Others"))</f>
        <v>0</v>
      </c>
      <c r="H18">
        <f>IF(ISNUMBER(SEARCH("scrubber",F18)) , "Scrubber", IF(ISNUMBER(SEARCH("container",F18)),"Container", IF(ISNUMBER(SEARCH("basket",F18)),"Basket", IF(ISNUMBER(SEARCH("lunch",F18)),"Lunch Box", IF(ISNUMBER(SEARCH("cutlery",F18)),"Cutlery","Other")))))</f>
        <v>0</v>
      </c>
      <c r="I18">
        <f>IF('Raw Data'!G18&lt;&gt;'','Raw Data'!G18,IFERROR(MID(F18,SEARCH("MODEL",F18)+6,20),""))</f>
        <v>0</v>
      </c>
      <c r="J18">
        <f>'Raw Data'!H18</f>
        <v>0</v>
      </c>
      <c r="K18">
        <f>'Raw Data'!I18</f>
        <v>0</v>
      </c>
      <c r="L18">
        <f>IF('Raw Data'!N18&lt;&gt;0,'Raw Data'!N18,IFERROR(VALUE(MID(F18,SEARCH("QTY",F18)+4,IFERROR(FIND(" ",F18,SEARCH("QTY",F18)+4)-(SEARCH("QTY",F18)+4),3))),""))</f>
        <v>0</v>
      </c>
      <c r="M18">
        <f>'Raw Data'!O18</f>
        <v>0</v>
      </c>
      <c r="N18">
        <f>'Raw Data'!P18</f>
        <v>0</v>
      </c>
      <c r="O18">
        <f>'Raw Data'!Q18</f>
        <v>0</v>
      </c>
      <c r="P18">
        <f>'Raw Data'!R18</f>
        <v>0</v>
      </c>
      <c r="Q18">
        <f>'Raw Data'!S18</f>
        <v>0</v>
      </c>
      <c r="R18">
        <f>'Raw Data'!T18</f>
        <v>0</v>
      </c>
      <c r="S18">
        <f>IFERROR(O18,0)+IFERROR(R18,0)</f>
        <v>0</v>
      </c>
      <c r="T18">
        <f>IF(A18="","",YEAR(A18))</f>
        <v>0</v>
      </c>
    </row>
    <row r="19" spans="1:20">
      <c r="A19">
        <f>'Raw Data'!B19</f>
        <v>0</v>
      </c>
      <c r="B19">
        <f>'Raw Data'!A19</f>
        <v>0</v>
      </c>
      <c r="C19">
        <f>'Raw Data'!C19</f>
        <v>0</v>
      </c>
      <c r="D19">
        <f>'Raw Data'!D19</f>
        <v>0</v>
      </c>
      <c r="E19">
        <f>IFERROR(VLOOKUP(D19,'Lookup Tables'!$A:$B,2,FALSE),"Unknown")</f>
        <v>0</v>
      </c>
      <c r="F19">
        <f>'Raw Data'!E19</f>
        <v>0</v>
      </c>
      <c r="G19">
        <f>IFERROR(VLOOKUP(D19,'Lookup Tables'!$A:$C,3,FALSE),IF(ISNUMBER(SEARCH("STEEL",F19)),"Steel","Others"))</f>
        <v>0</v>
      </c>
      <c r="H19">
        <f>IF(ISNUMBER(SEARCH("scrubber",F19)) , "Scrubber", IF(ISNUMBER(SEARCH("container",F19)),"Container", IF(ISNUMBER(SEARCH("basket",F19)),"Basket", IF(ISNUMBER(SEARCH("lunch",F19)),"Lunch Box", IF(ISNUMBER(SEARCH("cutlery",F19)),"Cutlery","Other")))))</f>
        <v>0</v>
      </c>
      <c r="I19">
        <f>IF('Raw Data'!G19&lt;&gt;'','Raw Data'!G19,IFERROR(MID(F19,SEARCH("MODEL",F19)+6,20),""))</f>
        <v>0</v>
      </c>
      <c r="J19">
        <f>'Raw Data'!H19</f>
        <v>0</v>
      </c>
      <c r="K19">
        <f>'Raw Data'!I19</f>
        <v>0</v>
      </c>
      <c r="L19">
        <f>IF('Raw Data'!N19&lt;&gt;0,'Raw Data'!N19,IFERROR(VALUE(MID(F19,SEARCH("QTY",F19)+4,IFERROR(FIND(" ",F19,SEARCH("QTY",F19)+4)-(SEARCH("QTY",F19)+4),3))),""))</f>
        <v>0</v>
      </c>
      <c r="M19">
        <f>'Raw Data'!O19</f>
        <v>0</v>
      </c>
      <c r="N19">
        <f>'Raw Data'!P19</f>
        <v>0</v>
      </c>
      <c r="O19">
        <f>'Raw Data'!Q19</f>
        <v>0</v>
      </c>
      <c r="P19">
        <f>'Raw Data'!R19</f>
        <v>0</v>
      </c>
      <c r="Q19">
        <f>'Raw Data'!S19</f>
        <v>0</v>
      </c>
      <c r="R19">
        <f>'Raw Data'!T19</f>
        <v>0</v>
      </c>
      <c r="S19">
        <f>IFERROR(O19,0)+IFERROR(R19,0)</f>
        <v>0</v>
      </c>
      <c r="T19">
        <f>IF(A19="","",YEAR(A19))</f>
        <v>0</v>
      </c>
    </row>
    <row r="20" spans="1:20">
      <c r="A20">
        <f>'Raw Data'!B20</f>
        <v>0</v>
      </c>
      <c r="B20">
        <f>'Raw Data'!A20</f>
        <v>0</v>
      </c>
      <c r="C20">
        <f>'Raw Data'!C20</f>
        <v>0</v>
      </c>
      <c r="D20">
        <f>'Raw Data'!D20</f>
        <v>0</v>
      </c>
      <c r="E20">
        <f>IFERROR(VLOOKUP(D20,'Lookup Tables'!$A:$B,2,FALSE),"Unknown")</f>
        <v>0</v>
      </c>
      <c r="F20">
        <f>'Raw Data'!E20</f>
        <v>0</v>
      </c>
      <c r="G20">
        <f>IFERROR(VLOOKUP(D20,'Lookup Tables'!$A:$C,3,FALSE),IF(ISNUMBER(SEARCH("STEEL",F20)),"Steel","Others"))</f>
        <v>0</v>
      </c>
      <c r="H20">
        <f>IF(ISNUMBER(SEARCH("scrubber",F20)) , "Scrubber", IF(ISNUMBER(SEARCH("container",F20)),"Container", IF(ISNUMBER(SEARCH("basket",F20)),"Basket", IF(ISNUMBER(SEARCH("lunch",F20)),"Lunch Box", IF(ISNUMBER(SEARCH("cutlery",F20)),"Cutlery","Other")))))</f>
        <v>0</v>
      </c>
      <c r="I20">
        <f>IF('Raw Data'!G20&lt;&gt;'','Raw Data'!G20,IFERROR(MID(F20,SEARCH("MODEL",F20)+6,20),""))</f>
        <v>0</v>
      </c>
      <c r="J20">
        <f>'Raw Data'!H20</f>
        <v>0</v>
      </c>
      <c r="K20">
        <f>'Raw Data'!I20</f>
        <v>0</v>
      </c>
      <c r="L20">
        <f>IF('Raw Data'!N20&lt;&gt;0,'Raw Data'!N20,IFERROR(VALUE(MID(F20,SEARCH("QTY",F20)+4,IFERROR(FIND(" ",F20,SEARCH("QTY",F20)+4)-(SEARCH("QTY",F20)+4),3))),""))</f>
        <v>0</v>
      </c>
      <c r="M20">
        <f>'Raw Data'!O20</f>
        <v>0</v>
      </c>
      <c r="N20">
        <f>'Raw Data'!P20</f>
        <v>0</v>
      </c>
      <c r="O20">
        <f>'Raw Data'!Q20</f>
        <v>0</v>
      </c>
      <c r="P20">
        <f>'Raw Data'!R20</f>
        <v>0</v>
      </c>
      <c r="Q20">
        <f>'Raw Data'!S20</f>
        <v>0</v>
      </c>
      <c r="R20">
        <f>'Raw Data'!T20</f>
        <v>0</v>
      </c>
      <c r="S20">
        <f>IFERROR(O20,0)+IFERROR(R20,0)</f>
        <v>0</v>
      </c>
      <c r="T20">
        <f>IF(A20="","",YEAR(A20))</f>
        <v>0</v>
      </c>
    </row>
    <row r="21" spans="1:20">
      <c r="A21">
        <f>'Raw Data'!B21</f>
        <v>0</v>
      </c>
      <c r="B21">
        <f>'Raw Data'!A21</f>
        <v>0</v>
      </c>
      <c r="C21">
        <f>'Raw Data'!C21</f>
        <v>0</v>
      </c>
      <c r="D21">
        <f>'Raw Data'!D21</f>
        <v>0</v>
      </c>
      <c r="E21">
        <f>IFERROR(VLOOKUP(D21,'Lookup Tables'!$A:$B,2,FALSE),"Unknown")</f>
        <v>0</v>
      </c>
      <c r="F21">
        <f>'Raw Data'!E21</f>
        <v>0</v>
      </c>
      <c r="G21">
        <f>IFERROR(VLOOKUP(D21,'Lookup Tables'!$A:$C,3,FALSE),IF(ISNUMBER(SEARCH("STEEL",F21)),"Steel","Others"))</f>
        <v>0</v>
      </c>
      <c r="H21">
        <f>IF(ISNUMBER(SEARCH("scrubber",F21)) , "Scrubber", IF(ISNUMBER(SEARCH("container",F21)),"Container", IF(ISNUMBER(SEARCH("basket",F21)),"Basket", IF(ISNUMBER(SEARCH("lunch",F21)),"Lunch Box", IF(ISNUMBER(SEARCH("cutlery",F21)),"Cutlery","Other")))))</f>
        <v>0</v>
      </c>
      <c r="I21">
        <f>IF('Raw Data'!G21&lt;&gt;'','Raw Data'!G21,IFERROR(MID(F21,SEARCH("MODEL",F21)+6,20),""))</f>
        <v>0</v>
      </c>
      <c r="J21">
        <f>'Raw Data'!H21</f>
        <v>0</v>
      </c>
      <c r="K21">
        <f>'Raw Data'!I21</f>
        <v>0</v>
      </c>
      <c r="L21">
        <f>IF('Raw Data'!N21&lt;&gt;0,'Raw Data'!N21,IFERROR(VALUE(MID(F21,SEARCH("QTY",F21)+4,IFERROR(FIND(" ",F21,SEARCH("QTY",F21)+4)-(SEARCH("QTY",F21)+4),3))),""))</f>
        <v>0</v>
      </c>
      <c r="M21">
        <f>'Raw Data'!O21</f>
        <v>0</v>
      </c>
      <c r="N21">
        <f>'Raw Data'!P21</f>
        <v>0</v>
      </c>
      <c r="O21">
        <f>'Raw Data'!Q21</f>
        <v>0</v>
      </c>
      <c r="P21">
        <f>'Raw Data'!R21</f>
        <v>0</v>
      </c>
      <c r="Q21">
        <f>'Raw Data'!S21</f>
        <v>0</v>
      </c>
      <c r="R21">
        <f>'Raw Data'!T21</f>
        <v>0</v>
      </c>
      <c r="S21">
        <f>IFERROR(O21,0)+IFERROR(R21,0)</f>
        <v>0</v>
      </c>
      <c r="T21">
        <f>IF(A21="","",YEAR(A21))</f>
        <v>0</v>
      </c>
    </row>
    <row r="22" spans="1:20">
      <c r="A22">
        <f>'Raw Data'!B22</f>
        <v>0</v>
      </c>
      <c r="B22">
        <f>'Raw Data'!A22</f>
        <v>0</v>
      </c>
      <c r="C22">
        <f>'Raw Data'!C22</f>
        <v>0</v>
      </c>
      <c r="D22">
        <f>'Raw Data'!D22</f>
        <v>0</v>
      </c>
      <c r="E22">
        <f>IFERROR(VLOOKUP(D22,'Lookup Tables'!$A:$B,2,FALSE),"Unknown")</f>
        <v>0</v>
      </c>
      <c r="F22">
        <f>'Raw Data'!E22</f>
        <v>0</v>
      </c>
      <c r="G22">
        <f>IFERROR(VLOOKUP(D22,'Lookup Tables'!$A:$C,3,FALSE),IF(ISNUMBER(SEARCH("STEEL",F22)),"Steel","Others"))</f>
        <v>0</v>
      </c>
      <c r="H22">
        <f>IF(ISNUMBER(SEARCH("scrubber",F22)) , "Scrubber", IF(ISNUMBER(SEARCH("container",F22)),"Container", IF(ISNUMBER(SEARCH("basket",F22)),"Basket", IF(ISNUMBER(SEARCH("lunch",F22)),"Lunch Box", IF(ISNUMBER(SEARCH("cutlery",F22)),"Cutlery","Other")))))</f>
        <v>0</v>
      </c>
      <c r="I22">
        <f>IF('Raw Data'!G22&lt;&gt;'','Raw Data'!G22,IFERROR(MID(F22,SEARCH("MODEL",F22)+6,20),""))</f>
        <v>0</v>
      </c>
      <c r="J22">
        <f>'Raw Data'!H22</f>
        <v>0</v>
      </c>
      <c r="K22">
        <f>'Raw Data'!I22</f>
        <v>0</v>
      </c>
      <c r="L22">
        <f>IF('Raw Data'!N22&lt;&gt;0,'Raw Data'!N22,IFERROR(VALUE(MID(F22,SEARCH("QTY",F22)+4,IFERROR(FIND(" ",F22,SEARCH("QTY",F22)+4)-(SEARCH("QTY",F22)+4),3))),""))</f>
        <v>0</v>
      </c>
      <c r="M22">
        <f>'Raw Data'!O22</f>
        <v>0</v>
      </c>
      <c r="N22">
        <f>'Raw Data'!P22</f>
        <v>0</v>
      </c>
      <c r="O22">
        <f>'Raw Data'!Q22</f>
        <v>0</v>
      </c>
      <c r="P22">
        <f>'Raw Data'!R22</f>
        <v>0</v>
      </c>
      <c r="Q22">
        <f>'Raw Data'!S22</f>
        <v>0</v>
      </c>
      <c r="R22">
        <f>'Raw Data'!T22</f>
        <v>0</v>
      </c>
      <c r="S22">
        <f>IFERROR(O22,0)+IFERROR(R22,0)</f>
        <v>0</v>
      </c>
      <c r="T22">
        <f>IF(A22="","",YEAR(A22))</f>
        <v>0</v>
      </c>
    </row>
    <row r="23" spans="1:20">
      <c r="A23">
        <f>'Raw Data'!B23</f>
        <v>0</v>
      </c>
      <c r="B23">
        <f>'Raw Data'!A23</f>
        <v>0</v>
      </c>
      <c r="C23">
        <f>'Raw Data'!C23</f>
        <v>0</v>
      </c>
      <c r="D23">
        <f>'Raw Data'!D23</f>
        <v>0</v>
      </c>
      <c r="E23">
        <f>IFERROR(VLOOKUP(D23,'Lookup Tables'!$A:$B,2,FALSE),"Unknown")</f>
        <v>0</v>
      </c>
      <c r="F23">
        <f>'Raw Data'!E23</f>
        <v>0</v>
      </c>
      <c r="G23">
        <f>IFERROR(VLOOKUP(D23,'Lookup Tables'!$A:$C,3,FALSE),IF(ISNUMBER(SEARCH("STEEL",F23)),"Steel","Others"))</f>
        <v>0</v>
      </c>
      <c r="H23">
        <f>IF(ISNUMBER(SEARCH("scrubber",F23)) , "Scrubber", IF(ISNUMBER(SEARCH("container",F23)),"Container", IF(ISNUMBER(SEARCH("basket",F23)),"Basket", IF(ISNUMBER(SEARCH("lunch",F23)),"Lunch Box", IF(ISNUMBER(SEARCH("cutlery",F23)),"Cutlery","Other")))))</f>
        <v>0</v>
      </c>
      <c r="I23">
        <f>IF('Raw Data'!G23&lt;&gt;'','Raw Data'!G23,IFERROR(MID(F23,SEARCH("MODEL",F23)+6,20),""))</f>
        <v>0</v>
      </c>
      <c r="J23">
        <f>'Raw Data'!H23</f>
        <v>0</v>
      </c>
      <c r="K23">
        <f>'Raw Data'!I23</f>
        <v>0</v>
      </c>
      <c r="L23">
        <f>IF('Raw Data'!N23&lt;&gt;0,'Raw Data'!N23,IFERROR(VALUE(MID(F23,SEARCH("QTY",F23)+4,IFERROR(FIND(" ",F23,SEARCH("QTY",F23)+4)-(SEARCH("QTY",F23)+4),3))),""))</f>
        <v>0</v>
      </c>
      <c r="M23">
        <f>'Raw Data'!O23</f>
        <v>0</v>
      </c>
      <c r="N23">
        <f>'Raw Data'!P23</f>
        <v>0</v>
      </c>
      <c r="O23">
        <f>'Raw Data'!Q23</f>
        <v>0</v>
      </c>
      <c r="P23">
        <f>'Raw Data'!R23</f>
        <v>0</v>
      </c>
      <c r="Q23">
        <f>'Raw Data'!S23</f>
        <v>0</v>
      </c>
      <c r="R23">
        <f>'Raw Data'!T23</f>
        <v>0</v>
      </c>
      <c r="S23">
        <f>IFERROR(O23,0)+IFERROR(R23,0)</f>
        <v>0</v>
      </c>
      <c r="T23">
        <f>IF(A23="","",YEAR(A23))</f>
        <v>0</v>
      </c>
    </row>
    <row r="24" spans="1:20">
      <c r="A24">
        <f>'Raw Data'!B24</f>
        <v>0</v>
      </c>
      <c r="B24">
        <f>'Raw Data'!A24</f>
        <v>0</v>
      </c>
      <c r="C24">
        <f>'Raw Data'!C24</f>
        <v>0</v>
      </c>
      <c r="D24">
        <f>'Raw Data'!D24</f>
        <v>0</v>
      </c>
      <c r="E24">
        <f>IFERROR(VLOOKUP(D24,'Lookup Tables'!$A:$B,2,FALSE),"Unknown")</f>
        <v>0</v>
      </c>
      <c r="F24">
        <f>'Raw Data'!E24</f>
        <v>0</v>
      </c>
      <c r="G24">
        <f>IFERROR(VLOOKUP(D24,'Lookup Tables'!$A:$C,3,FALSE),IF(ISNUMBER(SEARCH("STEEL",F24)),"Steel","Others"))</f>
        <v>0</v>
      </c>
      <c r="H24">
        <f>IF(ISNUMBER(SEARCH("scrubber",F24)) , "Scrubber", IF(ISNUMBER(SEARCH("container",F24)),"Container", IF(ISNUMBER(SEARCH("basket",F24)),"Basket", IF(ISNUMBER(SEARCH("lunch",F24)),"Lunch Box", IF(ISNUMBER(SEARCH("cutlery",F24)),"Cutlery","Other")))))</f>
        <v>0</v>
      </c>
      <c r="I24">
        <f>IF('Raw Data'!G24&lt;&gt;'','Raw Data'!G24,IFERROR(MID(F24,SEARCH("MODEL",F24)+6,20),""))</f>
        <v>0</v>
      </c>
      <c r="J24">
        <f>'Raw Data'!H24</f>
        <v>0</v>
      </c>
      <c r="K24">
        <f>'Raw Data'!I24</f>
        <v>0</v>
      </c>
      <c r="L24">
        <f>IF('Raw Data'!N24&lt;&gt;0,'Raw Data'!N24,IFERROR(VALUE(MID(F24,SEARCH("QTY",F24)+4,IFERROR(FIND(" ",F24,SEARCH("QTY",F24)+4)-(SEARCH("QTY",F24)+4),3))),""))</f>
        <v>0</v>
      </c>
      <c r="M24">
        <f>'Raw Data'!O24</f>
        <v>0</v>
      </c>
      <c r="N24">
        <f>'Raw Data'!P24</f>
        <v>0</v>
      </c>
      <c r="O24">
        <f>'Raw Data'!Q24</f>
        <v>0</v>
      </c>
      <c r="P24">
        <f>'Raw Data'!R24</f>
        <v>0</v>
      </c>
      <c r="Q24">
        <f>'Raw Data'!S24</f>
        <v>0</v>
      </c>
      <c r="R24">
        <f>'Raw Data'!T24</f>
        <v>0</v>
      </c>
      <c r="S24">
        <f>IFERROR(O24,0)+IFERROR(R24,0)</f>
        <v>0</v>
      </c>
      <c r="T24">
        <f>IF(A24="","",YEAR(A24))</f>
        <v>0</v>
      </c>
    </row>
    <row r="25" spans="1:20">
      <c r="A25">
        <f>'Raw Data'!B25</f>
        <v>0</v>
      </c>
      <c r="B25">
        <f>'Raw Data'!A25</f>
        <v>0</v>
      </c>
      <c r="C25">
        <f>'Raw Data'!C25</f>
        <v>0</v>
      </c>
      <c r="D25">
        <f>'Raw Data'!D25</f>
        <v>0</v>
      </c>
      <c r="E25">
        <f>IFERROR(VLOOKUP(D25,'Lookup Tables'!$A:$B,2,FALSE),"Unknown")</f>
        <v>0</v>
      </c>
      <c r="F25">
        <f>'Raw Data'!E25</f>
        <v>0</v>
      </c>
      <c r="G25">
        <f>IFERROR(VLOOKUP(D25,'Lookup Tables'!$A:$C,3,FALSE),IF(ISNUMBER(SEARCH("STEEL",F25)),"Steel","Others"))</f>
        <v>0</v>
      </c>
      <c r="H25">
        <f>IF(ISNUMBER(SEARCH("scrubber",F25)) , "Scrubber", IF(ISNUMBER(SEARCH("container",F25)),"Container", IF(ISNUMBER(SEARCH("basket",F25)),"Basket", IF(ISNUMBER(SEARCH("lunch",F25)),"Lunch Box", IF(ISNUMBER(SEARCH("cutlery",F25)),"Cutlery","Other")))))</f>
        <v>0</v>
      </c>
      <c r="I25">
        <f>IF('Raw Data'!G25&lt;&gt;'','Raw Data'!G25,IFERROR(MID(F25,SEARCH("MODEL",F25)+6,20),""))</f>
        <v>0</v>
      </c>
      <c r="J25">
        <f>'Raw Data'!H25</f>
        <v>0</v>
      </c>
      <c r="K25">
        <f>'Raw Data'!I25</f>
        <v>0</v>
      </c>
      <c r="L25">
        <f>IF('Raw Data'!N25&lt;&gt;0,'Raw Data'!N25,IFERROR(VALUE(MID(F25,SEARCH("QTY",F25)+4,IFERROR(FIND(" ",F25,SEARCH("QTY",F25)+4)-(SEARCH("QTY",F25)+4),3))),""))</f>
        <v>0</v>
      </c>
      <c r="M25">
        <f>'Raw Data'!O25</f>
        <v>0</v>
      </c>
      <c r="N25">
        <f>'Raw Data'!P25</f>
        <v>0</v>
      </c>
      <c r="O25">
        <f>'Raw Data'!Q25</f>
        <v>0</v>
      </c>
      <c r="P25">
        <f>'Raw Data'!R25</f>
        <v>0</v>
      </c>
      <c r="Q25">
        <f>'Raw Data'!S25</f>
        <v>0</v>
      </c>
      <c r="R25">
        <f>'Raw Data'!T25</f>
        <v>0</v>
      </c>
      <c r="S25">
        <f>IFERROR(O25,0)+IFERROR(R25,0)</f>
        <v>0</v>
      </c>
      <c r="T25">
        <f>IF(A25="","",YEAR(A25))</f>
        <v>0</v>
      </c>
    </row>
    <row r="26" spans="1:20">
      <c r="A26">
        <f>'Raw Data'!B26</f>
        <v>0</v>
      </c>
      <c r="B26">
        <f>'Raw Data'!A26</f>
        <v>0</v>
      </c>
      <c r="C26">
        <f>'Raw Data'!C26</f>
        <v>0</v>
      </c>
      <c r="D26">
        <f>'Raw Data'!D26</f>
        <v>0</v>
      </c>
      <c r="E26">
        <f>IFERROR(VLOOKUP(D26,'Lookup Tables'!$A:$B,2,FALSE),"Unknown")</f>
        <v>0</v>
      </c>
      <c r="F26">
        <f>'Raw Data'!E26</f>
        <v>0</v>
      </c>
      <c r="G26">
        <f>IFERROR(VLOOKUP(D26,'Lookup Tables'!$A:$C,3,FALSE),IF(ISNUMBER(SEARCH("STEEL",F26)),"Steel","Others"))</f>
        <v>0</v>
      </c>
      <c r="H26">
        <f>IF(ISNUMBER(SEARCH("scrubber",F26)) , "Scrubber", IF(ISNUMBER(SEARCH("container",F26)),"Container", IF(ISNUMBER(SEARCH("basket",F26)),"Basket", IF(ISNUMBER(SEARCH("lunch",F26)),"Lunch Box", IF(ISNUMBER(SEARCH("cutlery",F26)),"Cutlery","Other")))))</f>
        <v>0</v>
      </c>
      <c r="I26">
        <f>IF('Raw Data'!G26&lt;&gt;'','Raw Data'!G26,IFERROR(MID(F26,SEARCH("MODEL",F26)+6,20),""))</f>
        <v>0</v>
      </c>
      <c r="J26">
        <f>'Raw Data'!H26</f>
        <v>0</v>
      </c>
      <c r="K26">
        <f>'Raw Data'!I26</f>
        <v>0</v>
      </c>
      <c r="L26">
        <f>IF('Raw Data'!N26&lt;&gt;0,'Raw Data'!N26,IFERROR(VALUE(MID(F26,SEARCH("QTY",F26)+4,IFERROR(FIND(" ",F26,SEARCH("QTY",F26)+4)-(SEARCH("QTY",F26)+4),3))),""))</f>
        <v>0</v>
      </c>
      <c r="M26">
        <f>'Raw Data'!O26</f>
        <v>0</v>
      </c>
      <c r="N26">
        <f>'Raw Data'!P26</f>
        <v>0</v>
      </c>
      <c r="O26">
        <f>'Raw Data'!Q26</f>
        <v>0</v>
      </c>
      <c r="P26">
        <f>'Raw Data'!R26</f>
        <v>0</v>
      </c>
      <c r="Q26">
        <f>'Raw Data'!S26</f>
        <v>0</v>
      </c>
      <c r="R26">
        <f>'Raw Data'!T26</f>
        <v>0</v>
      </c>
      <c r="S26">
        <f>IFERROR(O26,0)+IFERROR(R26,0)</f>
        <v>0</v>
      </c>
      <c r="T26">
        <f>IF(A26="","",YEAR(A26))</f>
        <v>0</v>
      </c>
    </row>
    <row r="27" spans="1:20">
      <c r="A27">
        <f>'Raw Data'!B27</f>
        <v>0</v>
      </c>
      <c r="B27">
        <f>'Raw Data'!A27</f>
        <v>0</v>
      </c>
      <c r="C27">
        <f>'Raw Data'!C27</f>
        <v>0</v>
      </c>
      <c r="D27">
        <f>'Raw Data'!D27</f>
        <v>0</v>
      </c>
      <c r="E27">
        <f>IFERROR(VLOOKUP(D27,'Lookup Tables'!$A:$B,2,FALSE),"Unknown")</f>
        <v>0</v>
      </c>
      <c r="F27">
        <f>'Raw Data'!E27</f>
        <v>0</v>
      </c>
      <c r="G27">
        <f>IFERROR(VLOOKUP(D27,'Lookup Tables'!$A:$C,3,FALSE),IF(ISNUMBER(SEARCH("STEEL",F27)),"Steel","Others"))</f>
        <v>0</v>
      </c>
      <c r="H27">
        <f>IF(ISNUMBER(SEARCH("scrubber",F27)) , "Scrubber", IF(ISNUMBER(SEARCH("container",F27)),"Container", IF(ISNUMBER(SEARCH("basket",F27)),"Basket", IF(ISNUMBER(SEARCH("lunch",F27)),"Lunch Box", IF(ISNUMBER(SEARCH("cutlery",F27)),"Cutlery","Other")))))</f>
        <v>0</v>
      </c>
      <c r="I27">
        <f>IF('Raw Data'!G27&lt;&gt;'','Raw Data'!G27,IFERROR(MID(F27,SEARCH("MODEL",F27)+6,20),""))</f>
        <v>0</v>
      </c>
      <c r="J27">
        <f>'Raw Data'!H27</f>
        <v>0</v>
      </c>
      <c r="K27">
        <f>'Raw Data'!I27</f>
        <v>0</v>
      </c>
      <c r="L27">
        <f>IF('Raw Data'!N27&lt;&gt;0,'Raw Data'!N27,IFERROR(VALUE(MID(F27,SEARCH("QTY",F27)+4,IFERROR(FIND(" ",F27,SEARCH("QTY",F27)+4)-(SEARCH("QTY",F27)+4),3))),""))</f>
        <v>0</v>
      </c>
      <c r="M27">
        <f>'Raw Data'!O27</f>
        <v>0</v>
      </c>
      <c r="N27">
        <f>'Raw Data'!P27</f>
        <v>0</v>
      </c>
      <c r="O27">
        <f>'Raw Data'!Q27</f>
        <v>0</v>
      </c>
      <c r="P27">
        <f>'Raw Data'!R27</f>
        <v>0</v>
      </c>
      <c r="Q27">
        <f>'Raw Data'!S27</f>
        <v>0</v>
      </c>
      <c r="R27">
        <f>'Raw Data'!T27</f>
        <v>0</v>
      </c>
      <c r="S27">
        <f>IFERROR(O27,0)+IFERROR(R27,0)</f>
        <v>0</v>
      </c>
      <c r="T27">
        <f>IF(A27="","",YEAR(A27))</f>
        <v>0</v>
      </c>
    </row>
    <row r="28" spans="1:20">
      <c r="A28">
        <f>'Raw Data'!B28</f>
        <v>0</v>
      </c>
      <c r="B28">
        <f>'Raw Data'!A28</f>
        <v>0</v>
      </c>
      <c r="C28">
        <f>'Raw Data'!C28</f>
        <v>0</v>
      </c>
      <c r="D28">
        <f>'Raw Data'!D28</f>
        <v>0</v>
      </c>
      <c r="E28">
        <f>IFERROR(VLOOKUP(D28,'Lookup Tables'!$A:$B,2,FALSE),"Unknown")</f>
        <v>0</v>
      </c>
      <c r="F28">
        <f>'Raw Data'!E28</f>
        <v>0</v>
      </c>
      <c r="G28">
        <f>IFERROR(VLOOKUP(D28,'Lookup Tables'!$A:$C,3,FALSE),IF(ISNUMBER(SEARCH("STEEL",F28)),"Steel","Others"))</f>
        <v>0</v>
      </c>
      <c r="H28">
        <f>IF(ISNUMBER(SEARCH("scrubber",F28)) , "Scrubber", IF(ISNUMBER(SEARCH("container",F28)),"Container", IF(ISNUMBER(SEARCH("basket",F28)),"Basket", IF(ISNUMBER(SEARCH("lunch",F28)),"Lunch Box", IF(ISNUMBER(SEARCH("cutlery",F28)),"Cutlery","Other")))))</f>
        <v>0</v>
      </c>
      <c r="I28">
        <f>IF('Raw Data'!G28&lt;&gt;'','Raw Data'!G28,IFERROR(MID(F28,SEARCH("MODEL",F28)+6,20),""))</f>
        <v>0</v>
      </c>
      <c r="J28">
        <f>'Raw Data'!H28</f>
        <v>0</v>
      </c>
      <c r="K28">
        <f>'Raw Data'!I28</f>
        <v>0</v>
      </c>
      <c r="L28">
        <f>IF('Raw Data'!N28&lt;&gt;0,'Raw Data'!N28,IFERROR(VALUE(MID(F28,SEARCH("QTY",F28)+4,IFERROR(FIND(" ",F28,SEARCH("QTY",F28)+4)-(SEARCH("QTY",F28)+4),3))),""))</f>
        <v>0</v>
      </c>
      <c r="M28">
        <f>'Raw Data'!O28</f>
        <v>0</v>
      </c>
      <c r="N28">
        <f>'Raw Data'!P28</f>
        <v>0</v>
      </c>
      <c r="O28">
        <f>'Raw Data'!Q28</f>
        <v>0</v>
      </c>
      <c r="P28">
        <f>'Raw Data'!R28</f>
        <v>0</v>
      </c>
      <c r="Q28">
        <f>'Raw Data'!S28</f>
        <v>0</v>
      </c>
      <c r="R28">
        <f>'Raw Data'!T28</f>
        <v>0</v>
      </c>
      <c r="S28">
        <f>IFERROR(O28,0)+IFERROR(R28,0)</f>
        <v>0</v>
      </c>
      <c r="T28">
        <f>IF(A28="","",YEAR(A28))</f>
        <v>0</v>
      </c>
    </row>
    <row r="29" spans="1:20">
      <c r="A29">
        <f>'Raw Data'!B29</f>
        <v>0</v>
      </c>
      <c r="B29">
        <f>'Raw Data'!A29</f>
        <v>0</v>
      </c>
      <c r="C29">
        <f>'Raw Data'!C29</f>
        <v>0</v>
      </c>
      <c r="D29">
        <f>'Raw Data'!D29</f>
        <v>0</v>
      </c>
      <c r="E29">
        <f>IFERROR(VLOOKUP(D29,'Lookup Tables'!$A:$B,2,FALSE),"Unknown")</f>
        <v>0</v>
      </c>
      <c r="F29">
        <f>'Raw Data'!E29</f>
        <v>0</v>
      </c>
      <c r="G29">
        <f>IFERROR(VLOOKUP(D29,'Lookup Tables'!$A:$C,3,FALSE),IF(ISNUMBER(SEARCH("STEEL",F29)),"Steel","Others"))</f>
        <v>0</v>
      </c>
      <c r="H29">
        <f>IF(ISNUMBER(SEARCH("scrubber",F29)) , "Scrubber", IF(ISNUMBER(SEARCH("container",F29)),"Container", IF(ISNUMBER(SEARCH("basket",F29)),"Basket", IF(ISNUMBER(SEARCH("lunch",F29)),"Lunch Box", IF(ISNUMBER(SEARCH("cutlery",F29)),"Cutlery","Other")))))</f>
        <v>0</v>
      </c>
      <c r="I29">
        <f>IF('Raw Data'!G29&lt;&gt;'','Raw Data'!G29,IFERROR(MID(F29,SEARCH("MODEL",F29)+6,20),""))</f>
        <v>0</v>
      </c>
      <c r="J29">
        <f>'Raw Data'!H29</f>
        <v>0</v>
      </c>
      <c r="K29">
        <f>'Raw Data'!I29</f>
        <v>0</v>
      </c>
      <c r="L29">
        <f>IF('Raw Data'!N29&lt;&gt;0,'Raw Data'!N29,IFERROR(VALUE(MID(F29,SEARCH("QTY",F29)+4,IFERROR(FIND(" ",F29,SEARCH("QTY",F29)+4)-(SEARCH("QTY",F29)+4),3))),""))</f>
        <v>0</v>
      </c>
      <c r="M29">
        <f>'Raw Data'!O29</f>
        <v>0</v>
      </c>
      <c r="N29">
        <f>'Raw Data'!P29</f>
        <v>0</v>
      </c>
      <c r="O29">
        <f>'Raw Data'!Q29</f>
        <v>0</v>
      </c>
      <c r="P29">
        <f>'Raw Data'!R29</f>
        <v>0</v>
      </c>
      <c r="Q29">
        <f>'Raw Data'!S29</f>
        <v>0</v>
      </c>
      <c r="R29">
        <f>'Raw Data'!T29</f>
        <v>0</v>
      </c>
      <c r="S29">
        <f>IFERROR(O29,0)+IFERROR(R29,0)</f>
        <v>0</v>
      </c>
      <c r="T29">
        <f>IF(A29="","",YEAR(A29))</f>
        <v>0</v>
      </c>
    </row>
    <row r="30" spans="1:20">
      <c r="A30">
        <f>'Raw Data'!B30</f>
        <v>0</v>
      </c>
      <c r="B30">
        <f>'Raw Data'!A30</f>
        <v>0</v>
      </c>
      <c r="C30">
        <f>'Raw Data'!C30</f>
        <v>0</v>
      </c>
      <c r="D30">
        <f>'Raw Data'!D30</f>
        <v>0</v>
      </c>
      <c r="E30">
        <f>IFERROR(VLOOKUP(D30,'Lookup Tables'!$A:$B,2,FALSE),"Unknown")</f>
        <v>0</v>
      </c>
      <c r="F30">
        <f>'Raw Data'!E30</f>
        <v>0</v>
      </c>
      <c r="G30">
        <f>IFERROR(VLOOKUP(D30,'Lookup Tables'!$A:$C,3,FALSE),IF(ISNUMBER(SEARCH("STEEL",F30)),"Steel","Others"))</f>
        <v>0</v>
      </c>
      <c r="H30">
        <f>IF(ISNUMBER(SEARCH("scrubber",F30)) , "Scrubber", IF(ISNUMBER(SEARCH("container",F30)),"Container", IF(ISNUMBER(SEARCH("basket",F30)),"Basket", IF(ISNUMBER(SEARCH("lunch",F30)),"Lunch Box", IF(ISNUMBER(SEARCH("cutlery",F30)),"Cutlery","Other")))))</f>
        <v>0</v>
      </c>
      <c r="I30">
        <f>IF('Raw Data'!G30&lt;&gt;'','Raw Data'!G30,IFERROR(MID(F30,SEARCH("MODEL",F30)+6,20),""))</f>
        <v>0</v>
      </c>
      <c r="J30">
        <f>'Raw Data'!H30</f>
        <v>0</v>
      </c>
      <c r="K30">
        <f>'Raw Data'!I30</f>
        <v>0</v>
      </c>
      <c r="L30">
        <f>IF('Raw Data'!N30&lt;&gt;0,'Raw Data'!N30,IFERROR(VALUE(MID(F30,SEARCH("QTY",F30)+4,IFERROR(FIND(" ",F30,SEARCH("QTY",F30)+4)-(SEARCH("QTY",F30)+4),3))),""))</f>
        <v>0</v>
      </c>
      <c r="M30">
        <f>'Raw Data'!O30</f>
        <v>0</v>
      </c>
      <c r="N30">
        <f>'Raw Data'!P30</f>
        <v>0</v>
      </c>
      <c r="O30">
        <f>'Raw Data'!Q30</f>
        <v>0</v>
      </c>
      <c r="P30">
        <f>'Raw Data'!R30</f>
        <v>0</v>
      </c>
      <c r="Q30">
        <f>'Raw Data'!S30</f>
        <v>0</v>
      </c>
      <c r="R30">
        <f>'Raw Data'!T30</f>
        <v>0</v>
      </c>
      <c r="S30">
        <f>IFERROR(O30,0)+IFERROR(R30,0)</f>
        <v>0</v>
      </c>
      <c r="T30">
        <f>IF(A30="","",YEAR(A30))</f>
        <v>0</v>
      </c>
    </row>
    <row r="31" spans="1:20">
      <c r="A31">
        <f>'Raw Data'!B31</f>
        <v>0</v>
      </c>
      <c r="B31">
        <f>'Raw Data'!A31</f>
        <v>0</v>
      </c>
      <c r="C31">
        <f>'Raw Data'!C31</f>
        <v>0</v>
      </c>
      <c r="D31">
        <f>'Raw Data'!D31</f>
        <v>0</v>
      </c>
      <c r="E31">
        <f>IFERROR(VLOOKUP(D31,'Lookup Tables'!$A:$B,2,FALSE),"Unknown")</f>
        <v>0</v>
      </c>
      <c r="F31">
        <f>'Raw Data'!E31</f>
        <v>0</v>
      </c>
      <c r="G31">
        <f>IFERROR(VLOOKUP(D31,'Lookup Tables'!$A:$C,3,FALSE),IF(ISNUMBER(SEARCH("STEEL",F31)),"Steel","Others"))</f>
        <v>0</v>
      </c>
      <c r="H31">
        <f>IF(ISNUMBER(SEARCH("scrubber",F31)) , "Scrubber", IF(ISNUMBER(SEARCH("container",F31)),"Container", IF(ISNUMBER(SEARCH("basket",F31)),"Basket", IF(ISNUMBER(SEARCH("lunch",F31)),"Lunch Box", IF(ISNUMBER(SEARCH("cutlery",F31)),"Cutlery","Other")))))</f>
        <v>0</v>
      </c>
      <c r="I31">
        <f>IF('Raw Data'!G31&lt;&gt;'','Raw Data'!G31,IFERROR(MID(F31,SEARCH("MODEL",F31)+6,20),""))</f>
        <v>0</v>
      </c>
      <c r="J31">
        <f>'Raw Data'!H31</f>
        <v>0</v>
      </c>
      <c r="K31">
        <f>'Raw Data'!I31</f>
        <v>0</v>
      </c>
      <c r="L31">
        <f>IF('Raw Data'!N31&lt;&gt;0,'Raw Data'!N31,IFERROR(VALUE(MID(F31,SEARCH("QTY",F31)+4,IFERROR(FIND(" ",F31,SEARCH("QTY",F31)+4)-(SEARCH("QTY",F31)+4),3))),""))</f>
        <v>0</v>
      </c>
      <c r="M31">
        <f>'Raw Data'!O31</f>
        <v>0</v>
      </c>
      <c r="N31">
        <f>'Raw Data'!P31</f>
        <v>0</v>
      </c>
      <c r="O31">
        <f>'Raw Data'!Q31</f>
        <v>0</v>
      </c>
      <c r="P31">
        <f>'Raw Data'!R31</f>
        <v>0</v>
      </c>
      <c r="Q31">
        <f>'Raw Data'!S31</f>
        <v>0</v>
      </c>
      <c r="R31">
        <f>'Raw Data'!T31</f>
        <v>0</v>
      </c>
      <c r="S31">
        <f>IFERROR(O31,0)+IFERROR(R31,0)</f>
        <v>0</v>
      </c>
      <c r="T31">
        <f>IF(A31="","",YEAR(A31))</f>
        <v>0</v>
      </c>
    </row>
    <row r="32" spans="1:20">
      <c r="A32">
        <f>'Raw Data'!B32</f>
        <v>0</v>
      </c>
      <c r="B32">
        <f>'Raw Data'!A32</f>
        <v>0</v>
      </c>
      <c r="C32">
        <f>'Raw Data'!C32</f>
        <v>0</v>
      </c>
      <c r="D32">
        <f>'Raw Data'!D32</f>
        <v>0</v>
      </c>
      <c r="E32">
        <f>IFERROR(VLOOKUP(D32,'Lookup Tables'!$A:$B,2,FALSE),"Unknown")</f>
        <v>0</v>
      </c>
      <c r="F32">
        <f>'Raw Data'!E32</f>
        <v>0</v>
      </c>
      <c r="G32">
        <f>IFERROR(VLOOKUP(D32,'Lookup Tables'!$A:$C,3,FALSE),IF(ISNUMBER(SEARCH("STEEL",F32)),"Steel","Others"))</f>
        <v>0</v>
      </c>
      <c r="H32">
        <f>IF(ISNUMBER(SEARCH("scrubber",F32)) , "Scrubber", IF(ISNUMBER(SEARCH("container",F32)),"Container", IF(ISNUMBER(SEARCH("basket",F32)),"Basket", IF(ISNUMBER(SEARCH("lunch",F32)),"Lunch Box", IF(ISNUMBER(SEARCH("cutlery",F32)),"Cutlery","Other")))))</f>
        <v>0</v>
      </c>
      <c r="I32">
        <f>IF('Raw Data'!G32&lt;&gt;'','Raw Data'!G32,IFERROR(MID(F32,SEARCH("MODEL",F32)+6,20),""))</f>
        <v>0</v>
      </c>
      <c r="J32">
        <f>'Raw Data'!H32</f>
        <v>0</v>
      </c>
      <c r="K32">
        <f>'Raw Data'!I32</f>
        <v>0</v>
      </c>
      <c r="L32">
        <f>IF('Raw Data'!N32&lt;&gt;0,'Raw Data'!N32,IFERROR(VALUE(MID(F32,SEARCH("QTY",F32)+4,IFERROR(FIND(" ",F32,SEARCH("QTY",F32)+4)-(SEARCH("QTY",F32)+4),3))),""))</f>
        <v>0</v>
      </c>
      <c r="M32">
        <f>'Raw Data'!O32</f>
        <v>0</v>
      </c>
      <c r="N32">
        <f>'Raw Data'!P32</f>
        <v>0</v>
      </c>
      <c r="O32">
        <f>'Raw Data'!Q32</f>
        <v>0</v>
      </c>
      <c r="P32">
        <f>'Raw Data'!R32</f>
        <v>0</v>
      </c>
      <c r="Q32">
        <f>'Raw Data'!S32</f>
        <v>0</v>
      </c>
      <c r="R32">
        <f>'Raw Data'!T32</f>
        <v>0</v>
      </c>
      <c r="S32">
        <f>IFERROR(O32,0)+IFERROR(R32,0)</f>
        <v>0</v>
      </c>
      <c r="T32">
        <f>IF(A32="","",YEAR(A32))</f>
        <v>0</v>
      </c>
    </row>
    <row r="33" spans="1:20">
      <c r="A33">
        <f>'Raw Data'!B33</f>
        <v>0</v>
      </c>
      <c r="B33">
        <f>'Raw Data'!A33</f>
        <v>0</v>
      </c>
      <c r="C33">
        <f>'Raw Data'!C33</f>
        <v>0</v>
      </c>
      <c r="D33">
        <f>'Raw Data'!D33</f>
        <v>0</v>
      </c>
      <c r="E33">
        <f>IFERROR(VLOOKUP(D33,'Lookup Tables'!$A:$B,2,FALSE),"Unknown")</f>
        <v>0</v>
      </c>
      <c r="F33">
        <f>'Raw Data'!E33</f>
        <v>0</v>
      </c>
      <c r="G33">
        <f>IFERROR(VLOOKUP(D33,'Lookup Tables'!$A:$C,3,FALSE),IF(ISNUMBER(SEARCH("STEEL",F33)),"Steel","Others"))</f>
        <v>0</v>
      </c>
      <c r="H33">
        <f>IF(ISNUMBER(SEARCH("scrubber",F33)) , "Scrubber", IF(ISNUMBER(SEARCH("container",F33)),"Container", IF(ISNUMBER(SEARCH("basket",F33)),"Basket", IF(ISNUMBER(SEARCH("lunch",F33)),"Lunch Box", IF(ISNUMBER(SEARCH("cutlery",F33)),"Cutlery","Other")))))</f>
        <v>0</v>
      </c>
      <c r="I33">
        <f>IF('Raw Data'!G33&lt;&gt;'','Raw Data'!G33,IFERROR(MID(F33,SEARCH("MODEL",F33)+6,20),""))</f>
        <v>0</v>
      </c>
      <c r="J33">
        <f>'Raw Data'!H33</f>
        <v>0</v>
      </c>
      <c r="K33">
        <f>'Raw Data'!I33</f>
        <v>0</v>
      </c>
      <c r="L33">
        <f>IF('Raw Data'!N33&lt;&gt;0,'Raw Data'!N33,IFERROR(VALUE(MID(F33,SEARCH("QTY",F33)+4,IFERROR(FIND(" ",F33,SEARCH("QTY",F33)+4)-(SEARCH("QTY",F33)+4),3))),""))</f>
        <v>0</v>
      </c>
      <c r="M33">
        <f>'Raw Data'!O33</f>
        <v>0</v>
      </c>
      <c r="N33">
        <f>'Raw Data'!P33</f>
        <v>0</v>
      </c>
      <c r="O33">
        <f>'Raw Data'!Q33</f>
        <v>0</v>
      </c>
      <c r="P33">
        <f>'Raw Data'!R33</f>
        <v>0</v>
      </c>
      <c r="Q33">
        <f>'Raw Data'!S33</f>
        <v>0</v>
      </c>
      <c r="R33">
        <f>'Raw Data'!T33</f>
        <v>0</v>
      </c>
      <c r="S33">
        <f>IFERROR(O33,0)+IFERROR(R33,0)</f>
        <v>0</v>
      </c>
      <c r="T33">
        <f>IF(A33="","",YEAR(A33))</f>
        <v>0</v>
      </c>
    </row>
    <row r="34" spans="1:20">
      <c r="A34">
        <f>'Raw Data'!B34</f>
        <v>0</v>
      </c>
      <c r="B34">
        <f>'Raw Data'!A34</f>
        <v>0</v>
      </c>
      <c r="C34">
        <f>'Raw Data'!C34</f>
        <v>0</v>
      </c>
      <c r="D34">
        <f>'Raw Data'!D34</f>
        <v>0</v>
      </c>
      <c r="E34">
        <f>IFERROR(VLOOKUP(D34,'Lookup Tables'!$A:$B,2,FALSE),"Unknown")</f>
        <v>0</v>
      </c>
      <c r="F34">
        <f>'Raw Data'!E34</f>
        <v>0</v>
      </c>
      <c r="G34">
        <f>IFERROR(VLOOKUP(D34,'Lookup Tables'!$A:$C,3,FALSE),IF(ISNUMBER(SEARCH("STEEL",F34)),"Steel","Others"))</f>
        <v>0</v>
      </c>
      <c r="H34">
        <f>IF(ISNUMBER(SEARCH("scrubber",F34)) , "Scrubber", IF(ISNUMBER(SEARCH("container",F34)),"Container", IF(ISNUMBER(SEARCH("basket",F34)),"Basket", IF(ISNUMBER(SEARCH("lunch",F34)),"Lunch Box", IF(ISNUMBER(SEARCH("cutlery",F34)),"Cutlery","Other")))))</f>
        <v>0</v>
      </c>
      <c r="I34">
        <f>IF('Raw Data'!G34&lt;&gt;'','Raw Data'!G34,IFERROR(MID(F34,SEARCH("MODEL",F34)+6,20),""))</f>
        <v>0</v>
      </c>
      <c r="J34">
        <f>'Raw Data'!H34</f>
        <v>0</v>
      </c>
      <c r="K34">
        <f>'Raw Data'!I34</f>
        <v>0</v>
      </c>
      <c r="L34">
        <f>IF('Raw Data'!N34&lt;&gt;0,'Raw Data'!N34,IFERROR(VALUE(MID(F34,SEARCH("QTY",F34)+4,IFERROR(FIND(" ",F34,SEARCH("QTY",F34)+4)-(SEARCH("QTY",F34)+4),3))),""))</f>
        <v>0</v>
      </c>
      <c r="M34">
        <f>'Raw Data'!O34</f>
        <v>0</v>
      </c>
      <c r="N34">
        <f>'Raw Data'!P34</f>
        <v>0</v>
      </c>
      <c r="O34">
        <f>'Raw Data'!Q34</f>
        <v>0</v>
      </c>
      <c r="P34">
        <f>'Raw Data'!R34</f>
        <v>0</v>
      </c>
      <c r="Q34">
        <f>'Raw Data'!S34</f>
        <v>0</v>
      </c>
      <c r="R34">
        <f>'Raw Data'!T34</f>
        <v>0</v>
      </c>
      <c r="S34">
        <f>IFERROR(O34,0)+IFERROR(R34,0)</f>
        <v>0</v>
      </c>
      <c r="T34">
        <f>IF(A34="","",YEAR(A34))</f>
        <v>0</v>
      </c>
    </row>
    <row r="35" spans="1:20">
      <c r="A35">
        <f>'Raw Data'!B35</f>
        <v>0</v>
      </c>
      <c r="B35">
        <f>'Raw Data'!A35</f>
        <v>0</v>
      </c>
      <c r="C35">
        <f>'Raw Data'!C35</f>
        <v>0</v>
      </c>
      <c r="D35">
        <f>'Raw Data'!D35</f>
        <v>0</v>
      </c>
      <c r="E35">
        <f>IFERROR(VLOOKUP(D35,'Lookup Tables'!$A:$B,2,FALSE),"Unknown")</f>
        <v>0</v>
      </c>
      <c r="F35">
        <f>'Raw Data'!E35</f>
        <v>0</v>
      </c>
      <c r="G35">
        <f>IFERROR(VLOOKUP(D35,'Lookup Tables'!$A:$C,3,FALSE),IF(ISNUMBER(SEARCH("STEEL",F35)),"Steel","Others"))</f>
        <v>0</v>
      </c>
      <c r="H35">
        <f>IF(ISNUMBER(SEARCH("scrubber",F35)) , "Scrubber", IF(ISNUMBER(SEARCH("container",F35)),"Container", IF(ISNUMBER(SEARCH("basket",F35)),"Basket", IF(ISNUMBER(SEARCH("lunch",F35)),"Lunch Box", IF(ISNUMBER(SEARCH("cutlery",F35)),"Cutlery","Other")))))</f>
        <v>0</v>
      </c>
      <c r="I35">
        <f>IF('Raw Data'!G35&lt;&gt;'','Raw Data'!G35,IFERROR(MID(F35,SEARCH("MODEL",F35)+6,20),""))</f>
        <v>0</v>
      </c>
      <c r="J35">
        <f>'Raw Data'!H35</f>
        <v>0</v>
      </c>
      <c r="K35">
        <f>'Raw Data'!I35</f>
        <v>0</v>
      </c>
      <c r="L35">
        <f>IF('Raw Data'!N35&lt;&gt;0,'Raw Data'!N35,IFERROR(VALUE(MID(F35,SEARCH("QTY",F35)+4,IFERROR(FIND(" ",F35,SEARCH("QTY",F35)+4)-(SEARCH("QTY",F35)+4),3))),""))</f>
        <v>0</v>
      </c>
      <c r="M35">
        <f>'Raw Data'!O35</f>
        <v>0</v>
      </c>
      <c r="N35">
        <f>'Raw Data'!P35</f>
        <v>0</v>
      </c>
      <c r="O35">
        <f>'Raw Data'!Q35</f>
        <v>0</v>
      </c>
      <c r="P35">
        <f>'Raw Data'!R35</f>
        <v>0</v>
      </c>
      <c r="Q35">
        <f>'Raw Data'!S35</f>
        <v>0</v>
      </c>
      <c r="R35">
        <f>'Raw Data'!T35</f>
        <v>0</v>
      </c>
      <c r="S35">
        <f>IFERROR(O35,0)+IFERROR(R35,0)</f>
        <v>0</v>
      </c>
      <c r="T35">
        <f>IF(A35="","",YEAR(A35))</f>
        <v>0</v>
      </c>
    </row>
    <row r="36" spans="1:20">
      <c r="A36">
        <f>'Raw Data'!B36</f>
        <v>0</v>
      </c>
      <c r="B36">
        <f>'Raw Data'!A36</f>
        <v>0</v>
      </c>
      <c r="C36">
        <f>'Raw Data'!C36</f>
        <v>0</v>
      </c>
      <c r="D36">
        <f>'Raw Data'!D36</f>
        <v>0</v>
      </c>
      <c r="E36">
        <f>IFERROR(VLOOKUP(D36,'Lookup Tables'!$A:$B,2,FALSE),"Unknown")</f>
        <v>0</v>
      </c>
      <c r="F36">
        <f>'Raw Data'!E36</f>
        <v>0</v>
      </c>
      <c r="G36">
        <f>IFERROR(VLOOKUP(D36,'Lookup Tables'!$A:$C,3,FALSE),IF(ISNUMBER(SEARCH("STEEL",F36)),"Steel","Others"))</f>
        <v>0</v>
      </c>
      <c r="H36">
        <f>IF(ISNUMBER(SEARCH("scrubber",F36)) , "Scrubber", IF(ISNUMBER(SEARCH("container",F36)),"Container", IF(ISNUMBER(SEARCH("basket",F36)),"Basket", IF(ISNUMBER(SEARCH("lunch",F36)),"Lunch Box", IF(ISNUMBER(SEARCH("cutlery",F36)),"Cutlery","Other")))))</f>
        <v>0</v>
      </c>
      <c r="I36">
        <f>IF('Raw Data'!G36&lt;&gt;'','Raw Data'!G36,IFERROR(MID(F36,SEARCH("MODEL",F36)+6,20),""))</f>
        <v>0</v>
      </c>
      <c r="J36">
        <f>'Raw Data'!H36</f>
        <v>0</v>
      </c>
      <c r="K36">
        <f>'Raw Data'!I36</f>
        <v>0</v>
      </c>
      <c r="L36">
        <f>IF('Raw Data'!N36&lt;&gt;0,'Raw Data'!N36,IFERROR(VALUE(MID(F36,SEARCH("QTY",F36)+4,IFERROR(FIND(" ",F36,SEARCH("QTY",F36)+4)-(SEARCH("QTY",F36)+4),3))),""))</f>
        <v>0</v>
      </c>
      <c r="M36">
        <f>'Raw Data'!O36</f>
        <v>0</v>
      </c>
      <c r="N36">
        <f>'Raw Data'!P36</f>
        <v>0</v>
      </c>
      <c r="O36">
        <f>'Raw Data'!Q36</f>
        <v>0</v>
      </c>
      <c r="P36">
        <f>'Raw Data'!R36</f>
        <v>0</v>
      </c>
      <c r="Q36">
        <f>'Raw Data'!S36</f>
        <v>0</v>
      </c>
      <c r="R36">
        <f>'Raw Data'!T36</f>
        <v>0</v>
      </c>
      <c r="S36">
        <f>IFERROR(O36,0)+IFERROR(R36,0)</f>
        <v>0</v>
      </c>
      <c r="T36">
        <f>IF(A36="","",YEAR(A36))</f>
        <v>0</v>
      </c>
    </row>
    <row r="37" spans="1:20">
      <c r="A37">
        <f>'Raw Data'!B37</f>
        <v>0</v>
      </c>
      <c r="B37">
        <f>'Raw Data'!A37</f>
        <v>0</v>
      </c>
      <c r="C37">
        <f>'Raw Data'!C37</f>
        <v>0</v>
      </c>
      <c r="D37">
        <f>'Raw Data'!D37</f>
        <v>0</v>
      </c>
      <c r="E37">
        <f>IFERROR(VLOOKUP(D37,'Lookup Tables'!$A:$B,2,FALSE),"Unknown")</f>
        <v>0</v>
      </c>
      <c r="F37">
        <f>'Raw Data'!E37</f>
        <v>0</v>
      </c>
      <c r="G37">
        <f>IFERROR(VLOOKUP(D37,'Lookup Tables'!$A:$C,3,FALSE),IF(ISNUMBER(SEARCH("STEEL",F37)),"Steel","Others"))</f>
        <v>0</v>
      </c>
      <c r="H37">
        <f>IF(ISNUMBER(SEARCH("scrubber",F37)) , "Scrubber", IF(ISNUMBER(SEARCH("container",F37)),"Container", IF(ISNUMBER(SEARCH("basket",F37)),"Basket", IF(ISNUMBER(SEARCH("lunch",F37)),"Lunch Box", IF(ISNUMBER(SEARCH("cutlery",F37)),"Cutlery","Other")))))</f>
        <v>0</v>
      </c>
      <c r="I37">
        <f>IF('Raw Data'!G37&lt;&gt;'','Raw Data'!G37,IFERROR(MID(F37,SEARCH("MODEL",F37)+6,20),""))</f>
        <v>0</v>
      </c>
      <c r="J37">
        <f>'Raw Data'!H37</f>
        <v>0</v>
      </c>
      <c r="K37">
        <f>'Raw Data'!I37</f>
        <v>0</v>
      </c>
      <c r="L37">
        <f>IF('Raw Data'!N37&lt;&gt;0,'Raw Data'!N37,IFERROR(VALUE(MID(F37,SEARCH("QTY",F37)+4,IFERROR(FIND(" ",F37,SEARCH("QTY",F37)+4)-(SEARCH("QTY",F37)+4),3))),""))</f>
        <v>0</v>
      </c>
      <c r="M37">
        <f>'Raw Data'!O37</f>
        <v>0</v>
      </c>
      <c r="N37">
        <f>'Raw Data'!P37</f>
        <v>0</v>
      </c>
      <c r="O37">
        <f>'Raw Data'!Q37</f>
        <v>0</v>
      </c>
      <c r="P37">
        <f>'Raw Data'!R37</f>
        <v>0</v>
      </c>
      <c r="Q37">
        <f>'Raw Data'!S37</f>
        <v>0</v>
      </c>
      <c r="R37">
        <f>'Raw Data'!T37</f>
        <v>0</v>
      </c>
      <c r="S37">
        <f>IFERROR(O37,0)+IFERROR(R37,0)</f>
        <v>0</v>
      </c>
      <c r="T37">
        <f>IF(A37="","",YEAR(A37))</f>
        <v>0</v>
      </c>
    </row>
    <row r="38" spans="1:20">
      <c r="A38">
        <f>'Raw Data'!B38</f>
        <v>0</v>
      </c>
      <c r="B38">
        <f>'Raw Data'!A38</f>
        <v>0</v>
      </c>
      <c r="C38">
        <f>'Raw Data'!C38</f>
        <v>0</v>
      </c>
      <c r="D38">
        <f>'Raw Data'!D38</f>
        <v>0</v>
      </c>
      <c r="E38">
        <f>IFERROR(VLOOKUP(D38,'Lookup Tables'!$A:$B,2,FALSE),"Unknown")</f>
        <v>0</v>
      </c>
      <c r="F38">
        <f>'Raw Data'!E38</f>
        <v>0</v>
      </c>
      <c r="G38">
        <f>IFERROR(VLOOKUP(D38,'Lookup Tables'!$A:$C,3,FALSE),IF(ISNUMBER(SEARCH("STEEL",F38)),"Steel","Others"))</f>
        <v>0</v>
      </c>
      <c r="H38">
        <f>IF(ISNUMBER(SEARCH("scrubber",F38)) , "Scrubber", IF(ISNUMBER(SEARCH("container",F38)),"Container", IF(ISNUMBER(SEARCH("basket",F38)),"Basket", IF(ISNUMBER(SEARCH("lunch",F38)),"Lunch Box", IF(ISNUMBER(SEARCH("cutlery",F38)),"Cutlery","Other")))))</f>
        <v>0</v>
      </c>
      <c r="I38">
        <f>IF('Raw Data'!G38&lt;&gt;'','Raw Data'!G38,IFERROR(MID(F38,SEARCH("MODEL",F38)+6,20),""))</f>
        <v>0</v>
      </c>
      <c r="J38">
        <f>'Raw Data'!H38</f>
        <v>0</v>
      </c>
      <c r="K38">
        <f>'Raw Data'!I38</f>
        <v>0</v>
      </c>
      <c r="L38">
        <f>IF('Raw Data'!N38&lt;&gt;0,'Raw Data'!N38,IFERROR(VALUE(MID(F38,SEARCH("QTY",F38)+4,IFERROR(FIND(" ",F38,SEARCH("QTY",F38)+4)-(SEARCH("QTY",F38)+4),3))),""))</f>
        <v>0</v>
      </c>
      <c r="M38">
        <f>'Raw Data'!O38</f>
        <v>0</v>
      </c>
      <c r="N38">
        <f>'Raw Data'!P38</f>
        <v>0</v>
      </c>
      <c r="O38">
        <f>'Raw Data'!Q38</f>
        <v>0</v>
      </c>
      <c r="P38">
        <f>'Raw Data'!R38</f>
        <v>0</v>
      </c>
      <c r="Q38">
        <f>'Raw Data'!S38</f>
        <v>0</v>
      </c>
      <c r="R38">
        <f>'Raw Data'!T38</f>
        <v>0</v>
      </c>
      <c r="S38">
        <f>IFERROR(O38,0)+IFERROR(R38,0)</f>
        <v>0</v>
      </c>
      <c r="T38">
        <f>IF(A38="","",YEAR(A38))</f>
        <v>0</v>
      </c>
    </row>
    <row r="39" spans="1:20">
      <c r="A39">
        <f>'Raw Data'!B39</f>
        <v>0</v>
      </c>
      <c r="B39">
        <f>'Raw Data'!A39</f>
        <v>0</v>
      </c>
      <c r="C39">
        <f>'Raw Data'!C39</f>
        <v>0</v>
      </c>
      <c r="D39">
        <f>'Raw Data'!D39</f>
        <v>0</v>
      </c>
      <c r="E39">
        <f>IFERROR(VLOOKUP(D39,'Lookup Tables'!$A:$B,2,FALSE),"Unknown")</f>
        <v>0</v>
      </c>
      <c r="F39">
        <f>'Raw Data'!E39</f>
        <v>0</v>
      </c>
      <c r="G39">
        <f>IFERROR(VLOOKUP(D39,'Lookup Tables'!$A:$C,3,FALSE),IF(ISNUMBER(SEARCH("STEEL",F39)),"Steel","Others"))</f>
        <v>0</v>
      </c>
      <c r="H39">
        <f>IF(ISNUMBER(SEARCH("scrubber",F39)) , "Scrubber", IF(ISNUMBER(SEARCH("container",F39)),"Container", IF(ISNUMBER(SEARCH("basket",F39)),"Basket", IF(ISNUMBER(SEARCH("lunch",F39)),"Lunch Box", IF(ISNUMBER(SEARCH("cutlery",F39)),"Cutlery","Other")))))</f>
        <v>0</v>
      </c>
      <c r="I39">
        <f>IF('Raw Data'!G39&lt;&gt;'','Raw Data'!G39,IFERROR(MID(F39,SEARCH("MODEL",F39)+6,20),""))</f>
        <v>0</v>
      </c>
      <c r="J39">
        <f>'Raw Data'!H39</f>
        <v>0</v>
      </c>
      <c r="K39">
        <f>'Raw Data'!I39</f>
        <v>0</v>
      </c>
      <c r="L39">
        <f>IF('Raw Data'!N39&lt;&gt;0,'Raw Data'!N39,IFERROR(VALUE(MID(F39,SEARCH("QTY",F39)+4,IFERROR(FIND(" ",F39,SEARCH("QTY",F39)+4)-(SEARCH("QTY",F39)+4),3))),""))</f>
        <v>0</v>
      </c>
      <c r="M39">
        <f>'Raw Data'!O39</f>
        <v>0</v>
      </c>
      <c r="N39">
        <f>'Raw Data'!P39</f>
        <v>0</v>
      </c>
      <c r="O39">
        <f>'Raw Data'!Q39</f>
        <v>0</v>
      </c>
      <c r="P39">
        <f>'Raw Data'!R39</f>
        <v>0</v>
      </c>
      <c r="Q39">
        <f>'Raw Data'!S39</f>
        <v>0</v>
      </c>
      <c r="R39">
        <f>'Raw Data'!T39</f>
        <v>0</v>
      </c>
      <c r="S39">
        <f>IFERROR(O39,0)+IFERROR(R39,0)</f>
        <v>0</v>
      </c>
      <c r="T39">
        <f>IF(A39="","",YEAR(A39))</f>
        <v>0</v>
      </c>
    </row>
    <row r="40" spans="1:20">
      <c r="A40">
        <f>'Raw Data'!B40</f>
        <v>0</v>
      </c>
      <c r="B40">
        <f>'Raw Data'!A40</f>
        <v>0</v>
      </c>
      <c r="C40">
        <f>'Raw Data'!C40</f>
        <v>0</v>
      </c>
      <c r="D40">
        <f>'Raw Data'!D40</f>
        <v>0</v>
      </c>
      <c r="E40">
        <f>IFERROR(VLOOKUP(D40,'Lookup Tables'!$A:$B,2,FALSE),"Unknown")</f>
        <v>0</v>
      </c>
      <c r="F40">
        <f>'Raw Data'!E40</f>
        <v>0</v>
      </c>
      <c r="G40">
        <f>IFERROR(VLOOKUP(D40,'Lookup Tables'!$A:$C,3,FALSE),IF(ISNUMBER(SEARCH("STEEL",F40)),"Steel","Others"))</f>
        <v>0</v>
      </c>
      <c r="H40">
        <f>IF(ISNUMBER(SEARCH("scrubber",F40)) , "Scrubber", IF(ISNUMBER(SEARCH("container",F40)),"Container", IF(ISNUMBER(SEARCH("basket",F40)),"Basket", IF(ISNUMBER(SEARCH("lunch",F40)),"Lunch Box", IF(ISNUMBER(SEARCH("cutlery",F40)),"Cutlery","Other")))))</f>
        <v>0</v>
      </c>
      <c r="I40">
        <f>IF('Raw Data'!G40&lt;&gt;'','Raw Data'!G40,IFERROR(MID(F40,SEARCH("MODEL",F40)+6,20),""))</f>
        <v>0</v>
      </c>
      <c r="J40">
        <f>'Raw Data'!H40</f>
        <v>0</v>
      </c>
      <c r="K40">
        <f>'Raw Data'!I40</f>
        <v>0</v>
      </c>
      <c r="L40">
        <f>IF('Raw Data'!N40&lt;&gt;0,'Raw Data'!N40,IFERROR(VALUE(MID(F40,SEARCH("QTY",F40)+4,IFERROR(FIND(" ",F40,SEARCH("QTY",F40)+4)-(SEARCH("QTY",F40)+4),3))),""))</f>
        <v>0</v>
      </c>
      <c r="M40">
        <f>'Raw Data'!O40</f>
        <v>0</v>
      </c>
      <c r="N40">
        <f>'Raw Data'!P40</f>
        <v>0</v>
      </c>
      <c r="O40">
        <f>'Raw Data'!Q40</f>
        <v>0</v>
      </c>
      <c r="P40">
        <f>'Raw Data'!R40</f>
        <v>0</v>
      </c>
      <c r="Q40">
        <f>'Raw Data'!S40</f>
        <v>0</v>
      </c>
      <c r="R40">
        <f>'Raw Data'!T40</f>
        <v>0</v>
      </c>
      <c r="S40">
        <f>IFERROR(O40,0)+IFERROR(R40,0)</f>
        <v>0</v>
      </c>
      <c r="T40">
        <f>IF(A40="","",YEAR(A40))</f>
        <v>0</v>
      </c>
    </row>
    <row r="41" spans="1:20">
      <c r="A41">
        <f>'Raw Data'!B41</f>
        <v>0</v>
      </c>
      <c r="B41">
        <f>'Raw Data'!A41</f>
        <v>0</v>
      </c>
      <c r="C41">
        <f>'Raw Data'!C41</f>
        <v>0</v>
      </c>
      <c r="D41">
        <f>'Raw Data'!D41</f>
        <v>0</v>
      </c>
      <c r="E41">
        <f>IFERROR(VLOOKUP(D41,'Lookup Tables'!$A:$B,2,FALSE),"Unknown")</f>
        <v>0</v>
      </c>
      <c r="F41">
        <f>'Raw Data'!E41</f>
        <v>0</v>
      </c>
      <c r="G41">
        <f>IFERROR(VLOOKUP(D41,'Lookup Tables'!$A:$C,3,FALSE),IF(ISNUMBER(SEARCH("STEEL",F41)),"Steel","Others"))</f>
        <v>0</v>
      </c>
      <c r="H41">
        <f>IF(ISNUMBER(SEARCH("scrubber",F41)) , "Scrubber", IF(ISNUMBER(SEARCH("container",F41)),"Container", IF(ISNUMBER(SEARCH("basket",F41)),"Basket", IF(ISNUMBER(SEARCH("lunch",F41)),"Lunch Box", IF(ISNUMBER(SEARCH("cutlery",F41)),"Cutlery","Other")))))</f>
        <v>0</v>
      </c>
      <c r="I41">
        <f>IF('Raw Data'!G41&lt;&gt;'','Raw Data'!G41,IFERROR(MID(F41,SEARCH("MODEL",F41)+6,20),""))</f>
        <v>0</v>
      </c>
      <c r="J41">
        <f>'Raw Data'!H41</f>
        <v>0</v>
      </c>
      <c r="K41">
        <f>'Raw Data'!I41</f>
        <v>0</v>
      </c>
      <c r="L41">
        <f>IF('Raw Data'!N41&lt;&gt;0,'Raw Data'!N41,IFERROR(VALUE(MID(F41,SEARCH("QTY",F41)+4,IFERROR(FIND(" ",F41,SEARCH("QTY",F41)+4)-(SEARCH("QTY",F41)+4),3))),""))</f>
        <v>0</v>
      </c>
      <c r="M41">
        <f>'Raw Data'!O41</f>
        <v>0</v>
      </c>
      <c r="N41">
        <f>'Raw Data'!P41</f>
        <v>0</v>
      </c>
      <c r="O41">
        <f>'Raw Data'!Q41</f>
        <v>0</v>
      </c>
      <c r="P41">
        <f>'Raw Data'!R41</f>
        <v>0</v>
      </c>
      <c r="Q41">
        <f>'Raw Data'!S41</f>
        <v>0</v>
      </c>
      <c r="R41">
        <f>'Raw Data'!T41</f>
        <v>0</v>
      </c>
      <c r="S41">
        <f>IFERROR(O41,0)+IFERROR(R41,0)</f>
        <v>0</v>
      </c>
      <c r="T41">
        <f>IF(A41="","",YEAR(A41))</f>
        <v>0</v>
      </c>
    </row>
    <row r="42" spans="1:20">
      <c r="A42">
        <f>'Raw Data'!B42</f>
        <v>0</v>
      </c>
      <c r="B42">
        <f>'Raw Data'!A42</f>
        <v>0</v>
      </c>
      <c r="C42">
        <f>'Raw Data'!C42</f>
        <v>0</v>
      </c>
      <c r="D42">
        <f>'Raw Data'!D42</f>
        <v>0</v>
      </c>
      <c r="E42">
        <f>IFERROR(VLOOKUP(D42,'Lookup Tables'!$A:$B,2,FALSE),"Unknown")</f>
        <v>0</v>
      </c>
      <c r="F42">
        <f>'Raw Data'!E42</f>
        <v>0</v>
      </c>
      <c r="G42">
        <f>IFERROR(VLOOKUP(D42,'Lookup Tables'!$A:$C,3,FALSE),IF(ISNUMBER(SEARCH("STEEL",F42)),"Steel","Others"))</f>
        <v>0</v>
      </c>
      <c r="H42">
        <f>IF(ISNUMBER(SEARCH("scrubber",F42)) , "Scrubber", IF(ISNUMBER(SEARCH("container",F42)),"Container", IF(ISNUMBER(SEARCH("basket",F42)),"Basket", IF(ISNUMBER(SEARCH("lunch",F42)),"Lunch Box", IF(ISNUMBER(SEARCH("cutlery",F42)),"Cutlery","Other")))))</f>
        <v>0</v>
      </c>
      <c r="I42">
        <f>IF('Raw Data'!G42&lt;&gt;'','Raw Data'!G42,IFERROR(MID(F42,SEARCH("MODEL",F42)+6,20),""))</f>
        <v>0</v>
      </c>
      <c r="J42">
        <f>'Raw Data'!H42</f>
        <v>0</v>
      </c>
      <c r="K42">
        <f>'Raw Data'!I42</f>
        <v>0</v>
      </c>
      <c r="L42">
        <f>IF('Raw Data'!N42&lt;&gt;0,'Raw Data'!N42,IFERROR(VALUE(MID(F42,SEARCH("QTY",F42)+4,IFERROR(FIND(" ",F42,SEARCH("QTY",F42)+4)-(SEARCH("QTY",F42)+4),3))),""))</f>
        <v>0</v>
      </c>
      <c r="M42">
        <f>'Raw Data'!O42</f>
        <v>0</v>
      </c>
      <c r="N42">
        <f>'Raw Data'!P42</f>
        <v>0</v>
      </c>
      <c r="O42">
        <f>'Raw Data'!Q42</f>
        <v>0</v>
      </c>
      <c r="P42">
        <f>'Raw Data'!R42</f>
        <v>0</v>
      </c>
      <c r="Q42">
        <f>'Raw Data'!S42</f>
        <v>0</v>
      </c>
      <c r="R42">
        <f>'Raw Data'!T42</f>
        <v>0</v>
      </c>
      <c r="S42">
        <f>IFERROR(O42,0)+IFERROR(R42,0)</f>
        <v>0</v>
      </c>
      <c r="T42">
        <f>IF(A42="","",YEAR(A42))</f>
        <v>0</v>
      </c>
    </row>
    <row r="43" spans="1:20">
      <c r="A43">
        <f>'Raw Data'!B43</f>
        <v>0</v>
      </c>
      <c r="B43">
        <f>'Raw Data'!A43</f>
        <v>0</v>
      </c>
      <c r="C43">
        <f>'Raw Data'!C43</f>
        <v>0</v>
      </c>
      <c r="D43">
        <f>'Raw Data'!D43</f>
        <v>0</v>
      </c>
      <c r="E43">
        <f>IFERROR(VLOOKUP(D43,'Lookup Tables'!$A:$B,2,FALSE),"Unknown")</f>
        <v>0</v>
      </c>
      <c r="F43">
        <f>'Raw Data'!E43</f>
        <v>0</v>
      </c>
      <c r="G43">
        <f>IFERROR(VLOOKUP(D43,'Lookup Tables'!$A:$C,3,FALSE),IF(ISNUMBER(SEARCH("STEEL",F43)),"Steel","Others"))</f>
        <v>0</v>
      </c>
      <c r="H43">
        <f>IF(ISNUMBER(SEARCH("scrubber",F43)) , "Scrubber", IF(ISNUMBER(SEARCH("container",F43)),"Container", IF(ISNUMBER(SEARCH("basket",F43)),"Basket", IF(ISNUMBER(SEARCH("lunch",F43)),"Lunch Box", IF(ISNUMBER(SEARCH("cutlery",F43)),"Cutlery","Other")))))</f>
        <v>0</v>
      </c>
      <c r="I43">
        <f>IF('Raw Data'!G43&lt;&gt;'','Raw Data'!G43,IFERROR(MID(F43,SEARCH("MODEL",F43)+6,20),""))</f>
        <v>0</v>
      </c>
      <c r="J43">
        <f>'Raw Data'!H43</f>
        <v>0</v>
      </c>
      <c r="K43">
        <f>'Raw Data'!I43</f>
        <v>0</v>
      </c>
      <c r="L43">
        <f>IF('Raw Data'!N43&lt;&gt;0,'Raw Data'!N43,IFERROR(VALUE(MID(F43,SEARCH("QTY",F43)+4,IFERROR(FIND(" ",F43,SEARCH("QTY",F43)+4)-(SEARCH("QTY",F43)+4),3))),""))</f>
        <v>0</v>
      </c>
      <c r="M43">
        <f>'Raw Data'!O43</f>
        <v>0</v>
      </c>
      <c r="N43">
        <f>'Raw Data'!P43</f>
        <v>0</v>
      </c>
      <c r="O43">
        <f>'Raw Data'!Q43</f>
        <v>0</v>
      </c>
      <c r="P43">
        <f>'Raw Data'!R43</f>
        <v>0</v>
      </c>
      <c r="Q43">
        <f>'Raw Data'!S43</f>
        <v>0</v>
      </c>
      <c r="R43">
        <f>'Raw Data'!T43</f>
        <v>0</v>
      </c>
      <c r="S43">
        <f>IFERROR(O43,0)+IFERROR(R43,0)</f>
        <v>0</v>
      </c>
      <c r="T43">
        <f>IF(A43="","",YEAR(A43))</f>
        <v>0</v>
      </c>
    </row>
    <row r="44" spans="1:20">
      <c r="A44">
        <f>'Raw Data'!B44</f>
        <v>0</v>
      </c>
      <c r="B44">
        <f>'Raw Data'!A44</f>
        <v>0</v>
      </c>
      <c r="C44">
        <f>'Raw Data'!C44</f>
        <v>0</v>
      </c>
      <c r="D44">
        <f>'Raw Data'!D44</f>
        <v>0</v>
      </c>
      <c r="E44">
        <f>IFERROR(VLOOKUP(D44,'Lookup Tables'!$A:$B,2,FALSE),"Unknown")</f>
        <v>0</v>
      </c>
      <c r="F44">
        <f>'Raw Data'!E44</f>
        <v>0</v>
      </c>
      <c r="G44">
        <f>IFERROR(VLOOKUP(D44,'Lookup Tables'!$A:$C,3,FALSE),IF(ISNUMBER(SEARCH("STEEL",F44)),"Steel","Others"))</f>
        <v>0</v>
      </c>
      <c r="H44">
        <f>IF(ISNUMBER(SEARCH("scrubber",F44)) , "Scrubber", IF(ISNUMBER(SEARCH("container",F44)),"Container", IF(ISNUMBER(SEARCH("basket",F44)),"Basket", IF(ISNUMBER(SEARCH("lunch",F44)),"Lunch Box", IF(ISNUMBER(SEARCH("cutlery",F44)),"Cutlery","Other")))))</f>
        <v>0</v>
      </c>
      <c r="I44">
        <f>IF('Raw Data'!G44&lt;&gt;'','Raw Data'!G44,IFERROR(MID(F44,SEARCH("MODEL",F44)+6,20),""))</f>
        <v>0</v>
      </c>
      <c r="J44">
        <f>'Raw Data'!H44</f>
        <v>0</v>
      </c>
      <c r="K44">
        <f>'Raw Data'!I44</f>
        <v>0</v>
      </c>
      <c r="L44">
        <f>IF('Raw Data'!N44&lt;&gt;0,'Raw Data'!N44,IFERROR(VALUE(MID(F44,SEARCH("QTY",F44)+4,IFERROR(FIND(" ",F44,SEARCH("QTY",F44)+4)-(SEARCH("QTY",F44)+4),3))),""))</f>
        <v>0</v>
      </c>
      <c r="M44">
        <f>'Raw Data'!O44</f>
        <v>0</v>
      </c>
      <c r="N44">
        <f>'Raw Data'!P44</f>
        <v>0</v>
      </c>
      <c r="O44">
        <f>'Raw Data'!Q44</f>
        <v>0</v>
      </c>
      <c r="P44">
        <f>'Raw Data'!R44</f>
        <v>0</v>
      </c>
      <c r="Q44">
        <f>'Raw Data'!S44</f>
        <v>0</v>
      </c>
      <c r="R44">
        <f>'Raw Data'!T44</f>
        <v>0</v>
      </c>
      <c r="S44">
        <f>IFERROR(O44,0)+IFERROR(R44,0)</f>
        <v>0</v>
      </c>
      <c r="T44">
        <f>IF(A44="","",YEAR(A44))</f>
        <v>0</v>
      </c>
    </row>
    <row r="45" spans="1:20">
      <c r="A45">
        <f>'Raw Data'!B45</f>
        <v>0</v>
      </c>
      <c r="B45">
        <f>'Raw Data'!A45</f>
        <v>0</v>
      </c>
      <c r="C45">
        <f>'Raw Data'!C45</f>
        <v>0</v>
      </c>
      <c r="D45">
        <f>'Raw Data'!D45</f>
        <v>0</v>
      </c>
      <c r="E45">
        <f>IFERROR(VLOOKUP(D45,'Lookup Tables'!$A:$B,2,FALSE),"Unknown")</f>
        <v>0</v>
      </c>
      <c r="F45">
        <f>'Raw Data'!E45</f>
        <v>0</v>
      </c>
      <c r="G45">
        <f>IFERROR(VLOOKUP(D45,'Lookup Tables'!$A:$C,3,FALSE),IF(ISNUMBER(SEARCH("STEEL",F45)),"Steel","Others"))</f>
        <v>0</v>
      </c>
      <c r="H45">
        <f>IF(ISNUMBER(SEARCH("scrubber",F45)) , "Scrubber", IF(ISNUMBER(SEARCH("container",F45)),"Container", IF(ISNUMBER(SEARCH("basket",F45)),"Basket", IF(ISNUMBER(SEARCH("lunch",F45)),"Lunch Box", IF(ISNUMBER(SEARCH("cutlery",F45)),"Cutlery","Other")))))</f>
        <v>0</v>
      </c>
      <c r="I45">
        <f>IF('Raw Data'!G45&lt;&gt;'','Raw Data'!G45,IFERROR(MID(F45,SEARCH("MODEL",F45)+6,20),""))</f>
        <v>0</v>
      </c>
      <c r="J45">
        <f>'Raw Data'!H45</f>
        <v>0</v>
      </c>
      <c r="K45">
        <f>'Raw Data'!I45</f>
        <v>0</v>
      </c>
      <c r="L45">
        <f>IF('Raw Data'!N45&lt;&gt;0,'Raw Data'!N45,IFERROR(VALUE(MID(F45,SEARCH("QTY",F45)+4,IFERROR(FIND(" ",F45,SEARCH("QTY",F45)+4)-(SEARCH("QTY",F45)+4),3))),""))</f>
        <v>0</v>
      </c>
      <c r="M45">
        <f>'Raw Data'!O45</f>
        <v>0</v>
      </c>
      <c r="N45">
        <f>'Raw Data'!P45</f>
        <v>0</v>
      </c>
      <c r="O45">
        <f>'Raw Data'!Q45</f>
        <v>0</v>
      </c>
      <c r="P45">
        <f>'Raw Data'!R45</f>
        <v>0</v>
      </c>
      <c r="Q45">
        <f>'Raw Data'!S45</f>
        <v>0</v>
      </c>
      <c r="R45">
        <f>'Raw Data'!T45</f>
        <v>0</v>
      </c>
      <c r="S45">
        <f>IFERROR(O45,0)+IFERROR(R45,0)</f>
        <v>0</v>
      </c>
      <c r="T45">
        <f>IF(A45="","",YEAR(A45))</f>
        <v>0</v>
      </c>
    </row>
    <row r="46" spans="1:20">
      <c r="A46">
        <f>'Raw Data'!B46</f>
        <v>0</v>
      </c>
      <c r="B46">
        <f>'Raw Data'!A46</f>
        <v>0</v>
      </c>
      <c r="C46">
        <f>'Raw Data'!C46</f>
        <v>0</v>
      </c>
      <c r="D46">
        <f>'Raw Data'!D46</f>
        <v>0</v>
      </c>
      <c r="E46">
        <f>IFERROR(VLOOKUP(D46,'Lookup Tables'!$A:$B,2,FALSE),"Unknown")</f>
        <v>0</v>
      </c>
      <c r="F46">
        <f>'Raw Data'!E46</f>
        <v>0</v>
      </c>
      <c r="G46">
        <f>IFERROR(VLOOKUP(D46,'Lookup Tables'!$A:$C,3,FALSE),IF(ISNUMBER(SEARCH("STEEL",F46)),"Steel","Others"))</f>
        <v>0</v>
      </c>
      <c r="H46">
        <f>IF(ISNUMBER(SEARCH("scrubber",F46)) , "Scrubber", IF(ISNUMBER(SEARCH("container",F46)),"Container", IF(ISNUMBER(SEARCH("basket",F46)),"Basket", IF(ISNUMBER(SEARCH("lunch",F46)),"Lunch Box", IF(ISNUMBER(SEARCH("cutlery",F46)),"Cutlery","Other")))))</f>
        <v>0</v>
      </c>
      <c r="I46">
        <f>IF('Raw Data'!G46&lt;&gt;'','Raw Data'!G46,IFERROR(MID(F46,SEARCH("MODEL",F46)+6,20),""))</f>
        <v>0</v>
      </c>
      <c r="J46">
        <f>'Raw Data'!H46</f>
        <v>0</v>
      </c>
      <c r="K46">
        <f>'Raw Data'!I46</f>
        <v>0</v>
      </c>
      <c r="L46">
        <f>IF('Raw Data'!N46&lt;&gt;0,'Raw Data'!N46,IFERROR(VALUE(MID(F46,SEARCH("QTY",F46)+4,IFERROR(FIND(" ",F46,SEARCH("QTY",F46)+4)-(SEARCH("QTY",F46)+4),3))),""))</f>
        <v>0</v>
      </c>
      <c r="M46">
        <f>'Raw Data'!O46</f>
        <v>0</v>
      </c>
      <c r="N46">
        <f>'Raw Data'!P46</f>
        <v>0</v>
      </c>
      <c r="O46">
        <f>'Raw Data'!Q46</f>
        <v>0</v>
      </c>
      <c r="P46">
        <f>'Raw Data'!R46</f>
        <v>0</v>
      </c>
      <c r="Q46">
        <f>'Raw Data'!S46</f>
        <v>0</v>
      </c>
      <c r="R46">
        <f>'Raw Data'!T46</f>
        <v>0</v>
      </c>
      <c r="S46">
        <f>IFERROR(O46,0)+IFERROR(R46,0)</f>
        <v>0</v>
      </c>
      <c r="T46">
        <f>IF(A46="","",YEAR(A46))</f>
        <v>0</v>
      </c>
    </row>
    <row r="47" spans="1:20">
      <c r="A47">
        <f>'Raw Data'!B47</f>
        <v>0</v>
      </c>
      <c r="B47">
        <f>'Raw Data'!A47</f>
        <v>0</v>
      </c>
      <c r="C47">
        <f>'Raw Data'!C47</f>
        <v>0</v>
      </c>
      <c r="D47">
        <f>'Raw Data'!D47</f>
        <v>0</v>
      </c>
      <c r="E47">
        <f>IFERROR(VLOOKUP(D47,'Lookup Tables'!$A:$B,2,FALSE),"Unknown")</f>
        <v>0</v>
      </c>
      <c r="F47">
        <f>'Raw Data'!E47</f>
        <v>0</v>
      </c>
      <c r="G47">
        <f>IFERROR(VLOOKUP(D47,'Lookup Tables'!$A:$C,3,FALSE),IF(ISNUMBER(SEARCH("STEEL",F47)),"Steel","Others"))</f>
        <v>0</v>
      </c>
      <c r="H47">
        <f>IF(ISNUMBER(SEARCH("scrubber",F47)) , "Scrubber", IF(ISNUMBER(SEARCH("container",F47)),"Container", IF(ISNUMBER(SEARCH("basket",F47)),"Basket", IF(ISNUMBER(SEARCH("lunch",F47)),"Lunch Box", IF(ISNUMBER(SEARCH("cutlery",F47)),"Cutlery","Other")))))</f>
        <v>0</v>
      </c>
      <c r="I47">
        <f>IF('Raw Data'!G47&lt;&gt;'','Raw Data'!G47,IFERROR(MID(F47,SEARCH("MODEL",F47)+6,20),""))</f>
        <v>0</v>
      </c>
      <c r="J47">
        <f>'Raw Data'!H47</f>
        <v>0</v>
      </c>
      <c r="K47">
        <f>'Raw Data'!I47</f>
        <v>0</v>
      </c>
      <c r="L47">
        <f>IF('Raw Data'!N47&lt;&gt;0,'Raw Data'!N47,IFERROR(VALUE(MID(F47,SEARCH("QTY",F47)+4,IFERROR(FIND(" ",F47,SEARCH("QTY",F47)+4)-(SEARCH("QTY",F47)+4),3))),""))</f>
        <v>0</v>
      </c>
      <c r="M47">
        <f>'Raw Data'!O47</f>
        <v>0</v>
      </c>
      <c r="N47">
        <f>'Raw Data'!P47</f>
        <v>0</v>
      </c>
      <c r="O47">
        <f>'Raw Data'!Q47</f>
        <v>0</v>
      </c>
      <c r="P47">
        <f>'Raw Data'!R47</f>
        <v>0</v>
      </c>
      <c r="Q47">
        <f>'Raw Data'!S47</f>
        <v>0</v>
      </c>
      <c r="R47">
        <f>'Raw Data'!T47</f>
        <v>0</v>
      </c>
      <c r="S47">
        <f>IFERROR(O47,0)+IFERROR(R47,0)</f>
        <v>0</v>
      </c>
      <c r="T47">
        <f>IF(A47="","",YEAR(A47))</f>
        <v>0</v>
      </c>
    </row>
    <row r="48" spans="1:20">
      <c r="A48">
        <f>'Raw Data'!B48</f>
        <v>0</v>
      </c>
      <c r="B48">
        <f>'Raw Data'!A48</f>
        <v>0</v>
      </c>
      <c r="C48">
        <f>'Raw Data'!C48</f>
        <v>0</v>
      </c>
      <c r="D48">
        <f>'Raw Data'!D48</f>
        <v>0</v>
      </c>
      <c r="E48">
        <f>IFERROR(VLOOKUP(D48,'Lookup Tables'!$A:$B,2,FALSE),"Unknown")</f>
        <v>0</v>
      </c>
      <c r="F48">
        <f>'Raw Data'!E48</f>
        <v>0</v>
      </c>
      <c r="G48">
        <f>IFERROR(VLOOKUP(D48,'Lookup Tables'!$A:$C,3,FALSE),IF(ISNUMBER(SEARCH("STEEL",F48)),"Steel","Others"))</f>
        <v>0</v>
      </c>
      <c r="H48">
        <f>IF(ISNUMBER(SEARCH("scrubber",F48)) , "Scrubber", IF(ISNUMBER(SEARCH("container",F48)),"Container", IF(ISNUMBER(SEARCH("basket",F48)),"Basket", IF(ISNUMBER(SEARCH("lunch",F48)),"Lunch Box", IF(ISNUMBER(SEARCH("cutlery",F48)),"Cutlery","Other")))))</f>
        <v>0</v>
      </c>
      <c r="I48">
        <f>IF('Raw Data'!G48&lt;&gt;'','Raw Data'!G48,IFERROR(MID(F48,SEARCH("MODEL",F48)+6,20),""))</f>
        <v>0</v>
      </c>
      <c r="J48">
        <f>'Raw Data'!H48</f>
        <v>0</v>
      </c>
      <c r="K48">
        <f>'Raw Data'!I48</f>
        <v>0</v>
      </c>
      <c r="L48">
        <f>IF('Raw Data'!N48&lt;&gt;0,'Raw Data'!N48,IFERROR(VALUE(MID(F48,SEARCH("QTY",F48)+4,IFERROR(FIND(" ",F48,SEARCH("QTY",F48)+4)-(SEARCH("QTY",F48)+4),3))),""))</f>
        <v>0</v>
      </c>
      <c r="M48">
        <f>'Raw Data'!O48</f>
        <v>0</v>
      </c>
      <c r="N48">
        <f>'Raw Data'!P48</f>
        <v>0</v>
      </c>
      <c r="O48">
        <f>'Raw Data'!Q48</f>
        <v>0</v>
      </c>
      <c r="P48">
        <f>'Raw Data'!R48</f>
        <v>0</v>
      </c>
      <c r="Q48">
        <f>'Raw Data'!S48</f>
        <v>0</v>
      </c>
      <c r="R48">
        <f>'Raw Data'!T48</f>
        <v>0</v>
      </c>
      <c r="S48">
        <f>IFERROR(O48,0)+IFERROR(R48,0)</f>
        <v>0</v>
      </c>
      <c r="T48">
        <f>IF(A48="","",YEAR(A48))</f>
        <v>0</v>
      </c>
    </row>
    <row r="49" spans="1:20">
      <c r="A49">
        <f>'Raw Data'!B49</f>
        <v>0</v>
      </c>
      <c r="B49">
        <f>'Raw Data'!A49</f>
        <v>0</v>
      </c>
      <c r="C49">
        <f>'Raw Data'!C49</f>
        <v>0</v>
      </c>
      <c r="D49">
        <f>'Raw Data'!D49</f>
        <v>0</v>
      </c>
      <c r="E49">
        <f>IFERROR(VLOOKUP(D49,'Lookup Tables'!$A:$B,2,FALSE),"Unknown")</f>
        <v>0</v>
      </c>
      <c r="F49">
        <f>'Raw Data'!E49</f>
        <v>0</v>
      </c>
      <c r="G49">
        <f>IFERROR(VLOOKUP(D49,'Lookup Tables'!$A:$C,3,FALSE),IF(ISNUMBER(SEARCH("STEEL",F49)),"Steel","Others"))</f>
        <v>0</v>
      </c>
      <c r="H49">
        <f>IF(ISNUMBER(SEARCH("scrubber",F49)) , "Scrubber", IF(ISNUMBER(SEARCH("container",F49)),"Container", IF(ISNUMBER(SEARCH("basket",F49)),"Basket", IF(ISNUMBER(SEARCH("lunch",F49)),"Lunch Box", IF(ISNUMBER(SEARCH("cutlery",F49)),"Cutlery","Other")))))</f>
        <v>0</v>
      </c>
      <c r="I49">
        <f>IF('Raw Data'!G49&lt;&gt;'','Raw Data'!G49,IFERROR(MID(F49,SEARCH("MODEL",F49)+6,20),""))</f>
        <v>0</v>
      </c>
      <c r="J49">
        <f>'Raw Data'!H49</f>
        <v>0</v>
      </c>
      <c r="K49">
        <f>'Raw Data'!I49</f>
        <v>0</v>
      </c>
      <c r="L49">
        <f>IF('Raw Data'!N49&lt;&gt;0,'Raw Data'!N49,IFERROR(VALUE(MID(F49,SEARCH("QTY",F49)+4,IFERROR(FIND(" ",F49,SEARCH("QTY",F49)+4)-(SEARCH("QTY",F49)+4),3))),""))</f>
        <v>0</v>
      </c>
      <c r="M49">
        <f>'Raw Data'!O49</f>
        <v>0</v>
      </c>
      <c r="N49">
        <f>'Raw Data'!P49</f>
        <v>0</v>
      </c>
      <c r="O49">
        <f>'Raw Data'!Q49</f>
        <v>0</v>
      </c>
      <c r="P49">
        <f>'Raw Data'!R49</f>
        <v>0</v>
      </c>
      <c r="Q49">
        <f>'Raw Data'!S49</f>
        <v>0</v>
      </c>
      <c r="R49">
        <f>'Raw Data'!T49</f>
        <v>0</v>
      </c>
      <c r="S49">
        <f>IFERROR(O49,0)+IFERROR(R49,0)</f>
        <v>0</v>
      </c>
      <c r="T49">
        <f>IF(A49="","",YEAR(A49))</f>
        <v>0</v>
      </c>
    </row>
    <row r="50" spans="1:20">
      <c r="A50">
        <f>'Raw Data'!B50</f>
        <v>0</v>
      </c>
      <c r="B50">
        <f>'Raw Data'!A50</f>
        <v>0</v>
      </c>
      <c r="C50">
        <f>'Raw Data'!C50</f>
        <v>0</v>
      </c>
      <c r="D50">
        <f>'Raw Data'!D50</f>
        <v>0</v>
      </c>
      <c r="E50">
        <f>IFERROR(VLOOKUP(D50,'Lookup Tables'!$A:$B,2,FALSE),"Unknown")</f>
        <v>0</v>
      </c>
      <c r="F50">
        <f>'Raw Data'!E50</f>
        <v>0</v>
      </c>
      <c r="G50">
        <f>IFERROR(VLOOKUP(D50,'Lookup Tables'!$A:$C,3,FALSE),IF(ISNUMBER(SEARCH("STEEL",F50)),"Steel","Others"))</f>
        <v>0</v>
      </c>
      <c r="H50">
        <f>IF(ISNUMBER(SEARCH("scrubber",F50)) , "Scrubber", IF(ISNUMBER(SEARCH("container",F50)),"Container", IF(ISNUMBER(SEARCH("basket",F50)),"Basket", IF(ISNUMBER(SEARCH("lunch",F50)),"Lunch Box", IF(ISNUMBER(SEARCH("cutlery",F50)),"Cutlery","Other")))))</f>
        <v>0</v>
      </c>
      <c r="I50">
        <f>IF('Raw Data'!G50&lt;&gt;'','Raw Data'!G50,IFERROR(MID(F50,SEARCH("MODEL",F50)+6,20),""))</f>
        <v>0</v>
      </c>
      <c r="J50">
        <f>'Raw Data'!H50</f>
        <v>0</v>
      </c>
      <c r="K50">
        <f>'Raw Data'!I50</f>
        <v>0</v>
      </c>
      <c r="L50">
        <f>IF('Raw Data'!N50&lt;&gt;0,'Raw Data'!N50,IFERROR(VALUE(MID(F50,SEARCH("QTY",F50)+4,IFERROR(FIND(" ",F50,SEARCH("QTY",F50)+4)-(SEARCH("QTY",F50)+4),3))),""))</f>
        <v>0</v>
      </c>
      <c r="M50">
        <f>'Raw Data'!O50</f>
        <v>0</v>
      </c>
      <c r="N50">
        <f>'Raw Data'!P50</f>
        <v>0</v>
      </c>
      <c r="O50">
        <f>'Raw Data'!Q50</f>
        <v>0</v>
      </c>
      <c r="P50">
        <f>'Raw Data'!R50</f>
        <v>0</v>
      </c>
      <c r="Q50">
        <f>'Raw Data'!S50</f>
        <v>0</v>
      </c>
      <c r="R50">
        <f>'Raw Data'!T50</f>
        <v>0</v>
      </c>
      <c r="S50">
        <f>IFERROR(O50,0)+IFERROR(R50,0)</f>
        <v>0</v>
      </c>
      <c r="T50">
        <f>IF(A50="","",YEAR(A50))</f>
        <v>0</v>
      </c>
    </row>
    <row r="51" spans="1:20">
      <c r="A51">
        <f>'Raw Data'!B51</f>
        <v>0</v>
      </c>
      <c r="B51">
        <f>'Raw Data'!A51</f>
        <v>0</v>
      </c>
      <c r="C51">
        <f>'Raw Data'!C51</f>
        <v>0</v>
      </c>
      <c r="D51">
        <f>'Raw Data'!D51</f>
        <v>0</v>
      </c>
      <c r="E51">
        <f>IFERROR(VLOOKUP(D51,'Lookup Tables'!$A:$B,2,FALSE),"Unknown")</f>
        <v>0</v>
      </c>
      <c r="F51">
        <f>'Raw Data'!E51</f>
        <v>0</v>
      </c>
      <c r="G51">
        <f>IFERROR(VLOOKUP(D51,'Lookup Tables'!$A:$C,3,FALSE),IF(ISNUMBER(SEARCH("STEEL",F51)),"Steel","Others"))</f>
        <v>0</v>
      </c>
      <c r="H51">
        <f>IF(ISNUMBER(SEARCH("scrubber",F51)) , "Scrubber", IF(ISNUMBER(SEARCH("container",F51)),"Container", IF(ISNUMBER(SEARCH("basket",F51)),"Basket", IF(ISNUMBER(SEARCH("lunch",F51)),"Lunch Box", IF(ISNUMBER(SEARCH("cutlery",F51)),"Cutlery","Other")))))</f>
        <v>0</v>
      </c>
      <c r="I51">
        <f>IF('Raw Data'!G51&lt;&gt;'','Raw Data'!G51,IFERROR(MID(F51,SEARCH("MODEL",F51)+6,20),""))</f>
        <v>0</v>
      </c>
      <c r="J51">
        <f>'Raw Data'!H51</f>
        <v>0</v>
      </c>
      <c r="K51">
        <f>'Raw Data'!I51</f>
        <v>0</v>
      </c>
      <c r="L51">
        <f>IF('Raw Data'!N51&lt;&gt;0,'Raw Data'!N51,IFERROR(VALUE(MID(F51,SEARCH("QTY",F51)+4,IFERROR(FIND(" ",F51,SEARCH("QTY",F51)+4)-(SEARCH("QTY",F51)+4),3))),""))</f>
        <v>0</v>
      </c>
      <c r="M51">
        <f>'Raw Data'!O51</f>
        <v>0</v>
      </c>
      <c r="N51">
        <f>'Raw Data'!P51</f>
        <v>0</v>
      </c>
      <c r="O51">
        <f>'Raw Data'!Q51</f>
        <v>0</v>
      </c>
      <c r="P51">
        <f>'Raw Data'!R51</f>
        <v>0</v>
      </c>
      <c r="Q51">
        <f>'Raw Data'!S51</f>
        <v>0</v>
      </c>
      <c r="R51">
        <f>'Raw Data'!T51</f>
        <v>0</v>
      </c>
      <c r="S51">
        <f>IFERROR(O51,0)+IFERROR(R51,0)</f>
        <v>0</v>
      </c>
      <c r="T51">
        <f>IF(A51="","",YEAR(A51))</f>
        <v>0</v>
      </c>
    </row>
    <row r="52" spans="1:20">
      <c r="A52">
        <f>'Raw Data'!B52</f>
        <v>0</v>
      </c>
      <c r="B52">
        <f>'Raw Data'!A52</f>
        <v>0</v>
      </c>
      <c r="C52">
        <f>'Raw Data'!C52</f>
        <v>0</v>
      </c>
      <c r="D52">
        <f>'Raw Data'!D52</f>
        <v>0</v>
      </c>
      <c r="E52">
        <f>IFERROR(VLOOKUP(D52,'Lookup Tables'!$A:$B,2,FALSE),"Unknown")</f>
        <v>0</v>
      </c>
      <c r="F52">
        <f>'Raw Data'!E52</f>
        <v>0</v>
      </c>
      <c r="G52">
        <f>IFERROR(VLOOKUP(D52,'Lookup Tables'!$A:$C,3,FALSE),IF(ISNUMBER(SEARCH("STEEL",F52)),"Steel","Others"))</f>
        <v>0</v>
      </c>
      <c r="H52">
        <f>IF(ISNUMBER(SEARCH("scrubber",F52)) , "Scrubber", IF(ISNUMBER(SEARCH("container",F52)),"Container", IF(ISNUMBER(SEARCH("basket",F52)),"Basket", IF(ISNUMBER(SEARCH("lunch",F52)),"Lunch Box", IF(ISNUMBER(SEARCH("cutlery",F52)),"Cutlery","Other")))))</f>
        <v>0</v>
      </c>
      <c r="I52">
        <f>IF('Raw Data'!G52&lt;&gt;'','Raw Data'!G52,IFERROR(MID(F52,SEARCH("MODEL",F52)+6,20),""))</f>
        <v>0</v>
      </c>
      <c r="J52">
        <f>'Raw Data'!H52</f>
        <v>0</v>
      </c>
      <c r="K52">
        <f>'Raw Data'!I52</f>
        <v>0</v>
      </c>
      <c r="L52">
        <f>IF('Raw Data'!N52&lt;&gt;0,'Raw Data'!N52,IFERROR(VALUE(MID(F52,SEARCH("QTY",F52)+4,IFERROR(FIND(" ",F52,SEARCH("QTY",F52)+4)-(SEARCH("QTY",F52)+4),3))),""))</f>
        <v>0</v>
      </c>
      <c r="M52">
        <f>'Raw Data'!O52</f>
        <v>0</v>
      </c>
      <c r="N52">
        <f>'Raw Data'!P52</f>
        <v>0</v>
      </c>
      <c r="O52">
        <f>'Raw Data'!Q52</f>
        <v>0</v>
      </c>
      <c r="P52">
        <f>'Raw Data'!R52</f>
        <v>0</v>
      </c>
      <c r="Q52">
        <f>'Raw Data'!S52</f>
        <v>0</v>
      </c>
      <c r="R52">
        <f>'Raw Data'!T52</f>
        <v>0</v>
      </c>
      <c r="S52">
        <f>IFERROR(O52,0)+IFERROR(R52,0)</f>
        <v>0</v>
      </c>
      <c r="T52">
        <f>IF(A52="","",YEAR(A52))</f>
        <v>0</v>
      </c>
    </row>
    <row r="53" spans="1:20">
      <c r="A53">
        <f>'Raw Data'!B53</f>
        <v>0</v>
      </c>
      <c r="B53">
        <f>'Raw Data'!A53</f>
        <v>0</v>
      </c>
      <c r="C53">
        <f>'Raw Data'!C53</f>
        <v>0</v>
      </c>
      <c r="D53">
        <f>'Raw Data'!D53</f>
        <v>0</v>
      </c>
      <c r="E53">
        <f>IFERROR(VLOOKUP(D53,'Lookup Tables'!$A:$B,2,FALSE),"Unknown")</f>
        <v>0</v>
      </c>
      <c r="F53">
        <f>'Raw Data'!E53</f>
        <v>0</v>
      </c>
      <c r="G53">
        <f>IFERROR(VLOOKUP(D53,'Lookup Tables'!$A:$C,3,FALSE),IF(ISNUMBER(SEARCH("STEEL",F53)),"Steel","Others"))</f>
        <v>0</v>
      </c>
      <c r="H53">
        <f>IF(ISNUMBER(SEARCH("scrubber",F53)) , "Scrubber", IF(ISNUMBER(SEARCH("container",F53)),"Container", IF(ISNUMBER(SEARCH("basket",F53)),"Basket", IF(ISNUMBER(SEARCH("lunch",F53)),"Lunch Box", IF(ISNUMBER(SEARCH("cutlery",F53)),"Cutlery","Other")))))</f>
        <v>0</v>
      </c>
      <c r="I53">
        <f>IF('Raw Data'!G53&lt;&gt;'','Raw Data'!G53,IFERROR(MID(F53,SEARCH("MODEL",F53)+6,20),""))</f>
        <v>0</v>
      </c>
      <c r="J53">
        <f>'Raw Data'!H53</f>
        <v>0</v>
      </c>
      <c r="K53">
        <f>'Raw Data'!I53</f>
        <v>0</v>
      </c>
      <c r="L53">
        <f>IF('Raw Data'!N53&lt;&gt;0,'Raw Data'!N53,IFERROR(VALUE(MID(F53,SEARCH("QTY",F53)+4,IFERROR(FIND(" ",F53,SEARCH("QTY",F53)+4)-(SEARCH("QTY",F53)+4),3))),""))</f>
        <v>0</v>
      </c>
      <c r="M53">
        <f>'Raw Data'!O53</f>
        <v>0</v>
      </c>
      <c r="N53">
        <f>'Raw Data'!P53</f>
        <v>0</v>
      </c>
      <c r="O53">
        <f>'Raw Data'!Q53</f>
        <v>0</v>
      </c>
      <c r="P53">
        <f>'Raw Data'!R53</f>
        <v>0</v>
      </c>
      <c r="Q53">
        <f>'Raw Data'!S53</f>
        <v>0</v>
      </c>
      <c r="R53">
        <f>'Raw Data'!T53</f>
        <v>0</v>
      </c>
      <c r="S53">
        <f>IFERROR(O53,0)+IFERROR(R53,0)</f>
        <v>0</v>
      </c>
      <c r="T53">
        <f>IF(A53="","",YEAR(A53))</f>
        <v>0</v>
      </c>
    </row>
    <row r="54" spans="1:20">
      <c r="A54">
        <f>'Raw Data'!B54</f>
        <v>0</v>
      </c>
      <c r="B54">
        <f>'Raw Data'!A54</f>
        <v>0</v>
      </c>
      <c r="C54">
        <f>'Raw Data'!C54</f>
        <v>0</v>
      </c>
      <c r="D54">
        <f>'Raw Data'!D54</f>
        <v>0</v>
      </c>
      <c r="E54">
        <f>IFERROR(VLOOKUP(D54,'Lookup Tables'!$A:$B,2,FALSE),"Unknown")</f>
        <v>0</v>
      </c>
      <c r="F54">
        <f>'Raw Data'!E54</f>
        <v>0</v>
      </c>
      <c r="G54">
        <f>IFERROR(VLOOKUP(D54,'Lookup Tables'!$A:$C,3,FALSE),IF(ISNUMBER(SEARCH("STEEL",F54)),"Steel","Others"))</f>
        <v>0</v>
      </c>
      <c r="H54">
        <f>IF(ISNUMBER(SEARCH("scrubber",F54)) , "Scrubber", IF(ISNUMBER(SEARCH("container",F54)),"Container", IF(ISNUMBER(SEARCH("basket",F54)),"Basket", IF(ISNUMBER(SEARCH("lunch",F54)),"Lunch Box", IF(ISNUMBER(SEARCH("cutlery",F54)),"Cutlery","Other")))))</f>
        <v>0</v>
      </c>
      <c r="I54">
        <f>IF('Raw Data'!G54&lt;&gt;'','Raw Data'!G54,IFERROR(MID(F54,SEARCH("MODEL",F54)+6,20),""))</f>
        <v>0</v>
      </c>
      <c r="J54">
        <f>'Raw Data'!H54</f>
        <v>0</v>
      </c>
      <c r="K54">
        <f>'Raw Data'!I54</f>
        <v>0</v>
      </c>
      <c r="L54">
        <f>IF('Raw Data'!N54&lt;&gt;0,'Raw Data'!N54,IFERROR(VALUE(MID(F54,SEARCH("QTY",F54)+4,IFERROR(FIND(" ",F54,SEARCH("QTY",F54)+4)-(SEARCH("QTY",F54)+4),3))),""))</f>
        <v>0</v>
      </c>
      <c r="M54">
        <f>'Raw Data'!O54</f>
        <v>0</v>
      </c>
      <c r="N54">
        <f>'Raw Data'!P54</f>
        <v>0</v>
      </c>
      <c r="O54">
        <f>'Raw Data'!Q54</f>
        <v>0</v>
      </c>
      <c r="P54">
        <f>'Raw Data'!R54</f>
        <v>0</v>
      </c>
      <c r="Q54">
        <f>'Raw Data'!S54</f>
        <v>0</v>
      </c>
      <c r="R54">
        <f>'Raw Data'!T54</f>
        <v>0</v>
      </c>
      <c r="S54">
        <f>IFERROR(O54,0)+IFERROR(R54,0)</f>
        <v>0</v>
      </c>
      <c r="T54">
        <f>IF(A54="","",YEAR(A54))</f>
        <v>0</v>
      </c>
    </row>
    <row r="55" spans="1:20">
      <c r="A55">
        <f>'Raw Data'!B55</f>
        <v>0</v>
      </c>
      <c r="B55">
        <f>'Raw Data'!A55</f>
        <v>0</v>
      </c>
      <c r="C55">
        <f>'Raw Data'!C55</f>
        <v>0</v>
      </c>
      <c r="D55">
        <f>'Raw Data'!D55</f>
        <v>0</v>
      </c>
      <c r="E55">
        <f>IFERROR(VLOOKUP(D55,'Lookup Tables'!$A:$B,2,FALSE),"Unknown")</f>
        <v>0</v>
      </c>
      <c r="F55">
        <f>'Raw Data'!E55</f>
        <v>0</v>
      </c>
      <c r="G55">
        <f>IFERROR(VLOOKUP(D55,'Lookup Tables'!$A:$C,3,FALSE),IF(ISNUMBER(SEARCH("STEEL",F55)),"Steel","Others"))</f>
        <v>0</v>
      </c>
      <c r="H55">
        <f>IF(ISNUMBER(SEARCH("scrubber",F55)) , "Scrubber", IF(ISNUMBER(SEARCH("container",F55)),"Container", IF(ISNUMBER(SEARCH("basket",F55)),"Basket", IF(ISNUMBER(SEARCH("lunch",F55)),"Lunch Box", IF(ISNUMBER(SEARCH("cutlery",F55)),"Cutlery","Other")))))</f>
        <v>0</v>
      </c>
      <c r="I55">
        <f>IF('Raw Data'!G55&lt;&gt;'','Raw Data'!G55,IFERROR(MID(F55,SEARCH("MODEL",F55)+6,20),""))</f>
        <v>0</v>
      </c>
      <c r="J55">
        <f>'Raw Data'!H55</f>
        <v>0</v>
      </c>
      <c r="K55">
        <f>'Raw Data'!I55</f>
        <v>0</v>
      </c>
      <c r="L55">
        <f>IF('Raw Data'!N55&lt;&gt;0,'Raw Data'!N55,IFERROR(VALUE(MID(F55,SEARCH("QTY",F55)+4,IFERROR(FIND(" ",F55,SEARCH("QTY",F55)+4)-(SEARCH("QTY",F55)+4),3))),""))</f>
        <v>0</v>
      </c>
      <c r="M55">
        <f>'Raw Data'!O55</f>
        <v>0</v>
      </c>
      <c r="N55">
        <f>'Raw Data'!P55</f>
        <v>0</v>
      </c>
      <c r="O55">
        <f>'Raw Data'!Q55</f>
        <v>0</v>
      </c>
      <c r="P55">
        <f>'Raw Data'!R55</f>
        <v>0</v>
      </c>
      <c r="Q55">
        <f>'Raw Data'!S55</f>
        <v>0</v>
      </c>
      <c r="R55">
        <f>'Raw Data'!T55</f>
        <v>0</v>
      </c>
      <c r="S55">
        <f>IFERROR(O55,0)+IFERROR(R55,0)</f>
        <v>0</v>
      </c>
      <c r="T55">
        <f>IF(A55="","",YEAR(A55))</f>
        <v>0</v>
      </c>
    </row>
    <row r="56" spans="1:20">
      <c r="A56">
        <f>'Raw Data'!B56</f>
        <v>0</v>
      </c>
      <c r="B56">
        <f>'Raw Data'!A56</f>
        <v>0</v>
      </c>
      <c r="C56">
        <f>'Raw Data'!C56</f>
        <v>0</v>
      </c>
      <c r="D56">
        <f>'Raw Data'!D56</f>
        <v>0</v>
      </c>
      <c r="E56">
        <f>IFERROR(VLOOKUP(D56,'Lookup Tables'!$A:$B,2,FALSE),"Unknown")</f>
        <v>0</v>
      </c>
      <c r="F56">
        <f>'Raw Data'!E56</f>
        <v>0</v>
      </c>
      <c r="G56">
        <f>IFERROR(VLOOKUP(D56,'Lookup Tables'!$A:$C,3,FALSE),IF(ISNUMBER(SEARCH("STEEL",F56)),"Steel","Others"))</f>
        <v>0</v>
      </c>
      <c r="H56">
        <f>IF(ISNUMBER(SEARCH("scrubber",F56)) , "Scrubber", IF(ISNUMBER(SEARCH("container",F56)),"Container", IF(ISNUMBER(SEARCH("basket",F56)),"Basket", IF(ISNUMBER(SEARCH("lunch",F56)),"Lunch Box", IF(ISNUMBER(SEARCH("cutlery",F56)),"Cutlery","Other")))))</f>
        <v>0</v>
      </c>
      <c r="I56">
        <f>IF('Raw Data'!G56&lt;&gt;'','Raw Data'!G56,IFERROR(MID(F56,SEARCH("MODEL",F56)+6,20),""))</f>
        <v>0</v>
      </c>
      <c r="J56">
        <f>'Raw Data'!H56</f>
        <v>0</v>
      </c>
      <c r="K56">
        <f>'Raw Data'!I56</f>
        <v>0</v>
      </c>
      <c r="L56">
        <f>IF('Raw Data'!N56&lt;&gt;0,'Raw Data'!N56,IFERROR(VALUE(MID(F56,SEARCH("QTY",F56)+4,IFERROR(FIND(" ",F56,SEARCH("QTY",F56)+4)-(SEARCH("QTY",F56)+4),3))),""))</f>
        <v>0</v>
      </c>
      <c r="M56">
        <f>'Raw Data'!O56</f>
        <v>0</v>
      </c>
      <c r="N56">
        <f>'Raw Data'!P56</f>
        <v>0</v>
      </c>
      <c r="O56">
        <f>'Raw Data'!Q56</f>
        <v>0</v>
      </c>
      <c r="P56">
        <f>'Raw Data'!R56</f>
        <v>0</v>
      </c>
      <c r="Q56">
        <f>'Raw Data'!S56</f>
        <v>0</v>
      </c>
      <c r="R56">
        <f>'Raw Data'!T56</f>
        <v>0</v>
      </c>
      <c r="S56">
        <f>IFERROR(O56,0)+IFERROR(R56,0)</f>
        <v>0</v>
      </c>
      <c r="T56">
        <f>IF(A56="","",YEAR(A56))</f>
        <v>0</v>
      </c>
    </row>
    <row r="57" spans="1:20">
      <c r="A57">
        <f>'Raw Data'!B57</f>
        <v>0</v>
      </c>
      <c r="B57">
        <f>'Raw Data'!A57</f>
        <v>0</v>
      </c>
      <c r="C57">
        <f>'Raw Data'!C57</f>
        <v>0</v>
      </c>
      <c r="D57">
        <f>'Raw Data'!D57</f>
        <v>0</v>
      </c>
      <c r="E57">
        <f>IFERROR(VLOOKUP(D57,'Lookup Tables'!$A:$B,2,FALSE),"Unknown")</f>
        <v>0</v>
      </c>
      <c r="F57">
        <f>'Raw Data'!E57</f>
        <v>0</v>
      </c>
      <c r="G57">
        <f>IFERROR(VLOOKUP(D57,'Lookup Tables'!$A:$C,3,FALSE),IF(ISNUMBER(SEARCH("STEEL",F57)),"Steel","Others"))</f>
        <v>0</v>
      </c>
      <c r="H57">
        <f>IF(ISNUMBER(SEARCH("scrubber",F57)) , "Scrubber", IF(ISNUMBER(SEARCH("container",F57)),"Container", IF(ISNUMBER(SEARCH("basket",F57)),"Basket", IF(ISNUMBER(SEARCH("lunch",F57)),"Lunch Box", IF(ISNUMBER(SEARCH("cutlery",F57)),"Cutlery","Other")))))</f>
        <v>0</v>
      </c>
      <c r="I57">
        <f>IF('Raw Data'!G57&lt;&gt;'','Raw Data'!G57,IFERROR(MID(F57,SEARCH("MODEL",F57)+6,20),""))</f>
        <v>0</v>
      </c>
      <c r="J57">
        <f>'Raw Data'!H57</f>
        <v>0</v>
      </c>
      <c r="K57">
        <f>'Raw Data'!I57</f>
        <v>0</v>
      </c>
      <c r="L57">
        <f>IF('Raw Data'!N57&lt;&gt;0,'Raw Data'!N57,IFERROR(VALUE(MID(F57,SEARCH("QTY",F57)+4,IFERROR(FIND(" ",F57,SEARCH("QTY",F57)+4)-(SEARCH("QTY",F57)+4),3))),""))</f>
        <v>0</v>
      </c>
      <c r="M57">
        <f>'Raw Data'!O57</f>
        <v>0</v>
      </c>
      <c r="N57">
        <f>'Raw Data'!P57</f>
        <v>0</v>
      </c>
      <c r="O57">
        <f>'Raw Data'!Q57</f>
        <v>0</v>
      </c>
      <c r="P57">
        <f>'Raw Data'!R57</f>
        <v>0</v>
      </c>
      <c r="Q57">
        <f>'Raw Data'!S57</f>
        <v>0</v>
      </c>
      <c r="R57">
        <f>'Raw Data'!T57</f>
        <v>0</v>
      </c>
      <c r="S57">
        <f>IFERROR(O57,0)+IFERROR(R57,0)</f>
        <v>0</v>
      </c>
      <c r="T57">
        <f>IF(A57="","",YEAR(A57))</f>
        <v>0</v>
      </c>
    </row>
    <row r="58" spans="1:20">
      <c r="A58">
        <f>'Raw Data'!B58</f>
        <v>0</v>
      </c>
      <c r="B58">
        <f>'Raw Data'!A58</f>
        <v>0</v>
      </c>
      <c r="C58">
        <f>'Raw Data'!C58</f>
        <v>0</v>
      </c>
      <c r="D58">
        <f>'Raw Data'!D58</f>
        <v>0</v>
      </c>
      <c r="E58">
        <f>IFERROR(VLOOKUP(D58,'Lookup Tables'!$A:$B,2,FALSE),"Unknown")</f>
        <v>0</v>
      </c>
      <c r="F58">
        <f>'Raw Data'!E58</f>
        <v>0</v>
      </c>
      <c r="G58">
        <f>IFERROR(VLOOKUP(D58,'Lookup Tables'!$A:$C,3,FALSE),IF(ISNUMBER(SEARCH("STEEL",F58)),"Steel","Others"))</f>
        <v>0</v>
      </c>
      <c r="H58">
        <f>IF(ISNUMBER(SEARCH("scrubber",F58)) , "Scrubber", IF(ISNUMBER(SEARCH("container",F58)),"Container", IF(ISNUMBER(SEARCH("basket",F58)),"Basket", IF(ISNUMBER(SEARCH("lunch",F58)),"Lunch Box", IF(ISNUMBER(SEARCH("cutlery",F58)),"Cutlery","Other")))))</f>
        <v>0</v>
      </c>
      <c r="I58">
        <f>IF('Raw Data'!G58&lt;&gt;'','Raw Data'!G58,IFERROR(MID(F58,SEARCH("MODEL",F58)+6,20),""))</f>
        <v>0</v>
      </c>
      <c r="J58">
        <f>'Raw Data'!H58</f>
        <v>0</v>
      </c>
      <c r="K58">
        <f>'Raw Data'!I58</f>
        <v>0</v>
      </c>
      <c r="L58">
        <f>IF('Raw Data'!N58&lt;&gt;0,'Raw Data'!N58,IFERROR(VALUE(MID(F58,SEARCH("QTY",F58)+4,IFERROR(FIND(" ",F58,SEARCH("QTY",F58)+4)-(SEARCH("QTY",F58)+4),3))),""))</f>
        <v>0</v>
      </c>
      <c r="M58">
        <f>'Raw Data'!O58</f>
        <v>0</v>
      </c>
      <c r="N58">
        <f>'Raw Data'!P58</f>
        <v>0</v>
      </c>
      <c r="O58">
        <f>'Raw Data'!Q58</f>
        <v>0</v>
      </c>
      <c r="P58">
        <f>'Raw Data'!R58</f>
        <v>0</v>
      </c>
      <c r="Q58">
        <f>'Raw Data'!S58</f>
        <v>0</v>
      </c>
      <c r="R58">
        <f>'Raw Data'!T58</f>
        <v>0</v>
      </c>
      <c r="S58">
        <f>IFERROR(O58,0)+IFERROR(R58,0)</f>
        <v>0</v>
      </c>
      <c r="T58">
        <f>IF(A58="","",YEAR(A58))</f>
        <v>0</v>
      </c>
    </row>
    <row r="59" spans="1:20">
      <c r="A59">
        <f>'Raw Data'!B59</f>
        <v>0</v>
      </c>
      <c r="B59">
        <f>'Raw Data'!A59</f>
        <v>0</v>
      </c>
      <c r="C59">
        <f>'Raw Data'!C59</f>
        <v>0</v>
      </c>
      <c r="D59">
        <f>'Raw Data'!D59</f>
        <v>0</v>
      </c>
      <c r="E59">
        <f>IFERROR(VLOOKUP(D59,'Lookup Tables'!$A:$B,2,FALSE),"Unknown")</f>
        <v>0</v>
      </c>
      <c r="F59">
        <f>'Raw Data'!E59</f>
        <v>0</v>
      </c>
      <c r="G59">
        <f>IFERROR(VLOOKUP(D59,'Lookup Tables'!$A:$C,3,FALSE),IF(ISNUMBER(SEARCH("STEEL",F59)),"Steel","Others"))</f>
        <v>0</v>
      </c>
      <c r="H59">
        <f>IF(ISNUMBER(SEARCH("scrubber",F59)) , "Scrubber", IF(ISNUMBER(SEARCH("container",F59)),"Container", IF(ISNUMBER(SEARCH("basket",F59)),"Basket", IF(ISNUMBER(SEARCH("lunch",F59)),"Lunch Box", IF(ISNUMBER(SEARCH("cutlery",F59)),"Cutlery","Other")))))</f>
        <v>0</v>
      </c>
      <c r="I59">
        <f>IF('Raw Data'!G59&lt;&gt;'','Raw Data'!G59,IFERROR(MID(F59,SEARCH("MODEL",F59)+6,20),""))</f>
        <v>0</v>
      </c>
      <c r="J59">
        <f>'Raw Data'!H59</f>
        <v>0</v>
      </c>
      <c r="K59">
        <f>'Raw Data'!I59</f>
        <v>0</v>
      </c>
      <c r="L59">
        <f>IF('Raw Data'!N59&lt;&gt;0,'Raw Data'!N59,IFERROR(VALUE(MID(F59,SEARCH("QTY",F59)+4,IFERROR(FIND(" ",F59,SEARCH("QTY",F59)+4)-(SEARCH("QTY",F59)+4),3))),""))</f>
        <v>0</v>
      </c>
      <c r="M59">
        <f>'Raw Data'!O59</f>
        <v>0</v>
      </c>
      <c r="N59">
        <f>'Raw Data'!P59</f>
        <v>0</v>
      </c>
      <c r="O59">
        <f>'Raw Data'!Q59</f>
        <v>0</v>
      </c>
      <c r="P59">
        <f>'Raw Data'!R59</f>
        <v>0</v>
      </c>
      <c r="Q59">
        <f>'Raw Data'!S59</f>
        <v>0</v>
      </c>
      <c r="R59">
        <f>'Raw Data'!T59</f>
        <v>0</v>
      </c>
      <c r="S59">
        <f>IFERROR(O59,0)+IFERROR(R59,0)</f>
        <v>0</v>
      </c>
      <c r="T59">
        <f>IF(A59="","",YEAR(A59))</f>
        <v>0</v>
      </c>
    </row>
    <row r="60" spans="1:20">
      <c r="A60">
        <f>'Raw Data'!B60</f>
        <v>0</v>
      </c>
      <c r="B60">
        <f>'Raw Data'!A60</f>
        <v>0</v>
      </c>
      <c r="C60">
        <f>'Raw Data'!C60</f>
        <v>0</v>
      </c>
      <c r="D60">
        <f>'Raw Data'!D60</f>
        <v>0</v>
      </c>
      <c r="E60">
        <f>IFERROR(VLOOKUP(D60,'Lookup Tables'!$A:$B,2,FALSE),"Unknown")</f>
        <v>0</v>
      </c>
      <c r="F60">
        <f>'Raw Data'!E60</f>
        <v>0</v>
      </c>
      <c r="G60">
        <f>IFERROR(VLOOKUP(D60,'Lookup Tables'!$A:$C,3,FALSE),IF(ISNUMBER(SEARCH("STEEL",F60)),"Steel","Others"))</f>
        <v>0</v>
      </c>
      <c r="H60">
        <f>IF(ISNUMBER(SEARCH("scrubber",F60)) , "Scrubber", IF(ISNUMBER(SEARCH("container",F60)),"Container", IF(ISNUMBER(SEARCH("basket",F60)),"Basket", IF(ISNUMBER(SEARCH("lunch",F60)),"Lunch Box", IF(ISNUMBER(SEARCH("cutlery",F60)),"Cutlery","Other")))))</f>
        <v>0</v>
      </c>
      <c r="I60">
        <f>IF('Raw Data'!G60&lt;&gt;'','Raw Data'!G60,IFERROR(MID(F60,SEARCH("MODEL",F60)+6,20),""))</f>
        <v>0</v>
      </c>
      <c r="J60">
        <f>'Raw Data'!H60</f>
        <v>0</v>
      </c>
      <c r="K60">
        <f>'Raw Data'!I60</f>
        <v>0</v>
      </c>
      <c r="L60">
        <f>IF('Raw Data'!N60&lt;&gt;0,'Raw Data'!N60,IFERROR(VALUE(MID(F60,SEARCH("QTY",F60)+4,IFERROR(FIND(" ",F60,SEARCH("QTY",F60)+4)-(SEARCH("QTY",F60)+4),3))),""))</f>
        <v>0</v>
      </c>
      <c r="M60">
        <f>'Raw Data'!O60</f>
        <v>0</v>
      </c>
      <c r="N60">
        <f>'Raw Data'!P60</f>
        <v>0</v>
      </c>
      <c r="O60">
        <f>'Raw Data'!Q60</f>
        <v>0</v>
      </c>
      <c r="P60">
        <f>'Raw Data'!R60</f>
        <v>0</v>
      </c>
      <c r="Q60">
        <f>'Raw Data'!S60</f>
        <v>0</v>
      </c>
      <c r="R60">
        <f>'Raw Data'!T60</f>
        <v>0</v>
      </c>
      <c r="S60">
        <f>IFERROR(O60,0)+IFERROR(R60,0)</f>
        <v>0</v>
      </c>
      <c r="T60">
        <f>IF(A60="","",YEAR(A60))</f>
        <v>0</v>
      </c>
    </row>
    <row r="61" spans="1:20">
      <c r="A61">
        <f>'Raw Data'!B61</f>
        <v>0</v>
      </c>
      <c r="B61">
        <f>'Raw Data'!A61</f>
        <v>0</v>
      </c>
      <c r="C61">
        <f>'Raw Data'!C61</f>
        <v>0</v>
      </c>
      <c r="D61">
        <f>'Raw Data'!D61</f>
        <v>0</v>
      </c>
      <c r="E61">
        <f>IFERROR(VLOOKUP(D61,'Lookup Tables'!$A:$B,2,FALSE),"Unknown")</f>
        <v>0</v>
      </c>
      <c r="F61">
        <f>'Raw Data'!E61</f>
        <v>0</v>
      </c>
      <c r="G61">
        <f>IFERROR(VLOOKUP(D61,'Lookup Tables'!$A:$C,3,FALSE),IF(ISNUMBER(SEARCH("STEEL",F61)),"Steel","Others"))</f>
        <v>0</v>
      </c>
      <c r="H61">
        <f>IF(ISNUMBER(SEARCH("scrubber",F61)) , "Scrubber", IF(ISNUMBER(SEARCH("container",F61)),"Container", IF(ISNUMBER(SEARCH("basket",F61)),"Basket", IF(ISNUMBER(SEARCH("lunch",F61)),"Lunch Box", IF(ISNUMBER(SEARCH("cutlery",F61)),"Cutlery","Other")))))</f>
        <v>0</v>
      </c>
      <c r="I61">
        <f>IF('Raw Data'!G61&lt;&gt;'','Raw Data'!G61,IFERROR(MID(F61,SEARCH("MODEL",F61)+6,20),""))</f>
        <v>0</v>
      </c>
      <c r="J61">
        <f>'Raw Data'!H61</f>
        <v>0</v>
      </c>
      <c r="K61">
        <f>'Raw Data'!I61</f>
        <v>0</v>
      </c>
      <c r="L61">
        <f>IF('Raw Data'!N61&lt;&gt;0,'Raw Data'!N61,IFERROR(VALUE(MID(F61,SEARCH("QTY",F61)+4,IFERROR(FIND(" ",F61,SEARCH("QTY",F61)+4)-(SEARCH("QTY",F61)+4),3))),""))</f>
        <v>0</v>
      </c>
      <c r="M61">
        <f>'Raw Data'!O61</f>
        <v>0</v>
      </c>
      <c r="N61">
        <f>'Raw Data'!P61</f>
        <v>0</v>
      </c>
      <c r="O61">
        <f>'Raw Data'!Q61</f>
        <v>0</v>
      </c>
      <c r="P61">
        <f>'Raw Data'!R61</f>
        <v>0</v>
      </c>
      <c r="Q61">
        <f>'Raw Data'!S61</f>
        <v>0</v>
      </c>
      <c r="R61">
        <f>'Raw Data'!T61</f>
        <v>0</v>
      </c>
      <c r="S61">
        <f>IFERROR(O61,0)+IFERROR(R61,0)</f>
        <v>0</v>
      </c>
      <c r="T61">
        <f>IF(A61="","",YEAR(A61))</f>
        <v>0</v>
      </c>
    </row>
    <row r="62" spans="1:20">
      <c r="A62">
        <f>'Raw Data'!B62</f>
        <v>0</v>
      </c>
      <c r="B62">
        <f>'Raw Data'!A62</f>
        <v>0</v>
      </c>
      <c r="C62">
        <f>'Raw Data'!C62</f>
        <v>0</v>
      </c>
      <c r="D62">
        <f>'Raw Data'!D62</f>
        <v>0</v>
      </c>
      <c r="E62">
        <f>IFERROR(VLOOKUP(D62,'Lookup Tables'!$A:$B,2,FALSE),"Unknown")</f>
        <v>0</v>
      </c>
      <c r="F62">
        <f>'Raw Data'!E62</f>
        <v>0</v>
      </c>
      <c r="G62">
        <f>IFERROR(VLOOKUP(D62,'Lookup Tables'!$A:$C,3,FALSE),IF(ISNUMBER(SEARCH("STEEL",F62)),"Steel","Others"))</f>
        <v>0</v>
      </c>
      <c r="H62">
        <f>IF(ISNUMBER(SEARCH("scrubber",F62)) , "Scrubber", IF(ISNUMBER(SEARCH("container",F62)),"Container", IF(ISNUMBER(SEARCH("basket",F62)),"Basket", IF(ISNUMBER(SEARCH("lunch",F62)),"Lunch Box", IF(ISNUMBER(SEARCH("cutlery",F62)),"Cutlery","Other")))))</f>
        <v>0</v>
      </c>
      <c r="I62">
        <f>IF('Raw Data'!G62&lt;&gt;'','Raw Data'!G62,IFERROR(MID(F62,SEARCH("MODEL",F62)+6,20),""))</f>
        <v>0</v>
      </c>
      <c r="J62">
        <f>'Raw Data'!H62</f>
        <v>0</v>
      </c>
      <c r="K62">
        <f>'Raw Data'!I62</f>
        <v>0</v>
      </c>
      <c r="L62">
        <f>IF('Raw Data'!N62&lt;&gt;0,'Raw Data'!N62,IFERROR(VALUE(MID(F62,SEARCH("QTY",F62)+4,IFERROR(FIND(" ",F62,SEARCH("QTY",F62)+4)-(SEARCH("QTY",F62)+4),3))),""))</f>
        <v>0</v>
      </c>
      <c r="M62">
        <f>'Raw Data'!O62</f>
        <v>0</v>
      </c>
      <c r="N62">
        <f>'Raw Data'!P62</f>
        <v>0</v>
      </c>
      <c r="O62">
        <f>'Raw Data'!Q62</f>
        <v>0</v>
      </c>
      <c r="P62">
        <f>'Raw Data'!R62</f>
        <v>0</v>
      </c>
      <c r="Q62">
        <f>'Raw Data'!S62</f>
        <v>0</v>
      </c>
      <c r="R62">
        <f>'Raw Data'!T62</f>
        <v>0</v>
      </c>
      <c r="S62">
        <f>IFERROR(O62,0)+IFERROR(R62,0)</f>
        <v>0</v>
      </c>
      <c r="T62">
        <f>IF(A62="","",YEAR(A62))</f>
        <v>0</v>
      </c>
    </row>
    <row r="63" spans="1:20">
      <c r="A63">
        <f>'Raw Data'!B63</f>
        <v>0</v>
      </c>
      <c r="B63">
        <f>'Raw Data'!A63</f>
        <v>0</v>
      </c>
      <c r="C63">
        <f>'Raw Data'!C63</f>
        <v>0</v>
      </c>
      <c r="D63">
        <f>'Raw Data'!D63</f>
        <v>0</v>
      </c>
      <c r="E63">
        <f>IFERROR(VLOOKUP(D63,'Lookup Tables'!$A:$B,2,FALSE),"Unknown")</f>
        <v>0</v>
      </c>
      <c r="F63">
        <f>'Raw Data'!E63</f>
        <v>0</v>
      </c>
      <c r="G63">
        <f>IFERROR(VLOOKUP(D63,'Lookup Tables'!$A:$C,3,FALSE),IF(ISNUMBER(SEARCH("STEEL",F63)),"Steel","Others"))</f>
        <v>0</v>
      </c>
      <c r="H63">
        <f>IF(ISNUMBER(SEARCH("scrubber",F63)) , "Scrubber", IF(ISNUMBER(SEARCH("container",F63)),"Container", IF(ISNUMBER(SEARCH("basket",F63)),"Basket", IF(ISNUMBER(SEARCH("lunch",F63)),"Lunch Box", IF(ISNUMBER(SEARCH("cutlery",F63)),"Cutlery","Other")))))</f>
        <v>0</v>
      </c>
      <c r="I63">
        <f>IF('Raw Data'!G63&lt;&gt;'','Raw Data'!G63,IFERROR(MID(F63,SEARCH("MODEL",F63)+6,20),""))</f>
        <v>0</v>
      </c>
      <c r="J63">
        <f>'Raw Data'!H63</f>
        <v>0</v>
      </c>
      <c r="K63">
        <f>'Raw Data'!I63</f>
        <v>0</v>
      </c>
      <c r="L63">
        <f>IF('Raw Data'!N63&lt;&gt;0,'Raw Data'!N63,IFERROR(VALUE(MID(F63,SEARCH("QTY",F63)+4,IFERROR(FIND(" ",F63,SEARCH("QTY",F63)+4)-(SEARCH("QTY",F63)+4),3))),""))</f>
        <v>0</v>
      </c>
      <c r="M63">
        <f>'Raw Data'!O63</f>
        <v>0</v>
      </c>
      <c r="N63">
        <f>'Raw Data'!P63</f>
        <v>0</v>
      </c>
      <c r="O63">
        <f>'Raw Data'!Q63</f>
        <v>0</v>
      </c>
      <c r="P63">
        <f>'Raw Data'!R63</f>
        <v>0</v>
      </c>
      <c r="Q63">
        <f>'Raw Data'!S63</f>
        <v>0</v>
      </c>
      <c r="R63">
        <f>'Raw Data'!T63</f>
        <v>0</v>
      </c>
      <c r="S63">
        <f>IFERROR(O63,0)+IFERROR(R63,0)</f>
        <v>0</v>
      </c>
      <c r="T63">
        <f>IF(A63="","",YEAR(A63))</f>
        <v>0</v>
      </c>
    </row>
    <row r="64" spans="1:20">
      <c r="A64">
        <f>'Raw Data'!B64</f>
        <v>0</v>
      </c>
      <c r="B64">
        <f>'Raw Data'!A64</f>
        <v>0</v>
      </c>
      <c r="C64">
        <f>'Raw Data'!C64</f>
        <v>0</v>
      </c>
      <c r="D64">
        <f>'Raw Data'!D64</f>
        <v>0</v>
      </c>
      <c r="E64">
        <f>IFERROR(VLOOKUP(D64,'Lookup Tables'!$A:$B,2,FALSE),"Unknown")</f>
        <v>0</v>
      </c>
      <c r="F64">
        <f>'Raw Data'!E64</f>
        <v>0</v>
      </c>
      <c r="G64">
        <f>IFERROR(VLOOKUP(D64,'Lookup Tables'!$A:$C,3,FALSE),IF(ISNUMBER(SEARCH("STEEL",F64)),"Steel","Others"))</f>
        <v>0</v>
      </c>
      <c r="H64">
        <f>IF(ISNUMBER(SEARCH("scrubber",F64)) , "Scrubber", IF(ISNUMBER(SEARCH("container",F64)),"Container", IF(ISNUMBER(SEARCH("basket",F64)),"Basket", IF(ISNUMBER(SEARCH("lunch",F64)),"Lunch Box", IF(ISNUMBER(SEARCH("cutlery",F64)),"Cutlery","Other")))))</f>
        <v>0</v>
      </c>
      <c r="I64">
        <f>IF('Raw Data'!G64&lt;&gt;'','Raw Data'!G64,IFERROR(MID(F64,SEARCH("MODEL",F64)+6,20),""))</f>
        <v>0</v>
      </c>
      <c r="J64">
        <f>'Raw Data'!H64</f>
        <v>0</v>
      </c>
      <c r="K64">
        <f>'Raw Data'!I64</f>
        <v>0</v>
      </c>
      <c r="L64">
        <f>IF('Raw Data'!N64&lt;&gt;0,'Raw Data'!N64,IFERROR(VALUE(MID(F64,SEARCH("QTY",F64)+4,IFERROR(FIND(" ",F64,SEARCH("QTY",F64)+4)-(SEARCH("QTY",F64)+4),3))),""))</f>
        <v>0</v>
      </c>
      <c r="M64">
        <f>'Raw Data'!O64</f>
        <v>0</v>
      </c>
      <c r="N64">
        <f>'Raw Data'!P64</f>
        <v>0</v>
      </c>
      <c r="O64">
        <f>'Raw Data'!Q64</f>
        <v>0</v>
      </c>
      <c r="P64">
        <f>'Raw Data'!R64</f>
        <v>0</v>
      </c>
      <c r="Q64">
        <f>'Raw Data'!S64</f>
        <v>0</v>
      </c>
      <c r="R64">
        <f>'Raw Data'!T64</f>
        <v>0</v>
      </c>
      <c r="S64">
        <f>IFERROR(O64,0)+IFERROR(R64,0)</f>
        <v>0</v>
      </c>
      <c r="T64">
        <f>IF(A64="","",YEAR(A64))</f>
        <v>0</v>
      </c>
    </row>
    <row r="65" spans="1:20">
      <c r="A65">
        <f>'Raw Data'!B65</f>
        <v>0</v>
      </c>
      <c r="B65">
        <f>'Raw Data'!A65</f>
        <v>0</v>
      </c>
      <c r="C65">
        <f>'Raw Data'!C65</f>
        <v>0</v>
      </c>
      <c r="D65">
        <f>'Raw Data'!D65</f>
        <v>0</v>
      </c>
      <c r="E65">
        <f>IFERROR(VLOOKUP(D65,'Lookup Tables'!$A:$B,2,FALSE),"Unknown")</f>
        <v>0</v>
      </c>
      <c r="F65">
        <f>'Raw Data'!E65</f>
        <v>0</v>
      </c>
      <c r="G65">
        <f>IFERROR(VLOOKUP(D65,'Lookup Tables'!$A:$C,3,FALSE),IF(ISNUMBER(SEARCH("STEEL",F65)),"Steel","Others"))</f>
        <v>0</v>
      </c>
      <c r="H65">
        <f>IF(ISNUMBER(SEARCH("scrubber",F65)) , "Scrubber", IF(ISNUMBER(SEARCH("container",F65)),"Container", IF(ISNUMBER(SEARCH("basket",F65)),"Basket", IF(ISNUMBER(SEARCH("lunch",F65)),"Lunch Box", IF(ISNUMBER(SEARCH("cutlery",F65)),"Cutlery","Other")))))</f>
        <v>0</v>
      </c>
      <c r="I65">
        <f>IF('Raw Data'!G65&lt;&gt;'','Raw Data'!G65,IFERROR(MID(F65,SEARCH("MODEL",F65)+6,20),""))</f>
        <v>0</v>
      </c>
      <c r="J65">
        <f>'Raw Data'!H65</f>
        <v>0</v>
      </c>
      <c r="K65">
        <f>'Raw Data'!I65</f>
        <v>0</v>
      </c>
      <c r="L65">
        <f>IF('Raw Data'!N65&lt;&gt;0,'Raw Data'!N65,IFERROR(VALUE(MID(F65,SEARCH("QTY",F65)+4,IFERROR(FIND(" ",F65,SEARCH("QTY",F65)+4)-(SEARCH("QTY",F65)+4),3))),""))</f>
        <v>0</v>
      </c>
      <c r="M65">
        <f>'Raw Data'!O65</f>
        <v>0</v>
      </c>
      <c r="N65">
        <f>'Raw Data'!P65</f>
        <v>0</v>
      </c>
      <c r="O65">
        <f>'Raw Data'!Q65</f>
        <v>0</v>
      </c>
      <c r="P65">
        <f>'Raw Data'!R65</f>
        <v>0</v>
      </c>
      <c r="Q65">
        <f>'Raw Data'!S65</f>
        <v>0</v>
      </c>
      <c r="R65">
        <f>'Raw Data'!T65</f>
        <v>0</v>
      </c>
      <c r="S65">
        <f>IFERROR(O65,0)+IFERROR(R65,0)</f>
        <v>0</v>
      </c>
      <c r="T65">
        <f>IF(A65="","",YEAR(A65))</f>
        <v>0</v>
      </c>
    </row>
    <row r="66" spans="1:20">
      <c r="A66">
        <f>'Raw Data'!B66</f>
        <v>0</v>
      </c>
      <c r="B66">
        <f>'Raw Data'!A66</f>
        <v>0</v>
      </c>
      <c r="C66">
        <f>'Raw Data'!C66</f>
        <v>0</v>
      </c>
      <c r="D66">
        <f>'Raw Data'!D66</f>
        <v>0</v>
      </c>
      <c r="E66">
        <f>IFERROR(VLOOKUP(D66,'Lookup Tables'!$A:$B,2,FALSE),"Unknown")</f>
        <v>0</v>
      </c>
      <c r="F66">
        <f>'Raw Data'!E66</f>
        <v>0</v>
      </c>
      <c r="G66">
        <f>IFERROR(VLOOKUP(D66,'Lookup Tables'!$A:$C,3,FALSE),IF(ISNUMBER(SEARCH("STEEL",F66)),"Steel","Others"))</f>
        <v>0</v>
      </c>
      <c r="H66">
        <f>IF(ISNUMBER(SEARCH("scrubber",F66)) , "Scrubber", IF(ISNUMBER(SEARCH("container",F66)),"Container", IF(ISNUMBER(SEARCH("basket",F66)),"Basket", IF(ISNUMBER(SEARCH("lunch",F66)),"Lunch Box", IF(ISNUMBER(SEARCH("cutlery",F66)),"Cutlery","Other")))))</f>
        <v>0</v>
      </c>
      <c r="I66">
        <f>IF('Raw Data'!G66&lt;&gt;'','Raw Data'!G66,IFERROR(MID(F66,SEARCH("MODEL",F66)+6,20),""))</f>
        <v>0</v>
      </c>
      <c r="J66">
        <f>'Raw Data'!H66</f>
        <v>0</v>
      </c>
      <c r="K66">
        <f>'Raw Data'!I66</f>
        <v>0</v>
      </c>
      <c r="L66">
        <f>IF('Raw Data'!N66&lt;&gt;0,'Raw Data'!N66,IFERROR(VALUE(MID(F66,SEARCH("QTY",F66)+4,IFERROR(FIND(" ",F66,SEARCH("QTY",F66)+4)-(SEARCH("QTY",F66)+4),3))),""))</f>
        <v>0</v>
      </c>
      <c r="M66">
        <f>'Raw Data'!O66</f>
        <v>0</v>
      </c>
      <c r="N66">
        <f>'Raw Data'!P66</f>
        <v>0</v>
      </c>
      <c r="O66">
        <f>'Raw Data'!Q66</f>
        <v>0</v>
      </c>
      <c r="P66">
        <f>'Raw Data'!R66</f>
        <v>0</v>
      </c>
      <c r="Q66">
        <f>'Raw Data'!S66</f>
        <v>0</v>
      </c>
      <c r="R66">
        <f>'Raw Data'!T66</f>
        <v>0</v>
      </c>
      <c r="S66">
        <f>IFERROR(O66,0)+IFERROR(R66,0)</f>
        <v>0</v>
      </c>
      <c r="T66">
        <f>IF(A66="","",YEAR(A66))</f>
        <v>0</v>
      </c>
    </row>
    <row r="67" spans="1:20">
      <c r="A67">
        <f>'Raw Data'!B67</f>
        <v>0</v>
      </c>
      <c r="B67">
        <f>'Raw Data'!A67</f>
        <v>0</v>
      </c>
      <c r="C67">
        <f>'Raw Data'!C67</f>
        <v>0</v>
      </c>
      <c r="D67">
        <f>'Raw Data'!D67</f>
        <v>0</v>
      </c>
      <c r="E67">
        <f>IFERROR(VLOOKUP(D67,'Lookup Tables'!$A:$B,2,FALSE),"Unknown")</f>
        <v>0</v>
      </c>
      <c r="F67">
        <f>'Raw Data'!E67</f>
        <v>0</v>
      </c>
      <c r="G67">
        <f>IFERROR(VLOOKUP(D67,'Lookup Tables'!$A:$C,3,FALSE),IF(ISNUMBER(SEARCH("STEEL",F67)),"Steel","Others"))</f>
        <v>0</v>
      </c>
      <c r="H67">
        <f>IF(ISNUMBER(SEARCH("scrubber",F67)) , "Scrubber", IF(ISNUMBER(SEARCH("container",F67)),"Container", IF(ISNUMBER(SEARCH("basket",F67)),"Basket", IF(ISNUMBER(SEARCH("lunch",F67)),"Lunch Box", IF(ISNUMBER(SEARCH("cutlery",F67)),"Cutlery","Other")))))</f>
        <v>0</v>
      </c>
      <c r="I67">
        <f>IF('Raw Data'!G67&lt;&gt;'','Raw Data'!G67,IFERROR(MID(F67,SEARCH("MODEL",F67)+6,20),""))</f>
        <v>0</v>
      </c>
      <c r="J67">
        <f>'Raw Data'!H67</f>
        <v>0</v>
      </c>
      <c r="K67">
        <f>'Raw Data'!I67</f>
        <v>0</v>
      </c>
      <c r="L67">
        <f>IF('Raw Data'!N67&lt;&gt;0,'Raw Data'!N67,IFERROR(VALUE(MID(F67,SEARCH("QTY",F67)+4,IFERROR(FIND(" ",F67,SEARCH("QTY",F67)+4)-(SEARCH("QTY",F67)+4),3))),""))</f>
        <v>0</v>
      </c>
      <c r="M67">
        <f>'Raw Data'!O67</f>
        <v>0</v>
      </c>
      <c r="N67">
        <f>'Raw Data'!P67</f>
        <v>0</v>
      </c>
      <c r="O67">
        <f>'Raw Data'!Q67</f>
        <v>0</v>
      </c>
      <c r="P67">
        <f>'Raw Data'!R67</f>
        <v>0</v>
      </c>
      <c r="Q67">
        <f>'Raw Data'!S67</f>
        <v>0</v>
      </c>
      <c r="R67">
        <f>'Raw Data'!T67</f>
        <v>0</v>
      </c>
      <c r="S67">
        <f>IFERROR(O67,0)+IFERROR(R67,0)</f>
        <v>0</v>
      </c>
      <c r="T67">
        <f>IF(A67="","",YEAR(A67))</f>
        <v>0</v>
      </c>
    </row>
    <row r="68" spans="1:20">
      <c r="A68">
        <f>'Raw Data'!B68</f>
        <v>0</v>
      </c>
      <c r="B68">
        <f>'Raw Data'!A68</f>
        <v>0</v>
      </c>
      <c r="C68">
        <f>'Raw Data'!C68</f>
        <v>0</v>
      </c>
      <c r="D68">
        <f>'Raw Data'!D68</f>
        <v>0</v>
      </c>
      <c r="E68">
        <f>IFERROR(VLOOKUP(D68,'Lookup Tables'!$A:$B,2,FALSE),"Unknown")</f>
        <v>0</v>
      </c>
      <c r="F68">
        <f>'Raw Data'!E68</f>
        <v>0</v>
      </c>
      <c r="G68">
        <f>IFERROR(VLOOKUP(D68,'Lookup Tables'!$A:$C,3,FALSE),IF(ISNUMBER(SEARCH("STEEL",F68)),"Steel","Others"))</f>
        <v>0</v>
      </c>
      <c r="H68">
        <f>IF(ISNUMBER(SEARCH("scrubber",F68)) , "Scrubber", IF(ISNUMBER(SEARCH("container",F68)),"Container", IF(ISNUMBER(SEARCH("basket",F68)),"Basket", IF(ISNUMBER(SEARCH("lunch",F68)),"Lunch Box", IF(ISNUMBER(SEARCH("cutlery",F68)),"Cutlery","Other")))))</f>
        <v>0</v>
      </c>
      <c r="I68">
        <f>IF('Raw Data'!G68&lt;&gt;'','Raw Data'!G68,IFERROR(MID(F68,SEARCH("MODEL",F68)+6,20),""))</f>
        <v>0</v>
      </c>
      <c r="J68">
        <f>'Raw Data'!H68</f>
        <v>0</v>
      </c>
      <c r="K68">
        <f>'Raw Data'!I68</f>
        <v>0</v>
      </c>
      <c r="L68">
        <f>IF('Raw Data'!N68&lt;&gt;0,'Raw Data'!N68,IFERROR(VALUE(MID(F68,SEARCH("QTY",F68)+4,IFERROR(FIND(" ",F68,SEARCH("QTY",F68)+4)-(SEARCH("QTY",F68)+4),3))),""))</f>
        <v>0</v>
      </c>
      <c r="M68">
        <f>'Raw Data'!O68</f>
        <v>0</v>
      </c>
      <c r="N68">
        <f>'Raw Data'!P68</f>
        <v>0</v>
      </c>
      <c r="O68">
        <f>'Raw Data'!Q68</f>
        <v>0</v>
      </c>
      <c r="P68">
        <f>'Raw Data'!R68</f>
        <v>0</v>
      </c>
      <c r="Q68">
        <f>'Raw Data'!S68</f>
        <v>0</v>
      </c>
      <c r="R68">
        <f>'Raw Data'!T68</f>
        <v>0</v>
      </c>
      <c r="S68">
        <f>IFERROR(O68,0)+IFERROR(R68,0)</f>
        <v>0</v>
      </c>
      <c r="T68">
        <f>IF(A68="","",YEAR(A68))</f>
        <v>0</v>
      </c>
    </row>
    <row r="69" spans="1:20">
      <c r="A69">
        <f>'Raw Data'!B69</f>
        <v>0</v>
      </c>
      <c r="B69">
        <f>'Raw Data'!A69</f>
        <v>0</v>
      </c>
      <c r="C69">
        <f>'Raw Data'!C69</f>
        <v>0</v>
      </c>
      <c r="D69">
        <f>'Raw Data'!D69</f>
        <v>0</v>
      </c>
      <c r="E69">
        <f>IFERROR(VLOOKUP(D69,'Lookup Tables'!$A:$B,2,FALSE),"Unknown")</f>
        <v>0</v>
      </c>
      <c r="F69">
        <f>'Raw Data'!E69</f>
        <v>0</v>
      </c>
      <c r="G69">
        <f>IFERROR(VLOOKUP(D69,'Lookup Tables'!$A:$C,3,FALSE),IF(ISNUMBER(SEARCH("STEEL",F69)),"Steel","Others"))</f>
        <v>0</v>
      </c>
      <c r="H69">
        <f>IF(ISNUMBER(SEARCH("scrubber",F69)) , "Scrubber", IF(ISNUMBER(SEARCH("container",F69)),"Container", IF(ISNUMBER(SEARCH("basket",F69)),"Basket", IF(ISNUMBER(SEARCH("lunch",F69)),"Lunch Box", IF(ISNUMBER(SEARCH("cutlery",F69)),"Cutlery","Other")))))</f>
        <v>0</v>
      </c>
      <c r="I69">
        <f>IF('Raw Data'!G69&lt;&gt;'','Raw Data'!G69,IFERROR(MID(F69,SEARCH("MODEL",F69)+6,20),""))</f>
        <v>0</v>
      </c>
      <c r="J69">
        <f>'Raw Data'!H69</f>
        <v>0</v>
      </c>
      <c r="K69">
        <f>'Raw Data'!I69</f>
        <v>0</v>
      </c>
      <c r="L69">
        <f>IF('Raw Data'!N69&lt;&gt;0,'Raw Data'!N69,IFERROR(VALUE(MID(F69,SEARCH("QTY",F69)+4,IFERROR(FIND(" ",F69,SEARCH("QTY",F69)+4)-(SEARCH("QTY",F69)+4),3))),""))</f>
        <v>0</v>
      </c>
      <c r="M69">
        <f>'Raw Data'!O69</f>
        <v>0</v>
      </c>
      <c r="N69">
        <f>'Raw Data'!P69</f>
        <v>0</v>
      </c>
      <c r="O69">
        <f>'Raw Data'!Q69</f>
        <v>0</v>
      </c>
      <c r="P69">
        <f>'Raw Data'!R69</f>
        <v>0</v>
      </c>
      <c r="Q69">
        <f>'Raw Data'!S69</f>
        <v>0</v>
      </c>
      <c r="R69">
        <f>'Raw Data'!T69</f>
        <v>0</v>
      </c>
      <c r="S69">
        <f>IFERROR(O69,0)+IFERROR(R69,0)</f>
        <v>0</v>
      </c>
      <c r="T69">
        <f>IF(A69="","",YEAR(A69))</f>
        <v>0</v>
      </c>
    </row>
    <row r="70" spans="1:20">
      <c r="A70">
        <f>'Raw Data'!B70</f>
        <v>0</v>
      </c>
      <c r="B70">
        <f>'Raw Data'!A70</f>
        <v>0</v>
      </c>
      <c r="C70">
        <f>'Raw Data'!C70</f>
        <v>0</v>
      </c>
      <c r="D70">
        <f>'Raw Data'!D70</f>
        <v>0</v>
      </c>
      <c r="E70">
        <f>IFERROR(VLOOKUP(D70,'Lookup Tables'!$A:$B,2,FALSE),"Unknown")</f>
        <v>0</v>
      </c>
      <c r="F70">
        <f>'Raw Data'!E70</f>
        <v>0</v>
      </c>
      <c r="G70">
        <f>IFERROR(VLOOKUP(D70,'Lookup Tables'!$A:$C,3,FALSE),IF(ISNUMBER(SEARCH("STEEL",F70)),"Steel","Others"))</f>
        <v>0</v>
      </c>
      <c r="H70">
        <f>IF(ISNUMBER(SEARCH("scrubber",F70)) , "Scrubber", IF(ISNUMBER(SEARCH("container",F70)),"Container", IF(ISNUMBER(SEARCH("basket",F70)),"Basket", IF(ISNUMBER(SEARCH("lunch",F70)),"Lunch Box", IF(ISNUMBER(SEARCH("cutlery",F70)),"Cutlery","Other")))))</f>
        <v>0</v>
      </c>
      <c r="I70">
        <f>IF('Raw Data'!G70&lt;&gt;'','Raw Data'!G70,IFERROR(MID(F70,SEARCH("MODEL",F70)+6,20),""))</f>
        <v>0</v>
      </c>
      <c r="J70">
        <f>'Raw Data'!H70</f>
        <v>0</v>
      </c>
      <c r="K70">
        <f>'Raw Data'!I70</f>
        <v>0</v>
      </c>
      <c r="L70">
        <f>IF('Raw Data'!N70&lt;&gt;0,'Raw Data'!N70,IFERROR(VALUE(MID(F70,SEARCH("QTY",F70)+4,IFERROR(FIND(" ",F70,SEARCH("QTY",F70)+4)-(SEARCH("QTY",F70)+4),3))),""))</f>
        <v>0</v>
      </c>
      <c r="M70">
        <f>'Raw Data'!O70</f>
        <v>0</v>
      </c>
      <c r="N70">
        <f>'Raw Data'!P70</f>
        <v>0</v>
      </c>
      <c r="O70">
        <f>'Raw Data'!Q70</f>
        <v>0</v>
      </c>
      <c r="P70">
        <f>'Raw Data'!R70</f>
        <v>0</v>
      </c>
      <c r="Q70">
        <f>'Raw Data'!S70</f>
        <v>0</v>
      </c>
      <c r="R70">
        <f>'Raw Data'!T70</f>
        <v>0</v>
      </c>
      <c r="S70">
        <f>IFERROR(O70,0)+IFERROR(R70,0)</f>
        <v>0</v>
      </c>
      <c r="T70">
        <f>IF(A70="","",YEAR(A70))</f>
        <v>0</v>
      </c>
    </row>
    <row r="71" spans="1:20">
      <c r="A71">
        <f>'Raw Data'!B71</f>
        <v>0</v>
      </c>
      <c r="B71">
        <f>'Raw Data'!A71</f>
        <v>0</v>
      </c>
      <c r="C71">
        <f>'Raw Data'!C71</f>
        <v>0</v>
      </c>
      <c r="D71">
        <f>'Raw Data'!D71</f>
        <v>0</v>
      </c>
      <c r="E71">
        <f>IFERROR(VLOOKUP(D71,'Lookup Tables'!$A:$B,2,FALSE),"Unknown")</f>
        <v>0</v>
      </c>
      <c r="F71">
        <f>'Raw Data'!E71</f>
        <v>0</v>
      </c>
      <c r="G71">
        <f>IFERROR(VLOOKUP(D71,'Lookup Tables'!$A:$C,3,FALSE),IF(ISNUMBER(SEARCH("STEEL",F71)),"Steel","Others"))</f>
        <v>0</v>
      </c>
      <c r="H71">
        <f>IF(ISNUMBER(SEARCH("scrubber",F71)) , "Scrubber", IF(ISNUMBER(SEARCH("container",F71)),"Container", IF(ISNUMBER(SEARCH("basket",F71)),"Basket", IF(ISNUMBER(SEARCH("lunch",F71)),"Lunch Box", IF(ISNUMBER(SEARCH("cutlery",F71)),"Cutlery","Other")))))</f>
        <v>0</v>
      </c>
      <c r="I71">
        <f>IF('Raw Data'!G71&lt;&gt;'','Raw Data'!G71,IFERROR(MID(F71,SEARCH("MODEL",F71)+6,20),""))</f>
        <v>0</v>
      </c>
      <c r="J71">
        <f>'Raw Data'!H71</f>
        <v>0</v>
      </c>
      <c r="K71">
        <f>'Raw Data'!I71</f>
        <v>0</v>
      </c>
      <c r="L71">
        <f>IF('Raw Data'!N71&lt;&gt;0,'Raw Data'!N71,IFERROR(VALUE(MID(F71,SEARCH("QTY",F71)+4,IFERROR(FIND(" ",F71,SEARCH("QTY",F71)+4)-(SEARCH("QTY",F71)+4),3))),""))</f>
        <v>0</v>
      </c>
      <c r="M71">
        <f>'Raw Data'!O71</f>
        <v>0</v>
      </c>
      <c r="N71">
        <f>'Raw Data'!P71</f>
        <v>0</v>
      </c>
      <c r="O71">
        <f>'Raw Data'!Q71</f>
        <v>0</v>
      </c>
      <c r="P71">
        <f>'Raw Data'!R71</f>
        <v>0</v>
      </c>
      <c r="Q71">
        <f>'Raw Data'!S71</f>
        <v>0</v>
      </c>
      <c r="R71">
        <f>'Raw Data'!T71</f>
        <v>0</v>
      </c>
      <c r="S71">
        <f>IFERROR(O71,0)+IFERROR(R71,0)</f>
        <v>0</v>
      </c>
      <c r="T71">
        <f>IF(A71="","",YEAR(A71))</f>
        <v>0</v>
      </c>
    </row>
    <row r="72" spans="1:20">
      <c r="A72">
        <f>'Raw Data'!B72</f>
        <v>0</v>
      </c>
      <c r="B72">
        <f>'Raw Data'!A72</f>
        <v>0</v>
      </c>
      <c r="C72">
        <f>'Raw Data'!C72</f>
        <v>0</v>
      </c>
      <c r="D72">
        <f>'Raw Data'!D72</f>
        <v>0</v>
      </c>
      <c r="E72">
        <f>IFERROR(VLOOKUP(D72,'Lookup Tables'!$A:$B,2,FALSE),"Unknown")</f>
        <v>0</v>
      </c>
      <c r="F72">
        <f>'Raw Data'!E72</f>
        <v>0</v>
      </c>
      <c r="G72">
        <f>IFERROR(VLOOKUP(D72,'Lookup Tables'!$A:$C,3,FALSE),IF(ISNUMBER(SEARCH("STEEL",F72)),"Steel","Others"))</f>
        <v>0</v>
      </c>
      <c r="H72">
        <f>IF(ISNUMBER(SEARCH("scrubber",F72)) , "Scrubber", IF(ISNUMBER(SEARCH("container",F72)),"Container", IF(ISNUMBER(SEARCH("basket",F72)),"Basket", IF(ISNUMBER(SEARCH("lunch",F72)),"Lunch Box", IF(ISNUMBER(SEARCH("cutlery",F72)),"Cutlery","Other")))))</f>
        <v>0</v>
      </c>
      <c r="I72">
        <f>IF('Raw Data'!G72&lt;&gt;'','Raw Data'!G72,IFERROR(MID(F72,SEARCH("MODEL",F72)+6,20),""))</f>
        <v>0</v>
      </c>
      <c r="J72">
        <f>'Raw Data'!H72</f>
        <v>0</v>
      </c>
      <c r="K72">
        <f>'Raw Data'!I72</f>
        <v>0</v>
      </c>
      <c r="L72">
        <f>IF('Raw Data'!N72&lt;&gt;0,'Raw Data'!N72,IFERROR(VALUE(MID(F72,SEARCH("QTY",F72)+4,IFERROR(FIND(" ",F72,SEARCH("QTY",F72)+4)-(SEARCH("QTY",F72)+4),3))),""))</f>
        <v>0</v>
      </c>
      <c r="M72">
        <f>'Raw Data'!O72</f>
        <v>0</v>
      </c>
      <c r="N72">
        <f>'Raw Data'!P72</f>
        <v>0</v>
      </c>
      <c r="O72">
        <f>'Raw Data'!Q72</f>
        <v>0</v>
      </c>
      <c r="P72">
        <f>'Raw Data'!R72</f>
        <v>0</v>
      </c>
      <c r="Q72">
        <f>'Raw Data'!S72</f>
        <v>0</v>
      </c>
      <c r="R72">
        <f>'Raw Data'!T72</f>
        <v>0</v>
      </c>
      <c r="S72">
        <f>IFERROR(O72,0)+IFERROR(R72,0)</f>
        <v>0</v>
      </c>
      <c r="T72">
        <f>IF(A72="","",YEAR(A72))</f>
        <v>0</v>
      </c>
    </row>
    <row r="73" spans="1:20">
      <c r="A73">
        <f>'Raw Data'!B73</f>
        <v>0</v>
      </c>
      <c r="B73">
        <f>'Raw Data'!A73</f>
        <v>0</v>
      </c>
      <c r="C73">
        <f>'Raw Data'!C73</f>
        <v>0</v>
      </c>
      <c r="D73">
        <f>'Raw Data'!D73</f>
        <v>0</v>
      </c>
      <c r="E73">
        <f>IFERROR(VLOOKUP(D73,'Lookup Tables'!$A:$B,2,FALSE),"Unknown")</f>
        <v>0</v>
      </c>
      <c r="F73">
        <f>'Raw Data'!E73</f>
        <v>0</v>
      </c>
      <c r="G73">
        <f>IFERROR(VLOOKUP(D73,'Lookup Tables'!$A:$C,3,FALSE),IF(ISNUMBER(SEARCH("STEEL",F73)),"Steel","Others"))</f>
        <v>0</v>
      </c>
      <c r="H73">
        <f>IF(ISNUMBER(SEARCH("scrubber",F73)) , "Scrubber", IF(ISNUMBER(SEARCH("container",F73)),"Container", IF(ISNUMBER(SEARCH("basket",F73)),"Basket", IF(ISNUMBER(SEARCH("lunch",F73)),"Lunch Box", IF(ISNUMBER(SEARCH("cutlery",F73)),"Cutlery","Other")))))</f>
        <v>0</v>
      </c>
      <c r="I73">
        <f>IF('Raw Data'!G73&lt;&gt;'','Raw Data'!G73,IFERROR(MID(F73,SEARCH("MODEL",F73)+6,20),""))</f>
        <v>0</v>
      </c>
      <c r="J73">
        <f>'Raw Data'!H73</f>
        <v>0</v>
      </c>
      <c r="K73">
        <f>'Raw Data'!I73</f>
        <v>0</v>
      </c>
      <c r="L73">
        <f>IF('Raw Data'!N73&lt;&gt;0,'Raw Data'!N73,IFERROR(VALUE(MID(F73,SEARCH("QTY",F73)+4,IFERROR(FIND(" ",F73,SEARCH("QTY",F73)+4)-(SEARCH("QTY",F73)+4),3))),""))</f>
        <v>0</v>
      </c>
      <c r="M73">
        <f>'Raw Data'!O73</f>
        <v>0</v>
      </c>
      <c r="N73">
        <f>'Raw Data'!P73</f>
        <v>0</v>
      </c>
      <c r="O73">
        <f>'Raw Data'!Q73</f>
        <v>0</v>
      </c>
      <c r="P73">
        <f>'Raw Data'!R73</f>
        <v>0</v>
      </c>
      <c r="Q73">
        <f>'Raw Data'!S73</f>
        <v>0</v>
      </c>
      <c r="R73">
        <f>'Raw Data'!T73</f>
        <v>0</v>
      </c>
      <c r="S73">
        <f>IFERROR(O73,0)+IFERROR(R73,0)</f>
        <v>0</v>
      </c>
      <c r="T73">
        <f>IF(A73="","",YEAR(A73))</f>
        <v>0</v>
      </c>
    </row>
    <row r="74" spans="1:20">
      <c r="A74">
        <f>'Raw Data'!B74</f>
        <v>0</v>
      </c>
      <c r="B74">
        <f>'Raw Data'!A74</f>
        <v>0</v>
      </c>
      <c r="C74">
        <f>'Raw Data'!C74</f>
        <v>0</v>
      </c>
      <c r="D74">
        <f>'Raw Data'!D74</f>
        <v>0</v>
      </c>
      <c r="E74">
        <f>IFERROR(VLOOKUP(D74,'Lookup Tables'!$A:$B,2,FALSE),"Unknown")</f>
        <v>0</v>
      </c>
      <c r="F74">
        <f>'Raw Data'!E74</f>
        <v>0</v>
      </c>
      <c r="G74">
        <f>IFERROR(VLOOKUP(D74,'Lookup Tables'!$A:$C,3,FALSE),IF(ISNUMBER(SEARCH("STEEL",F74)),"Steel","Others"))</f>
        <v>0</v>
      </c>
      <c r="H74">
        <f>IF(ISNUMBER(SEARCH("scrubber",F74)) , "Scrubber", IF(ISNUMBER(SEARCH("container",F74)),"Container", IF(ISNUMBER(SEARCH("basket",F74)),"Basket", IF(ISNUMBER(SEARCH("lunch",F74)),"Lunch Box", IF(ISNUMBER(SEARCH("cutlery",F74)),"Cutlery","Other")))))</f>
        <v>0</v>
      </c>
      <c r="I74">
        <f>IF('Raw Data'!G74&lt;&gt;'','Raw Data'!G74,IFERROR(MID(F74,SEARCH("MODEL",F74)+6,20),""))</f>
        <v>0</v>
      </c>
      <c r="J74">
        <f>'Raw Data'!H74</f>
        <v>0</v>
      </c>
      <c r="K74">
        <f>'Raw Data'!I74</f>
        <v>0</v>
      </c>
      <c r="L74">
        <f>IF('Raw Data'!N74&lt;&gt;0,'Raw Data'!N74,IFERROR(VALUE(MID(F74,SEARCH("QTY",F74)+4,IFERROR(FIND(" ",F74,SEARCH("QTY",F74)+4)-(SEARCH("QTY",F74)+4),3))),""))</f>
        <v>0</v>
      </c>
      <c r="M74">
        <f>'Raw Data'!O74</f>
        <v>0</v>
      </c>
      <c r="N74">
        <f>'Raw Data'!P74</f>
        <v>0</v>
      </c>
      <c r="O74">
        <f>'Raw Data'!Q74</f>
        <v>0</v>
      </c>
      <c r="P74">
        <f>'Raw Data'!R74</f>
        <v>0</v>
      </c>
      <c r="Q74">
        <f>'Raw Data'!S74</f>
        <v>0</v>
      </c>
      <c r="R74">
        <f>'Raw Data'!T74</f>
        <v>0</v>
      </c>
      <c r="S74">
        <f>IFERROR(O74,0)+IFERROR(R74,0)</f>
        <v>0</v>
      </c>
      <c r="T74">
        <f>IF(A74="","",YEAR(A74))</f>
        <v>0</v>
      </c>
    </row>
    <row r="75" spans="1:20">
      <c r="A75">
        <f>'Raw Data'!B75</f>
        <v>0</v>
      </c>
      <c r="B75">
        <f>'Raw Data'!A75</f>
        <v>0</v>
      </c>
      <c r="C75">
        <f>'Raw Data'!C75</f>
        <v>0</v>
      </c>
      <c r="D75">
        <f>'Raw Data'!D75</f>
        <v>0</v>
      </c>
      <c r="E75">
        <f>IFERROR(VLOOKUP(D75,'Lookup Tables'!$A:$B,2,FALSE),"Unknown")</f>
        <v>0</v>
      </c>
      <c r="F75">
        <f>'Raw Data'!E75</f>
        <v>0</v>
      </c>
      <c r="G75">
        <f>IFERROR(VLOOKUP(D75,'Lookup Tables'!$A:$C,3,FALSE),IF(ISNUMBER(SEARCH("STEEL",F75)),"Steel","Others"))</f>
        <v>0</v>
      </c>
      <c r="H75">
        <f>IF(ISNUMBER(SEARCH("scrubber",F75)) , "Scrubber", IF(ISNUMBER(SEARCH("container",F75)),"Container", IF(ISNUMBER(SEARCH("basket",F75)),"Basket", IF(ISNUMBER(SEARCH("lunch",F75)),"Lunch Box", IF(ISNUMBER(SEARCH("cutlery",F75)),"Cutlery","Other")))))</f>
        <v>0</v>
      </c>
      <c r="I75">
        <f>IF('Raw Data'!G75&lt;&gt;'','Raw Data'!G75,IFERROR(MID(F75,SEARCH("MODEL",F75)+6,20),""))</f>
        <v>0</v>
      </c>
      <c r="J75">
        <f>'Raw Data'!H75</f>
        <v>0</v>
      </c>
      <c r="K75">
        <f>'Raw Data'!I75</f>
        <v>0</v>
      </c>
      <c r="L75">
        <f>IF('Raw Data'!N75&lt;&gt;0,'Raw Data'!N75,IFERROR(VALUE(MID(F75,SEARCH("QTY",F75)+4,IFERROR(FIND(" ",F75,SEARCH("QTY",F75)+4)-(SEARCH("QTY",F75)+4),3))),""))</f>
        <v>0</v>
      </c>
      <c r="M75">
        <f>'Raw Data'!O75</f>
        <v>0</v>
      </c>
      <c r="N75">
        <f>'Raw Data'!P75</f>
        <v>0</v>
      </c>
      <c r="O75">
        <f>'Raw Data'!Q75</f>
        <v>0</v>
      </c>
      <c r="P75">
        <f>'Raw Data'!R75</f>
        <v>0</v>
      </c>
      <c r="Q75">
        <f>'Raw Data'!S75</f>
        <v>0</v>
      </c>
      <c r="R75">
        <f>'Raw Data'!T75</f>
        <v>0</v>
      </c>
      <c r="S75">
        <f>IFERROR(O75,0)+IFERROR(R75,0)</f>
        <v>0</v>
      </c>
      <c r="T75">
        <f>IF(A75="","",YEAR(A75))</f>
        <v>0</v>
      </c>
    </row>
    <row r="76" spans="1:20">
      <c r="A76">
        <f>'Raw Data'!B76</f>
        <v>0</v>
      </c>
      <c r="B76">
        <f>'Raw Data'!A76</f>
        <v>0</v>
      </c>
      <c r="C76">
        <f>'Raw Data'!C76</f>
        <v>0</v>
      </c>
      <c r="D76">
        <f>'Raw Data'!D76</f>
        <v>0</v>
      </c>
      <c r="E76">
        <f>IFERROR(VLOOKUP(D76,'Lookup Tables'!$A:$B,2,FALSE),"Unknown")</f>
        <v>0</v>
      </c>
      <c r="F76">
        <f>'Raw Data'!E76</f>
        <v>0</v>
      </c>
      <c r="G76">
        <f>IFERROR(VLOOKUP(D76,'Lookup Tables'!$A:$C,3,FALSE),IF(ISNUMBER(SEARCH("STEEL",F76)),"Steel","Others"))</f>
        <v>0</v>
      </c>
      <c r="H76">
        <f>IF(ISNUMBER(SEARCH("scrubber",F76)) , "Scrubber", IF(ISNUMBER(SEARCH("container",F76)),"Container", IF(ISNUMBER(SEARCH("basket",F76)),"Basket", IF(ISNUMBER(SEARCH("lunch",F76)),"Lunch Box", IF(ISNUMBER(SEARCH("cutlery",F76)),"Cutlery","Other")))))</f>
        <v>0</v>
      </c>
      <c r="I76">
        <f>IF('Raw Data'!G76&lt;&gt;'','Raw Data'!G76,IFERROR(MID(F76,SEARCH("MODEL",F76)+6,20),""))</f>
        <v>0</v>
      </c>
      <c r="J76">
        <f>'Raw Data'!H76</f>
        <v>0</v>
      </c>
      <c r="K76">
        <f>'Raw Data'!I76</f>
        <v>0</v>
      </c>
      <c r="L76">
        <f>IF('Raw Data'!N76&lt;&gt;0,'Raw Data'!N76,IFERROR(VALUE(MID(F76,SEARCH("QTY",F76)+4,IFERROR(FIND(" ",F76,SEARCH("QTY",F76)+4)-(SEARCH("QTY",F76)+4),3))),""))</f>
        <v>0</v>
      </c>
      <c r="M76">
        <f>'Raw Data'!O76</f>
        <v>0</v>
      </c>
      <c r="N76">
        <f>'Raw Data'!P76</f>
        <v>0</v>
      </c>
      <c r="O76">
        <f>'Raw Data'!Q76</f>
        <v>0</v>
      </c>
      <c r="P76">
        <f>'Raw Data'!R76</f>
        <v>0</v>
      </c>
      <c r="Q76">
        <f>'Raw Data'!S76</f>
        <v>0</v>
      </c>
      <c r="R76">
        <f>'Raw Data'!T76</f>
        <v>0</v>
      </c>
      <c r="S76">
        <f>IFERROR(O76,0)+IFERROR(R76,0)</f>
        <v>0</v>
      </c>
      <c r="T76">
        <f>IF(A76="","",YEAR(A76))</f>
        <v>0</v>
      </c>
    </row>
    <row r="77" spans="1:20">
      <c r="A77">
        <f>'Raw Data'!B77</f>
        <v>0</v>
      </c>
      <c r="B77">
        <f>'Raw Data'!A77</f>
        <v>0</v>
      </c>
      <c r="C77">
        <f>'Raw Data'!C77</f>
        <v>0</v>
      </c>
      <c r="D77">
        <f>'Raw Data'!D77</f>
        <v>0</v>
      </c>
      <c r="E77">
        <f>IFERROR(VLOOKUP(D77,'Lookup Tables'!$A:$B,2,FALSE),"Unknown")</f>
        <v>0</v>
      </c>
      <c r="F77">
        <f>'Raw Data'!E77</f>
        <v>0</v>
      </c>
      <c r="G77">
        <f>IFERROR(VLOOKUP(D77,'Lookup Tables'!$A:$C,3,FALSE),IF(ISNUMBER(SEARCH("STEEL",F77)),"Steel","Others"))</f>
        <v>0</v>
      </c>
      <c r="H77">
        <f>IF(ISNUMBER(SEARCH("scrubber",F77)) , "Scrubber", IF(ISNUMBER(SEARCH("container",F77)),"Container", IF(ISNUMBER(SEARCH("basket",F77)),"Basket", IF(ISNUMBER(SEARCH("lunch",F77)),"Lunch Box", IF(ISNUMBER(SEARCH("cutlery",F77)),"Cutlery","Other")))))</f>
        <v>0</v>
      </c>
      <c r="I77">
        <f>IF('Raw Data'!G77&lt;&gt;'','Raw Data'!G77,IFERROR(MID(F77,SEARCH("MODEL",F77)+6,20),""))</f>
        <v>0</v>
      </c>
      <c r="J77">
        <f>'Raw Data'!H77</f>
        <v>0</v>
      </c>
      <c r="K77">
        <f>'Raw Data'!I77</f>
        <v>0</v>
      </c>
      <c r="L77">
        <f>IF('Raw Data'!N77&lt;&gt;0,'Raw Data'!N77,IFERROR(VALUE(MID(F77,SEARCH("QTY",F77)+4,IFERROR(FIND(" ",F77,SEARCH("QTY",F77)+4)-(SEARCH("QTY",F77)+4),3))),""))</f>
        <v>0</v>
      </c>
      <c r="M77">
        <f>'Raw Data'!O77</f>
        <v>0</v>
      </c>
      <c r="N77">
        <f>'Raw Data'!P77</f>
        <v>0</v>
      </c>
      <c r="O77">
        <f>'Raw Data'!Q77</f>
        <v>0</v>
      </c>
      <c r="P77">
        <f>'Raw Data'!R77</f>
        <v>0</v>
      </c>
      <c r="Q77">
        <f>'Raw Data'!S77</f>
        <v>0</v>
      </c>
      <c r="R77">
        <f>'Raw Data'!T77</f>
        <v>0</v>
      </c>
      <c r="S77">
        <f>IFERROR(O77,0)+IFERROR(R77,0)</f>
        <v>0</v>
      </c>
      <c r="T77">
        <f>IF(A77="","",YEAR(A77))</f>
        <v>0</v>
      </c>
    </row>
    <row r="78" spans="1:20">
      <c r="A78">
        <f>'Raw Data'!B78</f>
        <v>0</v>
      </c>
      <c r="B78">
        <f>'Raw Data'!A78</f>
        <v>0</v>
      </c>
      <c r="C78">
        <f>'Raw Data'!C78</f>
        <v>0</v>
      </c>
      <c r="D78">
        <f>'Raw Data'!D78</f>
        <v>0</v>
      </c>
      <c r="E78">
        <f>IFERROR(VLOOKUP(D78,'Lookup Tables'!$A:$B,2,FALSE),"Unknown")</f>
        <v>0</v>
      </c>
      <c r="F78">
        <f>'Raw Data'!E78</f>
        <v>0</v>
      </c>
      <c r="G78">
        <f>IFERROR(VLOOKUP(D78,'Lookup Tables'!$A:$C,3,FALSE),IF(ISNUMBER(SEARCH("STEEL",F78)),"Steel","Others"))</f>
        <v>0</v>
      </c>
      <c r="H78">
        <f>IF(ISNUMBER(SEARCH("scrubber",F78)) , "Scrubber", IF(ISNUMBER(SEARCH("container",F78)),"Container", IF(ISNUMBER(SEARCH("basket",F78)),"Basket", IF(ISNUMBER(SEARCH("lunch",F78)),"Lunch Box", IF(ISNUMBER(SEARCH("cutlery",F78)),"Cutlery","Other")))))</f>
        <v>0</v>
      </c>
      <c r="I78">
        <f>IF('Raw Data'!G78&lt;&gt;'','Raw Data'!G78,IFERROR(MID(F78,SEARCH("MODEL",F78)+6,20),""))</f>
        <v>0</v>
      </c>
      <c r="J78">
        <f>'Raw Data'!H78</f>
        <v>0</v>
      </c>
      <c r="K78">
        <f>'Raw Data'!I78</f>
        <v>0</v>
      </c>
      <c r="L78">
        <f>IF('Raw Data'!N78&lt;&gt;0,'Raw Data'!N78,IFERROR(VALUE(MID(F78,SEARCH("QTY",F78)+4,IFERROR(FIND(" ",F78,SEARCH("QTY",F78)+4)-(SEARCH("QTY",F78)+4),3))),""))</f>
        <v>0</v>
      </c>
      <c r="M78">
        <f>'Raw Data'!O78</f>
        <v>0</v>
      </c>
      <c r="N78">
        <f>'Raw Data'!P78</f>
        <v>0</v>
      </c>
      <c r="O78">
        <f>'Raw Data'!Q78</f>
        <v>0</v>
      </c>
      <c r="P78">
        <f>'Raw Data'!R78</f>
        <v>0</v>
      </c>
      <c r="Q78">
        <f>'Raw Data'!S78</f>
        <v>0</v>
      </c>
      <c r="R78">
        <f>'Raw Data'!T78</f>
        <v>0</v>
      </c>
      <c r="S78">
        <f>IFERROR(O78,0)+IFERROR(R78,0)</f>
        <v>0</v>
      </c>
      <c r="T78">
        <f>IF(A78="","",YEAR(A78))</f>
        <v>0</v>
      </c>
    </row>
    <row r="79" spans="1:20">
      <c r="A79">
        <f>'Raw Data'!B79</f>
        <v>0</v>
      </c>
      <c r="B79">
        <f>'Raw Data'!A79</f>
        <v>0</v>
      </c>
      <c r="C79">
        <f>'Raw Data'!C79</f>
        <v>0</v>
      </c>
      <c r="D79">
        <f>'Raw Data'!D79</f>
        <v>0</v>
      </c>
      <c r="E79">
        <f>IFERROR(VLOOKUP(D79,'Lookup Tables'!$A:$B,2,FALSE),"Unknown")</f>
        <v>0</v>
      </c>
      <c r="F79">
        <f>'Raw Data'!E79</f>
        <v>0</v>
      </c>
      <c r="G79">
        <f>IFERROR(VLOOKUP(D79,'Lookup Tables'!$A:$C,3,FALSE),IF(ISNUMBER(SEARCH("STEEL",F79)),"Steel","Others"))</f>
        <v>0</v>
      </c>
      <c r="H79">
        <f>IF(ISNUMBER(SEARCH("scrubber",F79)) , "Scrubber", IF(ISNUMBER(SEARCH("container",F79)),"Container", IF(ISNUMBER(SEARCH("basket",F79)),"Basket", IF(ISNUMBER(SEARCH("lunch",F79)),"Lunch Box", IF(ISNUMBER(SEARCH("cutlery",F79)),"Cutlery","Other")))))</f>
        <v>0</v>
      </c>
      <c r="I79">
        <f>IF('Raw Data'!G79&lt;&gt;'','Raw Data'!G79,IFERROR(MID(F79,SEARCH("MODEL",F79)+6,20),""))</f>
        <v>0</v>
      </c>
      <c r="J79">
        <f>'Raw Data'!H79</f>
        <v>0</v>
      </c>
      <c r="K79">
        <f>'Raw Data'!I79</f>
        <v>0</v>
      </c>
      <c r="L79">
        <f>IF('Raw Data'!N79&lt;&gt;0,'Raw Data'!N79,IFERROR(VALUE(MID(F79,SEARCH("QTY",F79)+4,IFERROR(FIND(" ",F79,SEARCH("QTY",F79)+4)-(SEARCH("QTY",F79)+4),3))),""))</f>
        <v>0</v>
      </c>
      <c r="M79">
        <f>'Raw Data'!O79</f>
        <v>0</v>
      </c>
      <c r="N79">
        <f>'Raw Data'!P79</f>
        <v>0</v>
      </c>
      <c r="O79">
        <f>'Raw Data'!Q79</f>
        <v>0</v>
      </c>
      <c r="P79">
        <f>'Raw Data'!R79</f>
        <v>0</v>
      </c>
      <c r="Q79">
        <f>'Raw Data'!S79</f>
        <v>0</v>
      </c>
      <c r="R79">
        <f>'Raw Data'!T79</f>
        <v>0</v>
      </c>
      <c r="S79">
        <f>IFERROR(O79,0)+IFERROR(R79,0)</f>
        <v>0</v>
      </c>
      <c r="T79">
        <f>IF(A79="","",YEAR(A79))</f>
        <v>0</v>
      </c>
    </row>
    <row r="80" spans="1:20">
      <c r="A80">
        <f>'Raw Data'!B80</f>
        <v>0</v>
      </c>
      <c r="B80">
        <f>'Raw Data'!A80</f>
        <v>0</v>
      </c>
      <c r="C80">
        <f>'Raw Data'!C80</f>
        <v>0</v>
      </c>
      <c r="D80">
        <f>'Raw Data'!D80</f>
        <v>0</v>
      </c>
      <c r="E80">
        <f>IFERROR(VLOOKUP(D80,'Lookup Tables'!$A:$B,2,FALSE),"Unknown")</f>
        <v>0</v>
      </c>
      <c r="F80">
        <f>'Raw Data'!E80</f>
        <v>0</v>
      </c>
      <c r="G80">
        <f>IFERROR(VLOOKUP(D80,'Lookup Tables'!$A:$C,3,FALSE),IF(ISNUMBER(SEARCH("STEEL",F80)),"Steel","Others"))</f>
        <v>0</v>
      </c>
      <c r="H80">
        <f>IF(ISNUMBER(SEARCH("scrubber",F80)) , "Scrubber", IF(ISNUMBER(SEARCH("container",F80)),"Container", IF(ISNUMBER(SEARCH("basket",F80)),"Basket", IF(ISNUMBER(SEARCH("lunch",F80)),"Lunch Box", IF(ISNUMBER(SEARCH("cutlery",F80)),"Cutlery","Other")))))</f>
        <v>0</v>
      </c>
      <c r="I80">
        <f>IF('Raw Data'!G80&lt;&gt;'','Raw Data'!G80,IFERROR(MID(F80,SEARCH("MODEL",F80)+6,20),""))</f>
        <v>0</v>
      </c>
      <c r="J80">
        <f>'Raw Data'!H80</f>
        <v>0</v>
      </c>
      <c r="K80">
        <f>'Raw Data'!I80</f>
        <v>0</v>
      </c>
      <c r="L80">
        <f>IF('Raw Data'!N80&lt;&gt;0,'Raw Data'!N80,IFERROR(VALUE(MID(F80,SEARCH("QTY",F80)+4,IFERROR(FIND(" ",F80,SEARCH("QTY",F80)+4)-(SEARCH("QTY",F80)+4),3))),""))</f>
        <v>0</v>
      </c>
      <c r="M80">
        <f>'Raw Data'!O80</f>
        <v>0</v>
      </c>
      <c r="N80">
        <f>'Raw Data'!P80</f>
        <v>0</v>
      </c>
      <c r="O80">
        <f>'Raw Data'!Q80</f>
        <v>0</v>
      </c>
      <c r="P80">
        <f>'Raw Data'!R80</f>
        <v>0</v>
      </c>
      <c r="Q80">
        <f>'Raw Data'!S80</f>
        <v>0</v>
      </c>
      <c r="R80">
        <f>'Raw Data'!T80</f>
        <v>0</v>
      </c>
      <c r="S80">
        <f>IFERROR(O80,0)+IFERROR(R80,0)</f>
        <v>0</v>
      </c>
      <c r="T80">
        <f>IF(A80="","",YEAR(A80))</f>
        <v>0</v>
      </c>
    </row>
    <row r="81" spans="1:20">
      <c r="A81">
        <f>'Raw Data'!B81</f>
        <v>0</v>
      </c>
      <c r="B81">
        <f>'Raw Data'!A81</f>
        <v>0</v>
      </c>
      <c r="C81">
        <f>'Raw Data'!C81</f>
        <v>0</v>
      </c>
      <c r="D81">
        <f>'Raw Data'!D81</f>
        <v>0</v>
      </c>
      <c r="E81">
        <f>IFERROR(VLOOKUP(D81,'Lookup Tables'!$A:$B,2,FALSE),"Unknown")</f>
        <v>0</v>
      </c>
      <c r="F81">
        <f>'Raw Data'!E81</f>
        <v>0</v>
      </c>
      <c r="G81">
        <f>IFERROR(VLOOKUP(D81,'Lookup Tables'!$A:$C,3,FALSE),IF(ISNUMBER(SEARCH("STEEL",F81)),"Steel","Others"))</f>
        <v>0</v>
      </c>
      <c r="H81">
        <f>IF(ISNUMBER(SEARCH("scrubber",F81)) , "Scrubber", IF(ISNUMBER(SEARCH("container",F81)),"Container", IF(ISNUMBER(SEARCH("basket",F81)),"Basket", IF(ISNUMBER(SEARCH("lunch",F81)),"Lunch Box", IF(ISNUMBER(SEARCH("cutlery",F81)),"Cutlery","Other")))))</f>
        <v>0</v>
      </c>
      <c r="I81">
        <f>IF('Raw Data'!G81&lt;&gt;'','Raw Data'!G81,IFERROR(MID(F81,SEARCH("MODEL",F81)+6,20),""))</f>
        <v>0</v>
      </c>
      <c r="J81">
        <f>'Raw Data'!H81</f>
        <v>0</v>
      </c>
      <c r="K81">
        <f>'Raw Data'!I81</f>
        <v>0</v>
      </c>
      <c r="L81">
        <f>IF('Raw Data'!N81&lt;&gt;0,'Raw Data'!N81,IFERROR(VALUE(MID(F81,SEARCH("QTY",F81)+4,IFERROR(FIND(" ",F81,SEARCH("QTY",F81)+4)-(SEARCH("QTY",F81)+4),3))),""))</f>
        <v>0</v>
      </c>
      <c r="M81">
        <f>'Raw Data'!O81</f>
        <v>0</v>
      </c>
      <c r="N81">
        <f>'Raw Data'!P81</f>
        <v>0</v>
      </c>
      <c r="O81">
        <f>'Raw Data'!Q81</f>
        <v>0</v>
      </c>
      <c r="P81">
        <f>'Raw Data'!R81</f>
        <v>0</v>
      </c>
      <c r="Q81">
        <f>'Raw Data'!S81</f>
        <v>0</v>
      </c>
      <c r="R81">
        <f>'Raw Data'!T81</f>
        <v>0</v>
      </c>
      <c r="S81">
        <f>IFERROR(O81,0)+IFERROR(R81,0)</f>
        <v>0</v>
      </c>
      <c r="T81">
        <f>IF(A81="","",YEAR(A81))</f>
        <v>0</v>
      </c>
    </row>
    <row r="82" spans="1:20">
      <c r="A82">
        <f>'Raw Data'!B82</f>
        <v>0</v>
      </c>
      <c r="B82">
        <f>'Raw Data'!A82</f>
        <v>0</v>
      </c>
      <c r="C82">
        <f>'Raw Data'!C82</f>
        <v>0</v>
      </c>
      <c r="D82">
        <f>'Raw Data'!D82</f>
        <v>0</v>
      </c>
      <c r="E82">
        <f>IFERROR(VLOOKUP(D82,'Lookup Tables'!$A:$B,2,FALSE),"Unknown")</f>
        <v>0</v>
      </c>
      <c r="F82">
        <f>'Raw Data'!E82</f>
        <v>0</v>
      </c>
      <c r="G82">
        <f>IFERROR(VLOOKUP(D82,'Lookup Tables'!$A:$C,3,FALSE),IF(ISNUMBER(SEARCH("STEEL",F82)),"Steel","Others"))</f>
        <v>0</v>
      </c>
      <c r="H82">
        <f>IF(ISNUMBER(SEARCH("scrubber",F82)) , "Scrubber", IF(ISNUMBER(SEARCH("container",F82)),"Container", IF(ISNUMBER(SEARCH("basket",F82)),"Basket", IF(ISNUMBER(SEARCH("lunch",F82)),"Lunch Box", IF(ISNUMBER(SEARCH("cutlery",F82)),"Cutlery","Other")))))</f>
        <v>0</v>
      </c>
      <c r="I82">
        <f>IF('Raw Data'!G82&lt;&gt;'','Raw Data'!G82,IFERROR(MID(F82,SEARCH("MODEL",F82)+6,20),""))</f>
        <v>0</v>
      </c>
      <c r="J82">
        <f>'Raw Data'!H82</f>
        <v>0</v>
      </c>
      <c r="K82">
        <f>'Raw Data'!I82</f>
        <v>0</v>
      </c>
      <c r="L82">
        <f>IF('Raw Data'!N82&lt;&gt;0,'Raw Data'!N82,IFERROR(VALUE(MID(F82,SEARCH("QTY",F82)+4,IFERROR(FIND(" ",F82,SEARCH("QTY",F82)+4)-(SEARCH("QTY",F82)+4),3))),""))</f>
        <v>0</v>
      </c>
      <c r="M82">
        <f>'Raw Data'!O82</f>
        <v>0</v>
      </c>
      <c r="N82">
        <f>'Raw Data'!P82</f>
        <v>0</v>
      </c>
      <c r="O82">
        <f>'Raw Data'!Q82</f>
        <v>0</v>
      </c>
      <c r="P82">
        <f>'Raw Data'!R82</f>
        <v>0</v>
      </c>
      <c r="Q82">
        <f>'Raw Data'!S82</f>
        <v>0</v>
      </c>
      <c r="R82">
        <f>'Raw Data'!T82</f>
        <v>0</v>
      </c>
      <c r="S82">
        <f>IFERROR(O82,0)+IFERROR(R82,0)</f>
        <v>0</v>
      </c>
      <c r="T82">
        <f>IF(A82="","",YEAR(A82))</f>
        <v>0</v>
      </c>
    </row>
    <row r="83" spans="1:20">
      <c r="A83">
        <f>'Raw Data'!B83</f>
        <v>0</v>
      </c>
      <c r="B83">
        <f>'Raw Data'!A83</f>
        <v>0</v>
      </c>
      <c r="C83">
        <f>'Raw Data'!C83</f>
        <v>0</v>
      </c>
      <c r="D83">
        <f>'Raw Data'!D83</f>
        <v>0</v>
      </c>
      <c r="E83">
        <f>IFERROR(VLOOKUP(D83,'Lookup Tables'!$A:$B,2,FALSE),"Unknown")</f>
        <v>0</v>
      </c>
      <c r="F83">
        <f>'Raw Data'!E83</f>
        <v>0</v>
      </c>
      <c r="G83">
        <f>IFERROR(VLOOKUP(D83,'Lookup Tables'!$A:$C,3,FALSE),IF(ISNUMBER(SEARCH("STEEL",F83)),"Steel","Others"))</f>
        <v>0</v>
      </c>
      <c r="H83">
        <f>IF(ISNUMBER(SEARCH("scrubber",F83)) , "Scrubber", IF(ISNUMBER(SEARCH("container",F83)),"Container", IF(ISNUMBER(SEARCH("basket",F83)),"Basket", IF(ISNUMBER(SEARCH("lunch",F83)),"Lunch Box", IF(ISNUMBER(SEARCH("cutlery",F83)),"Cutlery","Other")))))</f>
        <v>0</v>
      </c>
      <c r="I83">
        <f>IF('Raw Data'!G83&lt;&gt;'','Raw Data'!G83,IFERROR(MID(F83,SEARCH("MODEL",F83)+6,20),""))</f>
        <v>0</v>
      </c>
      <c r="J83">
        <f>'Raw Data'!H83</f>
        <v>0</v>
      </c>
      <c r="K83">
        <f>'Raw Data'!I83</f>
        <v>0</v>
      </c>
      <c r="L83">
        <f>IF('Raw Data'!N83&lt;&gt;0,'Raw Data'!N83,IFERROR(VALUE(MID(F83,SEARCH("QTY",F83)+4,IFERROR(FIND(" ",F83,SEARCH("QTY",F83)+4)-(SEARCH("QTY",F83)+4),3))),""))</f>
        <v>0</v>
      </c>
      <c r="M83">
        <f>'Raw Data'!O83</f>
        <v>0</v>
      </c>
      <c r="N83">
        <f>'Raw Data'!P83</f>
        <v>0</v>
      </c>
      <c r="O83">
        <f>'Raw Data'!Q83</f>
        <v>0</v>
      </c>
      <c r="P83">
        <f>'Raw Data'!R83</f>
        <v>0</v>
      </c>
      <c r="Q83">
        <f>'Raw Data'!S83</f>
        <v>0</v>
      </c>
      <c r="R83">
        <f>'Raw Data'!T83</f>
        <v>0</v>
      </c>
      <c r="S83">
        <f>IFERROR(O83,0)+IFERROR(R83,0)</f>
        <v>0</v>
      </c>
      <c r="T83">
        <f>IF(A83="","",YEAR(A83))</f>
        <v>0</v>
      </c>
    </row>
    <row r="84" spans="1:20">
      <c r="A84">
        <f>'Raw Data'!B84</f>
        <v>0</v>
      </c>
      <c r="B84">
        <f>'Raw Data'!A84</f>
        <v>0</v>
      </c>
      <c r="C84">
        <f>'Raw Data'!C84</f>
        <v>0</v>
      </c>
      <c r="D84">
        <f>'Raw Data'!D84</f>
        <v>0</v>
      </c>
      <c r="E84">
        <f>IFERROR(VLOOKUP(D84,'Lookup Tables'!$A:$B,2,FALSE),"Unknown")</f>
        <v>0</v>
      </c>
      <c r="F84">
        <f>'Raw Data'!E84</f>
        <v>0</v>
      </c>
      <c r="G84">
        <f>IFERROR(VLOOKUP(D84,'Lookup Tables'!$A:$C,3,FALSE),IF(ISNUMBER(SEARCH("STEEL",F84)),"Steel","Others"))</f>
        <v>0</v>
      </c>
      <c r="H84">
        <f>IF(ISNUMBER(SEARCH("scrubber",F84)) , "Scrubber", IF(ISNUMBER(SEARCH("container",F84)),"Container", IF(ISNUMBER(SEARCH("basket",F84)),"Basket", IF(ISNUMBER(SEARCH("lunch",F84)),"Lunch Box", IF(ISNUMBER(SEARCH("cutlery",F84)),"Cutlery","Other")))))</f>
        <v>0</v>
      </c>
      <c r="I84">
        <f>IF('Raw Data'!G84&lt;&gt;'','Raw Data'!G84,IFERROR(MID(F84,SEARCH("MODEL",F84)+6,20),""))</f>
        <v>0</v>
      </c>
      <c r="J84">
        <f>'Raw Data'!H84</f>
        <v>0</v>
      </c>
      <c r="K84">
        <f>'Raw Data'!I84</f>
        <v>0</v>
      </c>
      <c r="L84">
        <f>IF('Raw Data'!N84&lt;&gt;0,'Raw Data'!N84,IFERROR(VALUE(MID(F84,SEARCH("QTY",F84)+4,IFERROR(FIND(" ",F84,SEARCH("QTY",F84)+4)-(SEARCH("QTY",F84)+4),3))),""))</f>
        <v>0</v>
      </c>
      <c r="M84">
        <f>'Raw Data'!O84</f>
        <v>0</v>
      </c>
      <c r="N84">
        <f>'Raw Data'!P84</f>
        <v>0</v>
      </c>
      <c r="O84">
        <f>'Raw Data'!Q84</f>
        <v>0</v>
      </c>
      <c r="P84">
        <f>'Raw Data'!R84</f>
        <v>0</v>
      </c>
      <c r="Q84">
        <f>'Raw Data'!S84</f>
        <v>0</v>
      </c>
      <c r="R84">
        <f>'Raw Data'!T84</f>
        <v>0</v>
      </c>
      <c r="S84">
        <f>IFERROR(O84,0)+IFERROR(R84,0)</f>
        <v>0</v>
      </c>
      <c r="T84">
        <f>IF(A84="","",YEAR(A84))</f>
        <v>0</v>
      </c>
    </row>
    <row r="85" spans="1:20">
      <c r="A85">
        <f>'Raw Data'!B85</f>
        <v>0</v>
      </c>
      <c r="B85">
        <f>'Raw Data'!A85</f>
        <v>0</v>
      </c>
      <c r="C85">
        <f>'Raw Data'!C85</f>
        <v>0</v>
      </c>
      <c r="D85">
        <f>'Raw Data'!D85</f>
        <v>0</v>
      </c>
      <c r="E85">
        <f>IFERROR(VLOOKUP(D85,'Lookup Tables'!$A:$B,2,FALSE),"Unknown")</f>
        <v>0</v>
      </c>
      <c r="F85">
        <f>'Raw Data'!E85</f>
        <v>0</v>
      </c>
      <c r="G85">
        <f>IFERROR(VLOOKUP(D85,'Lookup Tables'!$A:$C,3,FALSE),IF(ISNUMBER(SEARCH("STEEL",F85)),"Steel","Others"))</f>
        <v>0</v>
      </c>
      <c r="H85">
        <f>IF(ISNUMBER(SEARCH("scrubber",F85)) , "Scrubber", IF(ISNUMBER(SEARCH("container",F85)),"Container", IF(ISNUMBER(SEARCH("basket",F85)),"Basket", IF(ISNUMBER(SEARCH("lunch",F85)),"Lunch Box", IF(ISNUMBER(SEARCH("cutlery",F85)),"Cutlery","Other")))))</f>
        <v>0</v>
      </c>
      <c r="I85">
        <f>IF('Raw Data'!G85&lt;&gt;'','Raw Data'!G85,IFERROR(MID(F85,SEARCH("MODEL",F85)+6,20),""))</f>
        <v>0</v>
      </c>
      <c r="J85">
        <f>'Raw Data'!H85</f>
        <v>0</v>
      </c>
      <c r="K85">
        <f>'Raw Data'!I85</f>
        <v>0</v>
      </c>
      <c r="L85">
        <f>IF('Raw Data'!N85&lt;&gt;0,'Raw Data'!N85,IFERROR(VALUE(MID(F85,SEARCH("QTY",F85)+4,IFERROR(FIND(" ",F85,SEARCH("QTY",F85)+4)-(SEARCH("QTY",F85)+4),3))),""))</f>
        <v>0</v>
      </c>
      <c r="M85">
        <f>'Raw Data'!O85</f>
        <v>0</v>
      </c>
      <c r="N85">
        <f>'Raw Data'!P85</f>
        <v>0</v>
      </c>
      <c r="O85">
        <f>'Raw Data'!Q85</f>
        <v>0</v>
      </c>
      <c r="P85">
        <f>'Raw Data'!R85</f>
        <v>0</v>
      </c>
      <c r="Q85">
        <f>'Raw Data'!S85</f>
        <v>0</v>
      </c>
      <c r="R85">
        <f>'Raw Data'!T85</f>
        <v>0</v>
      </c>
      <c r="S85">
        <f>IFERROR(O85,0)+IFERROR(R85,0)</f>
        <v>0</v>
      </c>
      <c r="T85">
        <f>IF(A85="","",YEAR(A85))</f>
        <v>0</v>
      </c>
    </row>
    <row r="86" spans="1:20">
      <c r="A86">
        <f>'Raw Data'!B86</f>
        <v>0</v>
      </c>
      <c r="B86">
        <f>'Raw Data'!A86</f>
        <v>0</v>
      </c>
      <c r="C86">
        <f>'Raw Data'!C86</f>
        <v>0</v>
      </c>
      <c r="D86">
        <f>'Raw Data'!D86</f>
        <v>0</v>
      </c>
      <c r="E86">
        <f>IFERROR(VLOOKUP(D86,'Lookup Tables'!$A:$B,2,FALSE),"Unknown")</f>
        <v>0</v>
      </c>
      <c r="F86">
        <f>'Raw Data'!E86</f>
        <v>0</v>
      </c>
      <c r="G86">
        <f>IFERROR(VLOOKUP(D86,'Lookup Tables'!$A:$C,3,FALSE),IF(ISNUMBER(SEARCH("STEEL",F86)),"Steel","Others"))</f>
        <v>0</v>
      </c>
      <c r="H86">
        <f>IF(ISNUMBER(SEARCH("scrubber",F86)) , "Scrubber", IF(ISNUMBER(SEARCH("container",F86)),"Container", IF(ISNUMBER(SEARCH("basket",F86)),"Basket", IF(ISNUMBER(SEARCH("lunch",F86)),"Lunch Box", IF(ISNUMBER(SEARCH("cutlery",F86)),"Cutlery","Other")))))</f>
        <v>0</v>
      </c>
      <c r="I86">
        <f>IF('Raw Data'!G86&lt;&gt;'','Raw Data'!G86,IFERROR(MID(F86,SEARCH("MODEL",F86)+6,20),""))</f>
        <v>0</v>
      </c>
      <c r="J86">
        <f>'Raw Data'!H86</f>
        <v>0</v>
      </c>
      <c r="K86">
        <f>'Raw Data'!I86</f>
        <v>0</v>
      </c>
      <c r="L86">
        <f>IF('Raw Data'!N86&lt;&gt;0,'Raw Data'!N86,IFERROR(VALUE(MID(F86,SEARCH("QTY",F86)+4,IFERROR(FIND(" ",F86,SEARCH("QTY",F86)+4)-(SEARCH("QTY",F86)+4),3))),""))</f>
        <v>0</v>
      </c>
      <c r="M86">
        <f>'Raw Data'!O86</f>
        <v>0</v>
      </c>
      <c r="N86">
        <f>'Raw Data'!P86</f>
        <v>0</v>
      </c>
      <c r="O86">
        <f>'Raw Data'!Q86</f>
        <v>0</v>
      </c>
      <c r="P86">
        <f>'Raw Data'!R86</f>
        <v>0</v>
      </c>
      <c r="Q86">
        <f>'Raw Data'!S86</f>
        <v>0</v>
      </c>
      <c r="R86">
        <f>'Raw Data'!T86</f>
        <v>0</v>
      </c>
      <c r="S86">
        <f>IFERROR(O86,0)+IFERROR(R86,0)</f>
        <v>0</v>
      </c>
      <c r="T86">
        <f>IF(A86="","",YEAR(A86))</f>
        <v>0</v>
      </c>
    </row>
    <row r="87" spans="1:20">
      <c r="A87">
        <f>'Raw Data'!B87</f>
        <v>0</v>
      </c>
      <c r="B87">
        <f>'Raw Data'!A87</f>
        <v>0</v>
      </c>
      <c r="C87">
        <f>'Raw Data'!C87</f>
        <v>0</v>
      </c>
      <c r="D87">
        <f>'Raw Data'!D87</f>
        <v>0</v>
      </c>
      <c r="E87">
        <f>IFERROR(VLOOKUP(D87,'Lookup Tables'!$A:$B,2,FALSE),"Unknown")</f>
        <v>0</v>
      </c>
      <c r="F87">
        <f>'Raw Data'!E87</f>
        <v>0</v>
      </c>
      <c r="G87">
        <f>IFERROR(VLOOKUP(D87,'Lookup Tables'!$A:$C,3,FALSE),IF(ISNUMBER(SEARCH("STEEL",F87)),"Steel","Others"))</f>
        <v>0</v>
      </c>
      <c r="H87">
        <f>IF(ISNUMBER(SEARCH("scrubber",F87)) , "Scrubber", IF(ISNUMBER(SEARCH("container",F87)),"Container", IF(ISNUMBER(SEARCH("basket",F87)),"Basket", IF(ISNUMBER(SEARCH("lunch",F87)),"Lunch Box", IF(ISNUMBER(SEARCH("cutlery",F87)),"Cutlery","Other")))))</f>
        <v>0</v>
      </c>
      <c r="I87">
        <f>IF('Raw Data'!G87&lt;&gt;'','Raw Data'!G87,IFERROR(MID(F87,SEARCH("MODEL",F87)+6,20),""))</f>
        <v>0</v>
      </c>
      <c r="J87">
        <f>'Raw Data'!H87</f>
        <v>0</v>
      </c>
      <c r="K87">
        <f>'Raw Data'!I87</f>
        <v>0</v>
      </c>
      <c r="L87">
        <f>IF('Raw Data'!N87&lt;&gt;0,'Raw Data'!N87,IFERROR(VALUE(MID(F87,SEARCH("QTY",F87)+4,IFERROR(FIND(" ",F87,SEARCH("QTY",F87)+4)-(SEARCH("QTY",F87)+4),3))),""))</f>
        <v>0</v>
      </c>
      <c r="M87">
        <f>'Raw Data'!O87</f>
        <v>0</v>
      </c>
      <c r="N87">
        <f>'Raw Data'!P87</f>
        <v>0</v>
      </c>
      <c r="O87">
        <f>'Raw Data'!Q87</f>
        <v>0</v>
      </c>
      <c r="P87">
        <f>'Raw Data'!R87</f>
        <v>0</v>
      </c>
      <c r="Q87">
        <f>'Raw Data'!S87</f>
        <v>0</v>
      </c>
      <c r="R87">
        <f>'Raw Data'!T87</f>
        <v>0</v>
      </c>
      <c r="S87">
        <f>IFERROR(O87,0)+IFERROR(R87,0)</f>
        <v>0</v>
      </c>
      <c r="T87">
        <f>IF(A87="","",YEAR(A87))</f>
        <v>0</v>
      </c>
    </row>
    <row r="88" spans="1:20">
      <c r="A88">
        <f>'Raw Data'!B88</f>
        <v>0</v>
      </c>
      <c r="B88">
        <f>'Raw Data'!A88</f>
        <v>0</v>
      </c>
      <c r="C88">
        <f>'Raw Data'!C88</f>
        <v>0</v>
      </c>
      <c r="D88">
        <f>'Raw Data'!D88</f>
        <v>0</v>
      </c>
      <c r="E88">
        <f>IFERROR(VLOOKUP(D88,'Lookup Tables'!$A:$B,2,FALSE),"Unknown")</f>
        <v>0</v>
      </c>
      <c r="F88">
        <f>'Raw Data'!E88</f>
        <v>0</v>
      </c>
      <c r="G88">
        <f>IFERROR(VLOOKUP(D88,'Lookup Tables'!$A:$C,3,FALSE),IF(ISNUMBER(SEARCH("STEEL",F88)),"Steel","Others"))</f>
        <v>0</v>
      </c>
      <c r="H88">
        <f>IF(ISNUMBER(SEARCH("scrubber",F88)) , "Scrubber", IF(ISNUMBER(SEARCH("container",F88)),"Container", IF(ISNUMBER(SEARCH("basket",F88)),"Basket", IF(ISNUMBER(SEARCH("lunch",F88)),"Lunch Box", IF(ISNUMBER(SEARCH("cutlery",F88)),"Cutlery","Other")))))</f>
        <v>0</v>
      </c>
      <c r="I88">
        <f>IF('Raw Data'!G88&lt;&gt;'','Raw Data'!G88,IFERROR(MID(F88,SEARCH("MODEL",F88)+6,20),""))</f>
        <v>0</v>
      </c>
      <c r="J88">
        <f>'Raw Data'!H88</f>
        <v>0</v>
      </c>
      <c r="K88">
        <f>'Raw Data'!I88</f>
        <v>0</v>
      </c>
      <c r="L88">
        <f>IF('Raw Data'!N88&lt;&gt;0,'Raw Data'!N88,IFERROR(VALUE(MID(F88,SEARCH("QTY",F88)+4,IFERROR(FIND(" ",F88,SEARCH("QTY",F88)+4)-(SEARCH("QTY",F88)+4),3))),""))</f>
        <v>0</v>
      </c>
      <c r="M88">
        <f>'Raw Data'!O88</f>
        <v>0</v>
      </c>
      <c r="N88">
        <f>'Raw Data'!P88</f>
        <v>0</v>
      </c>
      <c r="O88">
        <f>'Raw Data'!Q88</f>
        <v>0</v>
      </c>
      <c r="P88">
        <f>'Raw Data'!R88</f>
        <v>0</v>
      </c>
      <c r="Q88">
        <f>'Raw Data'!S88</f>
        <v>0</v>
      </c>
      <c r="R88">
        <f>'Raw Data'!T88</f>
        <v>0</v>
      </c>
      <c r="S88">
        <f>IFERROR(O88,0)+IFERROR(R88,0)</f>
        <v>0</v>
      </c>
      <c r="T88">
        <f>IF(A88="","",YEAR(A88))</f>
        <v>0</v>
      </c>
    </row>
    <row r="89" spans="1:20">
      <c r="A89">
        <f>'Raw Data'!B89</f>
        <v>0</v>
      </c>
      <c r="B89">
        <f>'Raw Data'!A89</f>
        <v>0</v>
      </c>
      <c r="C89">
        <f>'Raw Data'!C89</f>
        <v>0</v>
      </c>
      <c r="D89">
        <f>'Raw Data'!D89</f>
        <v>0</v>
      </c>
      <c r="E89">
        <f>IFERROR(VLOOKUP(D89,'Lookup Tables'!$A:$B,2,FALSE),"Unknown")</f>
        <v>0</v>
      </c>
      <c r="F89">
        <f>'Raw Data'!E89</f>
        <v>0</v>
      </c>
      <c r="G89">
        <f>IFERROR(VLOOKUP(D89,'Lookup Tables'!$A:$C,3,FALSE),IF(ISNUMBER(SEARCH("STEEL",F89)),"Steel","Others"))</f>
        <v>0</v>
      </c>
      <c r="H89">
        <f>IF(ISNUMBER(SEARCH("scrubber",F89)) , "Scrubber", IF(ISNUMBER(SEARCH("container",F89)),"Container", IF(ISNUMBER(SEARCH("basket",F89)),"Basket", IF(ISNUMBER(SEARCH("lunch",F89)),"Lunch Box", IF(ISNUMBER(SEARCH("cutlery",F89)),"Cutlery","Other")))))</f>
        <v>0</v>
      </c>
      <c r="I89">
        <f>IF('Raw Data'!G89&lt;&gt;'','Raw Data'!G89,IFERROR(MID(F89,SEARCH("MODEL",F89)+6,20),""))</f>
        <v>0</v>
      </c>
      <c r="J89">
        <f>'Raw Data'!H89</f>
        <v>0</v>
      </c>
      <c r="K89">
        <f>'Raw Data'!I89</f>
        <v>0</v>
      </c>
      <c r="L89">
        <f>IF('Raw Data'!N89&lt;&gt;0,'Raw Data'!N89,IFERROR(VALUE(MID(F89,SEARCH("QTY",F89)+4,IFERROR(FIND(" ",F89,SEARCH("QTY",F89)+4)-(SEARCH("QTY",F89)+4),3))),""))</f>
        <v>0</v>
      </c>
      <c r="M89">
        <f>'Raw Data'!O89</f>
        <v>0</v>
      </c>
      <c r="N89">
        <f>'Raw Data'!P89</f>
        <v>0</v>
      </c>
      <c r="O89">
        <f>'Raw Data'!Q89</f>
        <v>0</v>
      </c>
      <c r="P89">
        <f>'Raw Data'!R89</f>
        <v>0</v>
      </c>
      <c r="Q89">
        <f>'Raw Data'!S89</f>
        <v>0</v>
      </c>
      <c r="R89">
        <f>'Raw Data'!T89</f>
        <v>0</v>
      </c>
      <c r="S89">
        <f>IFERROR(O89,0)+IFERROR(R89,0)</f>
        <v>0</v>
      </c>
      <c r="T89">
        <f>IF(A89="","",YEAR(A89))</f>
        <v>0</v>
      </c>
    </row>
    <row r="90" spans="1:20">
      <c r="A90">
        <f>'Raw Data'!B90</f>
        <v>0</v>
      </c>
      <c r="B90">
        <f>'Raw Data'!A90</f>
        <v>0</v>
      </c>
      <c r="C90">
        <f>'Raw Data'!C90</f>
        <v>0</v>
      </c>
      <c r="D90">
        <f>'Raw Data'!D90</f>
        <v>0</v>
      </c>
      <c r="E90">
        <f>IFERROR(VLOOKUP(D90,'Lookup Tables'!$A:$B,2,FALSE),"Unknown")</f>
        <v>0</v>
      </c>
      <c r="F90">
        <f>'Raw Data'!E90</f>
        <v>0</v>
      </c>
      <c r="G90">
        <f>IFERROR(VLOOKUP(D90,'Lookup Tables'!$A:$C,3,FALSE),IF(ISNUMBER(SEARCH("STEEL",F90)),"Steel","Others"))</f>
        <v>0</v>
      </c>
      <c r="H90">
        <f>IF(ISNUMBER(SEARCH("scrubber",F90)) , "Scrubber", IF(ISNUMBER(SEARCH("container",F90)),"Container", IF(ISNUMBER(SEARCH("basket",F90)),"Basket", IF(ISNUMBER(SEARCH("lunch",F90)),"Lunch Box", IF(ISNUMBER(SEARCH("cutlery",F90)),"Cutlery","Other")))))</f>
        <v>0</v>
      </c>
      <c r="I90">
        <f>IF('Raw Data'!G90&lt;&gt;'','Raw Data'!G90,IFERROR(MID(F90,SEARCH("MODEL",F90)+6,20),""))</f>
        <v>0</v>
      </c>
      <c r="J90">
        <f>'Raw Data'!H90</f>
        <v>0</v>
      </c>
      <c r="K90">
        <f>'Raw Data'!I90</f>
        <v>0</v>
      </c>
      <c r="L90">
        <f>IF('Raw Data'!N90&lt;&gt;0,'Raw Data'!N90,IFERROR(VALUE(MID(F90,SEARCH("QTY",F90)+4,IFERROR(FIND(" ",F90,SEARCH("QTY",F90)+4)-(SEARCH("QTY",F90)+4),3))),""))</f>
        <v>0</v>
      </c>
      <c r="M90">
        <f>'Raw Data'!O90</f>
        <v>0</v>
      </c>
      <c r="N90">
        <f>'Raw Data'!P90</f>
        <v>0</v>
      </c>
      <c r="O90">
        <f>'Raw Data'!Q90</f>
        <v>0</v>
      </c>
      <c r="P90">
        <f>'Raw Data'!R90</f>
        <v>0</v>
      </c>
      <c r="Q90">
        <f>'Raw Data'!S90</f>
        <v>0</v>
      </c>
      <c r="R90">
        <f>'Raw Data'!T90</f>
        <v>0</v>
      </c>
      <c r="S90">
        <f>IFERROR(O90,0)+IFERROR(R90,0)</f>
        <v>0</v>
      </c>
      <c r="T90">
        <f>IF(A90="","",YEAR(A90))</f>
        <v>0</v>
      </c>
    </row>
    <row r="91" spans="1:20">
      <c r="A91">
        <f>'Raw Data'!B91</f>
        <v>0</v>
      </c>
      <c r="B91">
        <f>'Raw Data'!A91</f>
        <v>0</v>
      </c>
      <c r="C91">
        <f>'Raw Data'!C91</f>
        <v>0</v>
      </c>
      <c r="D91">
        <f>'Raw Data'!D91</f>
        <v>0</v>
      </c>
      <c r="E91">
        <f>IFERROR(VLOOKUP(D91,'Lookup Tables'!$A:$B,2,FALSE),"Unknown")</f>
        <v>0</v>
      </c>
      <c r="F91">
        <f>'Raw Data'!E91</f>
        <v>0</v>
      </c>
      <c r="G91">
        <f>IFERROR(VLOOKUP(D91,'Lookup Tables'!$A:$C,3,FALSE),IF(ISNUMBER(SEARCH("STEEL",F91)),"Steel","Others"))</f>
        <v>0</v>
      </c>
      <c r="H91">
        <f>IF(ISNUMBER(SEARCH("scrubber",F91)) , "Scrubber", IF(ISNUMBER(SEARCH("container",F91)),"Container", IF(ISNUMBER(SEARCH("basket",F91)),"Basket", IF(ISNUMBER(SEARCH("lunch",F91)),"Lunch Box", IF(ISNUMBER(SEARCH("cutlery",F91)),"Cutlery","Other")))))</f>
        <v>0</v>
      </c>
      <c r="I91">
        <f>IF('Raw Data'!G91&lt;&gt;'','Raw Data'!G91,IFERROR(MID(F91,SEARCH("MODEL",F91)+6,20),""))</f>
        <v>0</v>
      </c>
      <c r="J91">
        <f>'Raw Data'!H91</f>
        <v>0</v>
      </c>
      <c r="K91">
        <f>'Raw Data'!I91</f>
        <v>0</v>
      </c>
      <c r="L91">
        <f>IF('Raw Data'!N91&lt;&gt;0,'Raw Data'!N91,IFERROR(VALUE(MID(F91,SEARCH("QTY",F91)+4,IFERROR(FIND(" ",F91,SEARCH("QTY",F91)+4)-(SEARCH("QTY",F91)+4),3))),""))</f>
        <v>0</v>
      </c>
      <c r="M91">
        <f>'Raw Data'!O91</f>
        <v>0</v>
      </c>
      <c r="N91">
        <f>'Raw Data'!P91</f>
        <v>0</v>
      </c>
      <c r="O91">
        <f>'Raw Data'!Q91</f>
        <v>0</v>
      </c>
      <c r="P91">
        <f>'Raw Data'!R91</f>
        <v>0</v>
      </c>
      <c r="Q91">
        <f>'Raw Data'!S91</f>
        <v>0</v>
      </c>
      <c r="R91">
        <f>'Raw Data'!T91</f>
        <v>0</v>
      </c>
      <c r="S91">
        <f>IFERROR(O91,0)+IFERROR(R91,0)</f>
        <v>0</v>
      </c>
      <c r="T91">
        <f>IF(A91="","",YEAR(A91))</f>
        <v>0</v>
      </c>
    </row>
    <row r="92" spans="1:20">
      <c r="A92">
        <f>'Raw Data'!B92</f>
        <v>0</v>
      </c>
      <c r="B92">
        <f>'Raw Data'!A92</f>
        <v>0</v>
      </c>
      <c r="C92">
        <f>'Raw Data'!C92</f>
        <v>0</v>
      </c>
      <c r="D92">
        <f>'Raw Data'!D92</f>
        <v>0</v>
      </c>
      <c r="E92">
        <f>IFERROR(VLOOKUP(D92,'Lookup Tables'!$A:$B,2,FALSE),"Unknown")</f>
        <v>0</v>
      </c>
      <c r="F92">
        <f>'Raw Data'!E92</f>
        <v>0</v>
      </c>
      <c r="G92">
        <f>IFERROR(VLOOKUP(D92,'Lookup Tables'!$A:$C,3,FALSE),IF(ISNUMBER(SEARCH("STEEL",F92)),"Steel","Others"))</f>
        <v>0</v>
      </c>
      <c r="H92">
        <f>IF(ISNUMBER(SEARCH("scrubber",F92)) , "Scrubber", IF(ISNUMBER(SEARCH("container",F92)),"Container", IF(ISNUMBER(SEARCH("basket",F92)),"Basket", IF(ISNUMBER(SEARCH("lunch",F92)),"Lunch Box", IF(ISNUMBER(SEARCH("cutlery",F92)),"Cutlery","Other")))))</f>
        <v>0</v>
      </c>
      <c r="I92">
        <f>IF('Raw Data'!G92&lt;&gt;'','Raw Data'!G92,IFERROR(MID(F92,SEARCH("MODEL",F92)+6,20),""))</f>
        <v>0</v>
      </c>
      <c r="J92">
        <f>'Raw Data'!H92</f>
        <v>0</v>
      </c>
      <c r="K92">
        <f>'Raw Data'!I92</f>
        <v>0</v>
      </c>
      <c r="L92">
        <f>IF('Raw Data'!N92&lt;&gt;0,'Raw Data'!N92,IFERROR(VALUE(MID(F92,SEARCH("QTY",F92)+4,IFERROR(FIND(" ",F92,SEARCH("QTY",F92)+4)-(SEARCH("QTY",F92)+4),3))),""))</f>
        <v>0</v>
      </c>
      <c r="M92">
        <f>'Raw Data'!O92</f>
        <v>0</v>
      </c>
      <c r="N92">
        <f>'Raw Data'!P92</f>
        <v>0</v>
      </c>
      <c r="O92">
        <f>'Raw Data'!Q92</f>
        <v>0</v>
      </c>
      <c r="P92">
        <f>'Raw Data'!R92</f>
        <v>0</v>
      </c>
      <c r="Q92">
        <f>'Raw Data'!S92</f>
        <v>0</v>
      </c>
      <c r="R92">
        <f>'Raw Data'!T92</f>
        <v>0</v>
      </c>
      <c r="S92">
        <f>IFERROR(O92,0)+IFERROR(R92,0)</f>
        <v>0</v>
      </c>
      <c r="T92">
        <f>IF(A92="","",YEAR(A92))</f>
        <v>0</v>
      </c>
    </row>
    <row r="93" spans="1:20">
      <c r="A93">
        <f>'Raw Data'!B93</f>
        <v>0</v>
      </c>
      <c r="B93">
        <f>'Raw Data'!A93</f>
        <v>0</v>
      </c>
      <c r="C93">
        <f>'Raw Data'!C93</f>
        <v>0</v>
      </c>
      <c r="D93">
        <f>'Raw Data'!D93</f>
        <v>0</v>
      </c>
      <c r="E93">
        <f>IFERROR(VLOOKUP(D93,'Lookup Tables'!$A:$B,2,FALSE),"Unknown")</f>
        <v>0</v>
      </c>
      <c r="F93">
        <f>'Raw Data'!E93</f>
        <v>0</v>
      </c>
      <c r="G93">
        <f>IFERROR(VLOOKUP(D93,'Lookup Tables'!$A:$C,3,FALSE),IF(ISNUMBER(SEARCH("STEEL",F93)),"Steel","Others"))</f>
        <v>0</v>
      </c>
      <c r="H93">
        <f>IF(ISNUMBER(SEARCH("scrubber",F93)) , "Scrubber", IF(ISNUMBER(SEARCH("container",F93)),"Container", IF(ISNUMBER(SEARCH("basket",F93)),"Basket", IF(ISNUMBER(SEARCH("lunch",F93)),"Lunch Box", IF(ISNUMBER(SEARCH("cutlery",F93)),"Cutlery","Other")))))</f>
        <v>0</v>
      </c>
      <c r="I93">
        <f>IF('Raw Data'!G93&lt;&gt;'','Raw Data'!G93,IFERROR(MID(F93,SEARCH("MODEL",F93)+6,20),""))</f>
        <v>0</v>
      </c>
      <c r="J93">
        <f>'Raw Data'!H93</f>
        <v>0</v>
      </c>
      <c r="K93">
        <f>'Raw Data'!I93</f>
        <v>0</v>
      </c>
      <c r="L93">
        <f>IF('Raw Data'!N93&lt;&gt;0,'Raw Data'!N93,IFERROR(VALUE(MID(F93,SEARCH("QTY",F93)+4,IFERROR(FIND(" ",F93,SEARCH("QTY",F93)+4)-(SEARCH("QTY",F93)+4),3))),""))</f>
        <v>0</v>
      </c>
      <c r="M93">
        <f>'Raw Data'!O93</f>
        <v>0</v>
      </c>
      <c r="N93">
        <f>'Raw Data'!P93</f>
        <v>0</v>
      </c>
      <c r="O93">
        <f>'Raw Data'!Q93</f>
        <v>0</v>
      </c>
      <c r="P93">
        <f>'Raw Data'!R93</f>
        <v>0</v>
      </c>
      <c r="Q93">
        <f>'Raw Data'!S93</f>
        <v>0</v>
      </c>
      <c r="R93">
        <f>'Raw Data'!T93</f>
        <v>0</v>
      </c>
      <c r="S93">
        <f>IFERROR(O93,0)+IFERROR(R93,0)</f>
        <v>0</v>
      </c>
      <c r="T93">
        <f>IF(A93="","",YEAR(A93))</f>
        <v>0</v>
      </c>
    </row>
    <row r="94" spans="1:20">
      <c r="A94">
        <f>'Raw Data'!B94</f>
        <v>0</v>
      </c>
      <c r="B94">
        <f>'Raw Data'!A94</f>
        <v>0</v>
      </c>
      <c r="C94">
        <f>'Raw Data'!C94</f>
        <v>0</v>
      </c>
      <c r="D94">
        <f>'Raw Data'!D94</f>
        <v>0</v>
      </c>
      <c r="E94">
        <f>IFERROR(VLOOKUP(D94,'Lookup Tables'!$A:$B,2,FALSE),"Unknown")</f>
        <v>0</v>
      </c>
      <c r="F94">
        <f>'Raw Data'!E94</f>
        <v>0</v>
      </c>
      <c r="G94">
        <f>IFERROR(VLOOKUP(D94,'Lookup Tables'!$A:$C,3,FALSE),IF(ISNUMBER(SEARCH("STEEL",F94)),"Steel","Others"))</f>
        <v>0</v>
      </c>
      <c r="H94">
        <f>IF(ISNUMBER(SEARCH("scrubber",F94)) , "Scrubber", IF(ISNUMBER(SEARCH("container",F94)),"Container", IF(ISNUMBER(SEARCH("basket",F94)),"Basket", IF(ISNUMBER(SEARCH("lunch",F94)),"Lunch Box", IF(ISNUMBER(SEARCH("cutlery",F94)),"Cutlery","Other")))))</f>
        <v>0</v>
      </c>
      <c r="I94">
        <f>IF('Raw Data'!G94&lt;&gt;'','Raw Data'!G94,IFERROR(MID(F94,SEARCH("MODEL",F94)+6,20),""))</f>
        <v>0</v>
      </c>
      <c r="J94">
        <f>'Raw Data'!H94</f>
        <v>0</v>
      </c>
      <c r="K94">
        <f>'Raw Data'!I94</f>
        <v>0</v>
      </c>
      <c r="L94">
        <f>IF('Raw Data'!N94&lt;&gt;0,'Raw Data'!N94,IFERROR(VALUE(MID(F94,SEARCH("QTY",F94)+4,IFERROR(FIND(" ",F94,SEARCH("QTY",F94)+4)-(SEARCH("QTY",F94)+4),3))),""))</f>
        <v>0</v>
      </c>
      <c r="M94">
        <f>'Raw Data'!O94</f>
        <v>0</v>
      </c>
      <c r="N94">
        <f>'Raw Data'!P94</f>
        <v>0</v>
      </c>
      <c r="O94">
        <f>'Raw Data'!Q94</f>
        <v>0</v>
      </c>
      <c r="P94">
        <f>'Raw Data'!R94</f>
        <v>0</v>
      </c>
      <c r="Q94">
        <f>'Raw Data'!S94</f>
        <v>0</v>
      </c>
      <c r="R94">
        <f>'Raw Data'!T94</f>
        <v>0</v>
      </c>
      <c r="S94">
        <f>IFERROR(O94,0)+IFERROR(R94,0)</f>
        <v>0</v>
      </c>
      <c r="T94">
        <f>IF(A94="","",YEAR(A94))</f>
        <v>0</v>
      </c>
    </row>
    <row r="95" spans="1:20">
      <c r="A95">
        <f>'Raw Data'!B95</f>
        <v>0</v>
      </c>
      <c r="B95">
        <f>'Raw Data'!A95</f>
        <v>0</v>
      </c>
      <c r="C95">
        <f>'Raw Data'!C95</f>
        <v>0</v>
      </c>
      <c r="D95">
        <f>'Raw Data'!D95</f>
        <v>0</v>
      </c>
      <c r="E95">
        <f>IFERROR(VLOOKUP(D95,'Lookup Tables'!$A:$B,2,FALSE),"Unknown")</f>
        <v>0</v>
      </c>
      <c r="F95">
        <f>'Raw Data'!E95</f>
        <v>0</v>
      </c>
      <c r="G95">
        <f>IFERROR(VLOOKUP(D95,'Lookup Tables'!$A:$C,3,FALSE),IF(ISNUMBER(SEARCH("STEEL",F95)),"Steel","Others"))</f>
        <v>0</v>
      </c>
      <c r="H95">
        <f>IF(ISNUMBER(SEARCH("scrubber",F95)) , "Scrubber", IF(ISNUMBER(SEARCH("container",F95)),"Container", IF(ISNUMBER(SEARCH("basket",F95)),"Basket", IF(ISNUMBER(SEARCH("lunch",F95)),"Lunch Box", IF(ISNUMBER(SEARCH("cutlery",F95)),"Cutlery","Other")))))</f>
        <v>0</v>
      </c>
      <c r="I95">
        <f>IF('Raw Data'!G95&lt;&gt;'','Raw Data'!G95,IFERROR(MID(F95,SEARCH("MODEL",F95)+6,20),""))</f>
        <v>0</v>
      </c>
      <c r="J95">
        <f>'Raw Data'!H95</f>
        <v>0</v>
      </c>
      <c r="K95">
        <f>'Raw Data'!I95</f>
        <v>0</v>
      </c>
      <c r="L95">
        <f>IF('Raw Data'!N95&lt;&gt;0,'Raw Data'!N95,IFERROR(VALUE(MID(F95,SEARCH("QTY",F95)+4,IFERROR(FIND(" ",F95,SEARCH("QTY",F95)+4)-(SEARCH("QTY",F95)+4),3))),""))</f>
        <v>0</v>
      </c>
      <c r="M95">
        <f>'Raw Data'!O95</f>
        <v>0</v>
      </c>
      <c r="N95">
        <f>'Raw Data'!P95</f>
        <v>0</v>
      </c>
      <c r="O95">
        <f>'Raw Data'!Q95</f>
        <v>0</v>
      </c>
      <c r="P95">
        <f>'Raw Data'!R95</f>
        <v>0</v>
      </c>
      <c r="Q95">
        <f>'Raw Data'!S95</f>
        <v>0</v>
      </c>
      <c r="R95">
        <f>'Raw Data'!T95</f>
        <v>0</v>
      </c>
      <c r="S95">
        <f>IFERROR(O95,0)+IFERROR(R95,0)</f>
        <v>0</v>
      </c>
      <c r="T95">
        <f>IF(A95="","",YEAR(A95))</f>
        <v>0</v>
      </c>
    </row>
    <row r="96" spans="1:20">
      <c r="A96">
        <f>'Raw Data'!B96</f>
        <v>0</v>
      </c>
      <c r="B96">
        <f>'Raw Data'!A96</f>
        <v>0</v>
      </c>
      <c r="C96">
        <f>'Raw Data'!C96</f>
        <v>0</v>
      </c>
      <c r="D96">
        <f>'Raw Data'!D96</f>
        <v>0</v>
      </c>
      <c r="E96">
        <f>IFERROR(VLOOKUP(D96,'Lookup Tables'!$A:$B,2,FALSE),"Unknown")</f>
        <v>0</v>
      </c>
      <c r="F96">
        <f>'Raw Data'!E96</f>
        <v>0</v>
      </c>
      <c r="G96">
        <f>IFERROR(VLOOKUP(D96,'Lookup Tables'!$A:$C,3,FALSE),IF(ISNUMBER(SEARCH("STEEL",F96)),"Steel","Others"))</f>
        <v>0</v>
      </c>
      <c r="H96">
        <f>IF(ISNUMBER(SEARCH("scrubber",F96)) , "Scrubber", IF(ISNUMBER(SEARCH("container",F96)),"Container", IF(ISNUMBER(SEARCH("basket",F96)),"Basket", IF(ISNUMBER(SEARCH("lunch",F96)),"Lunch Box", IF(ISNUMBER(SEARCH("cutlery",F96)),"Cutlery","Other")))))</f>
        <v>0</v>
      </c>
      <c r="I96">
        <f>IF('Raw Data'!G96&lt;&gt;'','Raw Data'!G96,IFERROR(MID(F96,SEARCH("MODEL",F96)+6,20),""))</f>
        <v>0</v>
      </c>
      <c r="J96">
        <f>'Raw Data'!H96</f>
        <v>0</v>
      </c>
      <c r="K96">
        <f>'Raw Data'!I96</f>
        <v>0</v>
      </c>
      <c r="L96">
        <f>IF('Raw Data'!N96&lt;&gt;0,'Raw Data'!N96,IFERROR(VALUE(MID(F96,SEARCH("QTY",F96)+4,IFERROR(FIND(" ",F96,SEARCH("QTY",F96)+4)-(SEARCH("QTY",F96)+4),3))),""))</f>
        <v>0</v>
      </c>
      <c r="M96">
        <f>'Raw Data'!O96</f>
        <v>0</v>
      </c>
      <c r="N96">
        <f>'Raw Data'!P96</f>
        <v>0</v>
      </c>
      <c r="O96">
        <f>'Raw Data'!Q96</f>
        <v>0</v>
      </c>
      <c r="P96">
        <f>'Raw Data'!R96</f>
        <v>0</v>
      </c>
      <c r="Q96">
        <f>'Raw Data'!S96</f>
        <v>0</v>
      </c>
      <c r="R96">
        <f>'Raw Data'!T96</f>
        <v>0</v>
      </c>
      <c r="S96">
        <f>IFERROR(O96,0)+IFERROR(R96,0)</f>
        <v>0</v>
      </c>
      <c r="T96">
        <f>IF(A96="","",YEAR(A96))</f>
        <v>0</v>
      </c>
    </row>
    <row r="97" spans="1:20">
      <c r="A97">
        <f>'Raw Data'!B97</f>
        <v>0</v>
      </c>
      <c r="B97">
        <f>'Raw Data'!A97</f>
        <v>0</v>
      </c>
      <c r="C97">
        <f>'Raw Data'!C97</f>
        <v>0</v>
      </c>
      <c r="D97">
        <f>'Raw Data'!D97</f>
        <v>0</v>
      </c>
      <c r="E97">
        <f>IFERROR(VLOOKUP(D97,'Lookup Tables'!$A:$B,2,FALSE),"Unknown")</f>
        <v>0</v>
      </c>
      <c r="F97">
        <f>'Raw Data'!E97</f>
        <v>0</v>
      </c>
      <c r="G97">
        <f>IFERROR(VLOOKUP(D97,'Lookup Tables'!$A:$C,3,FALSE),IF(ISNUMBER(SEARCH("STEEL",F97)),"Steel","Others"))</f>
        <v>0</v>
      </c>
      <c r="H97">
        <f>IF(ISNUMBER(SEARCH("scrubber",F97)) , "Scrubber", IF(ISNUMBER(SEARCH("container",F97)),"Container", IF(ISNUMBER(SEARCH("basket",F97)),"Basket", IF(ISNUMBER(SEARCH("lunch",F97)),"Lunch Box", IF(ISNUMBER(SEARCH("cutlery",F97)),"Cutlery","Other")))))</f>
        <v>0</v>
      </c>
      <c r="I97">
        <f>IF('Raw Data'!G97&lt;&gt;'','Raw Data'!G97,IFERROR(MID(F97,SEARCH("MODEL",F97)+6,20),""))</f>
        <v>0</v>
      </c>
      <c r="J97">
        <f>'Raw Data'!H97</f>
        <v>0</v>
      </c>
      <c r="K97">
        <f>'Raw Data'!I97</f>
        <v>0</v>
      </c>
      <c r="L97">
        <f>IF('Raw Data'!N97&lt;&gt;0,'Raw Data'!N97,IFERROR(VALUE(MID(F97,SEARCH("QTY",F97)+4,IFERROR(FIND(" ",F97,SEARCH("QTY",F97)+4)-(SEARCH("QTY",F97)+4),3))),""))</f>
        <v>0</v>
      </c>
      <c r="M97">
        <f>'Raw Data'!O97</f>
        <v>0</v>
      </c>
      <c r="N97">
        <f>'Raw Data'!P97</f>
        <v>0</v>
      </c>
      <c r="O97">
        <f>'Raw Data'!Q97</f>
        <v>0</v>
      </c>
      <c r="P97">
        <f>'Raw Data'!R97</f>
        <v>0</v>
      </c>
      <c r="Q97">
        <f>'Raw Data'!S97</f>
        <v>0</v>
      </c>
      <c r="R97">
        <f>'Raw Data'!T97</f>
        <v>0</v>
      </c>
      <c r="S97">
        <f>IFERROR(O97,0)+IFERROR(R97,0)</f>
        <v>0</v>
      </c>
      <c r="T97">
        <f>IF(A97="","",YEAR(A97))</f>
        <v>0</v>
      </c>
    </row>
    <row r="98" spans="1:20">
      <c r="A98">
        <f>'Raw Data'!B98</f>
        <v>0</v>
      </c>
      <c r="B98">
        <f>'Raw Data'!A98</f>
        <v>0</v>
      </c>
      <c r="C98">
        <f>'Raw Data'!C98</f>
        <v>0</v>
      </c>
      <c r="D98">
        <f>'Raw Data'!D98</f>
        <v>0</v>
      </c>
      <c r="E98">
        <f>IFERROR(VLOOKUP(D98,'Lookup Tables'!$A:$B,2,FALSE),"Unknown")</f>
        <v>0</v>
      </c>
      <c r="F98">
        <f>'Raw Data'!E98</f>
        <v>0</v>
      </c>
      <c r="G98">
        <f>IFERROR(VLOOKUP(D98,'Lookup Tables'!$A:$C,3,FALSE),IF(ISNUMBER(SEARCH("STEEL",F98)),"Steel","Others"))</f>
        <v>0</v>
      </c>
      <c r="H98">
        <f>IF(ISNUMBER(SEARCH("scrubber",F98)) , "Scrubber", IF(ISNUMBER(SEARCH("container",F98)),"Container", IF(ISNUMBER(SEARCH("basket",F98)),"Basket", IF(ISNUMBER(SEARCH("lunch",F98)),"Lunch Box", IF(ISNUMBER(SEARCH("cutlery",F98)),"Cutlery","Other")))))</f>
        <v>0</v>
      </c>
      <c r="I98">
        <f>IF('Raw Data'!G98&lt;&gt;'','Raw Data'!G98,IFERROR(MID(F98,SEARCH("MODEL",F98)+6,20),""))</f>
        <v>0</v>
      </c>
      <c r="J98">
        <f>'Raw Data'!H98</f>
        <v>0</v>
      </c>
      <c r="K98">
        <f>'Raw Data'!I98</f>
        <v>0</v>
      </c>
      <c r="L98">
        <f>IF('Raw Data'!N98&lt;&gt;0,'Raw Data'!N98,IFERROR(VALUE(MID(F98,SEARCH("QTY",F98)+4,IFERROR(FIND(" ",F98,SEARCH("QTY",F98)+4)-(SEARCH("QTY",F98)+4),3))),""))</f>
        <v>0</v>
      </c>
      <c r="M98">
        <f>'Raw Data'!O98</f>
        <v>0</v>
      </c>
      <c r="N98">
        <f>'Raw Data'!P98</f>
        <v>0</v>
      </c>
      <c r="O98">
        <f>'Raw Data'!Q98</f>
        <v>0</v>
      </c>
      <c r="P98">
        <f>'Raw Data'!R98</f>
        <v>0</v>
      </c>
      <c r="Q98">
        <f>'Raw Data'!S98</f>
        <v>0</v>
      </c>
      <c r="R98">
        <f>'Raw Data'!T98</f>
        <v>0</v>
      </c>
      <c r="S98">
        <f>IFERROR(O98,0)+IFERROR(R98,0)</f>
        <v>0</v>
      </c>
      <c r="T98">
        <f>IF(A98="","",YEAR(A98))</f>
        <v>0</v>
      </c>
    </row>
    <row r="99" spans="1:20">
      <c r="A99">
        <f>'Raw Data'!B99</f>
        <v>0</v>
      </c>
      <c r="B99">
        <f>'Raw Data'!A99</f>
        <v>0</v>
      </c>
      <c r="C99">
        <f>'Raw Data'!C99</f>
        <v>0</v>
      </c>
      <c r="D99">
        <f>'Raw Data'!D99</f>
        <v>0</v>
      </c>
      <c r="E99">
        <f>IFERROR(VLOOKUP(D99,'Lookup Tables'!$A:$B,2,FALSE),"Unknown")</f>
        <v>0</v>
      </c>
      <c r="F99">
        <f>'Raw Data'!E99</f>
        <v>0</v>
      </c>
      <c r="G99">
        <f>IFERROR(VLOOKUP(D99,'Lookup Tables'!$A:$C,3,FALSE),IF(ISNUMBER(SEARCH("STEEL",F99)),"Steel","Others"))</f>
        <v>0</v>
      </c>
      <c r="H99">
        <f>IF(ISNUMBER(SEARCH("scrubber",F99)) , "Scrubber", IF(ISNUMBER(SEARCH("container",F99)),"Container", IF(ISNUMBER(SEARCH("basket",F99)),"Basket", IF(ISNUMBER(SEARCH("lunch",F99)),"Lunch Box", IF(ISNUMBER(SEARCH("cutlery",F99)),"Cutlery","Other")))))</f>
        <v>0</v>
      </c>
      <c r="I99">
        <f>IF('Raw Data'!G99&lt;&gt;'','Raw Data'!G99,IFERROR(MID(F99,SEARCH("MODEL",F99)+6,20),""))</f>
        <v>0</v>
      </c>
      <c r="J99">
        <f>'Raw Data'!H99</f>
        <v>0</v>
      </c>
      <c r="K99">
        <f>'Raw Data'!I99</f>
        <v>0</v>
      </c>
      <c r="L99">
        <f>IF('Raw Data'!N99&lt;&gt;0,'Raw Data'!N99,IFERROR(VALUE(MID(F99,SEARCH("QTY",F99)+4,IFERROR(FIND(" ",F99,SEARCH("QTY",F99)+4)-(SEARCH("QTY",F99)+4),3))),""))</f>
        <v>0</v>
      </c>
      <c r="M99">
        <f>'Raw Data'!O99</f>
        <v>0</v>
      </c>
      <c r="N99">
        <f>'Raw Data'!P99</f>
        <v>0</v>
      </c>
      <c r="O99">
        <f>'Raw Data'!Q99</f>
        <v>0</v>
      </c>
      <c r="P99">
        <f>'Raw Data'!R99</f>
        <v>0</v>
      </c>
      <c r="Q99">
        <f>'Raw Data'!S99</f>
        <v>0</v>
      </c>
      <c r="R99">
        <f>'Raw Data'!T99</f>
        <v>0</v>
      </c>
      <c r="S99">
        <f>IFERROR(O99,0)+IFERROR(R99,0)</f>
        <v>0</v>
      </c>
      <c r="T99">
        <f>IF(A99="","",YEAR(A99))</f>
        <v>0</v>
      </c>
    </row>
    <row r="100" spans="1:20">
      <c r="A100">
        <f>'Raw Data'!B100</f>
        <v>0</v>
      </c>
      <c r="B100">
        <f>'Raw Data'!A100</f>
        <v>0</v>
      </c>
      <c r="C100">
        <f>'Raw Data'!C100</f>
        <v>0</v>
      </c>
      <c r="D100">
        <f>'Raw Data'!D100</f>
        <v>0</v>
      </c>
      <c r="E100">
        <f>IFERROR(VLOOKUP(D100,'Lookup Tables'!$A:$B,2,FALSE),"Unknown")</f>
        <v>0</v>
      </c>
      <c r="F100">
        <f>'Raw Data'!E100</f>
        <v>0</v>
      </c>
      <c r="G100">
        <f>IFERROR(VLOOKUP(D100,'Lookup Tables'!$A:$C,3,FALSE),IF(ISNUMBER(SEARCH("STEEL",F100)),"Steel","Others"))</f>
        <v>0</v>
      </c>
      <c r="H100">
        <f>IF(ISNUMBER(SEARCH("scrubber",F100)) , "Scrubber", IF(ISNUMBER(SEARCH("container",F100)),"Container", IF(ISNUMBER(SEARCH("basket",F100)),"Basket", IF(ISNUMBER(SEARCH("lunch",F100)),"Lunch Box", IF(ISNUMBER(SEARCH("cutlery",F100)),"Cutlery","Other")))))</f>
        <v>0</v>
      </c>
      <c r="I100">
        <f>IF('Raw Data'!G100&lt;&gt;'','Raw Data'!G100,IFERROR(MID(F100,SEARCH("MODEL",F100)+6,20),""))</f>
        <v>0</v>
      </c>
      <c r="J100">
        <f>'Raw Data'!H100</f>
        <v>0</v>
      </c>
      <c r="K100">
        <f>'Raw Data'!I100</f>
        <v>0</v>
      </c>
      <c r="L100">
        <f>IF('Raw Data'!N100&lt;&gt;0,'Raw Data'!N100,IFERROR(VALUE(MID(F100,SEARCH("QTY",F100)+4,IFERROR(FIND(" ",F100,SEARCH("QTY",F100)+4)-(SEARCH("QTY",F100)+4),3))),""))</f>
        <v>0</v>
      </c>
      <c r="M100">
        <f>'Raw Data'!O100</f>
        <v>0</v>
      </c>
      <c r="N100">
        <f>'Raw Data'!P100</f>
        <v>0</v>
      </c>
      <c r="O100">
        <f>'Raw Data'!Q100</f>
        <v>0</v>
      </c>
      <c r="P100">
        <f>'Raw Data'!R100</f>
        <v>0</v>
      </c>
      <c r="Q100">
        <f>'Raw Data'!S100</f>
        <v>0</v>
      </c>
      <c r="R100">
        <f>'Raw Data'!T100</f>
        <v>0</v>
      </c>
      <c r="S100">
        <f>IFERROR(O100,0)+IFERROR(R100,0)</f>
        <v>0</v>
      </c>
      <c r="T100">
        <f>IF(A100="","",YEAR(A100))</f>
        <v>0</v>
      </c>
    </row>
    <row r="101" spans="1:20">
      <c r="A101">
        <f>'Raw Data'!B101</f>
        <v>0</v>
      </c>
      <c r="B101">
        <f>'Raw Data'!A101</f>
        <v>0</v>
      </c>
      <c r="C101">
        <f>'Raw Data'!C101</f>
        <v>0</v>
      </c>
      <c r="D101">
        <f>'Raw Data'!D101</f>
        <v>0</v>
      </c>
      <c r="E101">
        <f>IFERROR(VLOOKUP(D101,'Lookup Tables'!$A:$B,2,FALSE),"Unknown")</f>
        <v>0</v>
      </c>
      <c r="F101">
        <f>'Raw Data'!E101</f>
        <v>0</v>
      </c>
      <c r="G101">
        <f>IFERROR(VLOOKUP(D101,'Lookup Tables'!$A:$C,3,FALSE),IF(ISNUMBER(SEARCH("STEEL",F101)),"Steel","Others"))</f>
        <v>0</v>
      </c>
      <c r="H101">
        <f>IF(ISNUMBER(SEARCH("scrubber",F101)) , "Scrubber", IF(ISNUMBER(SEARCH("container",F101)),"Container", IF(ISNUMBER(SEARCH("basket",F101)),"Basket", IF(ISNUMBER(SEARCH("lunch",F101)),"Lunch Box", IF(ISNUMBER(SEARCH("cutlery",F101)),"Cutlery","Other")))))</f>
        <v>0</v>
      </c>
      <c r="I101">
        <f>IF('Raw Data'!G101&lt;&gt;'','Raw Data'!G101,IFERROR(MID(F101,SEARCH("MODEL",F101)+6,20),""))</f>
        <v>0</v>
      </c>
      <c r="J101">
        <f>'Raw Data'!H101</f>
        <v>0</v>
      </c>
      <c r="K101">
        <f>'Raw Data'!I101</f>
        <v>0</v>
      </c>
      <c r="L101">
        <f>IF('Raw Data'!N101&lt;&gt;0,'Raw Data'!N101,IFERROR(VALUE(MID(F101,SEARCH("QTY",F101)+4,IFERROR(FIND(" ",F101,SEARCH("QTY",F101)+4)-(SEARCH("QTY",F101)+4),3))),""))</f>
        <v>0</v>
      </c>
      <c r="M101">
        <f>'Raw Data'!O101</f>
        <v>0</v>
      </c>
      <c r="N101">
        <f>'Raw Data'!P101</f>
        <v>0</v>
      </c>
      <c r="O101">
        <f>'Raw Data'!Q101</f>
        <v>0</v>
      </c>
      <c r="P101">
        <f>'Raw Data'!R101</f>
        <v>0</v>
      </c>
      <c r="Q101">
        <f>'Raw Data'!S101</f>
        <v>0</v>
      </c>
      <c r="R101">
        <f>'Raw Data'!T101</f>
        <v>0</v>
      </c>
      <c r="S101">
        <f>IFERROR(O101,0)+IFERROR(R101,0)</f>
        <v>0</v>
      </c>
      <c r="T101">
        <f>IF(A101="","",YEAR(A101))</f>
        <v>0</v>
      </c>
    </row>
    <row r="102" spans="1:20">
      <c r="A102">
        <f>'Raw Data'!B102</f>
        <v>0</v>
      </c>
      <c r="B102">
        <f>'Raw Data'!A102</f>
        <v>0</v>
      </c>
      <c r="C102">
        <f>'Raw Data'!C102</f>
        <v>0</v>
      </c>
      <c r="D102">
        <f>'Raw Data'!D102</f>
        <v>0</v>
      </c>
      <c r="E102">
        <f>IFERROR(VLOOKUP(D102,'Lookup Tables'!$A:$B,2,FALSE),"Unknown")</f>
        <v>0</v>
      </c>
      <c r="F102">
        <f>'Raw Data'!E102</f>
        <v>0</v>
      </c>
      <c r="G102">
        <f>IFERROR(VLOOKUP(D102,'Lookup Tables'!$A:$C,3,FALSE),IF(ISNUMBER(SEARCH("STEEL",F102)),"Steel","Others"))</f>
        <v>0</v>
      </c>
      <c r="H102">
        <f>IF(ISNUMBER(SEARCH("scrubber",F102)) , "Scrubber", IF(ISNUMBER(SEARCH("container",F102)),"Container", IF(ISNUMBER(SEARCH("basket",F102)),"Basket", IF(ISNUMBER(SEARCH("lunch",F102)),"Lunch Box", IF(ISNUMBER(SEARCH("cutlery",F102)),"Cutlery","Other")))))</f>
        <v>0</v>
      </c>
      <c r="I102">
        <f>IF('Raw Data'!G102&lt;&gt;'','Raw Data'!G102,IFERROR(MID(F102,SEARCH("MODEL",F102)+6,20),""))</f>
        <v>0</v>
      </c>
      <c r="J102">
        <f>'Raw Data'!H102</f>
        <v>0</v>
      </c>
      <c r="K102">
        <f>'Raw Data'!I102</f>
        <v>0</v>
      </c>
      <c r="L102">
        <f>IF('Raw Data'!N102&lt;&gt;0,'Raw Data'!N102,IFERROR(VALUE(MID(F102,SEARCH("QTY",F102)+4,IFERROR(FIND(" ",F102,SEARCH("QTY",F102)+4)-(SEARCH("QTY",F102)+4),3))),""))</f>
        <v>0</v>
      </c>
      <c r="M102">
        <f>'Raw Data'!O102</f>
        <v>0</v>
      </c>
      <c r="N102">
        <f>'Raw Data'!P102</f>
        <v>0</v>
      </c>
      <c r="O102">
        <f>'Raw Data'!Q102</f>
        <v>0</v>
      </c>
      <c r="P102">
        <f>'Raw Data'!R102</f>
        <v>0</v>
      </c>
      <c r="Q102">
        <f>'Raw Data'!S102</f>
        <v>0</v>
      </c>
      <c r="R102">
        <f>'Raw Data'!T102</f>
        <v>0</v>
      </c>
      <c r="S102">
        <f>IFERROR(O102,0)+IFERROR(R102,0)</f>
        <v>0</v>
      </c>
      <c r="T102">
        <f>IF(A102="","",YEAR(A102))</f>
        <v>0</v>
      </c>
    </row>
    <row r="103" spans="1:20">
      <c r="A103">
        <f>'Raw Data'!B103</f>
        <v>0</v>
      </c>
      <c r="B103">
        <f>'Raw Data'!A103</f>
        <v>0</v>
      </c>
      <c r="C103">
        <f>'Raw Data'!C103</f>
        <v>0</v>
      </c>
      <c r="D103">
        <f>'Raw Data'!D103</f>
        <v>0</v>
      </c>
      <c r="E103">
        <f>IFERROR(VLOOKUP(D103,'Lookup Tables'!$A:$B,2,FALSE),"Unknown")</f>
        <v>0</v>
      </c>
      <c r="F103">
        <f>'Raw Data'!E103</f>
        <v>0</v>
      </c>
      <c r="G103">
        <f>IFERROR(VLOOKUP(D103,'Lookup Tables'!$A:$C,3,FALSE),IF(ISNUMBER(SEARCH("STEEL",F103)),"Steel","Others"))</f>
        <v>0</v>
      </c>
      <c r="H103">
        <f>IF(ISNUMBER(SEARCH("scrubber",F103)) , "Scrubber", IF(ISNUMBER(SEARCH("container",F103)),"Container", IF(ISNUMBER(SEARCH("basket",F103)),"Basket", IF(ISNUMBER(SEARCH("lunch",F103)),"Lunch Box", IF(ISNUMBER(SEARCH("cutlery",F103)),"Cutlery","Other")))))</f>
        <v>0</v>
      </c>
      <c r="I103">
        <f>IF('Raw Data'!G103&lt;&gt;'','Raw Data'!G103,IFERROR(MID(F103,SEARCH("MODEL",F103)+6,20),""))</f>
        <v>0</v>
      </c>
      <c r="J103">
        <f>'Raw Data'!H103</f>
        <v>0</v>
      </c>
      <c r="K103">
        <f>'Raw Data'!I103</f>
        <v>0</v>
      </c>
      <c r="L103">
        <f>IF('Raw Data'!N103&lt;&gt;0,'Raw Data'!N103,IFERROR(VALUE(MID(F103,SEARCH("QTY",F103)+4,IFERROR(FIND(" ",F103,SEARCH("QTY",F103)+4)-(SEARCH("QTY",F103)+4),3))),""))</f>
        <v>0</v>
      </c>
      <c r="M103">
        <f>'Raw Data'!O103</f>
        <v>0</v>
      </c>
      <c r="N103">
        <f>'Raw Data'!P103</f>
        <v>0</v>
      </c>
      <c r="O103">
        <f>'Raw Data'!Q103</f>
        <v>0</v>
      </c>
      <c r="P103">
        <f>'Raw Data'!R103</f>
        <v>0</v>
      </c>
      <c r="Q103">
        <f>'Raw Data'!S103</f>
        <v>0</v>
      </c>
      <c r="R103">
        <f>'Raw Data'!T103</f>
        <v>0</v>
      </c>
      <c r="S103">
        <f>IFERROR(O103,0)+IFERROR(R103,0)</f>
        <v>0</v>
      </c>
      <c r="T103">
        <f>IF(A103="","",YEAR(A103))</f>
        <v>0</v>
      </c>
    </row>
    <row r="104" spans="1:20">
      <c r="A104">
        <f>'Raw Data'!B104</f>
        <v>0</v>
      </c>
      <c r="B104">
        <f>'Raw Data'!A104</f>
        <v>0</v>
      </c>
      <c r="C104">
        <f>'Raw Data'!C104</f>
        <v>0</v>
      </c>
      <c r="D104">
        <f>'Raw Data'!D104</f>
        <v>0</v>
      </c>
      <c r="E104">
        <f>IFERROR(VLOOKUP(D104,'Lookup Tables'!$A:$B,2,FALSE),"Unknown")</f>
        <v>0</v>
      </c>
      <c r="F104">
        <f>'Raw Data'!E104</f>
        <v>0</v>
      </c>
      <c r="G104">
        <f>IFERROR(VLOOKUP(D104,'Lookup Tables'!$A:$C,3,FALSE),IF(ISNUMBER(SEARCH("STEEL",F104)),"Steel","Others"))</f>
        <v>0</v>
      </c>
      <c r="H104">
        <f>IF(ISNUMBER(SEARCH("scrubber",F104)) , "Scrubber", IF(ISNUMBER(SEARCH("container",F104)),"Container", IF(ISNUMBER(SEARCH("basket",F104)),"Basket", IF(ISNUMBER(SEARCH("lunch",F104)),"Lunch Box", IF(ISNUMBER(SEARCH("cutlery",F104)),"Cutlery","Other")))))</f>
        <v>0</v>
      </c>
      <c r="I104">
        <f>IF('Raw Data'!G104&lt;&gt;'','Raw Data'!G104,IFERROR(MID(F104,SEARCH("MODEL",F104)+6,20),""))</f>
        <v>0</v>
      </c>
      <c r="J104">
        <f>'Raw Data'!H104</f>
        <v>0</v>
      </c>
      <c r="K104">
        <f>'Raw Data'!I104</f>
        <v>0</v>
      </c>
      <c r="L104">
        <f>IF('Raw Data'!N104&lt;&gt;0,'Raw Data'!N104,IFERROR(VALUE(MID(F104,SEARCH("QTY",F104)+4,IFERROR(FIND(" ",F104,SEARCH("QTY",F104)+4)-(SEARCH("QTY",F104)+4),3))),""))</f>
        <v>0</v>
      </c>
      <c r="M104">
        <f>'Raw Data'!O104</f>
        <v>0</v>
      </c>
      <c r="N104">
        <f>'Raw Data'!P104</f>
        <v>0</v>
      </c>
      <c r="O104">
        <f>'Raw Data'!Q104</f>
        <v>0</v>
      </c>
      <c r="P104">
        <f>'Raw Data'!R104</f>
        <v>0</v>
      </c>
      <c r="Q104">
        <f>'Raw Data'!S104</f>
        <v>0</v>
      </c>
      <c r="R104">
        <f>'Raw Data'!T104</f>
        <v>0</v>
      </c>
      <c r="S104">
        <f>IFERROR(O104,0)+IFERROR(R104,0)</f>
        <v>0</v>
      </c>
      <c r="T104">
        <f>IF(A104="","",YEAR(A104))</f>
        <v>0</v>
      </c>
    </row>
    <row r="105" spans="1:20">
      <c r="A105">
        <f>'Raw Data'!B105</f>
        <v>0</v>
      </c>
      <c r="B105">
        <f>'Raw Data'!A105</f>
        <v>0</v>
      </c>
      <c r="C105">
        <f>'Raw Data'!C105</f>
        <v>0</v>
      </c>
      <c r="D105">
        <f>'Raw Data'!D105</f>
        <v>0</v>
      </c>
      <c r="E105">
        <f>IFERROR(VLOOKUP(D105,'Lookup Tables'!$A:$B,2,FALSE),"Unknown")</f>
        <v>0</v>
      </c>
      <c r="F105">
        <f>'Raw Data'!E105</f>
        <v>0</v>
      </c>
      <c r="G105">
        <f>IFERROR(VLOOKUP(D105,'Lookup Tables'!$A:$C,3,FALSE),IF(ISNUMBER(SEARCH("STEEL",F105)),"Steel","Others"))</f>
        <v>0</v>
      </c>
      <c r="H105">
        <f>IF(ISNUMBER(SEARCH("scrubber",F105)) , "Scrubber", IF(ISNUMBER(SEARCH("container",F105)),"Container", IF(ISNUMBER(SEARCH("basket",F105)),"Basket", IF(ISNUMBER(SEARCH("lunch",F105)),"Lunch Box", IF(ISNUMBER(SEARCH("cutlery",F105)),"Cutlery","Other")))))</f>
        <v>0</v>
      </c>
      <c r="I105">
        <f>IF('Raw Data'!G105&lt;&gt;'','Raw Data'!G105,IFERROR(MID(F105,SEARCH("MODEL",F105)+6,20),""))</f>
        <v>0</v>
      </c>
      <c r="J105">
        <f>'Raw Data'!H105</f>
        <v>0</v>
      </c>
      <c r="K105">
        <f>'Raw Data'!I105</f>
        <v>0</v>
      </c>
      <c r="L105">
        <f>IF('Raw Data'!N105&lt;&gt;0,'Raw Data'!N105,IFERROR(VALUE(MID(F105,SEARCH("QTY",F105)+4,IFERROR(FIND(" ",F105,SEARCH("QTY",F105)+4)-(SEARCH("QTY",F105)+4),3))),""))</f>
        <v>0</v>
      </c>
      <c r="M105">
        <f>'Raw Data'!O105</f>
        <v>0</v>
      </c>
      <c r="N105">
        <f>'Raw Data'!P105</f>
        <v>0</v>
      </c>
      <c r="O105">
        <f>'Raw Data'!Q105</f>
        <v>0</v>
      </c>
      <c r="P105">
        <f>'Raw Data'!R105</f>
        <v>0</v>
      </c>
      <c r="Q105">
        <f>'Raw Data'!S105</f>
        <v>0</v>
      </c>
      <c r="R105">
        <f>'Raw Data'!T105</f>
        <v>0</v>
      </c>
      <c r="S105">
        <f>IFERROR(O105,0)+IFERROR(R105,0)</f>
        <v>0</v>
      </c>
      <c r="T105">
        <f>IF(A105="","",YEAR(A105))</f>
        <v>0</v>
      </c>
    </row>
    <row r="106" spans="1:20">
      <c r="A106">
        <f>'Raw Data'!B106</f>
        <v>0</v>
      </c>
      <c r="B106">
        <f>'Raw Data'!A106</f>
        <v>0</v>
      </c>
      <c r="C106">
        <f>'Raw Data'!C106</f>
        <v>0</v>
      </c>
      <c r="D106">
        <f>'Raw Data'!D106</f>
        <v>0</v>
      </c>
      <c r="E106">
        <f>IFERROR(VLOOKUP(D106,'Lookup Tables'!$A:$B,2,FALSE),"Unknown")</f>
        <v>0</v>
      </c>
      <c r="F106">
        <f>'Raw Data'!E106</f>
        <v>0</v>
      </c>
      <c r="G106">
        <f>IFERROR(VLOOKUP(D106,'Lookup Tables'!$A:$C,3,FALSE),IF(ISNUMBER(SEARCH("STEEL",F106)),"Steel","Others"))</f>
        <v>0</v>
      </c>
      <c r="H106">
        <f>IF(ISNUMBER(SEARCH("scrubber",F106)) , "Scrubber", IF(ISNUMBER(SEARCH("container",F106)),"Container", IF(ISNUMBER(SEARCH("basket",F106)),"Basket", IF(ISNUMBER(SEARCH("lunch",F106)),"Lunch Box", IF(ISNUMBER(SEARCH("cutlery",F106)),"Cutlery","Other")))))</f>
        <v>0</v>
      </c>
      <c r="I106">
        <f>IF('Raw Data'!G106&lt;&gt;'','Raw Data'!G106,IFERROR(MID(F106,SEARCH("MODEL",F106)+6,20),""))</f>
        <v>0</v>
      </c>
      <c r="J106">
        <f>'Raw Data'!H106</f>
        <v>0</v>
      </c>
      <c r="K106">
        <f>'Raw Data'!I106</f>
        <v>0</v>
      </c>
      <c r="L106">
        <f>IF('Raw Data'!N106&lt;&gt;0,'Raw Data'!N106,IFERROR(VALUE(MID(F106,SEARCH("QTY",F106)+4,IFERROR(FIND(" ",F106,SEARCH("QTY",F106)+4)-(SEARCH("QTY",F106)+4),3))),""))</f>
        <v>0</v>
      </c>
      <c r="M106">
        <f>'Raw Data'!O106</f>
        <v>0</v>
      </c>
      <c r="N106">
        <f>'Raw Data'!P106</f>
        <v>0</v>
      </c>
      <c r="O106">
        <f>'Raw Data'!Q106</f>
        <v>0</v>
      </c>
      <c r="P106">
        <f>'Raw Data'!R106</f>
        <v>0</v>
      </c>
      <c r="Q106">
        <f>'Raw Data'!S106</f>
        <v>0</v>
      </c>
      <c r="R106">
        <f>'Raw Data'!T106</f>
        <v>0</v>
      </c>
      <c r="S106">
        <f>IFERROR(O106,0)+IFERROR(R106,0)</f>
        <v>0</v>
      </c>
      <c r="T106">
        <f>IF(A106="","",YEAR(A106))</f>
        <v>0</v>
      </c>
    </row>
    <row r="107" spans="1:20">
      <c r="A107">
        <f>'Raw Data'!B107</f>
        <v>0</v>
      </c>
      <c r="B107">
        <f>'Raw Data'!A107</f>
        <v>0</v>
      </c>
      <c r="C107">
        <f>'Raw Data'!C107</f>
        <v>0</v>
      </c>
      <c r="D107">
        <f>'Raw Data'!D107</f>
        <v>0</v>
      </c>
      <c r="E107">
        <f>IFERROR(VLOOKUP(D107,'Lookup Tables'!$A:$B,2,FALSE),"Unknown")</f>
        <v>0</v>
      </c>
      <c r="F107">
        <f>'Raw Data'!E107</f>
        <v>0</v>
      </c>
      <c r="G107">
        <f>IFERROR(VLOOKUP(D107,'Lookup Tables'!$A:$C,3,FALSE),IF(ISNUMBER(SEARCH("STEEL",F107)),"Steel","Others"))</f>
        <v>0</v>
      </c>
      <c r="H107">
        <f>IF(ISNUMBER(SEARCH("scrubber",F107)) , "Scrubber", IF(ISNUMBER(SEARCH("container",F107)),"Container", IF(ISNUMBER(SEARCH("basket",F107)),"Basket", IF(ISNUMBER(SEARCH("lunch",F107)),"Lunch Box", IF(ISNUMBER(SEARCH("cutlery",F107)),"Cutlery","Other")))))</f>
        <v>0</v>
      </c>
      <c r="I107">
        <f>IF('Raw Data'!G107&lt;&gt;'','Raw Data'!G107,IFERROR(MID(F107,SEARCH("MODEL",F107)+6,20),""))</f>
        <v>0</v>
      </c>
      <c r="J107">
        <f>'Raw Data'!H107</f>
        <v>0</v>
      </c>
      <c r="K107">
        <f>'Raw Data'!I107</f>
        <v>0</v>
      </c>
      <c r="L107">
        <f>IF('Raw Data'!N107&lt;&gt;0,'Raw Data'!N107,IFERROR(VALUE(MID(F107,SEARCH("QTY",F107)+4,IFERROR(FIND(" ",F107,SEARCH("QTY",F107)+4)-(SEARCH("QTY",F107)+4),3))),""))</f>
        <v>0</v>
      </c>
      <c r="M107">
        <f>'Raw Data'!O107</f>
        <v>0</v>
      </c>
      <c r="N107">
        <f>'Raw Data'!P107</f>
        <v>0</v>
      </c>
      <c r="O107">
        <f>'Raw Data'!Q107</f>
        <v>0</v>
      </c>
      <c r="P107">
        <f>'Raw Data'!R107</f>
        <v>0</v>
      </c>
      <c r="Q107">
        <f>'Raw Data'!S107</f>
        <v>0</v>
      </c>
      <c r="R107">
        <f>'Raw Data'!T107</f>
        <v>0</v>
      </c>
      <c r="S107">
        <f>IFERROR(O107,0)+IFERROR(R107,0)</f>
        <v>0</v>
      </c>
      <c r="T107">
        <f>IF(A107="","",YEAR(A107))</f>
        <v>0</v>
      </c>
    </row>
    <row r="108" spans="1:20">
      <c r="A108">
        <f>'Raw Data'!B108</f>
        <v>0</v>
      </c>
      <c r="B108">
        <f>'Raw Data'!A108</f>
        <v>0</v>
      </c>
      <c r="C108">
        <f>'Raw Data'!C108</f>
        <v>0</v>
      </c>
      <c r="D108">
        <f>'Raw Data'!D108</f>
        <v>0</v>
      </c>
      <c r="E108">
        <f>IFERROR(VLOOKUP(D108,'Lookup Tables'!$A:$B,2,FALSE),"Unknown")</f>
        <v>0</v>
      </c>
      <c r="F108">
        <f>'Raw Data'!E108</f>
        <v>0</v>
      </c>
      <c r="G108">
        <f>IFERROR(VLOOKUP(D108,'Lookup Tables'!$A:$C,3,FALSE),IF(ISNUMBER(SEARCH("STEEL",F108)),"Steel","Others"))</f>
        <v>0</v>
      </c>
      <c r="H108">
        <f>IF(ISNUMBER(SEARCH("scrubber",F108)) , "Scrubber", IF(ISNUMBER(SEARCH("container",F108)),"Container", IF(ISNUMBER(SEARCH("basket",F108)),"Basket", IF(ISNUMBER(SEARCH("lunch",F108)),"Lunch Box", IF(ISNUMBER(SEARCH("cutlery",F108)),"Cutlery","Other")))))</f>
        <v>0</v>
      </c>
      <c r="I108">
        <f>IF('Raw Data'!G108&lt;&gt;'','Raw Data'!G108,IFERROR(MID(F108,SEARCH("MODEL",F108)+6,20),""))</f>
        <v>0</v>
      </c>
      <c r="J108">
        <f>'Raw Data'!H108</f>
        <v>0</v>
      </c>
      <c r="K108">
        <f>'Raw Data'!I108</f>
        <v>0</v>
      </c>
      <c r="L108">
        <f>IF('Raw Data'!N108&lt;&gt;0,'Raw Data'!N108,IFERROR(VALUE(MID(F108,SEARCH("QTY",F108)+4,IFERROR(FIND(" ",F108,SEARCH("QTY",F108)+4)-(SEARCH("QTY",F108)+4),3))),""))</f>
        <v>0</v>
      </c>
      <c r="M108">
        <f>'Raw Data'!O108</f>
        <v>0</v>
      </c>
      <c r="N108">
        <f>'Raw Data'!P108</f>
        <v>0</v>
      </c>
      <c r="O108">
        <f>'Raw Data'!Q108</f>
        <v>0</v>
      </c>
      <c r="P108">
        <f>'Raw Data'!R108</f>
        <v>0</v>
      </c>
      <c r="Q108">
        <f>'Raw Data'!S108</f>
        <v>0</v>
      </c>
      <c r="R108">
        <f>'Raw Data'!T108</f>
        <v>0</v>
      </c>
      <c r="S108">
        <f>IFERROR(O108,0)+IFERROR(R108,0)</f>
        <v>0</v>
      </c>
      <c r="T108">
        <f>IF(A108="","",YEAR(A108))</f>
        <v>0</v>
      </c>
    </row>
    <row r="109" spans="1:20">
      <c r="A109">
        <f>'Raw Data'!B109</f>
        <v>0</v>
      </c>
      <c r="B109">
        <f>'Raw Data'!A109</f>
        <v>0</v>
      </c>
      <c r="C109">
        <f>'Raw Data'!C109</f>
        <v>0</v>
      </c>
      <c r="D109">
        <f>'Raw Data'!D109</f>
        <v>0</v>
      </c>
      <c r="E109">
        <f>IFERROR(VLOOKUP(D109,'Lookup Tables'!$A:$B,2,FALSE),"Unknown")</f>
        <v>0</v>
      </c>
      <c r="F109">
        <f>'Raw Data'!E109</f>
        <v>0</v>
      </c>
      <c r="G109">
        <f>IFERROR(VLOOKUP(D109,'Lookup Tables'!$A:$C,3,FALSE),IF(ISNUMBER(SEARCH("STEEL",F109)),"Steel","Others"))</f>
        <v>0</v>
      </c>
      <c r="H109">
        <f>IF(ISNUMBER(SEARCH("scrubber",F109)) , "Scrubber", IF(ISNUMBER(SEARCH("container",F109)),"Container", IF(ISNUMBER(SEARCH("basket",F109)),"Basket", IF(ISNUMBER(SEARCH("lunch",F109)),"Lunch Box", IF(ISNUMBER(SEARCH("cutlery",F109)),"Cutlery","Other")))))</f>
        <v>0</v>
      </c>
      <c r="I109">
        <f>IF('Raw Data'!G109&lt;&gt;'','Raw Data'!G109,IFERROR(MID(F109,SEARCH("MODEL",F109)+6,20),""))</f>
        <v>0</v>
      </c>
      <c r="J109">
        <f>'Raw Data'!H109</f>
        <v>0</v>
      </c>
      <c r="K109">
        <f>'Raw Data'!I109</f>
        <v>0</v>
      </c>
      <c r="L109">
        <f>IF('Raw Data'!N109&lt;&gt;0,'Raw Data'!N109,IFERROR(VALUE(MID(F109,SEARCH("QTY",F109)+4,IFERROR(FIND(" ",F109,SEARCH("QTY",F109)+4)-(SEARCH("QTY",F109)+4),3))),""))</f>
        <v>0</v>
      </c>
      <c r="M109">
        <f>'Raw Data'!O109</f>
        <v>0</v>
      </c>
      <c r="N109">
        <f>'Raw Data'!P109</f>
        <v>0</v>
      </c>
      <c r="O109">
        <f>'Raw Data'!Q109</f>
        <v>0</v>
      </c>
      <c r="P109">
        <f>'Raw Data'!R109</f>
        <v>0</v>
      </c>
      <c r="Q109">
        <f>'Raw Data'!S109</f>
        <v>0</v>
      </c>
      <c r="R109">
        <f>'Raw Data'!T109</f>
        <v>0</v>
      </c>
      <c r="S109">
        <f>IFERROR(O109,0)+IFERROR(R109,0)</f>
        <v>0</v>
      </c>
      <c r="T109">
        <f>IF(A109="","",YEAR(A109))</f>
        <v>0</v>
      </c>
    </row>
    <row r="110" spans="1:20">
      <c r="A110">
        <f>'Raw Data'!B110</f>
        <v>0</v>
      </c>
      <c r="B110">
        <f>'Raw Data'!A110</f>
        <v>0</v>
      </c>
      <c r="C110">
        <f>'Raw Data'!C110</f>
        <v>0</v>
      </c>
      <c r="D110">
        <f>'Raw Data'!D110</f>
        <v>0</v>
      </c>
      <c r="E110">
        <f>IFERROR(VLOOKUP(D110,'Lookup Tables'!$A:$B,2,FALSE),"Unknown")</f>
        <v>0</v>
      </c>
      <c r="F110">
        <f>'Raw Data'!E110</f>
        <v>0</v>
      </c>
      <c r="G110">
        <f>IFERROR(VLOOKUP(D110,'Lookup Tables'!$A:$C,3,FALSE),IF(ISNUMBER(SEARCH("STEEL",F110)),"Steel","Others"))</f>
        <v>0</v>
      </c>
      <c r="H110">
        <f>IF(ISNUMBER(SEARCH("scrubber",F110)) , "Scrubber", IF(ISNUMBER(SEARCH("container",F110)),"Container", IF(ISNUMBER(SEARCH("basket",F110)),"Basket", IF(ISNUMBER(SEARCH("lunch",F110)),"Lunch Box", IF(ISNUMBER(SEARCH("cutlery",F110)),"Cutlery","Other")))))</f>
        <v>0</v>
      </c>
      <c r="I110">
        <f>IF('Raw Data'!G110&lt;&gt;'','Raw Data'!G110,IFERROR(MID(F110,SEARCH("MODEL",F110)+6,20),""))</f>
        <v>0</v>
      </c>
      <c r="J110">
        <f>'Raw Data'!H110</f>
        <v>0</v>
      </c>
      <c r="K110">
        <f>'Raw Data'!I110</f>
        <v>0</v>
      </c>
      <c r="L110">
        <f>IF('Raw Data'!N110&lt;&gt;0,'Raw Data'!N110,IFERROR(VALUE(MID(F110,SEARCH("QTY",F110)+4,IFERROR(FIND(" ",F110,SEARCH("QTY",F110)+4)-(SEARCH("QTY",F110)+4),3))),""))</f>
        <v>0</v>
      </c>
      <c r="M110">
        <f>'Raw Data'!O110</f>
        <v>0</v>
      </c>
      <c r="N110">
        <f>'Raw Data'!P110</f>
        <v>0</v>
      </c>
      <c r="O110">
        <f>'Raw Data'!Q110</f>
        <v>0</v>
      </c>
      <c r="P110">
        <f>'Raw Data'!R110</f>
        <v>0</v>
      </c>
      <c r="Q110">
        <f>'Raw Data'!S110</f>
        <v>0</v>
      </c>
      <c r="R110">
        <f>'Raw Data'!T110</f>
        <v>0</v>
      </c>
      <c r="S110">
        <f>IFERROR(O110,0)+IFERROR(R110,0)</f>
        <v>0</v>
      </c>
      <c r="T110">
        <f>IF(A110="","",YEAR(A110))</f>
        <v>0</v>
      </c>
    </row>
    <row r="111" spans="1:20">
      <c r="A111">
        <f>'Raw Data'!B111</f>
        <v>0</v>
      </c>
      <c r="B111">
        <f>'Raw Data'!A111</f>
        <v>0</v>
      </c>
      <c r="C111">
        <f>'Raw Data'!C111</f>
        <v>0</v>
      </c>
      <c r="D111">
        <f>'Raw Data'!D111</f>
        <v>0</v>
      </c>
      <c r="E111">
        <f>IFERROR(VLOOKUP(D111,'Lookup Tables'!$A:$B,2,FALSE),"Unknown")</f>
        <v>0</v>
      </c>
      <c r="F111">
        <f>'Raw Data'!E111</f>
        <v>0</v>
      </c>
      <c r="G111">
        <f>IFERROR(VLOOKUP(D111,'Lookup Tables'!$A:$C,3,FALSE),IF(ISNUMBER(SEARCH("STEEL",F111)),"Steel","Others"))</f>
        <v>0</v>
      </c>
      <c r="H111">
        <f>IF(ISNUMBER(SEARCH("scrubber",F111)) , "Scrubber", IF(ISNUMBER(SEARCH("container",F111)),"Container", IF(ISNUMBER(SEARCH("basket",F111)),"Basket", IF(ISNUMBER(SEARCH("lunch",F111)),"Lunch Box", IF(ISNUMBER(SEARCH("cutlery",F111)),"Cutlery","Other")))))</f>
        <v>0</v>
      </c>
      <c r="I111">
        <f>IF('Raw Data'!G111&lt;&gt;'','Raw Data'!G111,IFERROR(MID(F111,SEARCH("MODEL",F111)+6,20),""))</f>
        <v>0</v>
      </c>
      <c r="J111">
        <f>'Raw Data'!H111</f>
        <v>0</v>
      </c>
      <c r="K111">
        <f>'Raw Data'!I111</f>
        <v>0</v>
      </c>
      <c r="L111">
        <f>IF('Raw Data'!N111&lt;&gt;0,'Raw Data'!N111,IFERROR(VALUE(MID(F111,SEARCH("QTY",F111)+4,IFERROR(FIND(" ",F111,SEARCH("QTY",F111)+4)-(SEARCH("QTY",F111)+4),3))),""))</f>
        <v>0</v>
      </c>
      <c r="M111">
        <f>'Raw Data'!O111</f>
        <v>0</v>
      </c>
      <c r="N111">
        <f>'Raw Data'!P111</f>
        <v>0</v>
      </c>
      <c r="O111">
        <f>'Raw Data'!Q111</f>
        <v>0</v>
      </c>
      <c r="P111">
        <f>'Raw Data'!R111</f>
        <v>0</v>
      </c>
      <c r="Q111">
        <f>'Raw Data'!S111</f>
        <v>0</v>
      </c>
      <c r="R111">
        <f>'Raw Data'!T111</f>
        <v>0</v>
      </c>
      <c r="S111">
        <f>IFERROR(O111,0)+IFERROR(R111,0)</f>
        <v>0</v>
      </c>
      <c r="T111">
        <f>IF(A111="","",YEAR(A111))</f>
        <v>0</v>
      </c>
    </row>
    <row r="112" spans="1:20">
      <c r="A112">
        <f>'Raw Data'!B112</f>
        <v>0</v>
      </c>
      <c r="B112">
        <f>'Raw Data'!A112</f>
        <v>0</v>
      </c>
      <c r="C112">
        <f>'Raw Data'!C112</f>
        <v>0</v>
      </c>
      <c r="D112">
        <f>'Raw Data'!D112</f>
        <v>0</v>
      </c>
      <c r="E112">
        <f>IFERROR(VLOOKUP(D112,'Lookup Tables'!$A:$B,2,FALSE),"Unknown")</f>
        <v>0</v>
      </c>
      <c r="F112">
        <f>'Raw Data'!E112</f>
        <v>0</v>
      </c>
      <c r="G112">
        <f>IFERROR(VLOOKUP(D112,'Lookup Tables'!$A:$C,3,FALSE),IF(ISNUMBER(SEARCH("STEEL",F112)),"Steel","Others"))</f>
        <v>0</v>
      </c>
      <c r="H112">
        <f>IF(ISNUMBER(SEARCH("scrubber",F112)) , "Scrubber", IF(ISNUMBER(SEARCH("container",F112)),"Container", IF(ISNUMBER(SEARCH("basket",F112)),"Basket", IF(ISNUMBER(SEARCH("lunch",F112)),"Lunch Box", IF(ISNUMBER(SEARCH("cutlery",F112)),"Cutlery","Other")))))</f>
        <v>0</v>
      </c>
      <c r="I112">
        <f>IF('Raw Data'!G112&lt;&gt;'','Raw Data'!G112,IFERROR(MID(F112,SEARCH("MODEL",F112)+6,20),""))</f>
        <v>0</v>
      </c>
      <c r="J112">
        <f>'Raw Data'!H112</f>
        <v>0</v>
      </c>
      <c r="K112">
        <f>'Raw Data'!I112</f>
        <v>0</v>
      </c>
      <c r="L112">
        <f>IF('Raw Data'!N112&lt;&gt;0,'Raw Data'!N112,IFERROR(VALUE(MID(F112,SEARCH("QTY",F112)+4,IFERROR(FIND(" ",F112,SEARCH("QTY",F112)+4)-(SEARCH("QTY",F112)+4),3))),""))</f>
        <v>0</v>
      </c>
      <c r="M112">
        <f>'Raw Data'!O112</f>
        <v>0</v>
      </c>
      <c r="N112">
        <f>'Raw Data'!P112</f>
        <v>0</v>
      </c>
      <c r="O112">
        <f>'Raw Data'!Q112</f>
        <v>0</v>
      </c>
      <c r="P112">
        <f>'Raw Data'!R112</f>
        <v>0</v>
      </c>
      <c r="Q112">
        <f>'Raw Data'!S112</f>
        <v>0</v>
      </c>
      <c r="R112">
        <f>'Raw Data'!T112</f>
        <v>0</v>
      </c>
      <c r="S112">
        <f>IFERROR(O112,0)+IFERROR(R112,0)</f>
        <v>0</v>
      </c>
      <c r="T112">
        <f>IF(A112="","",YEAR(A112))</f>
        <v>0</v>
      </c>
    </row>
    <row r="113" spans="1:20">
      <c r="A113">
        <f>'Raw Data'!B113</f>
        <v>0</v>
      </c>
      <c r="B113">
        <f>'Raw Data'!A113</f>
        <v>0</v>
      </c>
      <c r="C113">
        <f>'Raw Data'!C113</f>
        <v>0</v>
      </c>
      <c r="D113">
        <f>'Raw Data'!D113</f>
        <v>0</v>
      </c>
      <c r="E113">
        <f>IFERROR(VLOOKUP(D113,'Lookup Tables'!$A:$B,2,FALSE),"Unknown")</f>
        <v>0</v>
      </c>
      <c r="F113">
        <f>'Raw Data'!E113</f>
        <v>0</v>
      </c>
      <c r="G113">
        <f>IFERROR(VLOOKUP(D113,'Lookup Tables'!$A:$C,3,FALSE),IF(ISNUMBER(SEARCH("STEEL",F113)),"Steel","Others"))</f>
        <v>0</v>
      </c>
      <c r="H113">
        <f>IF(ISNUMBER(SEARCH("scrubber",F113)) , "Scrubber", IF(ISNUMBER(SEARCH("container",F113)),"Container", IF(ISNUMBER(SEARCH("basket",F113)),"Basket", IF(ISNUMBER(SEARCH("lunch",F113)),"Lunch Box", IF(ISNUMBER(SEARCH("cutlery",F113)),"Cutlery","Other")))))</f>
        <v>0</v>
      </c>
      <c r="I113">
        <f>IF('Raw Data'!G113&lt;&gt;'','Raw Data'!G113,IFERROR(MID(F113,SEARCH("MODEL",F113)+6,20),""))</f>
        <v>0</v>
      </c>
      <c r="J113">
        <f>'Raw Data'!H113</f>
        <v>0</v>
      </c>
      <c r="K113">
        <f>'Raw Data'!I113</f>
        <v>0</v>
      </c>
      <c r="L113">
        <f>IF('Raw Data'!N113&lt;&gt;0,'Raw Data'!N113,IFERROR(VALUE(MID(F113,SEARCH("QTY",F113)+4,IFERROR(FIND(" ",F113,SEARCH("QTY",F113)+4)-(SEARCH("QTY",F113)+4),3))),""))</f>
        <v>0</v>
      </c>
      <c r="M113">
        <f>'Raw Data'!O113</f>
        <v>0</v>
      </c>
      <c r="N113">
        <f>'Raw Data'!P113</f>
        <v>0</v>
      </c>
      <c r="O113">
        <f>'Raw Data'!Q113</f>
        <v>0</v>
      </c>
      <c r="P113">
        <f>'Raw Data'!R113</f>
        <v>0</v>
      </c>
      <c r="Q113">
        <f>'Raw Data'!S113</f>
        <v>0</v>
      </c>
      <c r="R113">
        <f>'Raw Data'!T113</f>
        <v>0</v>
      </c>
      <c r="S113">
        <f>IFERROR(O113,0)+IFERROR(R113,0)</f>
        <v>0</v>
      </c>
      <c r="T113">
        <f>IF(A113="","",YEAR(A113))</f>
        <v>0</v>
      </c>
    </row>
    <row r="114" spans="1:20">
      <c r="A114">
        <f>'Raw Data'!B114</f>
        <v>0</v>
      </c>
      <c r="B114">
        <f>'Raw Data'!A114</f>
        <v>0</v>
      </c>
      <c r="C114">
        <f>'Raw Data'!C114</f>
        <v>0</v>
      </c>
      <c r="D114">
        <f>'Raw Data'!D114</f>
        <v>0</v>
      </c>
      <c r="E114">
        <f>IFERROR(VLOOKUP(D114,'Lookup Tables'!$A:$B,2,FALSE),"Unknown")</f>
        <v>0</v>
      </c>
      <c r="F114">
        <f>'Raw Data'!E114</f>
        <v>0</v>
      </c>
      <c r="G114">
        <f>IFERROR(VLOOKUP(D114,'Lookup Tables'!$A:$C,3,FALSE),IF(ISNUMBER(SEARCH("STEEL",F114)),"Steel","Others"))</f>
        <v>0</v>
      </c>
      <c r="H114">
        <f>IF(ISNUMBER(SEARCH("scrubber",F114)) , "Scrubber", IF(ISNUMBER(SEARCH("container",F114)),"Container", IF(ISNUMBER(SEARCH("basket",F114)),"Basket", IF(ISNUMBER(SEARCH("lunch",F114)),"Lunch Box", IF(ISNUMBER(SEARCH("cutlery",F114)),"Cutlery","Other")))))</f>
        <v>0</v>
      </c>
      <c r="I114">
        <f>IF('Raw Data'!G114&lt;&gt;'','Raw Data'!G114,IFERROR(MID(F114,SEARCH("MODEL",F114)+6,20),""))</f>
        <v>0</v>
      </c>
      <c r="J114">
        <f>'Raw Data'!H114</f>
        <v>0</v>
      </c>
      <c r="K114">
        <f>'Raw Data'!I114</f>
        <v>0</v>
      </c>
      <c r="L114">
        <f>IF('Raw Data'!N114&lt;&gt;0,'Raw Data'!N114,IFERROR(VALUE(MID(F114,SEARCH("QTY",F114)+4,IFERROR(FIND(" ",F114,SEARCH("QTY",F114)+4)-(SEARCH("QTY",F114)+4),3))),""))</f>
        <v>0</v>
      </c>
      <c r="M114">
        <f>'Raw Data'!O114</f>
        <v>0</v>
      </c>
      <c r="N114">
        <f>'Raw Data'!P114</f>
        <v>0</v>
      </c>
      <c r="O114">
        <f>'Raw Data'!Q114</f>
        <v>0</v>
      </c>
      <c r="P114">
        <f>'Raw Data'!R114</f>
        <v>0</v>
      </c>
      <c r="Q114">
        <f>'Raw Data'!S114</f>
        <v>0</v>
      </c>
      <c r="R114">
        <f>'Raw Data'!T114</f>
        <v>0</v>
      </c>
      <c r="S114">
        <f>IFERROR(O114,0)+IFERROR(R114,0)</f>
        <v>0</v>
      </c>
      <c r="T114">
        <f>IF(A114="","",YEAR(A114))</f>
        <v>0</v>
      </c>
    </row>
    <row r="115" spans="1:20">
      <c r="A115">
        <f>'Raw Data'!B115</f>
        <v>0</v>
      </c>
      <c r="B115">
        <f>'Raw Data'!A115</f>
        <v>0</v>
      </c>
      <c r="C115">
        <f>'Raw Data'!C115</f>
        <v>0</v>
      </c>
      <c r="D115">
        <f>'Raw Data'!D115</f>
        <v>0</v>
      </c>
      <c r="E115">
        <f>IFERROR(VLOOKUP(D115,'Lookup Tables'!$A:$B,2,FALSE),"Unknown")</f>
        <v>0</v>
      </c>
      <c r="F115">
        <f>'Raw Data'!E115</f>
        <v>0</v>
      </c>
      <c r="G115">
        <f>IFERROR(VLOOKUP(D115,'Lookup Tables'!$A:$C,3,FALSE),IF(ISNUMBER(SEARCH("STEEL",F115)),"Steel","Others"))</f>
        <v>0</v>
      </c>
      <c r="H115">
        <f>IF(ISNUMBER(SEARCH("scrubber",F115)) , "Scrubber", IF(ISNUMBER(SEARCH("container",F115)),"Container", IF(ISNUMBER(SEARCH("basket",F115)),"Basket", IF(ISNUMBER(SEARCH("lunch",F115)),"Lunch Box", IF(ISNUMBER(SEARCH("cutlery",F115)),"Cutlery","Other")))))</f>
        <v>0</v>
      </c>
      <c r="I115">
        <f>IF('Raw Data'!G115&lt;&gt;'','Raw Data'!G115,IFERROR(MID(F115,SEARCH("MODEL",F115)+6,20),""))</f>
        <v>0</v>
      </c>
      <c r="J115">
        <f>'Raw Data'!H115</f>
        <v>0</v>
      </c>
      <c r="K115">
        <f>'Raw Data'!I115</f>
        <v>0</v>
      </c>
      <c r="L115">
        <f>IF('Raw Data'!N115&lt;&gt;0,'Raw Data'!N115,IFERROR(VALUE(MID(F115,SEARCH("QTY",F115)+4,IFERROR(FIND(" ",F115,SEARCH("QTY",F115)+4)-(SEARCH("QTY",F115)+4),3))),""))</f>
        <v>0</v>
      </c>
      <c r="M115">
        <f>'Raw Data'!O115</f>
        <v>0</v>
      </c>
      <c r="N115">
        <f>'Raw Data'!P115</f>
        <v>0</v>
      </c>
      <c r="O115">
        <f>'Raw Data'!Q115</f>
        <v>0</v>
      </c>
      <c r="P115">
        <f>'Raw Data'!R115</f>
        <v>0</v>
      </c>
      <c r="Q115">
        <f>'Raw Data'!S115</f>
        <v>0</v>
      </c>
      <c r="R115">
        <f>'Raw Data'!T115</f>
        <v>0</v>
      </c>
      <c r="S115">
        <f>IFERROR(O115,0)+IFERROR(R115,0)</f>
        <v>0</v>
      </c>
      <c r="T115">
        <f>IF(A115="","",YEAR(A115))</f>
        <v>0</v>
      </c>
    </row>
    <row r="116" spans="1:20">
      <c r="A116">
        <f>'Raw Data'!B116</f>
        <v>0</v>
      </c>
      <c r="B116">
        <f>'Raw Data'!A116</f>
        <v>0</v>
      </c>
      <c r="C116">
        <f>'Raw Data'!C116</f>
        <v>0</v>
      </c>
      <c r="D116">
        <f>'Raw Data'!D116</f>
        <v>0</v>
      </c>
      <c r="E116">
        <f>IFERROR(VLOOKUP(D116,'Lookup Tables'!$A:$B,2,FALSE),"Unknown")</f>
        <v>0</v>
      </c>
      <c r="F116">
        <f>'Raw Data'!E116</f>
        <v>0</v>
      </c>
      <c r="G116">
        <f>IFERROR(VLOOKUP(D116,'Lookup Tables'!$A:$C,3,FALSE),IF(ISNUMBER(SEARCH("STEEL",F116)),"Steel","Others"))</f>
        <v>0</v>
      </c>
      <c r="H116">
        <f>IF(ISNUMBER(SEARCH("scrubber",F116)) , "Scrubber", IF(ISNUMBER(SEARCH("container",F116)),"Container", IF(ISNUMBER(SEARCH("basket",F116)),"Basket", IF(ISNUMBER(SEARCH("lunch",F116)),"Lunch Box", IF(ISNUMBER(SEARCH("cutlery",F116)),"Cutlery","Other")))))</f>
        <v>0</v>
      </c>
      <c r="I116">
        <f>IF('Raw Data'!G116&lt;&gt;'','Raw Data'!G116,IFERROR(MID(F116,SEARCH("MODEL",F116)+6,20),""))</f>
        <v>0</v>
      </c>
      <c r="J116">
        <f>'Raw Data'!H116</f>
        <v>0</v>
      </c>
      <c r="K116">
        <f>'Raw Data'!I116</f>
        <v>0</v>
      </c>
      <c r="L116">
        <f>IF('Raw Data'!N116&lt;&gt;0,'Raw Data'!N116,IFERROR(VALUE(MID(F116,SEARCH("QTY",F116)+4,IFERROR(FIND(" ",F116,SEARCH("QTY",F116)+4)-(SEARCH("QTY",F116)+4),3))),""))</f>
        <v>0</v>
      </c>
      <c r="M116">
        <f>'Raw Data'!O116</f>
        <v>0</v>
      </c>
      <c r="N116">
        <f>'Raw Data'!P116</f>
        <v>0</v>
      </c>
      <c r="O116">
        <f>'Raw Data'!Q116</f>
        <v>0</v>
      </c>
      <c r="P116">
        <f>'Raw Data'!R116</f>
        <v>0</v>
      </c>
      <c r="Q116">
        <f>'Raw Data'!S116</f>
        <v>0</v>
      </c>
      <c r="R116">
        <f>'Raw Data'!T116</f>
        <v>0</v>
      </c>
      <c r="S116">
        <f>IFERROR(O116,0)+IFERROR(R116,0)</f>
        <v>0</v>
      </c>
      <c r="T116">
        <f>IF(A116="","",YEAR(A116))</f>
        <v>0</v>
      </c>
    </row>
    <row r="117" spans="1:20">
      <c r="A117">
        <f>'Raw Data'!B117</f>
        <v>0</v>
      </c>
      <c r="B117">
        <f>'Raw Data'!A117</f>
        <v>0</v>
      </c>
      <c r="C117">
        <f>'Raw Data'!C117</f>
        <v>0</v>
      </c>
      <c r="D117">
        <f>'Raw Data'!D117</f>
        <v>0</v>
      </c>
      <c r="E117">
        <f>IFERROR(VLOOKUP(D117,'Lookup Tables'!$A:$B,2,FALSE),"Unknown")</f>
        <v>0</v>
      </c>
      <c r="F117">
        <f>'Raw Data'!E117</f>
        <v>0</v>
      </c>
      <c r="G117">
        <f>IFERROR(VLOOKUP(D117,'Lookup Tables'!$A:$C,3,FALSE),IF(ISNUMBER(SEARCH("STEEL",F117)),"Steel","Others"))</f>
        <v>0</v>
      </c>
      <c r="H117">
        <f>IF(ISNUMBER(SEARCH("scrubber",F117)) , "Scrubber", IF(ISNUMBER(SEARCH("container",F117)),"Container", IF(ISNUMBER(SEARCH("basket",F117)),"Basket", IF(ISNUMBER(SEARCH("lunch",F117)),"Lunch Box", IF(ISNUMBER(SEARCH("cutlery",F117)),"Cutlery","Other")))))</f>
        <v>0</v>
      </c>
      <c r="I117">
        <f>IF('Raw Data'!G117&lt;&gt;'','Raw Data'!G117,IFERROR(MID(F117,SEARCH("MODEL",F117)+6,20),""))</f>
        <v>0</v>
      </c>
      <c r="J117">
        <f>'Raw Data'!H117</f>
        <v>0</v>
      </c>
      <c r="K117">
        <f>'Raw Data'!I117</f>
        <v>0</v>
      </c>
      <c r="L117">
        <f>IF('Raw Data'!N117&lt;&gt;0,'Raw Data'!N117,IFERROR(VALUE(MID(F117,SEARCH("QTY",F117)+4,IFERROR(FIND(" ",F117,SEARCH("QTY",F117)+4)-(SEARCH("QTY",F117)+4),3))),""))</f>
        <v>0</v>
      </c>
      <c r="M117">
        <f>'Raw Data'!O117</f>
        <v>0</v>
      </c>
      <c r="N117">
        <f>'Raw Data'!P117</f>
        <v>0</v>
      </c>
      <c r="O117">
        <f>'Raw Data'!Q117</f>
        <v>0</v>
      </c>
      <c r="P117">
        <f>'Raw Data'!R117</f>
        <v>0</v>
      </c>
      <c r="Q117">
        <f>'Raw Data'!S117</f>
        <v>0</v>
      </c>
      <c r="R117">
        <f>'Raw Data'!T117</f>
        <v>0</v>
      </c>
      <c r="S117">
        <f>IFERROR(O117,0)+IFERROR(R117,0)</f>
        <v>0</v>
      </c>
      <c r="T117">
        <f>IF(A117="","",YEAR(A117))</f>
        <v>0</v>
      </c>
    </row>
    <row r="118" spans="1:20">
      <c r="A118">
        <f>'Raw Data'!B118</f>
        <v>0</v>
      </c>
      <c r="B118">
        <f>'Raw Data'!A118</f>
        <v>0</v>
      </c>
      <c r="C118">
        <f>'Raw Data'!C118</f>
        <v>0</v>
      </c>
      <c r="D118">
        <f>'Raw Data'!D118</f>
        <v>0</v>
      </c>
      <c r="E118">
        <f>IFERROR(VLOOKUP(D118,'Lookup Tables'!$A:$B,2,FALSE),"Unknown")</f>
        <v>0</v>
      </c>
      <c r="F118">
        <f>'Raw Data'!E118</f>
        <v>0</v>
      </c>
      <c r="G118">
        <f>IFERROR(VLOOKUP(D118,'Lookup Tables'!$A:$C,3,FALSE),IF(ISNUMBER(SEARCH("STEEL",F118)),"Steel","Others"))</f>
        <v>0</v>
      </c>
      <c r="H118">
        <f>IF(ISNUMBER(SEARCH("scrubber",F118)) , "Scrubber", IF(ISNUMBER(SEARCH("container",F118)),"Container", IF(ISNUMBER(SEARCH("basket",F118)),"Basket", IF(ISNUMBER(SEARCH("lunch",F118)),"Lunch Box", IF(ISNUMBER(SEARCH("cutlery",F118)),"Cutlery","Other")))))</f>
        <v>0</v>
      </c>
      <c r="I118">
        <f>IF('Raw Data'!G118&lt;&gt;'','Raw Data'!G118,IFERROR(MID(F118,SEARCH("MODEL",F118)+6,20),""))</f>
        <v>0</v>
      </c>
      <c r="J118">
        <f>'Raw Data'!H118</f>
        <v>0</v>
      </c>
      <c r="K118">
        <f>'Raw Data'!I118</f>
        <v>0</v>
      </c>
      <c r="L118">
        <f>IF('Raw Data'!N118&lt;&gt;0,'Raw Data'!N118,IFERROR(VALUE(MID(F118,SEARCH("QTY",F118)+4,IFERROR(FIND(" ",F118,SEARCH("QTY",F118)+4)-(SEARCH("QTY",F118)+4),3))),""))</f>
        <v>0</v>
      </c>
      <c r="M118">
        <f>'Raw Data'!O118</f>
        <v>0</v>
      </c>
      <c r="N118">
        <f>'Raw Data'!P118</f>
        <v>0</v>
      </c>
      <c r="O118">
        <f>'Raw Data'!Q118</f>
        <v>0</v>
      </c>
      <c r="P118">
        <f>'Raw Data'!R118</f>
        <v>0</v>
      </c>
      <c r="Q118">
        <f>'Raw Data'!S118</f>
        <v>0</v>
      </c>
      <c r="R118">
        <f>'Raw Data'!T118</f>
        <v>0</v>
      </c>
      <c r="S118">
        <f>IFERROR(O118,0)+IFERROR(R118,0)</f>
        <v>0</v>
      </c>
      <c r="T118">
        <f>IF(A118="","",YEAR(A118))</f>
        <v>0</v>
      </c>
    </row>
    <row r="119" spans="1:20">
      <c r="A119">
        <f>'Raw Data'!B119</f>
        <v>0</v>
      </c>
      <c r="B119">
        <f>'Raw Data'!A119</f>
        <v>0</v>
      </c>
      <c r="C119">
        <f>'Raw Data'!C119</f>
        <v>0</v>
      </c>
      <c r="D119">
        <f>'Raw Data'!D119</f>
        <v>0</v>
      </c>
      <c r="E119">
        <f>IFERROR(VLOOKUP(D119,'Lookup Tables'!$A:$B,2,FALSE),"Unknown")</f>
        <v>0</v>
      </c>
      <c r="F119">
        <f>'Raw Data'!E119</f>
        <v>0</v>
      </c>
      <c r="G119">
        <f>IFERROR(VLOOKUP(D119,'Lookup Tables'!$A:$C,3,FALSE),IF(ISNUMBER(SEARCH("STEEL",F119)),"Steel","Others"))</f>
        <v>0</v>
      </c>
      <c r="H119">
        <f>IF(ISNUMBER(SEARCH("scrubber",F119)) , "Scrubber", IF(ISNUMBER(SEARCH("container",F119)),"Container", IF(ISNUMBER(SEARCH("basket",F119)),"Basket", IF(ISNUMBER(SEARCH("lunch",F119)),"Lunch Box", IF(ISNUMBER(SEARCH("cutlery",F119)),"Cutlery","Other")))))</f>
        <v>0</v>
      </c>
      <c r="I119">
        <f>IF('Raw Data'!G119&lt;&gt;'','Raw Data'!G119,IFERROR(MID(F119,SEARCH("MODEL",F119)+6,20),""))</f>
        <v>0</v>
      </c>
      <c r="J119">
        <f>'Raw Data'!H119</f>
        <v>0</v>
      </c>
      <c r="K119">
        <f>'Raw Data'!I119</f>
        <v>0</v>
      </c>
      <c r="L119">
        <f>IF('Raw Data'!N119&lt;&gt;0,'Raw Data'!N119,IFERROR(VALUE(MID(F119,SEARCH("QTY",F119)+4,IFERROR(FIND(" ",F119,SEARCH("QTY",F119)+4)-(SEARCH("QTY",F119)+4),3))),""))</f>
        <v>0</v>
      </c>
      <c r="M119">
        <f>'Raw Data'!O119</f>
        <v>0</v>
      </c>
      <c r="N119">
        <f>'Raw Data'!P119</f>
        <v>0</v>
      </c>
      <c r="O119">
        <f>'Raw Data'!Q119</f>
        <v>0</v>
      </c>
      <c r="P119">
        <f>'Raw Data'!R119</f>
        <v>0</v>
      </c>
      <c r="Q119">
        <f>'Raw Data'!S119</f>
        <v>0</v>
      </c>
      <c r="R119">
        <f>'Raw Data'!T119</f>
        <v>0</v>
      </c>
      <c r="S119">
        <f>IFERROR(O119,0)+IFERROR(R119,0)</f>
        <v>0</v>
      </c>
      <c r="T119">
        <f>IF(A119="","",YEAR(A119))</f>
        <v>0</v>
      </c>
    </row>
    <row r="120" spans="1:20">
      <c r="A120">
        <f>'Raw Data'!B120</f>
        <v>0</v>
      </c>
      <c r="B120">
        <f>'Raw Data'!A120</f>
        <v>0</v>
      </c>
      <c r="C120">
        <f>'Raw Data'!C120</f>
        <v>0</v>
      </c>
      <c r="D120">
        <f>'Raw Data'!D120</f>
        <v>0</v>
      </c>
      <c r="E120">
        <f>IFERROR(VLOOKUP(D120,'Lookup Tables'!$A:$B,2,FALSE),"Unknown")</f>
        <v>0</v>
      </c>
      <c r="F120">
        <f>'Raw Data'!E120</f>
        <v>0</v>
      </c>
      <c r="G120">
        <f>IFERROR(VLOOKUP(D120,'Lookup Tables'!$A:$C,3,FALSE),IF(ISNUMBER(SEARCH("STEEL",F120)),"Steel","Others"))</f>
        <v>0</v>
      </c>
      <c r="H120">
        <f>IF(ISNUMBER(SEARCH("scrubber",F120)) , "Scrubber", IF(ISNUMBER(SEARCH("container",F120)),"Container", IF(ISNUMBER(SEARCH("basket",F120)),"Basket", IF(ISNUMBER(SEARCH("lunch",F120)),"Lunch Box", IF(ISNUMBER(SEARCH("cutlery",F120)),"Cutlery","Other")))))</f>
        <v>0</v>
      </c>
      <c r="I120">
        <f>IF('Raw Data'!G120&lt;&gt;'','Raw Data'!G120,IFERROR(MID(F120,SEARCH("MODEL",F120)+6,20),""))</f>
        <v>0</v>
      </c>
      <c r="J120">
        <f>'Raw Data'!H120</f>
        <v>0</v>
      </c>
      <c r="K120">
        <f>'Raw Data'!I120</f>
        <v>0</v>
      </c>
      <c r="L120">
        <f>IF('Raw Data'!N120&lt;&gt;0,'Raw Data'!N120,IFERROR(VALUE(MID(F120,SEARCH("QTY",F120)+4,IFERROR(FIND(" ",F120,SEARCH("QTY",F120)+4)-(SEARCH("QTY",F120)+4),3))),""))</f>
        <v>0</v>
      </c>
      <c r="M120">
        <f>'Raw Data'!O120</f>
        <v>0</v>
      </c>
      <c r="N120">
        <f>'Raw Data'!P120</f>
        <v>0</v>
      </c>
      <c r="O120">
        <f>'Raw Data'!Q120</f>
        <v>0</v>
      </c>
      <c r="P120">
        <f>'Raw Data'!R120</f>
        <v>0</v>
      </c>
      <c r="Q120">
        <f>'Raw Data'!S120</f>
        <v>0</v>
      </c>
      <c r="R120">
        <f>'Raw Data'!T120</f>
        <v>0</v>
      </c>
      <c r="S120">
        <f>IFERROR(O120,0)+IFERROR(R120,0)</f>
        <v>0</v>
      </c>
      <c r="T120">
        <f>IF(A120="","",YEAR(A120))</f>
        <v>0</v>
      </c>
    </row>
    <row r="121" spans="1:20">
      <c r="A121">
        <f>'Raw Data'!B121</f>
        <v>0</v>
      </c>
      <c r="B121">
        <f>'Raw Data'!A121</f>
        <v>0</v>
      </c>
      <c r="C121">
        <f>'Raw Data'!C121</f>
        <v>0</v>
      </c>
      <c r="D121">
        <f>'Raw Data'!D121</f>
        <v>0</v>
      </c>
      <c r="E121">
        <f>IFERROR(VLOOKUP(D121,'Lookup Tables'!$A:$B,2,FALSE),"Unknown")</f>
        <v>0</v>
      </c>
      <c r="F121">
        <f>'Raw Data'!E121</f>
        <v>0</v>
      </c>
      <c r="G121">
        <f>IFERROR(VLOOKUP(D121,'Lookup Tables'!$A:$C,3,FALSE),IF(ISNUMBER(SEARCH("STEEL",F121)),"Steel","Others"))</f>
        <v>0</v>
      </c>
      <c r="H121">
        <f>IF(ISNUMBER(SEARCH("scrubber",F121)) , "Scrubber", IF(ISNUMBER(SEARCH("container",F121)),"Container", IF(ISNUMBER(SEARCH("basket",F121)),"Basket", IF(ISNUMBER(SEARCH("lunch",F121)),"Lunch Box", IF(ISNUMBER(SEARCH("cutlery",F121)),"Cutlery","Other")))))</f>
        <v>0</v>
      </c>
      <c r="I121">
        <f>IF('Raw Data'!G121&lt;&gt;'','Raw Data'!G121,IFERROR(MID(F121,SEARCH("MODEL",F121)+6,20),""))</f>
        <v>0</v>
      </c>
      <c r="J121">
        <f>'Raw Data'!H121</f>
        <v>0</v>
      </c>
      <c r="K121">
        <f>'Raw Data'!I121</f>
        <v>0</v>
      </c>
      <c r="L121">
        <f>IF('Raw Data'!N121&lt;&gt;0,'Raw Data'!N121,IFERROR(VALUE(MID(F121,SEARCH("QTY",F121)+4,IFERROR(FIND(" ",F121,SEARCH("QTY",F121)+4)-(SEARCH("QTY",F121)+4),3))),""))</f>
        <v>0</v>
      </c>
      <c r="M121">
        <f>'Raw Data'!O121</f>
        <v>0</v>
      </c>
      <c r="N121">
        <f>'Raw Data'!P121</f>
        <v>0</v>
      </c>
      <c r="O121">
        <f>'Raw Data'!Q121</f>
        <v>0</v>
      </c>
      <c r="P121">
        <f>'Raw Data'!R121</f>
        <v>0</v>
      </c>
      <c r="Q121">
        <f>'Raw Data'!S121</f>
        <v>0</v>
      </c>
      <c r="R121">
        <f>'Raw Data'!T121</f>
        <v>0</v>
      </c>
      <c r="S121">
        <f>IFERROR(O121,0)+IFERROR(R121,0)</f>
        <v>0</v>
      </c>
      <c r="T121">
        <f>IF(A121="","",YEAR(A121))</f>
        <v>0</v>
      </c>
    </row>
    <row r="122" spans="1:20">
      <c r="A122">
        <f>'Raw Data'!B122</f>
        <v>0</v>
      </c>
      <c r="B122">
        <f>'Raw Data'!A122</f>
        <v>0</v>
      </c>
      <c r="C122">
        <f>'Raw Data'!C122</f>
        <v>0</v>
      </c>
      <c r="D122">
        <f>'Raw Data'!D122</f>
        <v>0</v>
      </c>
      <c r="E122">
        <f>IFERROR(VLOOKUP(D122,'Lookup Tables'!$A:$B,2,FALSE),"Unknown")</f>
        <v>0</v>
      </c>
      <c r="F122">
        <f>'Raw Data'!E122</f>
        <v>0</v>
      </c>
      <c r="G122">
        <f>IFERROR(VLOOKUP(D122,'Lookup Tables'!$A:$C,3,FALSE),IF(ISNUMBER(SEARCH("STEEL",F122)),"Steel","Others"))</f>
        <v>0</v>
      </c>
      <c r="H122">
        <f>IF(ISNUMBER(SEARCH("scrubber",F122)) , "Scrubber", IF(ISNUMBER(SEARCH("container",F122)),"Container", IF(ISNUMBER(SEARCH("basket",F122)),"Basket", IF(ISNUMBER(SEARCH("lunch",F122)),"Lunch Box", IF(ISNUMBER(SEARCH("cutlery",F122)),"Cutlery","Other")))))</f>
        <v>0</v>
      </c>
      <c r="I122">
        <f>IF('Raw Data'!G122&lt;&gt;'','Raw Data'!G122,IFERROR(MID(F122,SEARCH("MODEL",F122)+6,20),""))</f>
        <v>0</v>
      </c>
      <c r="J122">
        <f>'Raw Data'!H122</f>
        <v>0</v>
      </c>
      <c r="K122">
        <f>'Raw Data'!I122</f>
        <v>0</v>
      </c>
      <c r="L122">
        <f>IF('Raw Data'!N122&lt;&gt;0,'Raw Data'!N122,IFERROR(VALUE(MID(F122,SEARCH("QTY",F122)+4,IFERROR(FIND(" ",F122,SEARCH("QTY",F122)+4)-(SEARCH("QTY",F122)+4),3))),""))</f>
        <v>0</v>
      </c>
      <c r="M122">
        <f>'Raw Data'!O122</f>
        <v>0</v>
      </c>
      <c r="N122">
        <f>'Raw Data'!P122</f>
        <v>0</v>
      </c>
      <c r="O122">
        <f>'Raw Data'!Q122</f>
        <v>0</v>
      </c>
      <c r="P122">
        <f>'Raw Data'!R122</f>
        <v>0</v>
      </c>
      <c r="Q122">
        <f>'Raw Data'!S122</f>
        <v>0</v>
      </c>
      <c r="R122">
        <f>'Raw Data'!T122</f>
        <v>0</v>
      </c>
      <c r="S122">
        <f>IFERROR(O122,0)+IFERROR(R122,0)</f>
        <v>0</v>
      </c>
      <c r="T122">
        <f>IF(A122="","",YEAR(A122))</f>
        <v>0</v>
      </c>
    </row>
    <row r="123" spans="1:20">
      <c r="A123">
        <f>'Raw Data'!B123</f>
        <v>0</v>
      </c>
      <c r="B123">
        <f>'Raw Data'!A123</f>
        <v>0</v>
      </c>
      <c r="C123">
        <f>'Raw Data'!C123</f>
        <v>0</v>
      </c>
      <c r="D123">
        <f>'Raw Data'!D123</f>
        <v>0</v>
      </c>
      <c r="E123">
        <f>IFERROR(VLOOKUP(D123,'Lookup Tables'!$A:$B,2,FALSE),"Unknown")</f>
        <v>0</v>
      </c>
      <c r="F123">
        <f>'Raw Data'!E123</f>
        <v>0</v>
      </c>
      <c r="G123">
        <f>IFERROR(VLOOKUP(D123,'Lookup Tables'!$A:$C,3,FALSE),IF(ISNUMBER(SEARCH("STEEL",F123)),"Steel","Others"))</f>
        <v>0</v>
      </c>
      <c r="H123">
        <f>IF(ISNUMBER(SEARCH("scrubber",F123)) , "Scrubber", IF(ISNUMBER(SEARCH("container",F123)),"Container", IF(ISNUMBER(SEARCH("basket",F123)),"Basket", IF(ISNUMBER(SEARCH("lunch",F123)),"Lunch Box", IF(ISNUMBER(SEARCH("cutlery",F123)),"Cutlery","Other")))))</f>
        <v>0</v>
      </c>
      <c r="I123">
        <f>IF('Raw Data'!G123&lt;&gt;'','Raw Data'!G123,IFERROR(MID(F123,SEARCH("MODEL",F123)+6,20),""))</f>
        <v>0</v>
      </c>
      <c r="J123">
        <f>'Raw Data'!H123</f>
        <v>0</v>
      </c>
      <c r="K123">
        <f>'Raw Data'!I123</f>
        <v>0</v>
      </c>
      <c r="L123">
        <f>IF('Raw Data'!N123&lt;&gt;0,'Raw Data'!N123,IFERROR(VALUE(MID(F123,SEARCH("QTY",F123)+4,IFERROR(FIND(" ",F123,SEARCH("QTY",F123)+4)-(SEARCH("QTY",F123)+4),3))),""))</f>
        <v>0</v>
      </c>
      <c r="M123">
        <f>'Raw Data'!O123</f>
        <v>0</v>
      </c>
      <c r="N123">
        <f>'Raw Data'!P123</f>
        <v>0</v>
      </c>
      <c r="O123">
        <f>'Raw Data'!Q123</f>
        <v>0</v>
      </c>
      <c r="P123">
        <f>'Raw Data'!R123</f>
        <v>0</v>
      </c>
      <c r="Q123">
        <f>'Raw Data'!S123</f>
        <v>0</v>
      </c>
      <c r="R123">
        <f>'Raw Data'!T123</f>
        <v>0</v>
      </c>
      <c r="S123">
        <f>IFERROR(O123,0)+IFERROR(R123,0)</f>
        <v>0</v>
      </c>
      <c r="T123">
        <f>IF(A123="","",YEAR(A123))</f>
        <v>0</v>
      </c>
    </row>
    <row r="124" spans="1:20">
      <c r="A124">
        <f>'Raw Data'!B124</f>
        <v>0</v>
      </c>
      <c r="B124">
        <f>'Raw Data'!A124</f>
        <v>0</v>
      </c>
      <c r="C124">
        <f>'Raw Data'!C124</f>
        <v>0</v>
      </c>
      <c r="D124">
        <f>'Raw Data'!D124</f>
        <v>0</v>
      </c>
      <c r="E124">
        <f>IFERROR(VLOOKUP(D124,'Lookup Tables'!$A:$B,2,FALSE),"Unknown")</f>
        <v>0</v>
      </c>
      <c r="F124">
        <f>'Raw Data'!E124</f>
        <v>0</v>
      </c>
      <c r="G124">
        <f>IFERROR(VLOOKUP(D124,'Lookup Tables'!$A:$C,3,FALSE),IF(ISNUMBER(SEARCH("STEEL",F124)),"Steel","Others"))</f>
        <v>0</v>
      </c>
      <c r="H124">
        <f>IF(ISNUMBER(SEARCH("scrubber",F124)) , "Scrubber", IF(ISNUMBER(SEARCH("container",F124)),"Container", IF(ISNUMBER(SEARCH("basket",F124)),"Basket", IF(ISNUMBER(SEARCH("lunch",F124)),"Lunch Box", IF(ISNUMBER(SEARCH("cutlery",F124)),"Cutlery","Other")))))</f>
        <v>0</v>
      </c>
      <c r="I124">
        <f>IF('Raw Data'!G124&lt;&gt;'','Raw Data'!G124,IFERROR(MID(F124,SEARCH("MODEL",F124)+6,20),""))</f>
        <v>0</v>
      </c>
      <c r="J124">
        <f>'Raw Data'!H124</f>
        <v>0</v>
      </c>
      <c r="K124">
        <f>'Raw Data'!I124</f>
        <v>0</v>
      </c>
      <c r="L124">
        <f>IF('Raw Data'!N124&lt;&gt;0,'Raw Data'!N124,IFERROR(VALUE(MID(F124,SEARCH("QTY",F124)+4,IFERROR(FIND(" ",F124,SEARCH("QTY",F124)+4)-(SEARCH("QTY",F124)+4),3))),""))</f>
        <v>0</v>
      </c>
      <c r="M124">
        <f>'Raw Data'!O124</f>
        <v>0</v>
      </c>
      <c r="N124">
        <f>'Raw Data'!P124</f>
        <v>0</v>
      </c>
      <c r="O124">
        <f>'Raw Data'!Q124</f>
        <v>0</v>
      </c>
      <c r="P124">
        <f>'Raw Data'!R124</f>
        <v>0</v>
      </c>
      <c r="Q124">
        <f>'Raw Data'!S124</f>
        <v>0</v>
      </c>
      <c r="R124">
        <f>'Raw Data'!T124</f>
        <v>0</v>
      </c>
      <c r="S124">
        <f>IFERROR(O124,0)+IFERROR(R124,0)</f>
        <v>0</v>
      </c>
      <c r="T124">
        <f>IF(A124="","",YEAR(A124))</f>
        <v>0</v>
      </c>
    </row>
    <row r="125" spans="1:20">
      <c r="A125">
        <f>'Raw Data'!B125</f>
        <v>0</v>
      </c>
      <c r="B125">
        <f>'Raw Data'!A125</f>
        <v>0</v>
      </c>
      <c r="C125">
        <f>'Raw Data'!C125</f>
        <v>0</v>
      </c>
      <c r="D125">
        <f>'Raw Data'!D125</f>
        <v>0</v>
      </c>
      <c r="E125">
        <f>IFERROR(VLOOKUP(D125,'Lookup Tables'!$A:$B,2,FALSE),"Unknown")</f>
        <v>0</v>
      </c>
      <c r="F125">
        <f>'Raw Data'!E125</f>
        <v>0</v>
      </c>
      <c r="G125">
        <f>IFERROR(VLOOKUP(D125,'Lookup Tables'!$A:$C,3,FALSE),IF(ISNUMBER(SEARCH("STEEL",F125)),"Steel","Others"))</f>
        <v>0</v>
      </c>
      <c r="H125">
        <f>IF(ISNUMBER(SEARCH("scrubber",F125)) , "Scrubber", IF(ISNUMBER(SEARCH("container",F125)),"Container", IF(ISNUMBER(SEARCH("basket",F125)),"Basket", IF(ISNUMBER(SEARCH("lunch",F125)),"Lunch Box", IF(ISNUMBER(SEARCH("cutlery",F125)),"Cutlery","Other")))))</f>
        <v>0</v>
      </c>
      <c r="I125">
        <f>IF('Raw Data'!G125&lt;&gt;'','Raw Data'!G125,IFERROR(MID(F125,SEARCH("MODEL",F125)+6,20),""))</f>
        <v>0</v>
      </c>
      <c r="J125">
        <f>'Raw Data'!H125</f>
        <v>0</v>
      </c>
      <c r="K125">
        <f>'Raw Data'!I125</f>
        <v>0</v>
      </c>
      <c r="L125">
        <f>IF('Raw Data'!N125&lt;&gt;0,'Raw Data'!N125,IFERROR(VALUE(MID(F125,SEARCH("QTY",F125)+4,IFERROR(FIND(" ",F125,SEARCH("QTY",F125)+4)-(SEARCH("QTY",F125)+4),3))),""))</f>
        <v>0</v>
      </c>
      <c r="M125">
        <f>'Raw Data'!O125</f>
        <v>0</v>
      </c>
      <c r="N125">
        <f>'Raw Data'!P125</f>
        <v>0</v>
      </c>
      <c r="O125">
        <f>'Raw Data'!Q125</f>
        <v>0</v>
      </c>
      <c r="P125">
        <f>'Raw Data'!R125</f>
        <v>0</v>
      </c>
      <c r="Q125">
        <f>'Raw Data'!S125</f>
        <v>0</v>
      </c>
      <c r="R125">
        <f>'Raw Data'!T125</f>
        <v>0</v>
      </c>
      <c r="S125">
        <f>IFERROR(O125,0)+IFERROR(R125,0)</f>
        <v>0</v>
      </c>
      <c r="T125">
        <f>IF(A125="","",YEAR(A125))</f>
        <v>0</v>
      </c>
    </row>
    <row r="126" spans="1:20">
      <c r="A126">
        <f>'Raw Data'!B126</f>
        <v>0</v>
      </c>
      <c r="B126">
        <f>'Raw Data'!A126</f>
        <v>0</v>
      </c>
      <c r="C126">
        <f>'Raw Data'!C126</f>
        <v>0</v>
      </c>
      <c r="D126">
        <f>'Raw Data'!D126</f>
        <v>0</v>
      </c>
      <c r="E126">
        <f>IFERROR(VLOOKUP(D126,'Lookup Tables'!$A:$B,2,FALSE),"Unknown")</f>
        <v>0</v>
      </c>
      <c r="F126">
        <f>'Raw Data'!E126</f>
        <v>0</v>
      </c>
      <c r="G126">
        <f>IFERROR(VLOOKUP(D126,'Lookup Tables'!$A:$C,3,FALSE),IF(ISNUMBER(SEARCH("STEEL",F126)),"Steel","Others"))</f>
        <v>0</v>
      </c>
      <c r="H126">
        <f>IF(ISNUMBER(SEARCH("scrubber",F126)) , "Scrubber", IF(ISNUMBER(SEARCH("container",F126)),"Container", IF(ISNUMBER(SEARCH("basket",F126)),"Basket", IF(ISNUMBER(SEARCH("lunch",F126)),"Lunch Box", IF(ISNUMBER(SEARCH("cutlery",F126)),"Cutlery","Other")))))</f>
        <v>0</v>
      </c>
      <c r="I126">
        <f>IF('Raw Data'!G126&lt;&gt;'','Raw Data'!G126,IFERROR(MID(F126,SEARCH("MODEL",F126)+6,20),""))</f>
        <v>0</v>
      </c>
      <c r="J126">
        <f>'Raw Data'!H126</f>
        <v>0</v>
      </c>
      <c r="K126">
        <f>'Raw Data'!I126</f>
        <v>0</v>
      </c>
      <c r="L126">
        <f>IF('Raw Data'!N126&lt;&gt;0,'Raw Data'!N126,IFERROR(VALUE(MID(F126,SEARCH("QTY",F126)+4,IFERROR(FIND(" ",F126,SEARCH("QTY",F126)+4)-(SEARCH("QTY",F126)+4),3))),""))</f>
        <v>0</v>
      </c>
      <c r="M126">
        <f>'Raw Data'!O126</f>
        <v>0</v>
      </c>
      <c r="N126">
        <f>'Raw Data'!P126</f>
        <v>0</v>
      </c>
      <c r="O126">
        <f>'Raw Data'!Q126</f>
        <v>0</v>
      </c>
      <c r="P126">
        <f>'Raw Data'!R126</f>
        <v>0</v>
      </c>
      <c r="Q126">
        <f>'Raw Data'!S126</f>
        <v>0</v>
      </c>
      <c r="R126">
        <f>'Raw Data'!T126</f>
        <v>0</v>
      </c>
      <c r="S126">
        <f>IFERROR(O126,0)+IFERROR(R126,0)</f>
        <v>0</v>
      </c>
      <c r="T126">
        <f>IF(A126="","",YEAR(A126))</f>
        <v>0</v>
      </c>
    </row>
    <row r="127" spans="1:20">
      <c r="A127">
        <f>'Raw Data'!B127</f>
        <v>0</v>
      </c>
      <c r="B127">
        <f>'Raw Data'!A127</f>
        <v>0</v>
      </c>
      <c r="C127">
        <f>'Raw Data'!C127</f>
        <v>0</v>
      </c>
      <c r="D127">
        <f>'Raw Data'!D127</f>
        <v>0</v>
      </c>
      <c r="E127">
        <f>IFERROR(VLOOKUP(D127,'Lookup Tables'!$A:$B,2,FALSE),"Unknown")</f>
        <v>0</v>
      </c>
      <c r="F127">
        <f>'Raw Data'!E127</f>
        <v>0</v>
      </c>
      <c r="G127">
        <f>IFERROR(VLOOKUP(D127,'Lookup Tables'!$A:$C,3,FALSE),IF(ISNUMBER(SEARCH("STEEL",F127)),"Steel","Others"))</f>
        <v>0</v>
      </c>
      <c r="H127">
        <f>IF(ISNUMBER(SEARCH("scrubber",F127)) , "Scrubber", IF(ISNUMBER(SEARCH("container",F127)),"Container", IF(ISNUMBER(SEARCH("basket",F127)),"Basket", IF(ISNUMBER(SEARCH("lunch",F127)),"Lunch Box", IF(ISNUMBER(SEARCH("cutlery",F127)),"Cutlery","Other")))))</f>
        <v>0</v>
      </c>
      <c r="I127">
        <f>IF('Raw Data'!G127&lt;&gt;'','Raw Data'!G127,IFERROR(MID(F127,SEARCH("MODEL",F127)+6,20),""))</f>
        <v>0</v>
      </c>
      <c r="J127">
        <f>'Raw Data'!H127</f>
        <v>0</v>
      </c>
      <c r="K127">
        <f>'Raw Data'!I127</f>
        <v>0</v>
      </c>
      <c r="L127">
        <f>IF('Raw Data'!N127&lt;&gt;0,'Raw Data'!N127,IFERROR(VALUE(MID(F127,SEARCH("QTY",F127)+4,IFERROR(FIND(" ",F127,SEARCH("QTY",F127)+4)-(SEARCH("QTY",F127)+4),3))),""))</f>
        <v>0</v>
      </c>
      <c r="M127">
        <f>'Raw Data'!O127</f>
        <v>0</v>
      </c>
      <c r="N127">
        <f>'Raw Data'!P127</f>
        <v>0</v>
      </c>
      <c r="O127">
        <f>'Raw Data'!Q127</f>
        <v>0</v>
      </c>
      <c r="P127">
        <f>'Raw Data'!R127</f>
        <v>0</v>
      </c>
      <c r="Q127">
        <f>'Raw Data'!S127</f>
        <v>0</v>
      </c>
      <c r="R127">
        <f>'Raw Data'!T127</f>
        <v>0</v>
      </c>
      <c r="S127">
        <f>IFERROR(O127,0)+IFERROR(R127,0)</f>
        <v>0</v>
      </c>
      <c r="T127">
        <f>IF(A127="","",YEAR(A127))</f>
        <v>0</v>
      </c>
    </row>
    <row r="128" spans="1:20">
      <c r="A128">
        <f>'Raw Data'!B128</f>
        <v>0</v>
      </c>
      <c r="B128">
        <f>'Raw Data'!A128</f>
        <v>0</v>
      </c>
      <c r="C128">
        <f>'Raw Data'!C128</f>
        <v>0</v>
      </c>
      <c r="D128">
        <f>'Raw Data'!D128</f>
        <v>0</v>
      </c>
      <c r="E128">
        <f>IFERROR(VLOOKUP(D128,'Lookup Tables'!$A:$B,2,FALSE),"Unknown")</f>
        <v>0</v>
      </c>
      <c r="F128">
        <f>'Raw Data'!E128</f>
        <v>0</v>
      </c>
      <c r="G128">
        <f>IFERROR(VLOOKUP(D128,'Lookup Tables'!$A:$C,3,FALSE),IF(ISNUMBER(SEARCH("STEEL",F128)),"Steel","Others"))</f>
        <v>0</v>
      </c>
      <c r="H128">
        <f>IF(ISNUMBER(SEARCH("scrubber",F128)) , "Scrubber", IF(ISNUMBER(SEARCH("container",F128)),"Container", IF(ISNUMBER(SEARCH("basket",F128)),"Basket", IF(ISNUMBER(SEARCH("lunch",F128)),"Lunch Box", IF(ISNUMBER(SEARCH("cutlery",F128)),"Cutlery","Other")))))</f>
        <v>0</v>
      </c>
      <c r="I128">
        <f>IF('Raw Data'!G128&lt;&gt;'','Raw Data'!G128,IFERROR(MID(F128,SEARCH("MODEL",F128)+6,20),""))</f>
        <v>0</v>
      </c>
      <c r="J128">
        <f>'Raw Data'!H128</f>
        <v>0</v>
      </c>
      <c r="K128">
        <f>'Raw Data'!I128</f>
        <v>0</v>
      </c>
      <c r="L128">
        <f>IF('Raw Data'!N128&lt;&gt;0,'Raw Data'!N128,IFERROR(VALUE(MID(F128,SEARCH("QTY",F128)+4,IFERROR(FIND(" ",F128,SEARCH("QTY",F128)+4)-(SEARCH("QTY",F128)+4),3))),""))</f>
        <v>0</v>
      </c>
      <c r="M128">
        <f>'Raw Data'!O128</f>
        <v>0</v>
      </c>
      <c r="N128">
        <f>'Raw Data'!P128</f>
        <v>0</v>
      </c>
      <c r="O128">
        <f>'Raw Data'!Q128</f>
        <v>0</v>
      </c>
      <c r="P128">
        <f>'Raw Data'!R128</f>
        <v>0</v>
      </c>
      <c r="Q128">
        <f>'Raw Data'!S128</f>
        <v>0</v>
      </c>
      <c r="R128">
        <f>'Raw Data'!T128</f>
        <v>0</v>
      </c>
      <c r="S128">
        <f>IFERROR(O128,0)+IFERROR(R128,0)</f>
        <v>0</v>
      </c>
      <c r="T128">
        <f>IF(A128="","",YEAR(A128))</f>
        <v>0</v>
      </c>
    </row>
    <row r="129" spans="1:20">
      <c r="A129">
        <f>'Raw Data'!B129</f>
        <v>0</v>
      </c>
      <c r="B129">
        <f>'Raw Data'!A129</f>
        <v>0</v>
      </c>
      <c r="C129">
        <f>'Raw Data'!C129</f>
        <v>0</v>
      </c>
      <c r="D129">
        <f>'Raw Data'!D129</f>
        <v>0</v>
      </c>
      <c r="E129">
        <f>IFERROR(VLOOKUP(D129,'Lookup Tables'!$A:$B,2,FALSE),"Unknown")</f>
        <v>0</v>
      </c>
      <c r="F129">
        <f>'Raw Data'!E129</f>
        <v>0</v>
      </c>
      <c r="G129">
        <f>IFERROR(VLOOKUP(D129,'Lookup Tables'!$A:$C,3,FALSE),IF(ISNUMBER(SEARCH("STEEL",F129)),"Steel","Others"))</f>
        <v>0</v>
      </c>
      <c r="H129">
        <f>IF(ISNUMBER(SEARCH("scrubber",F129)) , "Scrubber", IF(ISNUMBER(SEARCH("container",F129)),"Container", IF(ISNUMBER(SEARCH("basket",F129)),"Basket", IF(ISNUMBER(SEARCH("lunch",F129)),"Lunch Box", IF(ISNUMBER(SEARCH("cutlery",F129)),"Cutlery","Other")))))</f>
        <v>0</v>
      </c>
      <c r="I129">
        <f>IF('Raw Data'!G129&lt;&gt;'','Raw Data'!G129,IFERROR(MID(F129,SEARCH("MODEL",F129)+6,20),""))</f>
        <v>0</v>
      </c>
      <c r="J129">
        <f>'Raw Data'!H129</f>
        <v>0</v>
      </c>
      <c r="K129">
        <f>'Raw Data'!I129</f>
        <v>0</v>
      </c>
      <c r="L129">
        <f>IF('Raw Data'!N129&lt;&gt;0,'Raw Data'!N129,IFERROR(VALUE(MID(F129,SEARCH("QTY",F129)+4,IFERROR(FIND(" ",F129,SEARCH("QTY",F129)+4)-(SEARCH("QTY",F129)+4),3))),""))</f>
        <v>0</v>
      </c>
      <c r="M129">
        <f>'Raw Data'!O129</f>
        <v>0</v>
      </c>
      <c r="N129">
        <f>'Raw Data'!P129</f>
        <v>0</v>
      </c>
      <c r="O129">
        <f>'Raw Data'!Q129</f>
        <v>0</v>
      </c>
      <c r="P129">
        <f>'Raw Data'!R129</f>
        <v>0</v>
      </c>
      <c r="Q129">
        <f>'Raw Data'!S129</f>
        <v>0</v>
      </c>
      <c r="R129">
        <f>'Raw Data'!T129</f>
        <v>0</v>
      </c>
      <c r="S129">
        <f>IFERROR(O129,0)+IFERROR(R129,0)</f>
        <v>0</v>
      </c>
      <c r="T129">
        <f>IF(A129="","",YEAR(A129))</f>
        <v>0</v>
      </c>
    </row>
    <row r="130" spans="1:20">
      <c r="A130">
        <f>'Raw Data'!B130</f>
        <v>0</v>
      </c>
      <c r="B130">
        <f>'Raw Data'!A130</f>
        <v>0</v>
      </c>
      <c r="C130">
        <f>'Raw Data'!C130</f>
        <v>0</v>
      </c>
      <c r="D130">
        <f>'Raw Data'!D130</f>
        <v>0</v>
      </c>
      <c r="E130">
        <f>IFERROR(VLOOKUP(D130,'Lookup Tables'!$A:$B,2,FALSE),"Unknown")</f>
        <v>0</v>
      </c>
      <c r="F130">
        <f>'Raw Data'!E130</f>
        <v>0</v>
      </c>
      <c r="G130">
        <f>IFERROR(VLOOKUP(D130,'Lookup Tables'!$A:$C,3,FALSE),IF(ISNUMBER(SEARCH("STEEL",F130)),"Steel","Others"))</f>
        <v>0</v>
      </c>
      <c r="H130">
        <f>IF(ISNUMBER(SEARCH("scrubber",F130)) , "Scrubber", IF(ISNUMBER(SEARCH("container",F130)),"Container", IF(ISNUMBER(SEARCH("basket",F130)),"Basket", IF(ISNUMBER(SEARCH("lunch",F130)),"Lunch Box", IF(ISNUMBER(SEARCH("cutlery",F130)),"Cutlery","Other")))))</f>
        <v>0</v>
      </c>
      <c r="I130">
        <f>IF('Raw Data'!G130&lt;&gt;'','Raw Data'!G130,IFERROR(MID(F130,SEARCH("MODEL",F130)+6,20),""))</f>
        <v>0</v>
      </c>
      <c r="J130">
        <f>'Raw Data'!H130</f>
        <v>0</v>
      </c>
      <c r="K130">
        <f>'Raw Data'!I130</f>
        <v>0</v>
      </c>
      <c r="L130">
        <f>IF('Raw Data'!N130&lt;&gt;0,'Raw Data'!N130,IFERROR(VALUE(MID(F130,SEARCH("QTY",F130)+4,IFERROR(FIND(" ",F130,SEARCH("QTY",F130)+4)-(SEARCH("QTY",F130)+4),3))),""))</f>
        <v>0</v>
      </c>
      <c r="M130">
        <f>'Raw Data'!O130</f>
        <v>0</v>
      </c>
      <c r="N130">
        <f>'Raw Data'!P130</f>
        <v>0</v>
      </c>
      <c r="O130">
        <f>'Raw Data'!Q130</f>
        <v>0</v>
      </c>
      <c r="P130">
        <f>'Raw Data'!R130</f>
        <v>0</v>
      </c>
      <c r="Q130">
        <f>'Raw Data'!S130</f>
        <v>0</v>
      </c>
      <c r="R130">
        <f>'Raw Data'!T130</f>
        <v>0</v>
      </c>
      <c r="S130">
        <f>IFERROR(O130,0)+IFERROR(R130,0)</f>
        <v>0</v>
      </c>
      <c r="T130">
        <f>IF(A130="","",YEAR(A130))</f>
        <v>0</v>
      </c>
    </row>
    <row r="131" spans="1:20">
      <c r="A131">
        <f>'Raw Data'!B131</f>
        <v>0</v>
      </c>
      <c r="B131">
        <f>'Raw Data'!A131</f>
        <v>0</v>
      </c>
      <c r="C131">
        <f>'Raw Data'!C131</f>
        <v>0</v>
      </c>
      <c r="D131">
        <f>'Raw Data'!D131</f>
        <v>0</v>
      </c>
      <c r="E131">
        <f>IFERROR(VLOOKUP(D131,'Lookup Tables'!$A:$B,2,FALSE),"Unknown")</f>
        <v>0</v>
      </c>
      <c r="F131">
        <f>'Raw Data'!E131</f>
        <v>0</v>
      </c>
      <c r="G131">
        <f>IFERROR(VLOOKUP(D131,'Lookup Tables'!$A:$C,3,FALSE),IF(ISNUMBER(SEARCH("STEEL",F131)),"Steel","Others"))</f>
        <v>0</v>
      </c>
      <c r="H131">
        <f>IF(ISNUMBER(SEARCH("scrubber",F131)) , "Scrubber", IF(ISNUMBER(SEARCH("container",F131)),"Container", IF(ISNUMBER(SEARCH("basket",F131)),"Basket", IF(ISNUMBER(SEARCH("lunch",F131)),"Lunch Box", IF(ISNUMBER(SEARCH("cutlery",F131)),"Cutlery","Other")))))</f>
        <v>0</v>
      </c>
      <c r="I131">
        <f>IF('Raw Data'!G131&lt;&gt;'','Raw Data'!G131,IFERROR(MID(F131,SEARCH("MODEL",F131)+6,20),""))</f>
        <v>0</v>
      </c>
      <c r="J131">
        <f>'Raw Data'!H131</f>
        <v>0</v>
      </c>
      <c r="K131">
        <f>'Raw Data'!I131</f>
        <v>0</v>
      </c>
      <c r="L131">
        <f>IF('Raw Data'!N131&lt;&gt;0,'Raw Data'!N131,IFERROR(VALUE(MID(F131,SEARCH("QTY",F131)+4,IFERROR(FIND(" ",F131,SEARCH("QTY",F131)+4)-(SEARCH("QTY",F131)+4),3))),""))</f>
        <v>0</v>
      </c>
      <c r="M131">
        <f>'Raw Data'!O131</f>
        <v>0</v>
      </c>
      <c r="N131">
        <f>'Raw Data'!P131</f>
        <v>0</v>
      </c>
      <c r="O131">
        <f>'Raw Data'!Q131</f>
        <v>0</v>
      </c>
      <c r="P131">
        <f>'Raw Data'!R131</f>
        <v>0</v>
      </c>
      <c r="Q131">
        <f>'Raw Data'!S131</f>
        <v>0</v>
      </c>
      <c r="R131">
        <f>'Raw Data'!T131</f>
        <v>0</v>
      </c>
      <c r="S131">
        <f>IFERROR(O131,0)+IFERROR(R131,0)</f>
        <v>0</v>
      </c>
      <c r="T131">
        <f>IF(A131="","",YEAR(A131))</f>
        <v>0</v>
      </c>
    </row>
    <row r="132" spans="1:20">
      <c r="A132">
        <f>'Raw Data'!B132</f>
        <v>0</v>
      </c>
      <c r="B132">
        <f>'Raw Data'!A132</f>
        <v>0</v>
      </c>
      <c r="C132">
        <f>'Raw Data'!C132</f>
        <v>0</v>
      </c>
      <c r="D132">
        <f>'Raw Data'!D132</f>
        <v>0</v>
      </c>
      <c r="E132">
        <f>IFERROR(VLOOKUP(D132,'Lookup Tables'!$A:$B,2,FALSE),"Unknown")</f>
        <v>0</v>
      </c>
      <c r="F132">
        <f>'Raw Data'!E132</f>
        <v>0</v>
      </c>
      <c r="G132">
        <f>IFERROR(VLOOKUP(D132,'Lookup Tables'!$A:$C,3,FALSE),IF(ISNUMBER(SEARCH("STEEL",F132)),"Steel","Others"))</f>
        <v>0</v>
      </c>
      <c r="H132">
        <f>IF(ISNUMBER(SEARCH("scrubber",F132)) , "Scrubber", IF(ISNUMBER(SEARCH("container",F132)),"Container", IF(ISNUMBER(SEARCH("basket",F132)),"Basket", IF(ISNUMBER(SEARCH("lunch",F132)),"Lunch Box", IF(ISNUMBER(SEARCH("cutlery",F132)),"Cutlery","Other")))))</f>
        <v>0</v>
      </c>
      <c r="I132">
        <f>IF('Raw Data'!G132&lt;&gt;'','Raw Data'!G132,IFERROR(MID(F132,SEARCH("MODEL",F132)+6,20),""))</f>
        <v>0</v>
      </c>
      <c r="J132">
        <f>'Raw Data'!H132</f>
        <v>0</v>
      </c>
      <c r="K132">
        <f>'Raw Data'!I132</f>
        <v>0</v>
      </c>
      <c r="L132">
        <f>IF('Raw Data'!N132&lt;&gt;0,'Raw Data'!N132,IFERROR(VALUE(MID(F132,SEARCH("QTY",F132)+4,IFERROR(FIND(" ",F132,SEARCH("QTY",F132)+4)-(SEARCH("QTY",F132)+4),3))),""))</f>
        <v>0</v>
      </c>
      <c r="M132">
        <f>'Raw Data'!O132</f>
        <v>0</v>
      </c>
      <c r="N132">
        <f>'Raw Data'!P132</f>
        <v>0</v>
      </c>
      <c r="O132">
        <f>'Raw Data'!Q132</f>
        <v>0</v>
      </c>
      <c r="P132">
        <f>'Raw Data'!R132</f>
        <v>0</v>
      </c>
      <c r="Q132">
        <f>'Raw Data'!S132</f>
        <v>0</v>
      </c>
      <c r="R132">
        <f>'Raw Data'!T132</f>
        <v>0</v>
      </c>
      <c r="S132">
        <f>IFERROR(O132,0)+IFERROR(R132,0)</f>
        <v>0</v>
      </c>
      <c r="T132">
        <f>IF(A132="","",YEAR(A132))</f>
        <v>0</v>
      </c>
    </row>
    <row r="133" spans="1:20">
      <c r="A133">
        <f>'Raw Data'!B133</f>
        <v>0</v>
      </c>
      <c r="B133">
        <f>'Raw Data'!A133</f>
        <v>0</v>
      </c>
      <c r="C133">
        <f>'Raw Data'!C133</f>
        <v>0</v>
      </c>
      <c r="D133">
        <f>'Raw Data'!D133</f>
        <v>0</v>
      </c>
      <c r="E133">
        <f>IFERROR(VLOOKUP(D133,'Lookup Tables'!$A:$B,2,FALSE),"Unknown")</f>
        <v>0</v>
      </c>
      <c r="F133">
        <f>'Raw Data'!E133</f>
        <v>0</v>
      </c>
      <c r="G133">
        <f>IFERROR(VLOOKUP(D133,'Lookup Tables'!$A:$C,3,FALSE),IF(ISNUMBER(SEARCH("STEEL",F133)),"Steel","Others"))</f>
        <v>0</v>
      </c>
      <c r="H133">
        <f>IF(ISNUMBER(SEARCH("scrubber",F133)) , "Scrubber", IF(ISNUMBER(SEARCH("container",F133)),"Container", IF(ISNUMBER(SEARCH("basket",F133)),"Basket", IF(ISNUMBER(SEARCH("lunch",F133)),"Lunch Box", IF(ISNUMBER(SEARCH("cutlery",F133)),"Cutlery","Other")))))</f>
        <v>0</v>
      </c>
      <c r="I133">
        <f>IF('Raw Data'!G133&lt;&gt;'','Raw Data'!G133,IFERROR(MID(F133,SEARCH("MODEL",F133)+6,20),""))</f>
        <v>0</v>
      </c>
      <c r="J133">
        <f>'Raw Data'!H133</f>
        <v>0</v>
      </c>
      <c r="K133">
        <f>'Raw Data'!I133</f>
        <v>0</v>
      </c>
      <c r="L133">
        <f>IF('Raw Data'!N133&lt;&gt;0,'Raw Data'!N133,IFERROR(VALUE(MID(F133,SEARCH("QTY",F133)+4,IFERROR(FIND(" ",F133,SEARCH("QTY",F133)+4)-(SEARCH("QTY",F133)+4),3))),""))</f>
        <v>0</v>
      </c>
      <c r="M133">
        <f>'Raw Data'!O133</f>
        <v>0</v>
      </c>
      <c r="N133">
        <f>'Raw Data'!P133</f>
        <v>0</v>
      </c>
      <c r="O133">
        <f>'Raw Data'!Q133</f>
        <v>0</v>
      </c>
      <c r="P133">
        <f>'Raw Data'!R133</f>
        <v>0</v>
      </c>
      <c r="Q133">
        <f>'Raw Data'!S133</f>
        <v>0</v>
      </c>
      <c r="R133">
        <f>'Raw Data'!T133</f>
        <v>0</v>
      </c>
      <c r="S133">
        <f>IFERROR(O133,0)+IFERROR(R133,0)</f>
        <v>0</v>
      </c>
      <c r="T133">
        <f>IF(A133="","",YEAR(A133))</f>
        <v>0</v>
      </c>
    </row>
    <row r="134" spans="1:20">
      <c r="A134">
        <f>'Raw Data'!B134</f>
        <v>0</v>
      </c>
      <c r="B134">
        <f>'Raw Data'!A134</f>
        <v>0</v>
      </c>
      <c r="C134">
        <f>'Raw Data'!C134</f>
        <v>0</v>
      </c>
      <c r="D134">
        <f>'Raw Data'!D134</f>
        <v>0</v>
      </c>
      <c r="E134">
        <f>IFERROR(VLOOKUP(D134,'Lookup Tables'!$A:$B,2,FALSE),"Unknown")</f>
        <v>0</v>
      </c>
      <c r="F134">
        <f>'Raw Data'!E134</f>
        <v>0</v>
      </c>
      <c r="G134">
        <f>IFERROR(VLOOKUP(D134,'Lookup Tables'!$A:$C,3,FALSE),IF(ISNUMBER(SEARCH("STEEL",F134)),"Steel","Others"))</f>
        <v>0</v>
      </c>
      <c r="H134">
        <f>IF(ISNUMBER(SEARCH("scrubber",F134)) , "Scrubber", IF(ISNUMBER(SEARCH("container",F134)),"Container", IF(ISNUMBER(SEARCH("basket",F134)),"Basket", IF(ISNUMBER(SEARCH("lunch",F134)),"Lunch Box", IF(ISNUMBER(SEARCH("cutlery",F134)),"Cutlery","Other")))))</f>
        <v>0</v>
      </c>
      <c r="I134">
        <f>IF('Raw Data'!G134&lt;&gt;'','Raw Data'!G134,IFERROR(MID(F134,SEARCH("MODEL",F134)+6,20),""))</f>
        <v>0</v>
      </c>
      <c r="J134">
        <f>'Raw Data'!H134</f>
        <v>0</v>
      </c>
      <c r="K134">
        <f>'Raw Data'!I134</f>
        <v>0</v>
      </c>
      <c r="L134">
        <f>IF('Raw Data'!N134&lt;&gt;0,'Raw Data'!N134,IFERROR(VALUE(MID(F134,SEARCH("QTY",F134)+4,IFERROR(FIND(" ",F134,SEARCH("QTY",F134)+4)-(SEARCH("QTY",F134)+4),3))),""))</f>
        <v>0</v>
      </c>
      <c r="M134">
        <f>'Raw Data'!O134</f>
        <v>0</v>
      </c>
      <c r="N134">
        <f>'Raw Data'!P134</f>
        <v>0</v>
      </c>
      <c r="O134">
        <f>'Raw Data'!Q134</f>
        <v>0</v>
      </c>
      <c r="P134">
        <f>'Raw Data'!R134</f>
        <v>0</v>
      </c>
      <c r="Q134">
        <f>'Raw Data'!S134</f>
        <v>0</v>
      </c>
      <c r="R134">
        <f>'Raw Data'!T134</f>
        <v>0</v>
      </c>
      <c r="S134">
        <f>IFERROR(O134,0)+IFERROR(R134,0)</f>
        <v>0</v>
      </c>
      <c r="T134">
        <f>IF(A134="","",YEAR(A134))</f>
        <v>0</v>
      </c>
    </row>
    <row r="135" spans="1:20">
      <c r="A135">
        <f>'Raw Data'!B135</f>
        <v>0</v>
      </c>
      <c r="B135">
        <f>'Raw Data'!A135</f>
        <v>0</v>
      </c>
      <c r="C135">
        <f>'Raw Data'!C135</f>
        <v>0</v>
      </c>
      <c r="D135">
        <f>'Raw Data'!D135</f>
        <v>0</v>
      </c>
      <c r="E135">
        <f>IFERROR(VLOOKUP(D135,'Lookup Tables'!$A:$B,2,FALSE),"Unknown")</f>
        <v>0</v>
      </c>
      <c r="F135">
        <f>'Raw Data'!E135</f>
        <v>0</v>
      </c>
      <c r="G135">
        <f>IFERROR(VLOOKUP(D135,'Lookup Tables'!$A:$C,3,FALSE),IF(ISNUMBER(SEARCH("STEEL",F135)),"Steel","Others"))</f>
        <v>0</v>
      </c>
      <c r="H135">
        <f>IF(ISNUMBER(SEARCH("scrubber",F135)) , "Scrubber", IF(ISNUMBER(SEARCH("container",F135)),"Container", IF(ISNUMBER(SEARCH("basket",F135)),"Basket", IF(ISNUMBER(SEARCH("lunch",F135)),"Lunch Box", IF(ISNUMBER(SEARCH("cutlery",F135)),"Cutlery","Other")))))</f>
        <v>0</v>
      </c>
      <c r="I135">
        <f>IF('Raw Data'!G135&lt;&gt;'','Raw Data'!G135,IFERROR(MID(F135,SEARCH("MODEL",F135)+6,20),""))</f>
        <v>0</v>
      </c>
      <c r="J135">
        <f>'Raw Data'!H135</f>
        <v>0</v>
      </c>
      <c r="K135">
        <f>'Raw Data'!I135</f>
        <v>0</v>
      </c>
      <c r="L135">
        <f>IF('Raw Data'!N135&lt;&gt;0,'Raw Data'!N135,IFERROR(VALUE(MID(F135,SEARCH("QTY",F135)+4,IFERROR(FIND(" ",F135,SEARCH("QTY",F135)+4)-(SEARCH("QTY",F135)+4),3))),""))</f>
        <v>0</v>
      </c>
      <c r="M135">
        <f>'Raw Data'!O135</f>
        <v>0</v>
      </c>
      <c r="N135">
        <f>'Raw Data'!P135</f>
        <v>0</v>
      </c>
      <c r="O135">
        <f>'Raw Data'!Q135</f>
        <v>0</v>
      </c>
      <c r="P135">
        <f>'Raw Data'!R135</f>
        <v>0</v>
      </c>
      <c r="Q135">
        <f>'Raw Data'!S135</f>
        <v>0</v>
      </c>
      <c r="R135">
        <f>'Raw Data'!T135</f>
        <v>0</v>
      </c>
      <c r="S135">
        <f>IFERROR(O135,0)+IFERROR(R135,0)</f>
        <v>0</v>
      </c>
      <c r="T135">
        <f>IF(A135="","",YEAR(A135))</f>
        <v>0</v>
      </c>
    </row>
    <row r="136" spans="1:20">
      <c r="A136">
        <f>'Raw Data'!B136</f>
        <v>0</v>
      </c>
      <c r="B136">
        <f>'Raw Data'!A136</f>
        <v>0</v>
      </c>
      <c r="C136">
        <f>'Raw Data'!C136</f>
        <v>0</v>
      </c>
      <c r="D136">
        <f>'Raw Data'!D136</f>
        <v>0</v>
      </c>
      <c r="E136">
        <f>IFERROR(VLOOKUP(D136,'Lookup Tables'!$A:$B,2,FALSE),"Unknown")</f>
        <v>0</v>
      </c>
      <c r="F136">
        <f>'Raw Data'!E136</f>
        <v>0</v>
      </c>
      <c r="G136">
        <f>IFERROR(VLOOKUP(D136,'Lookup Tables'!$A:$C,3,FALSE),IF(ISNUMBER(SEARCH("STEEL",F136)),"Steel","Others"))</f>
        <v>0</v>
      </c>
      <c r="H136">
        <f>IF(ISNUMBER(SEARCH("scrubber",F136)) , "Scrubber", IF(ISNUMBER(SEARCH("container",F136)),"Container", IF(ISNUMBER(SEARCH("basket",F136)),"Basket", IF(ISNUMBER(SEARCH("lunch",F136)),"Lunch Box", IF(ISNUMBER(SEARCH("cutlery",F136)),"Cutlery","Other")))))</f>
        <v>0</v>
      </c>
      <c r="I136">
        <f>IF('Raw Data'!G136&lt;&gt;'','Raw Data'!G136,IFERROR(MID(F136,SEARCH("MODEL",F136)+6,20),""))</f>
        <v>0</v>
      </c>
      <c r="J136">
        <f>'Raw Data'!H136</f>
        <v>0</v>
      </c>
      <c r="K136">
        <f>'Raw Data'!I136</f>
        <v>0</v>
      </c>
      <c r="L136">
        <f>IF('Raw Data'!N136&lt;&gt;0,'Raw Data'!N136,IFERROR(VALUE(MID(F136,SEARCH("QTY",F136)+4,IFERROR(FIND(" ",F136,SEARCH("QTY",F136)+4)-(SEARCH("QTY",F136)+4),3))),""))</f>
        <v>0</v>
      </c>
      <c r="M136">
        <f>'Raw Data'!O136</f>
        <v>0</v>
      </c>
      <c r="N136">
        <f>'Raw Data'!P136</f>
        <v>0</v>
      </c>
      <c r="O136">
        <f>'Raw Data'!Q136</f>
        <v>0</v>
      </c>
      <c r="P136">
        <f>'Raw Data'!R136</f>
        <v>0</v>
      </c>
      <c r="Q136">
        <f>'Raw Data'!S136</f>
        <v>0</v>
      </c>
      <c r="R136">
        <f>'Raw Data'!T136</f>
        <v>0</v>
      </c>
      <c r="S136">
        <f>IFERROR(O136,0)+IFERROR(R136,0)</f>
        <v>0</v>
      </c>
      <c r="T136">
        <f>IF(A136="","",YEAR(A136))</f>
        <v>0</v>
      </c>
    </row>
    <row r="137" spans="1:20">
      <c r="A137">
        <f>'Raw Data'!B137</f>
        <v>0</v>
      </c>
      <c r="B137">
        <f>'Raw Data'!A137</f>
        <v>0</v>
      </c>
      <c r="C137">
        <f>'Raw Data'!C137</f>
        <v>0</v>
      </c>
      <c r="D137">
        <f>'Raw Data'!D137</f>
        <v>0</v>
      </c>
      <c r="E137">
        <f>IFERROR(VLOOKUP(D137,'Lookup Tables'!$A:$B,2,FALSE),"Unknown")</f>
        <v>0</v>
      </c>
      <c r="F137">
        <f>'Raw Data'!E137</f>
        <v>0</v>
      </c>
      <c r="G137">
        <f>IFERROR(VLOOKUP(D137,'Lookup Tables'!$A:$C,3,FALSE),IF(ISNUMBER(SEARCH("STEEL",F137)),"Steel","Others"))</f>
        <v>0</v>
      </c>
      <c r="H137">
        <f>IF(ISNUMBER(SEARCH("scrubber",F137)) , "Scrubber", IF(ISNUMBER(SEARCH("container",F137)),"Container", IF(ISNUMBER(SEARCH("basket",F137)),"Basket", IF(ISNUMBER(SEARCH("lunch",F137)),"Lunch Box", IF(ISNUMBER(SEARCH("cutlery",F137)),"Cutlery","Other")))))</f>
        <v>0</v>
      </c>
      <c r="I137">
        <f>IF('Raw Data'!G137&lt;&gt;'','Raw Data'!G137,IFERROR(MID(F137,SEARCH("MODEL",F137)+6,20),""))</f>
        <v>0</v>
      </c>
      <c r="J137">
        <f>'Raw Data'!H137</f>
        <v>0</v>
      </c>
      <c r="K137">
        <f>'Raw Data'!I137</f>
        <v>0</v>
      </c>
      <c r="L137">
        <f>IF('Raw Data'!N137&lt;&gt;0,'Raw Data'!N137,IFERROR(VALUE(MID(F137,SEARCH("QTY",F137)+4,IFERROR(FIND(" ",F137,SEARCH("QTY",F137)+4)-(SEARCH("QTY",F137)+4),3))),""))</f>
        <v>0</v>
      </c>
      <c r="M137">
        <f>'Raw Data'!O137</f>
        <v>0</v>
      </c>
      <c r="N137">
        <f>'Raw Data'!P137</f>
        <v>0</v>
      </c>
      <c r="O137">
        <f>'Raw Data'!Q137</f>
        <v>0</v>
      </c>
      <c r="P137">
        <f>'Raw Data'!R137</f>
        <v>0</v>
      </c>
      <c r="Q137">
        <f>'Raw Data'!S137</f>
        <v>0</v>
      </c>
      <c r="R137">
        <f>'Raw Data'!T137</f>
        <v>0</v>
      </c>
      <c r="S137">
        <f>IFERROR(O137,0)+IFERROR(R137,0)</f>
        <v>0</v>
      </c>
      <c r="T137">
        <f>IF(A137="","",YEAR(A137))</f>
        <v>0</v>
      </c>
    </row>
    <row r="138" spans="1:20">
      <c r="A138">
        <f>'Raw Data'!B138</f>
        <v>0</v>
      </c>
      <c r="B138">
        <f>'Raw Data'!A138</f>
        <v>0</v>
      </c>
      <c r="C138">
        <f>'Raw Data'!C138</f>
        <v>0</v>
      </c>
      <c r="D138">
        <f>'Raw Data'!D138</f>
        <v>0</v>
      </c>
      <c r="E138">
        <f>IFERROR(VLOOKUP(D138,'Lookup Tables'!$A:$B,2,FALSE),"Unknown")</f>
        <v>0</v>
      </c>
      <c r="F138">
        <f>'Raw Data'!E138</f>
        <v>0</v>
      </c>
      <c r="G138">
        <f>IFERROR(VLOOKUP(D138,'Lookup Tables'!$A:$C,3,FALSE),IF(ISNUMBER(SEARCH("STEEL",F138)),"Steel","Others"))</f>
        <v>0</v>
      </c>
      <c r="H138">
        <f>IF(ISNUMBER(SEARCH("scrubber",F138)) , "Scrubber", IF(ISNUMBER(SEARCH("container",F138)),"Container", IF(ISNUMBER(SEARCH("basket",F138)),"Basket", IF(ISNUMBER(SEARCH("lunch",F138)),"Lunch Box", IF(ISNUMBER(SEARCH("cutlery",F138)),"Cutlery","Other")))))</f>
        <v>0</v>
      </c>
      <c r="I138">
        <f>IF('Raw Data'!G138&lt;&gt;'','Raw Data'!G138,IFERROR(MID(F138,SEARCH("MODEL",F138)+6,20),""))</f>
        <v>0</v>
      </c>
      <c r="J138">
        <f>'Raw Data'!H138</f>
        <v>0</v>
      </c>
      <c r="K138">
        <f>'Raw Data'!I138</f>
        <v>0</v>
      </c>
      <c r="L138">
        <f>IF('Raw Data'!N138&lt;&gt;0,'Raw Data'!N138,IFERROR(VALUE(MID(F138,SEARCH("QTY",F138)+4,IFERROR(FIND(" ",F138,SEARCH("QTY",F138)+4)-(SEARCH("QTY",F138)+4),3))),""))</f>
        <v>0</v>
      </c>
      <c r="M138">
        <f>'Raw Data'!O138</f>
        <v>0</v>
      </c>
      <c r="N138">
        <f>'Raw Data'!P138</f>
        <v>0</v>
      </c>
      <c r="O138">
        <f>'Raw Data'!Q138</f>
        <v>0</v>
      </c>
      <c r="P138">
        <f>'Raw Data'!R138</f>
        <v>0</v>
      </c>
      <c r="Q138">
        <f>'Raw Data'!S138</f>
        <v>0</v>
      </c>
      <c r="R138">
        <f>'Raw Data'!T138</f>
        <v>0</v>
      </c>
      <c r="S138">
        <f>IFERROR(O138,0)+IFERROR(R138,0)</f>
        <v>0</v>
      </c>
      <c r="T138">
        <f>IF(A138="","",YEAR(A138))</f>
        <v>0</v>
      </c>
    </row>
    <row r="139" spans="1:20">
      <c r="A139">
        <f>'Raw Data'!B139</f>
        <v>0</v>
      </c>
      <c r="B139">
        <f>'Raw Data'!A139</f>
        <v>0</v>
      </c>
      <c r="C139">
        <f>'Raw Data'!C139</f>
        <v>0</v>
      </c>
      <c r="D139">
        <f>'Raw Data'!D139</f>
        <v>0</v>
      </c>
      <c r="E139">
        <f>IFERROR(VLOOKUP(D139,'Lookup Tables'!$A:$B,2,FALSE),"Unknown")</f>
        <v>0</v>
      </c>
      <c r="F139">
        <f>'Raw Data'!E139</f>
        <v>0</v>
      </c>
      <c r="G139">
        <f>IFERROR(VLOOKUP(D139,'Lookup Tables'!$A:$C,3,FALSE),IF(ISNUMBER(SEARCH("STEEL",F139)),"Steel","Others"))</f>
        <v>0</v>
      </c>
      <c r="H139">
        <f>IF(ISNUMBER(SEARCH("scrubber",F139)) , "Scrubber", IF(ISNUMBER(SEARCH("container",F139)),"Container", IF(ISNUMBER(SEARCH("basket",F139)),"Basket", IF(ISNUMBER(SEARCH("lunch",F139)),"Lunch Box", IF(ISNUMBER(SEARCH("cutlery",F139)),"Cutlery","Other")))))</f>
        <v>0</v>
      </c>
      <c r="I139">
        <f>IF('Raw Data'!G139&lt;&gt;'','Raw Data'!G139,IFERROR(MID(F139,SEARCH("MODEL",F139)+6,20),""))</f>
        <v>0</v>
      </c>
      <c r="J139">
        <f>'Raw Data'!H139</f>
        <v>0</v>
      </c>
      <c r="K139">
        <f>'Raw Data'!I139</f>
        <v>0</v>
      </c>
      <c r="L139">
        <f>IF('Raw Data'!N139&lt;&gt;0,'Raw Data'!N139,IFERROR(VALUE(MID(F139,SEARCH("QTY",F139)+4,IFERROR(FIND(" ",F139,SEARCH("QTY",F139)+4)-(SEARCH("QTY",F139)+4),3))),""))</f>
        <v>0</v>
      </c>
      <c r="M139">
        <f>'Raw Data'!O139</f>
        <v>0</v>
      </c>
      <c r="N139">
        <f>'Raw Data'!P139</f>
        <v>0</v>
      </c>
      <c r="O139">
        <f>'Raw Data'!Q139</f>
        <v>0</v>
      </c>
      <c r="P139">
        <f>'Raw Data'!R139</f>
        <v>0</v>
      </c>
      <c r="Q139">
        <f>'Raw Data'!S139</f>
        <v>0</v>
      </c>
      <c r="R139">
        <f>'Raw Data'!T139</f>
        <v>0</v>
      </c>
      <c r="S139">
        <f>IFERROR(O139,0)+IFERROR(R139,0)</f>
        <v>0</v>
      </c>
      <c r="T139">
        <f>IF(A139="","",YEAR(A139))</f>
        <v>0</v>
      </c>
    </row>
    <row r="140" spans="1:20">
      <c r="A140">
        <f>'Raw Data'!B140</f>
        <v>0</v>
      </c>
      <c r="B140">
        <f>'Raw Data'!A140</f>
        <v>0</v>
      </c>
      <c r="C140">
        <f>'Raw Data'!C140</f>
        <v>0</v>
      </c>
      <c r="D140">
        <f>'Raw Data'!D140</f>
        <v>0</v>
      </c>
      <c r="E140">
        <f>IFERROR(VLOOKUP(D140,'Lookup Tables'!$A:$B,2,FALSE),"Unknown")</f>
        <v>0</v>
      </c>
      <c r="F140">
        <f>'Raw Data'!E140</f>
        <v>0</v>
      </c>
      <c r="G140">
        <f>IFERROR(VLOOKUP(D140,'Lookup Tables'!$A:$C,3,FALSE),IF(ISNUMBER(SEARCH("STEEL",F140)),"Steel","Others"))</f>
        <v>0</v>
      </c>
      <c r="H140">
        <f>IF(ISNUMBER(SEARCH("scrubber",F140)) , "Scrubber", IF(ISNUMBER(SEARCH("container",F140)),"Container", IF(ISNUMBER(SEARCH("basket",F140)),"Basket", IF(ISNUMBER(SEARCH("lunch",F140)),"Lunch Box", IF(ISNUMBER(SEARCH("cutlery",F140)),"Cutlery","Other")))))</f>
        <v>0</v>
      </c>
      <c r="I140">
        <f>IF('Raw Data'!G140&lt;&gt;'','Raw Data'!G140,IFERROR(MID(F140,SEARCH("MODEL",F140)+6,20),""))</f>
        <v>0</v>
      </c>
      <c r="J140">
        <f>'Raw Data'!H140</f>
        <v>0</v>
      </c>
      <c r="K140">
        <f>'Raw Data'!I140</f>
        <v>0</v>
      </c>
      <c r="L140">
        <f>IF('Raw Data'!N140&lt;&gt;0,'Raw Data'!N140,IFERROR(VALUE(MID(F140,SEARCH("QTY",F140)+4,IFERROR(FIND(" ",F140,SEARCH("QTY",F140)+4)-(SEARCH("QTY",F140)+4),3))),""))</f>
        <v>0</v>
      </c>
      <c r="M140">
        <f>'Raw Data'!O140</f>
        <v>0</v>
      </c>
      <c r="N140">
        <f>'Raw Data'!P140</f>
        <v>0</v>
      </c>
      <c r="O140">
        <f>'Raw Data'!Q140</f>
        <v>0</v>
      </c>
      <c r="P140">
        <f>'Raw Data'!R140</f>
        <v>0</v>
      </c>
      <c r="Q140">
        <f>'Raw Data'!S140</f>
        <v>0</v>
      </c>
      <c r="R140">
        <f>'Raw Data'!T140</f>
        <v>0</v>
      </c>
      <c r="S140">
        <f>IFERROR(O140,0)+IFERROR(R140,0)</f>
        <v>0</v>
      </c>
      <c r="T140">
        <f>IF(A140="","",YEAR(A140))</f>
        <v>0</v>
      </c>
    </row>
    <row r="141" spans="1:20">
      <c r="A141">
        <f>'Raw Data'!B141</f>
        <v>0</v>
      </c>
      <c r="B141">
        <f>'Raw Data'!A141</f>
        <v>0</v>
      </c>
      <c r="C141">
        <f>'Raw Data'!C141</f>
        <v>0</v>
      </c>
      <c r="D141">
        <f>'Raw Data'!D141</f>
        <v>0</v>
      </c>
      <c r="E141">
        <f>IFERROR(VLOOKUP(D141,'Lookup Tables'!$A:$B,2,FALSE),"Unknown")</f>
        <v>0</v>
      </c>
      <c r="F141">
        <f>'Raw Data'!E141</f>
        <v>0</v>
      </c>
      <c r="G141">
        <f>IFERROR(VLOOKUP(D141,'Lookup Tables'!$A:$C,3,FALSE),IF(ISNUMBER(SEARCH("STEEL",F141)),"Steel","Others"))</f>
        <v>0</v>
      </c>
      <c r="H141">
        <f>IF(ISNUMBER(SEARCH("scrubber",F141)) , "Scrubber", IF(ISNUMBER(SEARCH("container",F141)),"Container", IF(ISNUMBER(SEARCH("basket",F141)),"Basket", IF(ISNUMBER(SEARCH("lunch",F141)),"Lunch Box", IF(ISNUMBER(SEARCH("cutlery",F141)),"Cutlery","Other")))))</f>
        <v>0</v>
      </c>
      <c r="I141">
        <f>IF('Raw Data'!G141&lt;&gt;'','Raw Data'!G141,IFERROR(MID(F141,SEARCH("MODEL",F141)+6,20),""))</f>
        <v>0</v>
      </c>
      <c r="J141">
        <f>'Raw Data'!H141</f>
        <v>0</v>
      </c>
      <c r="K141">
        <f>'Raw Data'!I141</f>
        <v>0</v>
      </c>
      <c r="L141">
        <f>IF('Raw Data'!N141&lt;&gt;0,'Raw Data'!N141,IFERROR(VALUE(MID(F141,SEARCH("QTY",F141)+4,IFERROR(FIND(" ",F141,SEARCH("QTY",F141)+4)-(SEARCH("QTY",F141)+4),3))),""))</f>
        <v>0</v>
      </c>
      <c r="M141">
        <f>'Raw Data'!O141</f>
        <v>0</v>
      </c>
      <c r="N141">
        <f>'Raw Data'!P141</f>
        <v>0</v>
      </c>
      <c r="O141">
        <f>'Raw Data'!Q141</f>
        <v>0</v>
      </c>
      <c r="P141">
        <f>'Raw Data'!R141</f>
        <v>0</v>
      </c>
      <c r="Q141">
        <f>'Raw Data'!S141</f>
        <v>0</v>
      </c>
      <c r="R141">
        <f>'Raw Data'!T141</f>
        <v>0</v>
      </c>
      <c r="S141">
        <f>IFERROR(O141,0)+IFERROR(R141,0)</f>
        <v>0</v>
      </c>
      <c r="T141">
        <f>IF(A141="","",YEAR(A141))</f>
        <v>0</v>
      </c>
    </row>
    <row r="142" spans="1:20">
      <c r="A142">
        <f>'Raw Data'!B142</f>
        <v>0</v>
      </c>
      <c r="B142">
        <f>'Raw Data'!A142</f>
        <v>0</v>
      </c>
      <c r="C142">
        <f>'Raw Data'!C142</f>
        <v>0</v>
      </c>
      <c r="D142">
        <f>'Raw Data'!D142</f>
        <v>0</v>
      </c>
      <c r="E142">
        <f>IFERROR(VLOOKUP(D142,'Lookup Tables'!$A:$B,2,FALSE),"Unknown")</f>
        <v>0</v>
      </c>
      <c r="F142">
        <f>'Raw Data'!E142</f>
        <v>0</v>
      </c>
      <c r="G142">
        <f>IFERROR(VLOOKUP(D142,'Lookup Tables'!$A:$C,3,FALSE),IF(ISNUMBER(SEARCH("STEEL",F142)),"Steel","Others"))</f>
        <v>0</v>
      </c>
      <c r="H142">
        <f>IF(ISNUMBER(SEARCH("scrubber",F142)) , "Scrubber", IF(ISNUMBER(SEARCH("container",F142)),"Container", IF(ISNUMBER(SEARCH("basket",F142)),"Basket", IF(ISNUMBER(SEARCH("lunch",F142)),"Lunch Box", IF(ISNUMBER(SEARCH("cutlery",F142)),"Cutlery","Other")))))</f>
        <v>0</v>
      </c>
      <c r="I142">
        <f>IF('Raw Data'!G142&lt;&gt;'','Raw Data'!G142,IFERROR(MID(F142,SEARCH("MODEL",F142)+6,20),""))</f>
        <v>0</v>
      </c>
      <c r="J142">
        <f>'Raw Data'!H142</f>
        <v>0</v>
      </c>
      <c r="K142">
        <f>'Raw Data'!I142</f>
        <v>0</v>
      </c>
      <c r="L142">
        <f>IF('Raw Data'!N142&lt;&gt;0,'Raw Data'!N142,IFERROR(VALUE(MID(F142,SEARCH("QTY",F142)+4,IFERROR(FIND(" ",F142,SEARCH("QTY",F142)+4)-(SEARCH("QTY",F142)+4),3))),""))</f>
        <v>0</v>
      </c>
      <c r="M142">
        <f>'Raw Data'!O142</f>
        <v>0</v>
      </c>
      <c r="N142">
        <f>'Raw Data'!P142</f>
        <v>0</v>
      </c>
      <c r="O142">
        <f>'Raw Data'!Q142</f>
        <v>0</v>
      </c>
      <c r="P142">
        <f>'Raw Data'!R142</f>
        <v>0</v>
      </c>
      <c r="Q142">
        <f>'Raw Data'!S142</f>
        <v>0</v>
      </c>
      <c r="R142">
        <f>'Raw Data'!T142</f>
        <v>0</v>
      </c>
      <c r="S142">
        <f>IFERROR(O142,0)+IFERROR(R142,0)</f>
        <v>0</v>
      </c>
      <c r="T142">
        <f>IF(A142="","",YEAR(A142))</f>
        <v>0</v>
      </c>
    </row>
    <row r="143" spans="1:20">
      <c r="A143">
        <f>'Raw Data'!B143</f>
        <v>0</v>
      </c>
      <c r="B143">
        <f>'Raw Data'!A143</f>
        <v>0</v>
      </c>
      <c r="C143">
        <f>'Raw Data'!C143</f>
        <v>0</v>
      </c>
      <c r="D143">
        <f>'Raw Data'!D143</f>
        <v>0</v>
      </c>
      <c r="E143">
        <f>IFERROR(VLOOKUP(D143,'Lookup Tables'!$A:$B,2,FALSE),"Unknown")</f>
        <v>0</v>
      </c>
      <c r="F143">
        <f>'Raw Data'!E143</f>
        <v>0</v>
      </c>
      <c r="G143">
        <f>IFERROR(VLOOKUP(D143,'Lookup Tables'!$A:$C,3,FALSE),IF(ISNUMBER(SEARCH("STEEL",F143)),"Steel","Others"))</f>
        <v>0</v>
      </c>
      <c r="H143">
        <f>IF(ISNUMBER(SEARCH("scrubber",F143)) , "Scrubber", IF(ISNUMBER(SEARCH("container",F143)),"Container", IF(ISNUMBER(SEARCH("basket",F143)),"Basket", IF(ISNUMBER(SEARCH("lunch",F143)),"Lunch Box", IF(ISNUMBER(SEARCH("cutlery",F143)),"Cutlery","Other")))))</f>
        <v>0</v>
      </c>
      <c r="I143">
        <f>IF('Raw Data'!G143&lt;&gt;'','Raw Data'!G143,IFERROR(MID(F143,SEARCH("MODEL",F143)+6,20),""))</f>
        <v>0</v>
      </c>
      <c r="J143">
        <f>'Raw Data'!H143</f>
        <v>0</v>
      </c>
      <c r="K143">
        <f>'Raw Data'!I143</f>
        <v>0</v>
      </c>
      <c r="L143">
        <f>IF('Raw Data'!N143&lt;&gt;0,'Raw Data'!N143,IFERROR(VALUE(MID(F143,SEARCH("QTY",F143)+4,IFERROR(FIND(" ",F143,SEARCH("QTY",F143)+4)-(SEARCH("QTY",F143)+4),3))),""))</f>
        <v>0</v>
      </c>
      <c r="M143">
        <f>'Raw Data'!O143</f>
        <v>0</v>
      </c>
      <c r="N143">
        <f>'Raw Data'!P143</f>
        <v>0</v>
      </c>
      <c r="O143">
        <f>'Raw Data'!Q143</f>
        <v>0</v>
      </c>
      <c r="P143">
        <f>'Raw Data'!R143</f>
        <v>0</v>
      </c>
      <c r="Q143">
        <f>'Raw Data'!S143</f>
        <v>0</v>
      </c>
      <c r="R143">
        <f>'Raw Data'!T143</f>
        <v>0</v>
      </c>
      <c r="S143">
        <f>IFERROR(O143,0)+IFERROR(R143,0)</f>
        <v>0</v>
      </c>
      <c r="T143">
        <f>IF(A143="","",YEAR(A143))</f>
        <v>0</v>
      </c>
    </row>
    <row r="144" spans="1:20">
      <c r="A144">
        <f>'Raw Data'!B144</f>
        <v>0</v>
      </c>
      <c r="B144">
        <f>'Raw Data'!A144</f>
        <v>0</v>
      </c>
      <c r="C144">
        <f>'Raw Data'!C144</f>
        <v>0</v>
      </c>
      <c r="D144">
        <f>'Raw Data'!D144</f>
        <v>0</v>
      </c>
      <c r="E144">
        <f>IFERROR(VLOOKUP(D144,'Lookup Tables'!$A:$B,2,FALSE),"Unknown")</f>
        <v>0</v>
      </c>
      <c r="F144">
        <f>'Raw Data'!E144</f>
        <v>0</v>
      </c>
      <c r="G144">
        <f>IFERROR(VLOOKUP(D144,'Lookup Tables'!$A:$C,3,FALSE),IF(ISNUMBER(SEARCH("STEEL",F144)),"Steel","Others"))</f>
        <v>0</v>
      </c>
      <c r="H144">
        <f>IF(ISNUMBER(SEARCH("scrubber",F144)) , "Scrubber", IF(ISNUMBER(SEARCH("container",F144)),"Container", IF(ISNUMBER(SEARCH("basket",F144)),"Basket", IF(ISNUMBER(SEARCH("lunch",F144)),"Lunch Box", IF(ISNUMBER(SEARCH("cutlery",F144)),"Cutlery","Other")))))</f>
        <v>0</v>
      </c>
      <c r="I144">
        <f>IF('Raw Data'!G144&lt;&gt;'','Raw Data'!G144,IFERROR(MID(F144,SEARCH("MODEL",F144)+6,20),""))</f>
        <v>0</v>
      </c>
      <c r="J144">
        <f>'Raw Data'!H144</f>
        <v>0</v>
      </c>
      <c r="K144">
        <f>'Raw Data'!I144</f>
        <v>0</v>
      </c>
      <c r="L144">
        <f>IF('Raw Data'!N144&lt;&gt;0,'Raw Data'!N144,IFERROR(VALUE(MID(F144,SEARCH("QTY",F144)+4,IFERROR(FIND(" ",F144,SEARCH("QTY",F144)+4)-(SEARCH("QTY",F144)+4),3))),""))</f>
        <v>0</v>
      </c>
      <c r="M144">
        <f>'Raw Data'!O144</f>
        <v>0</v>
      </c>
      <c r="N144">
        <f>'Raw Data'!P144</f>
        <v>0</v>
      </c>
      <c r="O144">
        <f>'Raw Data'!Q144</f>
        <v>0</v>
      </c>
      <c r="P144">
        <f>'Raw Data'!R144</f>
        <v>0</v>
      </c>
      <c r="Q144">
        <f>'Raw Data'!S144</f>
        <v>0</v>
      </c>
      <c r="R144">
        <f>'Raw Data'!T144</f>
        <v>0</v>
      </c>
      <c r="S144">
        <f>IFERROR(O144,0)+IFERROR(R144,0)</f>
        <v>0</v>
      </c>
      <c r="T144">
        <f>IF(A144="","",YEAR(A144))</f>
        <v>0</v>
      </c>
    </row>
    <row r="145" spans="1:20">
      <c r="A145">
        <f>'Raw Data'!B145</f>
        <v>0</v>
      </c>
      <c r="B145">
        <f>'Raw Data'!A145</f>
        <v>0</v>
      </c>
      <c r="C145">
        <f>'Raw Data'!C145</f>
        <v>0</v>
      </c>
      <c r="D145">
        <f>'Raw Data'!D145</f>
        <v>0</v>
      </c>
      <c r="E145">
        <f>IFERROR(VLOOKUP(D145,'Lookup Tables'!$A:$B,2,FALSE),"Unknown")</f>
        <v>0</v>
      </c>
      <c r="F145">
        <f>'Raw Data'!E145</f>
        <v>0</v>
      </c>
      <c r="G145">
        <f>IFERROR(VLOOKUP(D145,'Lookup Tables'!$A:$C,3,FALSE),IF(ISNUMBER(SEARCH("STEEL",F145)),"Steel","Others"))</f>
        <v>0</v>
      </c>
      <c r="H145">
        <f>IF(ISNUMBER(SEARCH("scrubber",F145)) , "Scrubber", IF(ISNUMBER(SEARCH("container",F145)),"Container", IF(ISNUMBER(SEARCH("basket",F145)),"Basket", IF(ISNUMBER(SEARCH("lunch",F145)),"Lunch Box", IF(ISNUMBER(SEARCH("cutlery",F145)),"Cutlery","Other")))))</f>
        <v>0</v>
      </c>
      <c r="I145">
        <f>IF('Raw Data'!G145&lt;&gt;'','Raw Data'!G145,IFERROR(MID(F145,SEARCH("MODEL",F145)+6,20),""))</f>
        <v>0</v>
      </c>
      <c r="J145">
        <f>'Raw Data'!H145</f>
        <v>0</v>
      </c>
      <c r="K145">
        <f>'Raw Data'!I145</f>
        <v>0</v>
      </c>
      <c r="L145">
        <f>IF('Raw Data'!N145&lt;&gt;0,'Raw Data'!N145,IFERROR(VALUE(MID(F145,SEARCH("QTY",F145)+4,IFERROR(FIND(" ",F145,SEARCH("QTY",F145)+4)-(SEARCH("QTY",F145)+4),3))),""))</f>
        <v>0</v>
      </c>
      <c r="M145">
        <f>'Raw Data'!O145</f>
        <v>0</v>
      </c>
      <c r="N145">
        <f>'Raw Data'!P145</f>
        <v>0</v>
      </c>
      <c r="O145">
        <f>'Raw Data'!Q145</f>
        <v>0</v>
      </c>
      <c r="P145">
        <f>'Raw Data'!R145</f>
        <v>0</v>
      </c>
      <c r="Q145">
        <f>'Raw Data'!S145</f>
        <v>0</v>
      </c>
      <c r="R145">
        <f>'Raw Data'!T145</f>
        <v>0</v>
      </c>
      <c r="S145">
        <f>IFERROR(O145,0)+IFERROR(R145,0)</f>
        <v>0</v>
      </c>
      <c r="T145">
        <f>IF(A145="","",YEAR(A145))</f>
        <v>0</v>
      </c>
    </row>
    <row r="146" spans="1:20">
      <c r="A146">
        <f>'Raw Data'!B146</f>
        <v>0</v>
      </c>
      <c r="B146">
        <f>'Raw Data'!A146</f>
        <v>0</v>
      </c>
      <c r="C146">
        <f>'Raw Data'!C146</f>
        <v>0</v>
      </c>
      <c r="D146">
        <f>'Raw Data'!D146</f>
        <v>0</v>
      </c>
      <c r="E146">
        <f>IFERROR(VLOOKUP(D146,'Lookup Tables'!$A:$B,2,FALSE),"Unknown")</f>
        <v>0</v>
      </c>
      <c r="F146">
        <f>'Raw Data'!E146</f>
        <v>0</v>
      </c>
      <c r="G146">
        <f>IFERROR(VLOOKUP(D146,'Lookup Tables'!$A:$C,3,FALSE),IF(ISNUMBER(SEARCH("STEEL",F146)),"Steel","Others"))</f>
        <v>0</v>
      </c>
      <c r="H146">
        <f>IF(ISNUMBER(SEARCH("scrubber",F146)) , "Scrubber", IF(ISNUMBER(SEARCH("container",F146)),"Container", IF(ISNUMBER(SEARCH("basket",F146)),"Basket", IF(ISNUMBER(SEARCH("lunch",F146)),"Lunch Box", IF(ISNUMBER(SEARCH("cutlery",F146)),"Cutlery","Other")))))</f>
        <v>0</v>
      </c>
      <c r="I146">
        <f>IF('Raw Data'!G146&lt;&gt;'','Raw Data'!G146,IFERROR(MID(F146,SEARCH("MODEL",F146)+6,20),""))</f>
        <v>0</v>
      </c>
      <c r="J146">
        <f>'Raw Data'!H146</f>
        <v>0</v>
      </c>
      <c r="K146">
        <f>'Raw Data'!I146</f>
        <v>0</v>
      </c>
      <c r="L146">
        <f>IF('Raw Data'!N146&lt;&gt;0,'Raw Data'!N146,IFERROR(VALUE(MID(F146,SEARCH("QTY",F146)+4,IFERROR(FIND(" ",F146,SEARCH("QTY",F146)+4)-(SEARCH("QTY",F146)+4),3))),""))</f>
        <v>0</v>
      </c>
      <c r="M146">
        <f>'Raw Data'!O146</f>
        <v>0</v>
      </c>
      <c r="N146">
        <f>'Raw Data'!P146</f>
        <v>0</v>
      </c>
      <c r="O146">
        <f>'Raw Data'!Q146</f>
        <v>0</v>
      </c>
      <c r="P146">
        <f>'Raw Data'!R146</f>
        <v>0</v>
      </c>
      <c r="Q146">
        <f>'Raw Data'!S146</f>
        <v>0</v>
      </c>
      <c r="R146">
        <f>'Raw Data'!T146</f>
        <v>0</v>
      </c>
      <c r="S146">
        <f>IFERROR(O146,0)+IFERROR(R146,0)</f>
        <v>0</v>
      </c>
      <c r="T146">
        <f>IF(A146="","",YEAR(A146))</f>
        <v>0</v>
      </c>
    </row>
    <row r="147" spans="1:20">
      <c r="A147">
        <f>'Raw Data'!B147</f>
        <v>0</v>
      </c>
      <c r="B147">
        <f>'Raw Data'!A147</f>
        <v>0</v>
      </c>
      <c r="C147">
        <f>'Raw Data'!C147</f>
        <v>0</v>
      </c>
      <c r="D147">
        <f>'Raw Data'!D147</f>
        <v>0</v>
      </c>
      <c r="E147">
        <f>IFERROR(VLOOKUP(D147,'Lookup Tables'!$A:$B,2,FALSE),"Unknown")</f>
        <v>0</v>
      </c>
      <c r="F147">
        <f>'Raw Data'!E147</f>
        <v>0</v>
      </c>
      <c r="G147">
        <f>IFERROR(VLOOKUP(D147,'Lookup Tables'!$A:$C,3,FALSE),IF(ISNUMBER(SEARCH("STEEL",F147)),"Steel","Others"))</f>
        <v>0</v>
      </c>
      <c r="H147">
        <f>IF(ISNUMBER(SEARCH("scrubber",F147)) , "Scrubber", IF(ISNUMBER(SEARCH("container",F147)),"Container", IF(ISNUMBER(SEARCH("basket",F147)),"Basket", IF(ISNUMBER(SEARCH("lunch",F147)),"Lunch Box", IF(ISNUMBER(SEARCH("cutlery",F147)),"Cutlery","Other")))))</f>
        <v>0</v>
      </c>
      <c r="I147">
        <f>IF('Raw Data'!G147&lt;&gt;'','Raw Data'!G147,IFERROR(MID(F147,SEARCH("MODEL",F147)+6,20),""))</f>
        <v>0</v>
      </c>
      <c r="J147">
        <f>'Raw Data'!H147</f>
        <v>0</v>
      </c>
      <c r="K147">
        <f>'Raw Data'!I147</f>
        <v>0</v>
      </c>
      <c r="L147">
        <f>IF('Raw Data'!N147&lt;&gt;0,'Raw Data'!N147,IFERROR(VALUE(MID(F147,SEARCH("QTY",F147)+4,IFERROR(FIND(" ",F147,SEARCH("QTY",F147)+4)-(SEARCH("QTY",F147)+4),3))),""))</f>
        <v>0</v>
      </c>
      <c r="M147">
        <f>'Raw Data'!O147</f>
        <v>0</v>
      </c>
      <c r="N147">
        <f>'Raw Data'!P147</f>
        <v>0</v>
      </c>
      <c r="O147">
        <f>'Raw Data'!Q147</f>
        <v>0</v>
      </c>
      <c r="P147">
        <f>'Raw Data'!R147</f>
        <v>0</v>
      </c>
      <c r="Q147">
        <f>'Raw Data'!S147</f>
        <v>0</v>
      </c>
      <c r="R147">
        <f>'Raw Data'!T147</f>
        <v>0</v>
      </c>
      <c r="S147">
        <f>IFERROR(O147,0)+IFERROR(R147,0)</f>
        <v>0</v>
      </c>
      <c r="T147">
        <f>IF(A147="","",YEAR(A147))</f>
        <v>0</v>
      </c>
    </row>
    <row r="148" spans="1:20">
      <c r="A148">
        <f>'Raw Data'!B148</f>
        <v>0</v>
      </c>
      <c r="B148">
        <f>'Raw Data'!A148</f>
        <v>0</v>
      </c>
      <c r="C148">
        <f>'Raw Data'!C148</f>
        <v>0</v>
      </c>
      <c r="D148">
        <f>'Raw Data'!D148</f>
        <v>0</v>
      </c>
      <c r="E148">
        <f>IFERROR(VLOOKUP(D148,'Lookup Tables'!$A:$B,2,FALSE),"Unknown")</f>
        <v>0</v>
      </c>
      <c r="F148">
        <f>'Raw Data'!E148</f>
        <v>0</v>
      </c>
      <c r="G148">
        <f>IFERROR(VLOOKUP(D148,'Lookup Tables'!$A:$C,3,FALSE),IF(ISNUMBER(SEARCH("STEEL",F148)),"Steel","Others"))</f>
        <v>0</v>
      </c>
      <c r="H148">
        <f>IF(ISNUMBER(SEARCH("scrubber",F148)) , "Scrubber", IF(ISNUMBER(SEARCH("container",F148)),"Container", IF(ISNUMBER(SEARCH("basket",F148)),"Basket", IF(ISNUMBER(SEARCH("lunch",F148)),"Lunch Box", IF(ISNUMBER(SEARCH("cutlery",F148)),"Cutlery","Other")))))</f>
        <v>0</v>
      </c>
      <c r="I148">
        <f>IF('Raw Data'!G148&lt;&gt;'','Raw Data'!G148,IFERROR(MID(F148,SEARCH("MODEL",F148)+6,20),""))</f>
        <v>0</v>
      </c>
      <c r="J148">
        <f>'Raw Data'!H148</f>
        <v>0</v>
      </c>
      <c r="K148">
        <f>'Raw Data'!I148</f>
        <v>0</v>
      </c>
      <c r="L148">
        <f>IF('Raw Data'!N148&lt;&gt;0,'Raw Data'!N148,IFERROR(VALUE(MID(F148,SEARCH("QTY",F148)+4,IFERROR(FIND(" ",F148,SEARCH("QTY",F148)+4)-(SEARCH("QTY",F148)+4),3))),""))</f>
        <v>0</v>
      </c>
      <c r="M148">
        <f>'Raw Data'!O148</f>
        <v>0</v>
      </c>
      <c r="N148">
        <f>'Raw Data'!P148</f>
        <v>0</v>
      </c>
      <c r="O148">
        <f>'Raw Data'!Q148</f>
        <v>0</v>
      </c>
      <c r="P148">
        <f>'Raw Data'!R148</f>
        <v>0</v>
      </c>
      <c r="Q148">
        <f>'Raw Data'!S148</f>
        <v>0</v>
      </c>
      <c r="R148">
        <f>'Raw Data'!T148</f>
        <v>0</v>
      </c>
      <c r="S148">
        <f>IFERROR(O148,0)+IFERROR(R148,0)</f>
        <v>0</v>
      </c>
      <c r="T148">
        <f>IF(A148="","",YEAR(A148))</f>
        <v>0</v>
      </c>
    </row>
    <row r="149" spans="1:20">
      <c r="A149">
        <f>'Raw Data'!B149</f>
        <v>0</v>
      </c>
      <c r="B149">
        <f>'Raw Data'!A149</f>
        <v>0</v>
      </c>
      <c r="C149">
        <f>'Raw Data'!C149</f>
        <v>0</v>
      </c>
      <c r="D149">
        <f>'Raw Data'!D149</f>
        <v>0</v>
      </c>
      <c r="E149">
        <f>IFERROR(VLOOKUP(D149,'Lookup Tables'!$A:$B,2,FALSE),"Unknown")</f>
        <v>0</v>
      </c>
      <c r="F149">
        <f>'Raw Data'!E149</f>
        <v>0</v>
      </c>
      <c r="G149">
        <f>IFERROR(VLOOKUP(D149,'Lookup Tables'!$A:$C,3,FALSE),IF(ISNUMBER(SEARCH("STEEL",F149)),"Steel","Others"))</f>
        <v>0</v>
      </c>
      <c r="H149">
        <f>IF(ISNUMBER(SEARCH("scrubber",F149)) , "Scrubber", IF(ISNUMBER(SEARCH("container",F149)),"Container", IF(ISNUMBER(SEARCH("basket",F149)),"Basket", IF(ISNUMBER(SEARCH("lunch",F149)),"Lunch Box", IF(ISNUMBER(SEARCH("cutlery",F149)),"Cutlery","Other")))))</f>
        <v>0</v>
      </c>
      <c r="I149">
        <f>IF('Raw Data'!G149&lt;&gt;'','Raw Data'!G149,IFERROR(MID(F149,SEARCH("MODEL",F149)+6,20),""))</f>
        <v>0</v>
      </c>
      <c r="J149">
        <f>'Raw Data'!H149</f>
        <v>0</v>
      </c>
      <c r="K149">
        <f>'Raw Data'!I149</f>
        <v>0</v>
      </c>
      <c r="L149">
        <f>IF('Raw Data'!N149&lt;&gt;0,'Raw Data'!N149,IFERROR(VALUE(MID(F149,SEARCH("QTY",F149)+4,IFERROR(FIND(" ",F149,SEARCH("QTY",F149)+4)-(SEARCH("QTY",F149)+4),3))),""))</f>
        <v>0</v>
      </c>
      <c r="M149">
        <f>'Raw Data'!O149</f>
        <v>0</v>
      </c>
      <c r="N149">
        <f>'Raw Data'!P149</f>
        <v>0</v>
      </c>
      <c r="O149">
        <f>'Raw Data'!Q149</f>
        <v>0</v>
      </c>
      <c r="P149">
        <f>'Raw Data'!R149</f>
        <v>0</v>
      </c>
      <c r="Q149">
        <f>'Raw Data'!S149</f>
        <v>0</v>
      </c>
      <c r="R149">
        <f>'Raw Data'!T149</f>
        <v>0</v>
      </c>
      <c r="S149">
        <f>IFERROR(O149,0)+IFERROR(R149,0)</f>
        <v>0</v>
      </c>
      <c r="T149">
        <f>IF(A149="","",YEAR(A149))</f>
        <v>0</v>
      </c>
    </row>
    <row r="150" spans="1:20">
      <c r="A150">
        <f>'Raw Data'!B150</f>
        <v>0</v>
      </c>
      <c r="B150">
        <f>'Raw Data'!A150</f>
        <v>0</v>
      </c>
      <c r="C150">
        <f>'Raw Data'!C150</f>
        <v>0</v>
      </c>
      <c r="D150">
        <f>'Raw Data'!D150</f>
        <v>0</v>
      </c>
      <c r="E150">
        <f>IFERROR(VLOOKUP(D150,'Lookup Tables'!$A:$B,2,FALSE),"Unknown")</f>
        <v>0</v>
      </c>
      <c r="F150">
        <f>'Raw Data'!E150</f>
        <v>0</v>
      </c>
      <c r="G150">
        <f>IFERROR(VLOOKUP(D150,'Lookup Tables'!$A:$C,3,FALSE),IF(ISNUMBER(SEARCH("STEEL",F150)),"Steel","Others"))</f>
        <v>0</v>
      </c>
      <c r="H150">
        <f>IF(ISNUMBER(SEARCH("scrubber",F150)) , "Scrubber", IF(ISNUMBER(SEARCH("container",F150)),"Container", IF(ISNUMBER(SEARCH("basket",F150)),"Basket", IF(ISNUMBER(SEARCH("lunch",F150)),"Lunch Box", IF(ISNUMBER(SEARCH("cutlery",F150)),"Cutlery","Other")))))</f>
        <v>0</v>
      </c>
      <c r="I150">
        <f>IF('Raw Data'!G150&lt;&gt;'','Raw Data'!G150,IFERROR(MID(F150,SEARCH("MODEL",F150)+6,20),""))</f>
        <v>0</v>
      </c>
      <c r="J150">
        <f>'Raw Data'!H150</f>
        <v>0</v>
      </c>
      <c r="K150">
        <f>'Raw Data'!I150</f>
        <v>0</v>
      </c>
      <c r="L150">
        <f>IF('Raw Data'!N150&lt;&gt;0,'Raw Data'!N150,IFERROR(VALUE(MID(F150,SEARCH("QTY",F150)+4,IFERROR(FIND(" ",F150,SEARCH("QTY",F150)+4)-(SEARCH("QTY",F150)+4),3))),""))</f>
        <v>0</v>
      </c>
      <c r="M150">
        <f>'Raw Data'!O150</f>
        <v>0</v>
      </c>
      <c r="N150">
        <f>'Raw Data'!P150</f>
        <v>0</v>
      </c>
      <c r="O150">
        <f>'Raw Data'!Q150</f>
        <v>0</v>
      </c>
      <c r="P150">
        <f>'Raw Data'!R150</f>
        <v>0</v>
      </c>
      <c r="Q150">
        <f>'Raw Data'!S150</f>
        <v>0</v>
      </c>
      <c r="R150">
        <f>'Raw Data'!T150</f>
        <v>0</v>
      </c>
      <c r="S150">
        <f>IFERROR(O150,0)+IFERROR(R150,0)</f>
        <v>0</v>
      </c>
      <c r="T150">
        <f>IF(A150="","",YEAR(A150))</f>
        <v>0</v>
      </c>
    </row>
    <row r="151" spans="1:20">
      <c r="A151">
        <f>'Raw Data'!B151</f>
        <v>0</v>
      </c>
      <c r="B151">
        <f>'Raw Data'!A151</f>
        <v>0</v>
      </c>
      <c r="C151">
        <f>'Raw Data'!C151</f>
        <v>0</v>
      </c>
      <c r="D151">
        <f>'Raw Data'!D151</f>
        <v>0</v>
      </c>
      <c r="E151">
        <f>IFERROR(VLOOKUP(D151,'Lookup Tables'!$A:$B,2,FALSE),"Unknown")</f>
        <v>0</v>
      </c>
      <c r="F151">
        <f>'Raw Data'!E151</f>
        <v>0</v>
      </c>
      <c r="G151">
        <f>IFERROR(VLOOKUP(D151,'Lookup Tables'!$A:$C,3,FALSE),IF(ISNUMBER(SEARCH("STEEL",F151)),"Steel","Others"))</f>
        <v>0</v>
      </c>
      <c r="H151">
        <f>IF(ISNUMBER(SEARCH("scrubber",F151)) , "Scrubber", IF(ISNUMBER(SEARCH("container",F151)),"Container", IF(ISNUMBER(SEARCH("basket",F151)),"Basket", IF(ISNUMBER(SEARCH("lunch",F151)),"Lunch Box", IF(ISNUMBER(SEARCH("cutlery",F151)),"Cutlery","Other")))))</f>
        <v>0</v>
      </c>
      <c r="I151">
        <f>IF('Raw Data'!G151&lt;&gt;'','Raw Data'!G151,IFERROR(MID(F151,SEARCH("MODEL",F151)+6,20),""))</f>
        <v>0</v>
      </c>
      <c r="J151">
        <f>'Raw Data'!H151</f>
        <v>0</v>
      </c>
      <c r="K151">
        <f>'Raw Data'!I151</f>
        <v>0</v>
      </c>
      <c r="L151">
        <f>IF('Raw Data'!N151&lt;&gt;0,'Raw Data'!N151,IFERROR(VALUE(MID(F151,SEARCH("QTY",F151)+4,IFERROR(FIND(" ",F151,SEARCH("QTY",F151)+4)-(SEARCH("QTY",F151)+4),3))),""))</f>
        <v>0</v>
      </c>
      <c r="M151">
        <f>'Raw Data'!O151</f>
        <v>0</v>
      </c>
      <c r="N151">
        <f>'Raw Data'!P151</f>
        <v>0</v>
      </c>
      <c r="O151">
        <f>'Raw Data'!Q151</f>
        <v>0</v>
      </c>
      <c r="P151">
        <f>'Raw Data'!R151</f>
        <v>0</v>
      </c>
      <c r="Q151">
        <f>'Raw Data'!S151</f>
        <v>0</v>
      </c>
      <c r="R151">
        <f>'Raw Data'!T151</f>
        <v>0</v>
      </c>
      <c r="S151">
        <f>IFERROR(O151,0)+IFERROR(R151,0)</f>
        <v>0</v>
      </c>
      <c r="T151">
        <f>IF(A151="","",YEAR(A151))</f>
        <v>0</v>
      </c>
    </row>
    <row r="152" spans="1:20">
      <c r="A152">
        <f>'Raw Data'!B152</f>
        <v>0</v>
      </c>
      <c r="B152">
        <f>'Raw Data'!A152</f>
        <v>0</v>
      </c>
      <c r="C152">
        <f>'Raw Data'!C152</f>
        <v>0</v>
      </c>
      <c r="D152">
        <f>'Raw Data'!D152</f>
        <v>0</v>
      </c>
      <c r="E152">
        <f>IFERROR(VLOOKUP(D152,'Lookup Tables'!$A:$B,2,FALSE),"Unknown")</f>
        <v>0</v>
      </c>
      <c r="F152">
        <f>'Raw Data'!E152</f>
        <v>0</v>
      </c>
      <c r="G152">
        <f>IFERROR(VLOOKUP(D152,'Lookup Tables'!$A:$C,3,FALSE),IF(ISNUMBER(SEARCH("STEEL",F152)),"Steel","Others"))</f>
        <v>0</v>
      </c>
      <c r="H152">
        <f>IF(ISNUMBER(SEARCH("scrubber",F152)) , "Scrubber", IF(ISNUMBER(SEARCH("container",F152)),"Container", IF(ISNUMBER(SEARCH("basket",F152)),"Basket", IF(ISNUMBER(SEARCH("lunch",F152)),"Lunch Box", IF(ISNUMBER(SEARCH("cutlery",F152)),"Cutlery","Other")))))</f>
        <v>0</v>
      </c>
      <c r="I152">
        <f>IF('Raw Data'!G152&lt;&gt;'','Raw Data'!G152,IFERROR(MID(F152,SEARCH("MODEL",F152)+6,20),""))</f>
        <v>0</v>
      </c>
      <c r="J152">
        <f>'Raw Data'!H152</f>
        <v>0</v>
      </c>
      <c r="K152">
        <f>'Raw Data'!I152</f>
        <v>0</v>
      </c>
      <c r="L152">
        <f>IF('Raw Data'!N152&lt;&gt;0,'Raw Data'!N152,IFERROR(VALUE(MID(F152,SEARCH("QTY",F152)+4,IFERROR(FIND(" ",F152,SEARCH("QTY",F152)+4)-(SEARCH("QTY",F152)+4),3))),""))</f>
        <v>0</v>
      </c>
      <c r="M152">
        <f>'Raw Data'!O152</f>
        <v>0</v>
      </c>
      <c r="N152">
        <f>'Raw Data'!P152</f>
        <v>0</v>
      </c>
      <c r="O152">
        <f>'Raw Data'!Q152</f>
        <v>0</v>
      </c>
      <c r="P152">
        <f>'Raw Data'!R152</f>
        <v>0</v>
      </c>
      <c r="Q152">
        <f>'Raw Data'!S152</f>
        <v>0</v>
      </c>
      <c r="R152">
        <f>'Raw Data'!T152</f>
        <v>0</v>
      </c>
      <c r="S152">
        <f>IFERROR(O152,0)+IFERROR(R152,0)</f>
        <v>0</v>
      </c>
      <c r="T152">
        <f>IF(A152="","",YEAR(A152))</f>
        <v>0</v>
      </c>
    </row>
    <row r="153" spans="1:20">
      <c r="A153">
        <f>'Raw Data'!B153</f>
        <v>0</v>
      </c>
      <c r="B153">
        <f>'Raw Data'!A153</f>
        <v>0</v>
      </c>
      <c r="C153">
        <f>'Raw Data'!C153</f>
        <v>0</v>
      </c>
      <c r="D153">
        <f>'Raw Data'!D153</f>
        <v>0</v>
      </c>
      <c r="E153">
        <f>IFERROR(VLOOKUP(D153,'Lookup Tables'!$A:$B,2,FALSE),"Unknown")</f>
        <v>0</v>
      </c>
      <c r="F153">
        <f>'Raw Data'!E153</f>
        <v>0</v>
      </c>
      <c r="G153">
        <f>IFERROR(VLOOKUP(D153,'Lookup Tables'!$A:$C,3,FALSE),IF(ISNUMBER(SEARCH("STEEL",F153)),"Steel","Others"))</f>
        <v>0</v>
      </c>
      <c r="H153">
        <f>IF(ISNUMBER(SEARCH("scrubber",F153)) , "Scrubber", IF(ISNUMBER(SEARCH("container",F153)),"Container", IF(ISNUMBER(SEARCH("basket",F153)),"Basket", IF(ISNUMBER(SEARCH("lunch",F153)),"Lunch Box", IF(ISNUMBER(SEARCH("cutlery",F153)),"Cutlery","Other")))))</f>
        <v>0</v>
      </c>
      <c r="I153">
        <f>IF('Raw Data'!G153&lt;&gt;'','Raw Data'!G153,IFERROR(MID(F153,SEARCH("MODEL",F153)+6,20),""))</f>
        <v>0</v>
      </c>
      <c r="J153">
        <f>'Raw Data'!H153</f>
        <v>0</v>
      </c>
      <c r="K153">
        <f>'Raw Data'!I153</f>
        <v>0</v>
      </c>
      <c r="L153">
        <f>IF('Raw Data'!N153&lt;&gt;0,'Raw Data'!N153,IFERROR(VALUE(MID(F153,SEARCH("QTY",F153)+4,IFERROR(FIND(" ",F153,SEARCH("QTY",F153)+4)-(SEARCH("QTY",F153)+4),3))),""))</f>
        <v>0</v>
      </c>
      <c r="M153">
        <f>'Raw Data'!O153</f>
        <v>0</v>
      </c>
      <c r="N153">
        <f>'Raw Data'!P153</f>
        <v>0</v>
      </c>
      <c r="O153">
        <f>'Raw Data'!Q153</f>
        <v>0</v>
      </c>
      <c r="P153">
        <f>'Raw Data'!R153</f>
        <v>0</v>
      </c>
      <c r="Q153">
        <f>'Raw Data'!S153</f>
        <v>0</v>
      </c>
      <c r="R153">
        <f>'Raw Data'!T153</f>
        <v>0</v>
      </c>
      <c r="S153">
        <f>IFERROR(O153,0)+IFERROR(R153,0)</f>
        <v>0</v>
      </c>
      <c r="T153">
        <f>IF(A153="","",YEAR(A153))</f>
        <v>0</v>
      </c>
    </row>
    <row r="154" spans="1:20">
      <c r="A154">
        <f>'Raw Data'!B154</f>
        <v>0</v>
      </c>
      <c r="B154">
        <f>'Raw Data'!A154</f>
        <v>0</v>
      </c>
      <c r="C154">
        <f>'Raw Data'!C154</f>
        <v>0</v>
      </c>
      <c r="D154">
        <f>'Raw Data'!D154</f>
        <v>0</v>
      </c>
      <c r="E154">
        <f>IFERROR(VLOOKUP(D154,'Lookup Tables'!$A:$B,2,FALSE),"Unknown")</f>
        <v>0</v>
      </c>
      <c r="F154">
        <f>'Raw Data'!E154</f>
        <v>0</v>
      </c>
      <c r="G154">
        <f>IFERROR(VLOOKUP(D154,'Lookup Tables'!$A:$C,3,FALSE),IF(ISNUMBER(SEARCH("STEEL",F154)),"Steel","Others"))</f>
        <v>0</v>
      </c>
      <c r="H154">
        <f>IF(ISNUMBER(SEARCH("scrubber",F154)) , "Scrubber", IF(ISNUMBER(SEARCH("container",F154)),"Container", IF(ISNUMBER(SEARCH("basket",F154)),"Basket", IF(ISNUMBER(SEARCH("lunch",F154)),"Lunch Box", IF(ISNUMBER(SEARCH("cutlery",F154)),"Cutlery","Other")))))</f>
        <v>0</v>
      </c>
      <c r="I154">
        <f>IF('Raw Data'!G154&lt;&gt;'','Raw Data'!G154,IFERROR(MID(F154,SEARCH("MODEL",F154)+6,20),""))</f>
        <v>0</v>
      </c>
      <c r="J154">
        <f>'Raw Data'!H154</f>
        <v>0</v>
      </c>
      <c r="K154">
        <f>'Raw Data'!I154</f>
        <v>0</v>
      </c>
      <c r="L154">
        <f>IF('Raw Data'!N154&lt;&gt;0,'Raw Data'!N154,IFERROR(VALUE(MID(F154,SEARCH("QTY",F154)+4,IFERROR(FIND(" ",F154,SEARCH("QTY",F154)+4)-(SEARCH("QTY",F154)+4),3))),""))</f>
        <v>0</v>
      </c>
      <c r="M154">
        <f>'Raw Data'!O154</f>
        <v>0</v>
      </c>
      <c r="N154">
        <f>'Raw Data'!P154</f>
        <v>0</v>
      </c>
      <c r="O154">
        <f>'Raw Data'!Q154</f>
        <v>0</v>
      </c>
      <c r="P154">
        <f>'Raw Data'!R154</f>
        <v>0</v>
      </c>
      <c r="Q154">
        <f>'Raw Data'!S154</f>
        <v>0</v>
      </c>
      <c r="R154">
        <f>'Raw Data'!T154</f>
        <v>0</v>
      </c>
      <c r="S154">
        <f>IFERROR(O154,0)+IFERROR(R154,0)</f>
        <v>0</v>
      </c>
      <c r="T154">
        <f>IF(A154="","",YEAR(A154))</f>
        <v>0</v>
      </c>
    </row>
    <row r="155" spans="1:20">
      <c r="A155">
        <f>'Raw Data'!B155</f>
        <v>0</v>
      </c>
      <c r="B155">
        <f>'Raw Data'!A155</f>
        <v>0</v>
      </c>
      <c r="C155">
        <f>'Raw Data'!C155</f>
        <v>0</v>
      </c>
      <c r="D155">
        <f>'Raw Data'!D155</f>
        <v>0</v>
      </c>
      <c r="E155">
        <f>IFERROR(VLOOKUP(D155,'Lookup Tables'!$A:$B,2,FALSE),"Unknown")</f>
        <v>0</v>
      </c>
      <c r="F155">
        <f>'Raw Data'!E155</f>
        <v>0</v>
      </c>
      <c r="G155">
        <f>IFERROR(VLOOKUP(D155,'Lookup Tables'!$A:$C,3,FALSE),IF(ISNUMBER(SEARCH("STEEL",F155)),"Steel","Others"))</f>
        <v>0</v>
      </c>
      <c r="H155">
        <f>IF(ISNUMBER(SEARCH("scrubber",F155)) , "Scrubber", IF(ISNUMBER(SEARCH("container",F155)),"Container", IF(ISNUMBER(SEARCH("basket",F155)),"Basket", IF(ISNUMBER(SEARCH("lunch",F155)),"Lunch Box", IF(ISNUMBER(SEARCH("cutlery",F155)),"Cutlery","Other")))))</f>
        <v>0</v>
      </c>
      <c r="I155">
        <f>IF('Raw Data'!G155&lt;&gt;'','Raw Data'!G155,IFERROR(MID(F155,SEARCH("MODEL",F155)+6,20),""))</f>
        <v>0</v>
      </c>
      <c r="J155">
        <f>'Raw Data'!H155</f>
        <v>0</v>
      </c>
      <c r="K155">
        <f>'Raw Data'!I155</f>
        <v>0</v>
      </c>
      <c r="L155">
        <f>IF('Raw Data'!N155&lt;&gt;0,'Raw Data'!N155,IFERROR(VALUE(MID(F155,SEARCH("QTY",F155)+4,IFERROR(FIND(" ",F155,SEARCH("QTY",F155)+4)-(SEARCH("QTY",F155)+4),3))),""))</f>
        <v>0</v>
      </c>
      <c r="M155">
        <f>'Raw Data'!O155</f>
        <v>0</v>
      </c>
      <c r="N155">
        <f>'Raw Data'!P155</f>
        <v>0</v>
      </c>
      <c r="O155">
        <f>'Raw Data'!Q155</f>
        <v>0</v>
      </c>
      <c r="P155">
        <f>'Raw Data'!R155</f>
        <v>0</v>
      </c>
      <c r="Q155">
        <f>'Raw Data'!S155</f>
        <v>0</v>
      </c>
      <c r="R155">
        <f>'Raw Data'!T155</f>
        <v>0</v>
      </c>
      <c r="S155">
        <f>IFERROR(O155,0)+IFERROR(R155,0)</f>
        <v>0</v>
      </c>
      <c r="T155">
        <f>IF(A155="","",YEAR(A155))</f>
        <v>0</v>
      </c>
    </row>
    <row r="156" spans="1:20">
      <c r="A156">
        <f>'Raw Data'!B156</f>
        <v>0</v>
      </c>
      <c r="B156">
        <f>'Raw Data'!A156</f>
        <v>0</v>
      </c>
      <c r="C156">
        <f>'Raw Data'!C156</f>
        <v>0</v>
      </c>
      <c r="D156">
        <f>'Raw Data'!D156</f>
        <v>0</v>
      </c>
      <c r="E156">
        <f>IFERROR(VLOOKUP(D156,'Lookup Tables'!$A:$B,2,FALSE),"Unknown")</f>
        <v>0</v>
      </c>
      <c r="F156">
        <f>'Raw Data'!E156</f>
        <v>0</v>
      </c>
      <c r="G156">
        <f>IFERROR(VLOOKUP(D156,'Lookup Tables'!$A:$C,3,FALSE),IF(ISNUMBER(SEARCH("STEEL",F156)),"Steel","Others"))</f>
        <v>0</v>
      </c>
      <c r="H156">
        <f>IF(ISNUMBER(SEARCH("scrubber",F156)) , "Scrubber", IF(ISNUMBER(SEARCH("container",F156)),"Container", IF(ISNUMBER(SEARCH("basket",F156)),"Basket", IF(ISNUMBER(SEARCH("lunch",F156)),"Lunch Box", IF(ISNUMBER(SEARCH("cutlery",F156)),"Cutlery","Other")))))</f>
        <v>0</v>
      </c>
      <c r="I156">
        <f>IF('Raw Data'!G156&lt;&gt;'','Raw Data'!G156,IFERROR(MID(F156,SEARCH("MODEL",F156)+6,20),""))</f>
        <v>0</v>
      </c>
      <c r="J156">
        <f>'Raw Data'!H156</f>
        <v>0</v>
      </c>
      <c r="K156">
        <f>'Raw Data'!I156</f>
        <v>0</v>
      </c>
      <c r="L156">
        <f>IF('Raw Data'!N156&lt;&gt;0,'Raw Data'!N156,IFERROR(VALUE(MID(F156,SEARCH("QTY",F156)+4,IFERROR(FIND(" ",F156,SEARCH("QTY",F156)+4)-(SEARCH("QTY",F156)+4),3))),""))</f>
        <v>0</v>
      </c>
      <c r="M156">
        <f>'Raw Data'!O156</f>
        <v>0</v>
      </c>
      <c r="N156">
        <f>'Raw Data'!P156</f>
        <v>0</v>
      </c>
      <c r="O156">
        <f>'Raw Data'!Q156</f>
        <v>0</v>
      </c>
      <c r="P156">
        <f>'Raw Data'!R156</f>
        <v>0</v>
      </c>
      <c r="Q156">
        <f>'Raw Data'!S156</f>
        <v>0</v>
      </c>
      <c r="R156">
        <f>'Raw Data'!T156</f>
        <v>0</v>
      </c>
      <c r="S156">
        <f>IFERROR(O156,0)+IFERROR(R156,0)</f>
        <v>0</v>
      </c>
      <c r="T156">
        <f>IF(A156="","",YEAR(A156))</f>
        <v>0</v>
      </c>
    </row>
    <row r="157" spans="1:20">
      <c r="A157">
        <f>'Raw Data'!B157</f>
        <v>0</v>
      </c>
      <c r="B157">
        <f>'Raw Data'!A157</f>
        <v>0</v>
      </c>
      <c r="C157">
        <f>'Raw Data'!C157</f>
        <v>0</v>
      </c>
      <c r="D157">
        <f>'Raw Data'!D157</f>
        <v>0</v>
      </c>
      <c r="E157">
        <f>IFERROR(VLOOKUP(D157,'Lookup Tables'!$A:$B,2,FALSE),"Unknown")</f>
        <v>0</v>
      </c>
      <c r="F157">
        <f>'Raw Data'!E157</f>
        <v>0</v>
      </c>
      <c r="G157">
        <f>IFERROR(VLOOKUP(D157,'Lookup Tables'!$A:$C,3,FALSE),IF(ISNUMBER(SEARCH("STEEL",F157)),"Steel","Others"))</f>
        <v>0</v>
      </c>
      <c r="H157">
        <f>IF(ISNUMBER(SEARCH("scrubber",F157)) , "Scrubber", IF(ISNUMBER(SEARCH("container",F157)),"Container", IF(ISNUMBER(SEARCH("basket",F157)),"Basket", IF(ISNUMBER(SEARCH("lunch",F157)),"Lunch Box", IF(ISNUMBER(SEARCH("cutlery",F157)),"Cutlery","Other")))))</f>
        <v>0</v>
      </c>
      <c r="I157">
        <f>IF('Raw Data'!G157&lt;&gt;'','Raw Data'!G157,IFERROR(MID(F157,SEARCH("MODEL",F157)+6,20),""))</f>
        <v>0</v>
      </c>
      <c r="J157">
        <f>'Raw Data'!H157</f>
        <v>0</v>
      </c>
      <c r="K157">
        <f>'Raw Data'!I157</f>
        <v>0</v>
      </c>
      <c r="L157">
        <f>IF('Raw Data'!N157&lt;&gt;0,'Raw Data'!N157,IFERROR(VALUE(MID(F157,SEARCH("QTY",F157)+4,IFERROR(FIND(" ",F157,SEARCH("QTY",F157)+4)-(SEARCH("QTY",F157)+4),3))),""))</f>
        <v>0</v>
      </c>
      <c r="M157">
        <f>'Raw Data'!O157</f>
        <v>0</v>
      </c>
      <c r="N157">
        <f>'Raw Data'!P157</f>
        <v>0</v>
      </c>
      <c r="O157">
        <f>'Raw Data'!Q157</f>
        <v>0</v>
      </c>
      <c r="P157">
        <f>'Raw Data'!R157</f>
        <v>0</v>
      </c>
      <c r="Q157">
        <f>'Raw Data'!S157</f>
        <v>0</v>
      </c>
      <c r="R157">
        <f>'Raw Data'!T157</f>
        <v>0</v>
      </c>
      <c r="S157">
        <f>IFERROR(O157,0)+IFERROR(R157,0)</f>
        <v>0</v>
      </c>
      <c r="T157">
        <f>IF(A157="","",YEAR(A157))</f>
        <v>0</v>
      </c>
    </row>
    <row r="158" spans="1:20">
      <c r="A158">
        <f>'Raw Data'!B158</f>
        <v>0</v>
      </c>
      <c r="B158">
        <f>'Raw Data'!A158</f>
        <v>0</v>
      </c>
      <c r="C158">
        <f>'Raw Data'!C158</f>
        <v>0</v>
      </c>
      <c r="D158">
        <f>'Raw Data'!D158</f>
        <v>0</v>
      </c>
      <c r="E158">
        <f>IFERROR(VLOOKUP(D158,'Lookup Tables'!$A:$B,2,FALSE),"Unknown")</f>
        <v>0</v>
      </c>
      <c r="F158">
        <f>'Raw Data'!E158</f>
        <v>0</v>
      </c>
      <c r="G158">
        <f>IFERROR(VLOOKUP(D158,'Lookup Tables'!$A:$C,3,FALSE),IF(ISNUMBER(SEARCH("STEEL",F158)),"Steel","Others"))</f>
        <v>0</v>
      </c>
      <c r="H158">
        <f>IF(ISNUMBER(SEARCH("scrubber",F158)) , "Scrubber", IF(ISNUMBER(SEARCH("container",F158)),"Container", IF(ISNUMBER(SEARCH("basket",F158)),"Basket", IF(ISNUMBER(SEARCH("lunch",F158)),"Lunch Box", IF(ISNUMBER(SEARCH("cutlery",F158)),"Cutlery","Other")))))</f>
        <v>0</v>
      </c>
      <c r="I158">
        <f>IF('Raw Data'!G158&lt;&gt;'','Raw Data'!G158,IFERROR(MID(F158,SEARCH("MODEL",F158)+6,20),""))</f>
        <v>0</v>
      </c>
      <c r="J158">
        <f>'Raw Data'!H158</f>
        <v>0</v>
      </c>
      <c r="K158">
        <f>'Raw Data'!I158</f>
        <v>0</v>
      </c>
      <c r="L158">
        <f>IF('Raw Data'!N158&lt;&gt;0,'Raw Data'!N158,IFERROR(VALUE(MID(F158,SEARCH("QTY",F158)+4,IFERROR(FIND(" ",F158,SEARCH("QTY",F158)+4)-(SEARCH("QTY",F158)+4),3))),""))</f>
        <v>0</v>
      </c>
      <c r="M158">
        <f>'Raw Data'!O158</f>
        <v>0</v>
      </c>
      <c r="N158">
        <f>'Raw Data'!P158</f>
        <v>0</v>
      </c>
      <c r="O158">
        <f>'Raw Data'!Q158</f>
        <v>0</v>
      </c>
      <c r="P158">
        <f>'Raw Data'!R158</f>
        <v>0</v>
      </c>
      <c r="Q158">
        <f>'Raw Data'!S158</f>
        <v>0</v>
      </c>
      <c r="R158">
        <f>'Raw Data'!T158</f>
        <v>0</v>
      </c>
      <c r="S158">
        <f>IFERROR(O158,0)+IFERROR(R158,0)</f>
        <v>0</v>
      </c>
      <c r="T158">
        <f>IF(A158="","",YEAR(A158))</f>
        <v>0</v>
      </c>
    </row>
    <row r="159" spans="1:20">
      <c r="A159">
        <f>'Raw Data'!B159</f>
        <v>0</v>
      </c>
      <c r="B159">
        <f>'Raw Data'!A159</f>
        <v>0</v>
      </c>
      <c r="C159">
        <f>'Raw Data'!C159</f>
        <v>0</v>
      </c>
      <c r="D159">
        <f>'Raw Data'!D159</f>
        <v>0</v>
      </c>
      <c r="E159">
        <f>IFERROR(VLOOKUP(D159,'Lookup Tables'!$A:$B,2,FALSE),"Unknown")</f>
        <v>0</v>
      </c>
      <c r="F159">
        <f>'Raw Data'!E159</f>
        <v>0</v>
      </c>
      <c r="G159">
        <f>IFERROR(VLOOKUP(D159,'Lookup Tables'!$A:$C,3,FALSE),IF(ISNUMBER(SEARCH("STEEL",F159)),"Steel","Others"))</f>
        <v>0</v>
      </c>
      <c r="H159">
        <f>IF(ISNUMBER(SEARCH("scrubber",F159)) , "Scrubber", IF(ISNUMBER(SEARCH("container",F159)),"Container", IF(ISNUMBER(SEARCH("basket",F159)),"Basket", IF(ISNUMBER(SEARCH("lunch",F159)),"Lunch Box", IF(ISNUMBER(SEARCH("cutlery",F159)),"Cutlery","Other")))))</f>
        <v>0</v>
      </c>
      <c r="I159">
        <f>IF('Raw Data'!G159&lt;&gt;'','Raw Data'!G159,IFERROR(MID(F159,SEARCH("MODEL",F159)+6,20),""))</f>
        <v>0</v>
      </c>
      <c r="J159">
        <f>'Raw Data'!H159</f>
        <v>0</v>
      </c>
      <c r="K159">
        <f>'Raw Data'!I159</f>
        <v>0</v>
      </c>
      <c r="L159">
        <f>IF('Raw Data'!N159&lt;&gt;0,'Raw Data'!N159,IFERROR(VALUE(MID(F159,SEARCH("QTY",F159)+4,IFERROR(FIND(" ",F159,SEARCH("QTY",F159)+4)-(SEARCH("QTY",F159)+4),3))),""))</f>
        <v>0</v>
      </c>
      <c r="M159">
        <f>'Raw Data'!O159</f>
        <v>0</v>
      </c>
      <c r="N159">
        <f>'Raw Data'!P159</f>
        <v>0</v>
      </c>
      <c r="O159">
        <f>'Raw Data'!Q159</f>
        <v>0</v>
      </c>
      <c r="P159">
        <f>'Raw Data'!R159</f>
        <v>0</v>
      </c>
      <c r="Q159">
        <f>'Raw Data'!S159</f>
        <v>0</v>
      </c>
      <c r="R159">
        <f>'Raw Data'!T159</f>
        <v>0</v>
      </c>
      <c r="S159">
        <f>IFERROR(O159,0)+IFERROR(R159,0)</f>
        <v>0</v>
      </c>
      <c r="T159">
        <f>IF(A159="","",YEAR(A159))</f>
        <v>0</v>
      </c>
    </row>
    <row r="160" spans="1:20">
      <c r="A160">
        <f>'Raw Data'!B160</f>
        <v>0</v>
      </c>
      <c r="B160">
        <f>'Raw Data'!A160</f>
        <v>0</v>
      </c>
      <c r="C160">
        <f>'Raw Data'!C160</f>
        <v>0</v>
      </c>
      <c r="D160">
        <f>'Raw Data'!D160</f>
        <v>0</v>
      </c>
      <c r="E160">
        <f>IFERROR(VLOOKUP(D160,'Lookup Tables'!$A:$B,2,FALSE),"Unknown")</f>
        <v>0</v>
      </c>
      <c r="F160">
        <f>'Raw Data'!E160</f>
        <v>0</v>
      </c>
      <c r="G160">
        <f>IFERROR(VLOOKUP(D160,'Lookup Tables'!$A:$C,3,FALSE),IF(ISNUMBER(SEARCH("STEEL",F160)),"Steel","Others"))</f>
        <v>0</v>
      </c>
      <c r="H160">
        <f>IF(ISNUMBER(SEARCH("scrubber",F160)) , "Scrubber", IF(ISNUMBER(SEARCH("container",F160)),"Container", IF(ISNUMBER(SEARCH("basket",F160)),"Basket", IF(ISNUMBER(SEARCH("lunch",F160)),"Lunch Box", IF(ISNUMBER(SEARCH("cutlery",F160)),"Cutlery","Other")))))</f>
        <v>0</v>
      </c>
      <c r="I160">
        <f>IF('Raw Data'!G160&lt;&gt;'','Raw Data'!G160,IFERROR(MID(F160,SEARCH("MODEL",F160)+6,20),""))</f>
        <v>0</v>
      </c>
      <c r="J160">
        <f>'Raw Data'!H160</f>
        <v>0</v>
      </c>
      <c r="K160">
        <f>'Raw Data'!I160</f>
        <v>0</v>
      </c>
      <c r="L160">
        <f>IF('Raw Data'!N160&lt;&gt;0,'Raw Data'!N160,IFERROR(VALUE(MID(F160,SEARCH("QTY",F160)+4,IFERROR(FIND(" ",F160,SEARCH("QTY",F160)+4)-(SEARCH("QTY",F160)+4),3))),""))</f>
        <v>0</v>
      </c>
      <c r="M160">
        <f>'Raw Data'!O160</f>
        <v>0</v>
      </c>
      <c r="N160">
        <f>'Raw Data'!P160</f>
        <v>0</v>
      </c>
      <c r="O160">
        <f>'Raw Data'!Q160</f>
        <v>0</v>
      </c>
      <c r="P160">
        <f>'Raw Data'!R160</f>
        <v>0</v>
      </c>
      <c r="Q160">
        <f>'Raw Data'!S160</f>
        <v>0</v>
      </c>
      <c r="R160">
        <f>'Raw Data'!T160</f>
        <v>0</v>
      </c>
      <c r="S160">
        <f>IFERROR(O160,0)+IFERROR(R160,0)</f>
        <v>0</v>
      </c>
      <c r="T160">
        <f>IF(A160="","",YEAR(A160))</f>
        <v>0</v>
      </c>
    </row>
    <row r="161" spans="1:20">
      <c r="A161">
        <f>'Raw Data'!B161</f>
        <v>0</v>
      </c>
      <c r="B161">
        <f>'Raw Data'!A161</f>
        <v>0</v>
      </c>
      <c r="C161">
        <f>'Raw Data'!C161</f>
        <v>0</v>
      </c>
      <c r="D161">
        <f>'Raw Data'!D161</f>
        <v>0</v>
      </c>
      <c r="E161">
        <f>IFERROR(VLOOKUP(D161,'Lookup Tables'!$A:$B,2,FALSE),"Unknown")</f>
        <v>0</v>
      </c>
      <c r="F161">
        <f>'Raw Data'!E161</f>
        <v>0</v>
      </c>
      <c r="G161">
        <f>IFERROR(VLOOKUP(D161,'Lookup Tables'!$A:$C,3,FALSE),IF(ISNUMBER(SEARCH("STEEL",F161)),"Steel","Others"))</f>
        <v>0</v>
      </c>
      <c r="H161">
        <f>IF(ISNUMBER(SEARCH("scrubber",F161)) , "Scrubber", IF(ISNUMBER(SEARCH("container",F161)),"Container", IF(ISNUMBER(SEARCH("basket",F161)),"Basket", IF(ISNUMBER(SEARCH("lunch",F161)),"Lunch Box", IF(ISNUMBER(SEARCH("cutlery",F161)),"Cutlery","Other")))))</f>
        <v>0</v>
      </c>
      <c r="I161">
        <f>IF('Raw Data'!G161&lt;&gt;'','Raw Data'!G161,IFERROR(MID(F161,SEARCH("MODEL",F161)+6,20),""))</f>
        <v>0</v>
      </c>
      <c r="J161">
        <f>'Raw Data'!H161</f>
        <v>0</v>
      </c>
      <c r="K161">
        <f>'Raw Data'!I161</f>
        <v>0</v>
      </c>
      <c r="L161">
        <f>IF('Raw Data'!N161&lt;&gt;0,'Raw Data'!N161,IFERROR(VALUE(MID(F161,SEARCH("QTY",F161)+4,IFERROR(FIND(" ",F161,SEARCH("QTY",F161)+4)-(SEARCH("QTY",F161)+4),3))),""))</f>
        <v>0</v>
      </c>
      <c r="M161">
        <f>'Raw Data'!O161</f>
        <v>0</v>
      </c>
      <c r="N161">
        <f>'Raw Data'!P161</f>
        <v>0</v>
      </c>
      <c r="O161">
        <f>'Raw Data'!Q161</f>
        <v>0</v>
      </c>
      <c r="P161">
        <f>'Raw Data'!R161</f>
        <v>0</v>
      </c>
      <c r="Q161">
        <f>'Raw Data'!S161</f>
        <v>0</v>
      </c>
      <c r="R161">
        <f>'Raw Data'!T161</f>
        <v>0</v>
      </c>
      <c r="S161">
        <f>IFERROR(O161,0)+IFERROR(R161,0)</f>
        <v>0</v>
      </c>
      <c r="T161">
        <f>IF(A161="","",YEAR(A161))</f>
        <v>0</v>
      </c>
    </row>
    <row r="162" spans="1:20">
      <c r="A162">
        <f>'Raw Data'!B162</f>
        <v>0</v>
      </c>
      <c r="B162">
        <f>'Raw Data'!A162</f>
        <v>0</v>
      </c>
      <c r="C162">
        <f>'Raw Data'!C162</f>
        <v>0</v>
      </c>
      <c r="D162">
        <f>'Raw Data'!D162</f>
        <v>0</v>
      </c>
      <c r="E162">
        <f>IFERROR(VLOOKUP(D162,'Lookup Tables'!$A:$B,2,FALSE),"Unknown")</f>
        <v>0</v>
      </c>
      <c r="F162">
        <f>'Raw Data'!E162</f>
        <v>0</v>
      </c>
      <c r="G162">
        <f>IFERROR(VLOOKUP(D162,'Lookup Tables'!$A:$C,3,FALSE),IF(ISNUMBER(SEARCH("STEEL",F162)),"Steel","Others"))</f>
        <v>0</v>
      </c>
      <c r="H162">
        <f>IF(ISNUMBER(SEARCH("scrubber",F162)) , "Scrubber", IF(ISNUMBER(SEARCH("container",F162)),"Container", IF(ISNUMBER(SEARCH("basket",F162)),"Basket", IF(ISNUMBER(SEARCH("lunch",F162)),"Lunch Box", IF(ISNUMBER(SEARCH("cutlery",F162)),"Cutlery","Other")))))</f>
        <v>0</v>
      </c>
      <c r="I162">
        <f>IF('Raw Data'!G162&lt;&gt;'','Raw Data'!G162,IFERROR(MID(F162,SEARCH("MODEL",F162)+6,20),""))</f>
        <v>0</v>
      </c>
      <c r="J162">
        <f>'Raw Data'!H162</f>
        <v>0</v>
      </c>
      <c r="K162">
        <f>'Raw Data'!I162</f>
        <v>0</v>
      </c>
      <c r="L162">
        <f>IF('Raw Data'!N162&lt;&gt;0,'Raw Data'!N162,IFERROR(VALUE(MID(F162,SEARCH("QTY",F162)+4,IFERROR(FIND(" ",F162,SEARCH("QTY",F162)+4)-(SEARCH("QTY",F162)+4),3))),""))</f>
        <v>0</v>
      </c>
      <c r="M162">
        <f>'Raw Data'!O162</f>
        <v>0</v>
      </c>
      <c r="N162">
        <f>'Raw Data'!P162</f>
        <v>0</v>
      </c>
      <c r="O162">
        <f>'Raw Data'!Q162</f>
        <v>0</v>
      </c>
      <c r="P162">
        <f>'Raw Data'!R162</f>
        <v>0</v>
      </c>
      <c r="Q162">
        <f>'Raw Data'!S162</f>
        <v>0</v>
      </c>
      <c r="R162">
        <f>'Raw Data'!T162</f>
        <v>0</v>
      </c>
      <c r="S162">
        <f>IFERROR(O162,0)+IFERROR(R162,0)</f>
        <v>0</v>
      </c>
      <c r="T162">
        <f>IF(A162="","",YEAR(A162))</f>
        <v>0</v>
      </c>
    </row>
    <row r="163" spans="1:20">
      <c r="A163">
        <f>'Raw Data'!B163</f>
        <v>0</v>
      </c>
      <c r="B163">
        <f>'Raw Data'!A163</f>
        <v>0</v>
      </c>
      <c r="C163">
        <f>'Raw Data'!C163</f>
        <v>0</v>
      </c>
      <c r="D163">
        <f>'Raw Data'!D163</f>
        <v>0</v>
      </c>
      <c r="E163">
        <f>IFERROR(VLOOKUP(D163,'Lookup Tables'!$A:$B,2,FALSE),"Unknown")</f>
        <v>0</v>
      </c>
      <c r="F163">
        <f>'Raw Data'!E163</f>
        <v>0</v>
      </c>
      <c r="G163">
        <f>IFERROR(VLOOKUP(D163,'Lookup Tables'!$A:$C,3,FALSE),IF(ISNUMBER(SEARCH("STEEL",F163)),"Steel","Others"))</f>
        <v>0</v>
      </c>
      <c r="H163">
        <f>IF(ISNUMBER(SEARCH("scrubber",F163)) , "Scrubber", IF(ISNUMBER(SEARCH("container",F163)),"Container", IF(ISNUMBER(SEARCH("basket",F163)),"Basket", IF(ISNUMBER(SEARCH("lunch",F163)),"Lunch Box", IF(ISNUMBER(SEARCH("cutlery",F163)),"Cutlery","Other")))))</f>
        <v>0</v>
      </c>
      <c r="I163">
        <f>IF('Raw Data'!G163&lt;&gt;'','Raw Data'!G163,IFERROR(MID(F163,SEARCH("MODEL",F163)+6,20),""))</f>
        <v>0</v>
      </c>
      <c r="J163">
        <f>'Raw Data'!H163</f>
        <v>0</v>
      </c>
      <c r="K163">
        <f>'Raw Data'!I163</f>
        <v>0</v>
      </c>
      <c r="L163">
        <f>IF('Raw Data'!N163&lt;&gt;0,'Raw Data'!N163,IFERROR(VALUE(MID(F163,SEARCH("QTY",F163)+4,IFERROR(FIND(" ",F163,SEARCH("QTY",F163)+4)-(SEARCH("QTY",F163)+4),3))),""))</f>
        <v>0</v>
      </c>
      <c r="M163">
        <f>'Raw Data'!O163</f>
        <v>0</v>
      </c>
      <c r="N163">
        <f>'Raw Data'!P163</f>
        <v>0</v>
      </c>
      <c r="O163">
        <f>'Raw Data'!Q163</f>
        <v>0</v>
      </c>
      <c r="P163">
        <f>'Raw Data'!R163</f>
        <v>0</v>
      </c>
      <c r="Q163">
        <f>'Raw Data'!S163</f>
        <v>0</v>
      </c>
      <c r="R163">
        <f>'Raw Data'!T163</f>
        <v>0</v>
      </c>
      <c r="S163">
        <f>IFERROR(O163,0)+IFERROR(R163,0)</f>
        <v>0</v>
      </c>
      <c r="T163">
        <f>IF(A163="","",YEAR(A163))</f>
        <v>0</v>
      </c>
    </row>
    <row r="164" spans="1:20">
      <c r="A164">
        <f>'Raw Data'!B164</f>
        <v>0</v>
      </c>
      <c r="B164">
        <f>'Raw Data'!A164</f>
        <v>0</v>
      </c>
      <c r="C164">
        <f>'Raw Data'!C164</f>
        <v>0</v>
      </c>
      <c r="D164">
        <f>'Raw Data'!D164</f>
        <v>0</v>
      </c>
      <c r="E164">
        <f>IFERROR(VLOOKUP(D164,'Lookup Tables'!$A:$B,2,FALSE),"Unknown")</f>
        <v>0</v>
      </c>
      <c r="F164">
        <f>'Raw Data'!E164</f>
        <v>0</v>
      </c>
      <c r="G164">
        <f>IFERROR(VLOOKUP(D164,'Lookup Tables'!$A:$C,3,FALSE),IF(ISNUMBER(SEARCH("STEEL",F164)),"Steel","Others"))</f>
        <v>0</v>
      </c>
      <c r="H164">
        <f>IF(ISNUMBER(SEARCH("scrubber",F164)) , "Scrubber", IF(ISNUMBER(SEARCH("container",F164)),"Container", IF(ISNUMBER(SEARCH("basket",F164)),"Basket", IF(ISNUMBER(SEARCH("lunch",F164)),"Lunch Box", IF(ISNUMBER(SEARCH("cutlery",F164)),"Cutlery","Other")))))</f>
        <v>0</v>
      </c>
      <c r="I164">
        <f>IF('Raw Data'!G164&lt;&gt;'','Raw Data'!G164,IFERROR(MID(F164,SEARCH("MODEL",F164)+6,20),""))</f>
        <v>0</v>
      </c>
      <c r="J164">
        <f>'Raw Data'!H164</f>
        <v>0</v>
      </c>
      <c r="K164">
        <f>'Raw Data'!I164</f>
        <v>0</v>
      </c>
      <c r="L164">
        <f>IF('Raw Data'!N164&lt;&gt;0,'Raw Data'!N164,IFERROR(VALUE(MID(F164,SEARCH("QTY",F164)+4,IFERROR(FIND(" ",F164,SEARCH("QTY",F164)+4)-(SEARCH("QTY",F164)+4),3))),""))</f>
        <v>0</v>
      </c>
      <c r="M164">
        <f>'Raw Data'!O164</f>
        <v>0</v>
      </c>
      <c r="N164">
        <f>'Raw Data'!P164</f>
        <v>0</v>
      </c>
      <c r="O164">
        <f>'Raw Data'!Q164</f>
        <v>0</v>
      </c>
      <c r="P164">
        <f>'Raw Data'!R164</f>
        <v>0</v>
      </c>
      <c r="Q164">
        <f>'Raw Data'!S164</f>
        <v>0</v>
      </c>
      <c r="R164">
        <f>'Raw Data'!T164</f>
        <v>0</v>
      </c>
      <c r="S164">
        <f>IFERROR(O164,0)+IFERROR(R164,0)</f>
        <v>0</v>
      </c>
      <c r="T164">
        <f>IF(A164="","",YEAR(A164))</f>
        <v>0</v>
      </c>
    </row>
    <row r="165" spans="1:20">
      <c r="A165">
        <f>'Raw Data'!B165</f>
        <v>0</v>
      </c>
      <c r="B165">
        <f>'Raw Data'!A165</f>
        <v>0</v>
      </c>
      <c r="C165">
        <f>'Raw Data'!C165</f>
        <v>0</v>
      </c>
      <c r="D165">
        <f>'Raw Data'!D165</f>
        <v>0</v>
      </c>
      <c r="E165">
        <f>IFERROR(VLOOKUP(D165,'Lookup Tables'!$A:$B,2,FALSE),"Unknown")</f>
        <v>0</v>
      </c>
      <c r="F165">
        <f>'Raw Data'!E165</f>
        <v>0</v>
      </c>
      <c r="G165">
        <f>IFERROR(VLOOKUP(D165,'Lookup Tables'!$A:$C,3,FALSE),IF(ISNUMBER(SEARCH("STEEL",F165)),"Steel","Others"))</f>
        <v>0</v>
      </c>
      <c r="H165">
        <f>IF(ISNUMBER(SEARCH("scrubber",F165)) , "Scrubber", IF(ISNUMBER(SEARCH("container",F165)),"Container", IF(ISNUMBER(SEARCH("basket",F165)),"Basket", IF(ISNUMBER(SEARCH("lunch",F165)),"Lunch Box", IF(ISNUMBER(SEARCH("cutlery",F165)),"Cutlery","Other")))))</f>
        <v>0</v>
      </c>
      <c r="I165">
        <f>IF('Raw Data'!G165&lt;&gt;'','Raw Data'!G165,IFERROR(MID(F165,SEARCH("MODEL",F165)+6,20),""))</f>
        <v>0</v>
      </c>
      <c r="J165">
        <f>'Raw Data'!H165</f>
        <v>0</v>
      </c>
      <c r="K165">
        <f>'Raw Data'!I165</f>
        <v>0</v>
      </c>
      <c r="L165">
        <f>IF('Raw Data'!N165&lt;&gt;0,'Raw Data'!N165,IFERROR(VALUE(MID(F165,SEARCH("QTY",F165)+4,IFERROR(FIND(" ",F165,SEARCH("QTY",F165)+4)-(SEARCH("QTY",F165)+4),3))),""))</f>
        <v>0</v>
      </c>
      <c r="M165">
        <f>'Raw Data'!O165</f>
        <v>0</v>
      </c>
      <c r="N165">
        <f>'Raw Data'!P165</f>
        <v>0</v>
      </c>
      <c r="O165">
        <f>'Raw Data'!Q165</f>
        <v>0</v>
      </c>
      <c r="P165">
        <f>'Raw Data'!R165</f>
        <v>0</v>
      </c>
      <c r="Q165">
        <f>'Raw Data'!S165</f>
        <v>0</v>
      </c>
      <c r="R165">
        <f>'Raw Data'!T165</f>
        <v>0</v>
      </c>
      <c r="S165">
        <f>IFERROR(O165,0)+IFERROR(R165,0)</f>
        <v>0</v>
      </c>
      <c r="T165">
        <f>IF(A165="","",YEAR(A165))</f>
        <v>0</v>
      </c>
    </row>
    <row r="166" spans="1:20">
      <c r="A166">
        <f>'Raw Data'!B166</f>
        <v>0</v>
      </c>
      <c r="B166">
        <f>'Raw Data'!A166</f>
        <v>0</v>
      </c>
      <c r="C166">
        <f>'Raw Data'!C166</f>
        <v>0</v>
      </c>
      <c r="D166">
        <f>'Raw Data'!D166</f>
        <v>0</v>
      </c>
      <c r="E166">
        <f>IFERROR(VLOOKUP(D166,'Lookup Tables'!$A:$B,2,FALSE),"Unknown")</f>
        <v>0</v>
      </c>
      <c r="F166">
        <f>'Raw Data'!E166</f>
        <v>0</v>
      </c>
      <c r="G166">
        <f>IFERROR(VLOOKUP(D166,'Lookup Tables'!$A:$C,3,FALSE),IF(ISNUMBER(SEARCH("STEEL",F166)),"Steel","Others"))</f>
        <v>0</v>
      </c>
      <c r="H166">
        <f>IF(ISNUMBER(SEARCH("scrubber",F166)) , "Scrubber", IF(ISNUMBER(SEARCH("container",F166)),"Container", IF(ISNUMBER(SEARCH("basket",F166)),"Basket", IF(ISNUMBER(SEARCH("lunch",F166)),"Lunch Box", IF(ISNUMBER(SEARCH("cutlery",F166)),"Cutlery","Other")))))</f>
        <v>0</v>
      </c>
      <c r="I166">
        <f>IF('Raw Data'!G166&lt;&gt;'','Raw Data'!G166,IFERROR(MID(F166,SEARCH("MODEL",F166)+6,20),""))</f>
        <v>0</v>
      </c>
      <c r="J166">
        <f>'Raw Data'!H166</f>
        <v>0</v>
      </c>
      <c r="K166">
        <f>'Raw Data'!I166</f>
        <v>0</v>
      </c>
      <c r="L166">
        <f>IF('Raw Data'!N166&lt;&gt;0,'Raw Data'!N166,IFERROR(VALUE(MID(F166,SEARCH("QTY",F166)+4,IFERROR(FIND(" ",F166,SEARCH("QTY",F166)+4)-(SEARCH("QTY",F166)+4),3))),""))</f>
        <v>0</v>
      </c>
      <c r="M166">
        <f>'Raw Data'!O166</f>
        <v>0</v>
      </c>
      <c r="N166">
        <f>'Raw Data'!P166</f>
        <v>0</v>
      </c>
      <c r="O166">
        <f>'Raw Data'!Q166</f>
        <v>0</v>
      </c>
      <c r="P166">
        <f>'Raw Data'!R166</f>
        <v>0</v>
      </c>
      <c r="Q166">
        <f>'Raw Data'!S166</f>
        <v>0</v>
      </c>
      <c r="R166">
        <f>'Raw Data'!T166</f>
        <v>0</v>
      </c>
      <c r="S166">
        <f>IFERROR(O166,0)+IFERROR(R166,0)</f>
        <v>0</v>
      </c>
      <c r="T166">
        <f>IF(A166="","",YEAR(A166))</f>
        <v>0</v>
      </c>
    </row>
    <row r="167" spans="1:20">
      <c r="A167">
        <f>'Raw Data'!B167</f>
        <v>0</v>
      </c>
      <c r="B167">
        <f>'Raw Data'!A167</f>
        <v>0</v>
      </c>
      <c r="C167">
        <f>'Raw Data'!C167</f>
        <v>0</v>
      </c>
      <c r="D167">
        <f>'Raw Data'!D167</f>
        <v>0</v>
      </c>
      <c r="E167">
        <f>IFERROR(VLOOKUP(D167,'Lookup Tables'!$A:$B,2,FALSE),"Unknown")</f>
        <v>0</v>
      </c>
      <c r="F167">
        <f>'Raw Data'!E167</f>
        <v>0</v>
      </c>
      <c r="G167">
        <f>IFERROR(VLOOKUP(D167,'Lookup Tables'!$A:$C,3,FALSE),IF(ISNUMBER(SEARCH("STEEL",F167)),"Steel","Others"))</f>
        <v>0</v>
      </c>
      <c r="H167">
        <f>IF(ISNUMBER(SEARCH("scrubber",F167)) , "Scrubber", IF(ISNUMBER(SEARCH("container",F167)),"Container", IF(ISNUMBER(SEARCH("basket",F167)),"Basket", IF(ISNUMBER(SEARCH("lunch",F167)),"Lunch Box", IF(ISNUMBER(SEARCH("cutlery",F167)),"Cutlery","Other")))))</f>
        <v>0</v>
      </c>
      <c r="I167">
        <f>IF('Raw Data'!G167&lt;&gt;'','Raw Data'!G167,IFERROR(MID(F167,SEARCH("MODEL",F167)+6,20),""))</f>
        <v>0</v>
      </c>
      <c r="J167">
        <f>'Raw Data'!H167</f>
        <v>0</v>
      </c>
      <c r="K167">
        <f>'Raw Data'!I167</f>
        <v>0</v>
      </c>
      <c r="L167">
        <f>IF('Raw Data'!N167&lt;&gt;0,'Raw Data'!N167,IFERROR(VALUE(MID(F167,SEARCH("QTY",F167)+4,IFERROR(FIND(" ",F167,SEARCH("QTY",F167)+4)-(SEARCH("QTY",F167)+4),3))),""))</f>
        <v>0</v>
      </c>
      <c r="M167">
        <f>'Raw Data'!O167</f>
        <v>0</v>
      </c>
      <c r="N167">
        <f>'Raw Data'!P167</f>
        <v>0</v>
      </c>
      <c r="O167">
        <f>'Raw Data'!Q167</f>
        <v>0</v>
      </c>
      <c r="P167">
        <f>'Raw Data'!R167</f>
        <v>0</v>
      </c>
      <c r="Q167">
        <f>'Raw Data'!S167</f>
        <v>0</v>
      </c>
      <c r="R167">
        <f>'Raw Data'!T167</f>
        <v>0</v>
      </c>
      <c r="S167">
        <f>IFERROR(O167,0)+IFERROR(R167,0)</f>
        <v>0</v>
      </c>
      <c r="T167">
        <f>IF(A167="","",YEAR(A167))</f>
        <v>0</v>
      </c>
    </row>
    <row r="168" spans="1:20">
      <c r="A168">
        <f>'Raw Data'!B168</f>
        <v>0</v>
      </c>
      <c r="B168">
        <f>'Raw Data'!A168</f>
        <v>0</v>
      </c>
      <c r="C168">
        <f>'Raw Data'!C168</f>
        <v>0</v>
      </c>
      <c r="D168">
        <f>'Raw Data'!D168</f>
        <v>0</v>
      </c>
      <c r="E168">
        <f>IFERROR(VLOOKUP(D168,'Lookup Tables'!$A:$B,2,FALSE),"Unknown")</f>
        <v>0</v>
      </c>
      <c r="F168">
        <f>'Raw Data'!E168</f>
        <v>0</v>
      </c>
      <c r="G168">
        <f>IFERROR(VLOOKUP(D168,'Lookup Tables'!$A:$C,3,FALSE),IF(ISNUMBER(SEARCH("STEEL",F168)),"Steel","Others"))</f>
        <v>0</v>
      </c>
      <c r="H168">
        <f>IF(ISNUMBER(SEARCH("scrubber",F168)) , "Scrubber", IF(ISNUMBER(SEARCH("container",F168)),"Container", IF(ISNUMBER(SEARCH("basket",F168)),"Basket", IF(ISNUMBER(SEARCH("lunch",F168)),"Lunch Box", IF(ISNUMBER(SEARCH("cutlery",F168)),"Cutlery","Other")))))</f>
        <v>0</v>
      </c>
      <c r="I168">
        <f>IF('Raw Data'!G168&lt;&gt;'','Raw Data'!G168,IFERROR(MID(F168,SEARCH("MODEL",F168)+6,20),""))</f>
        <v>0</v>
      </c>
      <c r="J168">
        <f>'Raw Data'!H168</f>
        <v>0</v>
      </c>
      <c r="K168">
        <f>'Raw Data'!I168</f>
        <v>0</v>
      </c>
      <c r="L168">
        <f>IF('Raw Data'!N168&lt;&gt;0,'Raw Data'!N168,IFERROR(VALUE(MID(F168,SEARCH("QTY",F168)+4,IFERROR(FIND(" ",F168,SEARCH("QTY",F168)+4)-(SEARCH("QTY",F168)+4),3))),""))</f>
        <v>0</v>
      </c>
      <c r="M168">
        <f>'Raw Data'!O168</f>
        <v>0</v>
      </c>
      <c r="N168">
        <f>'Raw Data'!P168</f>
        <v>0</v>
      </c>
      <c r="O168">
        <f>'Raw Data'!Q168</f>
        <v>0</v>
      </c>
      <c r="P168">
        <f>'Raw Data'!R168</f>
        <v>0</v>
      </c>
      <c r="Q168">
        <f>'Raw Data'!S168</f>
        <v>0</v>
      </c>
      <c r="R168">
        <f>'Raw Data'!T168</f>
        <v>0</v>
      </c>
      <c r="S168">
        <f>IFERROR(O168,0)+IFERROR(R168,0)</f>
        <v>0</v>
      </c>
      <c r="T168">
        <f>IF(A168="","",YEAR(A168))</f>
        <v>0</v>
      </c>
    </row>
    <row r="169" spans="1:20">
      <c r="A169">
        <f>'Raw Data'!B169</f>
        <v>0</v>
      </c>
      <c r="B169">
        <f>'Raw Data'!A169</f>
        <v>0</v>
      </c>
      <c r="C169">
        <f>'Raw Data'!C169</f>
        <v>0</v>
      </c>
      <c r="D169">
        <f>'Raw Data'!D169</f>
        <v>0</v>
      </c>
      <c r="E169">
        <f>IFERROR(VLOOKUP(D169,'Lookup Tables'!$A:$B,2,FALSE),"Unknown")</f>
        <v>0</v>
      </c>
      <c r="F169">
        <f>'Raw Data'!E169</f>
        <v>0</v>
      </c>
      <c r="G169">
        <f>IFERROR(VLOOKUP(D169,'Lookup Tables'!$A:$C,3,FALSE),IF(ISNUMBER(SEARCH("STEEL",F169)),"Steel","Others"))</f>
        <v>0</v>
      </c>
      <c r="H169">
        <f>IF(ISNUMBER(SEARCH("scrubber",F169)) , "Scrubber", IF(ISNUMBER(SEARCH("container",F169)),"Container", IF(ISNUMBER(SEARCH("basket",F169)),"Basket", IF(ISNUMBER(SEARCH("lunch",F169)),"Lunch Box", IF(ISNUMBER(SEARCH("cutlery",F169)),"Cutlery","Other")))))</f>
        <v>0</v>
      </c>
      <c r="I169">
        <f>IF('Raw Data'!G169&lt;&gt;'','Raw Data'!G169,IFERROR(MID(F169,SEARCH("MODEL",F169)+6,20),""))</f>
        <v>0</v>
      </c>
      <c r="J169">
        <f>'Raw Data'!H169</f>
        <v>0</v>
      </c>
      <c r="K169">
        <f>'Raw Data'!I169</f>
        <v>0</v>
      </c>
      <c r="L169">
        <f>IF('Raw Data'!N169&lt;&gt;0,'Raw Data'!N169,IFERROR(VALUE(MID(F169,SEARCH("QTY",F169)+4,IFERROR(FIND(" ",F169,SEARCH("QTY",F169)+4)-(SEARCH("QTY",F169)+4),3))),""))</f>
        <v>0</v>
      </c>
      <c r="M169">
        <f>'Raw Data'!O169</f>
        <v>0</v>
      </c>
      <c r="N169">
        <f>'Raw Data'!P169</f>
        <v>0</v>
      </c>
      <c r="O169">
        <f>'Raw Data'!Q169</f>
        <v>0</v>
      </c>
      <c r="P169">
        <f>'Raw Data'!R169</f>
        <v>0</v>
      </c>
      <c r="Q169">
        <f>'Raw Data'!S169</f>
        <v>0</v>
      </c>
      <c r="R169">
        <f>'Raw Data'!T169</f>
        <v>0</v>
      </c>
      <c r="S169">
        <f>IFERROR(O169,0)+IFERROR(R169,0)</f>
        <v>0</v>
      </c>
      <c r="T169">
        <f>IF(A169="","",YEAR(A169))</f>
        <v>0</v>
      </c>
    </row>
    <row r="170" spans="1:20">
      <c r="A170">
        <f>'Raw Data'!B170</f>
        <v>0</v>
      </c>
      <c r="B170">
        <f>'Raw Data'!A170</f>
        <v>0</v>
      </c>
      <c r="C170">
        <f>'Raw Data'!C170</f>
        <v>0</v>
      </c>
      <c r="D170">
        <f>'Raw Data'!D170</f>
        <v>0</v>
      </c>
      <c r="E170">
        <f>IFERROR(VLOOKUP(D170,'Lookup Tables'!$A:$B,2,FALSE),"Unknown")</f>
        <v>0</v>
      </c>
      <c r="F170">
        <f>'Raw Data'!E170</f>
        <v>0</v>
      </c>
      <c r="G170">
        <f>IFERROR(VLOOKUP(D170,'Lookup Tables'!$A:$C,3,FALSE),IF(ISNUMBER(SEARCH("STEEL",F170)),"Steel","Others"))</f>
        <v>0</v>
      </c>
      <c r="H170">
        <f>IF(ISNUMBER(SEARCH("scrubber",F170)) , "Scrubber", IF(ISNUMBER(SEARCH("container",F170)),"Container", IF(ISNUMBER(SEARCH("basket",F170)),"Basket", IF(ISNUMBER(SEARCH("lunch",F170)),"Lunch Box", IF(ISNUMBER(SEARCH("cutlery",F170)),"Cutlery","Other")))))</f>
        <v>0</v>
      </c>
      <c r="I170">
        <f>IF('Raw Data'!G170&lt;&gt;'','Raw Data'!G170,IFERROR(MID(F170,SEARCH("MODEL",F170)+6,20),""))</f>
        <v>0</v>
      </c>
      <c r="J170">
        <f>'Raw Data'!H170</f>
        <v>0</v>
      </c>
      <c r="K170">
        <f>'Raw Data'!I170</f>
        <v>0</v>
      </c>
      <c r="L170">
        <f>IF('Raw Data'!N170&lt;&gt;0,'Raw Data'!N170,IFERROR(VALUE(MID(F170,SEARCH("QTY",F170)+4,IFERROR(FIND(" ",F170,SEARCH("QTY",F170)+4)-(SEARCH("QTY",F170)+4),3))),""))</f>
        <v>0</v>
      </c>
      <c r="M170">
        <f>'Raw Data'!O170</f>
        <v>0</v>
      </c>
      <c r="N170">
        <f>'Raw Data'!P170</f>
        <v>0</v>
      </c>
      <c r="O170">
        <f>'Raw Data'!Q170</f>
        <v>0</v>
      </c>
      <c r="P170">
        <f>'Raw Data'!R170</f>
        <v>0</v>
      </c>
      <c r="Q170">
        <f>'Raw Data'!S170</f>
        <v>0</v>
      </c>
      <c r="R170">
        <f>'Raw Data'!T170</f>
        <v>0</v>
      </c>
      <c r="S170">
        <f>IFERROR(O170,0)+IFERROR(R170,0)</f>
        <v>0</v>
      </c>
      <c r="T170">
        <f>IF(A170="","",YEAR(A170))</f>
        <v>0</v>
      </c>
    </row>
    <row r="171" spans="1:20">
      <c r="A171">
        <f>'Raw Data'!B171</f>
        <v>0</v>
      </c>
      <c r="B171">
        <f>'Raw Data'!A171</f>
        <v>0</v>
      </c>
      <c r="C171">
        <f>'Raw Data'!C171</f>
        <v>0</v>
      </c>
      <c r="D171">
        <f>'Raw Data'!D171</f>
        <v>0</v>
      </c>
      <c r="E171">
        <f>IFERROR(VLOOKUP(D171,'Lookup Tables'!$A:$B,2,FALSE),"Unknown")</f>
        <v>0</v>
      </c>
      <c r="F171">
        <f>'Raw Data'!E171</f>
        <v>0</v>
      </c>
      <c r="G171">
        <f>IFERROR(VLOOKUP(D171,'Lookup Tables'!$A:$C,3,FALSE),IF(ISNUMBER(SEARCH("STEEL",F171)),"Steel","Others"))</f>
        <v>0</v>
      </c>
      <c r="H171">
        <f>IF(ISNUMBER(SEARCH("scrubber",F171)) , "Scrubber", IF(ISNUMBER(SEARCH("container",F171)),"Container", IF(ISNUMBER(SEARCH("basket",F171)),"Basket", IF(ISNUMBER(SEARCH("lunch",F171)),"Lunch Box", IF(ISNUMBER(SEARCH("cutlery",F171)),"Cutlery","Other")))))</f>
        <v>0</v>
      </c>
      <c r="I171">
        <f>IF('Raw Data'!G171&lt;&gt;'','Raw Data'!G171,IFERROR(MID(F171,SEARCH("MODEL",F171)+6,20),""))</f>
        <v>0</v>
      </c>
      <c r="J171">
        <f>'Raw Data'!H171</f>
        <v>0</v>
      </c>
      <c r="K171">
        <f>'Raw Data'!I171</f>
        <v>0</v>
      </c>
      <c r="L171">
        <f>IF('Raw Data'!N171&lt;&gt;0,'Raw Data'!N171,IFERROR(VALUE(MID(F171,SEARCH("QTY",F171)+4,IFERROR(FIND(" ",F171,SEARCH("QTY",F171)+4)-(SEARCH("QTY",F171)+4),3))),""))</f>
        <v>0</v>
      </c>
      <c r="M171">
        <f>'Raw Data'!O171</f>
        <v>0</v>
      </c>
      <c r="N171">
        <f>'Raw Data'!P171</f>
        <v>0</v>
      </c>
      <c r="O171">
        <f>'Raw Data'!Q171</f>
        <v>0</v>
      </c>
      <c r="P171">
        <f>'Raw Data'!R171</f>
        <v>0</v>
      </c>
      <c r="Q171">
        <f>'Raw Data'!S171</f>
        <v>0</v>
      </c>
      <c r="R171">
        <f>'Raw Data'!T171</f>
        <v>0</v>
      </c>
      <c r="S171">
        <f>IFERROR(O171,0)+IFERROR(R171,0)</f>
        <v>0</v>
      </c>
      <c r="T171">
        <f>IF(A171="","",YEAR(A171))</f>
        <v>0</v>
      </c>
    </row>
    <row r="172" spans="1:20">
      <c r="A172">
        <f>'Raw Data'!B172</f>
        <v>0</v>
      </c>
      <c r="B172">
        <f>'Raw Data'!A172</f>
        <v>0</v>
      </c>
      <c r="C172">
        <f>'Raw Data'!C172</f>
        <v>0</v>
      </c>
      <c r="D172">
        <f>'Raw Data'!D172</f>
        <v>0</v>
      </c>
      <c r="E172">
        <f>IFERROR(VLOOKUP(D172,'Lookup Tables'!$A:$B,2,FALSE),"Unknown")</f>
        <v>0</v>
      </c>
      <c r="F172">
        <f>'Raw Data'!E172</f>
        <v>0</v>
      </c>
      <c r="G172">
        <f>IFERROR(VLOOKUP(D172,'Lookup Tables'!$A:$C,3,FALSE),IF(ISNUMBER(SEARCH("STEEL",F172)),"Steel","Others"))</f>
        <v>0</v>
      </c>
      <c r="H172">
        <f>IF(ISNUMBER(SEARCH("scrubber",F172)) , "Scrubber", IF(ISNUMBER(SEARCH("container",F172)),"Container", IF(ISNUMBER(SEARCH("basket",F172)),"Basket", IF(ISNUMBER(SEARCH("lunch",F172)),"Lunch Box", IF(ISNUMBER(SEARCH("cutlery",F172)),"Cutlery","Other")))))</f>
        <v>0</v>
      </c>
      <c r="I172">
        <f>IF('Raw Data'!G172&lt;&gt;'','Raw Data'!G172,IFERROR(MID(F172,SEARCH("MODEL",F172)+6,20),""))</f>
        <v>0</v>
      </c>
      <c r="J172">
        <f>'Raw Data'!H172</f>
        <v>0</v>
      </c>
      <c r="K172">
        <f>'Raw Data'!I172</f>
        <v>0</v>
      </c>
      <c r="L172">
        <f>IF('Raw Data'!N172&lt;&gt;0,'Raw Data'!N172,IFERROR(VALUE(MID(F172,SEARCH("QTY",F172)+4,IFERROR(FIND(" ",F172,SEARCH("QTY",F172)+4)-(SEARCH("QTY",F172)+4),3))),""))</f>
        <v>0</v>
      </c>
      <c r="M172">
        <f>'Raw Data'!O172</f>
        <v>0</v>
      </c>
      <c r="N172">
        <f>'Raw Data'!P172</f>
        <v>0</v>
      </c>
      <c r="O172">
        <f>'Raw Data'!Q172</f>
        <v>0</v>
      </c>
      <c r="P172">
        <f>'Raw Data'!R172</f>
        <v>0</v>
      </c>
      <c r="Q172">
        <f>'Raw Data'!S172</f>
        <v>0</v>
      </c>
      <c r="R172">
        <f>'Raw Data'!T172</f>
        <v>0</v>
      </c>
      <c r="S172">
        <f>IFERROR(O172,0)+IFERROR(R172,0)</f>
        <v>0</v>
      </c>
      <c r="T172">
        <f>IF(A172="","",YEAR(A172))</f>
        <v>0</v>
      </c>
    </row>
    <row r="173" spans="1:20">
      <c r="A173">
        <f>'Raw Data'!B173</f>
        <v>0</v>
      </c>
      <c r="B173">
        <f>'Raw Data'!A173</f>
        <v>0</v>
      </c>
      <c r="C173">
        <f>'Raw Data'!C173</f>
        <v>0</v>
      </c>
      <c r="D173">
        <f>'Raw Data'!D173</f>
        <v>0</v>
      </c>
      <c r="E173">
        <f>IFERROR(VLOOKUP(D173,'Lookup Tables'!$A:$B,2,FALSE),"Unknown")</f>
        <v>0</v>
      </c>
      <c r="F173">
        <f>'Raw Data'!E173</f>
        <v>0</v>
      </c>
      <c r="G173">
        <f>IFERROR(VLOOKUP(D173,'Lookup Tables'!$A:$C,3,FALSE),IF(ISNUMBER(SEARCH("STEEL",F173)),"Steel","Others"))</f>
        <v>0</v>
      </c>
      <c r="H173">
        <f>IF(ISNUMBER(SEARCH("scrubber",F173)) , "Scrubber", IF(ISNUMBER(SEARCH("container",F173)),"Container", IF(ISNUMBER(SEARCH("basket",F173)),"Basket", IF(ISNUMBER(SEARCH("lunch",F173)),"Lunch Box", IF(ISNUMBER(SEARCH("cutlery",F173)),"Cutlery","Other")))))</f>
        <v>0</v>
      </c>
      <c r="I173">
        <f>IF('Raw Data'!G173&lt;&gt;'','Raw Data'!G173,IFERROR(MID(F173,SEARCH("MODEL",F173)+6,20),""))</f>
        <v>0</v>
      </c>
      <c r="J173">
        <f>'Raw Data'!H173</f>
        <v>0</v>
      </c>
      <c r="K173">
        <f>'Raw Data'!I173</f>
        <v>0</v>
      </c>
      <c r="L173">
        <f>IF('Raw Data'!N173&lt;&gt;0,'Raw Data'!N173,IFERROR(VALUE(MID(F173,SEARCH("QTY",F173)+4,IFERROR(FIND(" ",F173,SEARCH("QTY",F173)+4)-(SEARCH("QTY",F173)+4),3))),""))</f>
        <v>0</v>
      </c>
      <c r="M173">
        <f>'Raw Data'!O173</f>
        <v>0</v>
      </c>
      <c r="N173">
        <f>'Raw Data'!P173</f>
        <v>0</v>
      </c>
      <c r="O173">
        <f>'Raw Data'!Q173</f>
        <v>0</v>
      </c>
      <c r="P173">
        <f>'Raw Data'!R173</f>
        <v>0</v>
      </c>
      <c r="Q173">
        <f>'Raw Data'!S173</f>
        <v>0</v>
      </c>
      <c r="R173">
        <f>'Raw Data'!T173</f>
        <v>0</v>
      </c>
      <c r="S173">
        <f>IFERROR(O173,0)+IFERROR(R173,0)</f>
        <v>0</v>
      </c>
      <c r="T173">
        <f>IF(A173="","",YEAR(A173))</f>
        <v>0</v>
      </c>
    </row>
    <row r="174" spans="1:20">
      <c r="A174">
        <f>'Raw Data'!B174</f>
        <v>0</v>
      </c>
      <c r="B174">
        <f>'Raw Data'!A174</f>
        <v>0</v>
      </c>
      <c r="C174">
        <f>'Raw Data'!C174</f>
        <v>0</v>
      </c>
      <c r="D174">
        <f>'Raw Data'!D174</f>
        <v>0</v>
      </c>
      <c r="E174">
        <f>IFERROR(VLOOKUP(D174,'Lookup Tables'!$A:$B,2,FALSE),"Unknown")</f>
        <v>0</v>
      </c>
      <c r="F174">
        <f>'Raw Data'!E174</f>
        <v>0</v>
      </c>
      <c r="G174">
        <f>IFERROR(VLOOKUP(D174,'Lookup Tables'!$A:$C,3,FALSE),IF(ISNUMBER(SEARCH("STEEL",F174)),"Steel","Others"))</f>
        <v>0</v>
      </c>
      <c r="H174">
        <f>IF(ISNUMBER(SEARCH("scrubber",F174)) , "Scrubber", IF(ISNUMBER(SEARCH("container",F174)),"Container", IF(ISNUMBER(SEARCH("basket",F174)),"Basket", IF(ISNUMBER(SEARCH("lunch",F174)),"Lunch Box", IF(ISNUMBER(SEARCH("cutlery",F174)),"Cutlery","Other")))))</f>
        <v>0</v>
      </c>
      <c r="I174">
        <f>IF('Raw Data'!G174&lt;&gt;'','Raw Data'!G174,IFERROR(MID(F174,SEARCH("MODEL",F174)+6,20),""))</f>
        <v>0</v>
      </c>
      <c r="J174">
        <f>'Raw Data'!H174</f>
        <v>0</v>
      </c>
      <c r="K174">
        <f>'Raw Data'!I174</f>
        <v>0</v>
      </c>
      <c r="L174">
        <f>IF('Raw Data'!N174&lt;&gt;0,'Raw Data'!N174,IFERROR(VALUE(MID(F174,SEARCH("QTY",F174)+4,IFERROR(FIND(" ",F174,SEARCH("QTY",F174)+4)-(SEARCH("QTY",F174)+4),3))),""))</f>
        <v>0</v>
      </c>
      <c r="M174">
        <f>'Raw Data'!O174</f>
        <v>0</v>
      </c>
      <c r="N174">
        <f>'Raw Data'!P174</f>
        <v>0</v>
      </c>
      <c r="O174">
        <f>'Raw Data'!Q174</f>
        <v>0</v>
      </c>
      <c r="P174">
        <f>'Raw Data'!R174</f>
        <v>0</v>
      </c>
      <c r="Q174">
        <f>'Raw Data'!S174</f>
        <v>0</v>
      </c>
      <c r="R174">
        <f>'Raw Data'!T174</f>
        <v>0</v>
      </c>
      <c r="S174">
        <f>IFERROR(O174,0)+IFERROR(R174,0)</f>
        <v>0</v>
      </c>
      <c r="T174">
        <f>IF(A174="","",YEAR(A174))</f>
        <v>0</v>
      </c>
    </row>
    <row r="175" spans="1:20">
      <c r="A175">
        <f>'Raw Data'!B175</f>
        <v>0</v>
      </c>
      <c r="B175">
        <f>'Raw Data'!A175</f>
        <v>0</v>
      </c>
      <c r="C175">
        <f>'Raw Data'!C175</f>
        <v>0</v>
      </c>
      <c r="D175">
        <f>'Raw Data'!D175</f>
        <v>0</v>
      </c>
      <c r="E175">
        <f>IFERROR(VLOOKUP(D175,'Lookup Tables'!$A:$B,2,FALSE),"Unknown")</f>
        <v>0</v>
      </c>
      <c r="F175">
        <f>'Raw Data'!E175</f>
        <v>0</v>
      </c>
      <c r="G175">
        <f>IFERROR(VLOOKUP(D175,'Lookup Tables'!$A:$C,3,FALSE),IF(ISNUMBER(SEARCH("STEEL",F175)),"Steel","Others"))</f>
        <v>0</v>
      </c>
      <c r="H175">
        <f>IF(ISNUMBER(SEARCH("scrubber",F175)) , "Scrubber", IF(ISNUMBER(SEARCH("container",F175)),"Container", IF(ISNUMBER(SEARCH("basket",F175)),"Basket", IF(ISNUMBER(SEARCH("lunch",F175)),"Lunch Box", IF(ISNUMBER(SEARCH("cutlery",F175)),"Cutlery","Other")))))</f>
        <v>0</v>
      </c>
      <c r="I175">
        <f>IF('Raw Data'!G175&lt;&gt;'','Raw Data'!G175,IFERROR(MID(F175,SEARCH("MODEL",F175)+6,20),""))</f>
        <v>0</v>
      </c>
      <c r="J175">
        <f>'Raw Data'!H175</f>
        <v>0</v>
      </c>
      <c r="K175">
        <f>'Raw Data'!I175</f>
        <v>0</v>
      </c>
      <c r="L175">
        <f>IF('Raw Data'!N175&lt;&gt;0,'Raw Data'!N175,IFERROR(VALUE(MID(F175,SEARCH("QTY",F175)+4,IFERROR(FIND(" ",F175,SEARCH("QTY",F175)+4)-(SEARCH("QTY",F175)+4),3))),""))</f>
        <v>0</v>
      </c>
      <c r="M175">
        <f>'Raw Data'!O175</f>
        <v>0</v>
      </c>
      <c r="N175">
        <f>'Raw Data'!P175</f>
        <v>0</v>
      </c>
      <c r="O175">
        <f>'Raw Data'!Q175</f>
        <v>0</v>
      </c>
      <c r="P175">
        <f>'Raw Data'!R175</f>
        <v>0</v>
      </c>
      <c r="Q175">
        <f>'Raw Data'!S175</f>
        <v>0</v>
      </c>
      <c r="R175">
        <f>'Raw Data'!T175</f>
        <v>0</v>
      </c>
      <c r="S175">
        <f>IFERROR(O175,0)+IFERROR(R175,0)</f>
        <v>0</v>
      </c>
      <c r="T175">
        <f>IF(A175="","",YEAR(A175))</f>
        <v>0</v>
      </c>
    </row>
    <row r="176" spans="1:20">
      <c r="A176">
        <f>'Raw Data'!B176</f>
        <v>0</v>
      </c>
      <c r="B176">
        <f>'Raw Data'!A176</f>
        <v>0</v>
      </c>
      <c r="C176">
        <f>'Raw Data'!C176</f>
        <v>0</v>
      </c>
      <c r="D176">
        <f>'Raw Data'!D176</f>
        <v>0</v>
      </c>
      <c r="E176">
        <f>IFERROR(VLOOKUP(D176,'Lookup Tables'!$A:$B,2,FALSE),"Unknown")</f>
        <v>0</v>
      </c>
      <c r="F176">
        <f>'Raw Data'!E176</f>
        <v>0</v>
      </c>
      <c r="G176">
        <f>IFERROR(VLOOKUP(D176,'Lookup Tables'!$A:$C,3,FALSE),IF(ISNUMBER(SEARCH("STEEL",F176)),"Steel","Others"))</f>
        <v>0</v>
      </c>
      <c r="H176">
        <f>IF(ISNUMBER(SEARCH("scrubber",F176)) , "Scrubber", IF(ISNUMBER(SEARCH("container",F176)),"Container", IF(ISNUMBER(SEARCH("basket",F176)),"Basket", IF(ISNUMBER(SEARCH("lunch",F176)),"Lunch Box", IF(ISNUMBER(SEARCH("cutlery",F176)),"Cutlery","Other")))))</f>
        <v>0</v>
      </c>
      <c r="I176">
        <f>IF('Raw Data'!G176&lt;&gt;'','Raw Data'!G176,IFERROR(MID(F176,SEARCH("MODEL",F176)+6,20),""))</f>
        <v>0</v>
      </c>
      <c r="J176">
        <f>'Raw Data'!H176</f>
        <v>0</v>
      </c>
      <c r="K176">
        <f>'Raw Data'!I176</f>
        <v>0</v>
      </c>
      <c r="L176">
        <f>IF('Raw Data'!N176&lt;&gt;0,'Raw Data'!N176,IFERROR(VALUE(MID(F176,SEARCH("QTY",F176)+4,IFERROR(FIND(" ",F176,SEARCH("QTY",F176)+4)-(SEARCH("QTY",F176)+4),3))),""))</f>
        <v>0</v>
      </c>
      <c r="M176">
        <f>'Raw Data'!O176</f>
        <v>0</v>
      </c>
      <c r="N176">
        <f>'Raw Data'!P176</f>
        <v>0</v>
      </c>
      <c r="O176">
        <f>'Raw Data'!Q176</f>
        <v>0</v>
      </c>
      <c r="P176">
        <f>'Raw Data'!R176</f>
        <v>0</v>
      </c>
      <c r="Q176">
        <f>'Raw Data'!S176</f>
        <v>0</v>
      </c>
      <c r="R176">
        <f>'Raw Data'!T176</f>
        <v>0</v>
      </c>
      <c r="S176">
        <f>IFERROR(O176,0)+IFERROR(R176,0)</f>
        <v>0</v>
      </c>
      <c r="T176">
        <f>IF(A176="","",YEAR(A176))</f>
        <v>0</v>
      </c>
    </row>
    <row r="177" spans="1:20">
      <c r="A177">
        <f>'Raw Data'!B177</f>
        <v>0</v>
      </c>
      <c r="B177">
        <f>'Raw Data'!A177</f>
        <v>0</v>
      </c>
      <c r="C177">
        <f>'Raw Data'!C177</f>
        <v>0</v>
      </c>
      <c r="D177">
        <f>'Raw Data'!D177</f>
        <v>0</v>
      </c>
      <c r="E177">
        <f>IFERROR(VLOOKUP(D177,'Lookup Tables'!$A:$B,2,FALSE),"Unknown")</f>
        <v>0</v>
      </c>
      <c r="F177">
        <f>'Raw Data'!E177</f>
        <v>0</v>
      </c>
      <c r="G177">
        <f>IFERROR(VLOOKUP(D177,'Lookup Tables'!$A:$C,3,FALSE),IF(ISNUMBER(SEARCH("STEEL",F177)),"Steel","Others"))</f>
        <v>0</v>
      </c>
      <c r="H177">
        <f>IF(ISNUMBER(SEARCH("scrubber",F177)) , "Scrubber", IF(ISNUMBER(SEARCH("container",F177)),"Container", IF(ISNUMBER(SEARCH("basket",F177)),"Basket", IF(ISNUMBER(SEARCH("lunch",F177)),"Lunch Box", IF(ISNUMBER(SEARCH("cutlery",F177)),"Cutlery","Other")))))</f>
        <v>0</v>
      </c>
      <c r="I177">
        <f>IF('Raw Data'!G177&lt;&gt;'','Raw Data'!G177,IFERROR(MID(F177,SEARCH("MODEL",F177)+6,20),""))</f>
        <v>0</v>
      </c>
      <c r="J177">
        <f>'Raw Data'!H177</f>
        <v>0</v>
      </c>
      <c r="K177">
        <f>'Raw Data'!I177</f>
        <v>0</v>
      </c>
      <c r="L177">
        <f>IF('Raw Data'!N177&lt;&gt;0,'Raw Data'!N177,IFERROR(VALUE(MID(F177,SEARCH("QTY",F177)+4,IFERROR(FIND(" ",F177,SEARCH("QTY",F177)+4)-(SEARCH("QTY",F177)+4),3))),""))</f>
        <v>0</v>
      </c>
      <c r="M177">
        <f>'Raw Data'!O177</f>
        <v>0</v>
      </c>
      <c r="N177">
        <f>'Raw Data'!P177</f>
        <v>0</v>
      </c>
      <c r="O177">
        <f>'Raw Data'!Q177</f>
        <v>0</v>
      </c>
      <c r="P177">
        <f>'Raw Data'!R177</f>
        <v>0</v>
      </c>
      <c r="Q177">
        <f>'Raw Data'!S177</f>
        <v>0</v>
      </c>
      <c r="R177">
        <f>'Raw Data'!T177</f>
        <v>0</v>
      </c>
      <c r="S177">
        <f>IFERROR(O177,0)+IFERROR(R177,0)</f>
        <v>0</v>
      </c>
      <c r="T177">
        <f>IF(A177="","",YEAR(A177))</f>
        <v>0</v>
      </c>
    </row>
    <row r="178" spans="1:20">
      <c r="A178">
        <f>'Raw Data'!B178</f>
        <v>0</v>
      </c>
      <c r="B178">
        <f>'Raw Data'!A178</f>
        <v>0</v>
      </c>
      <c r="C178">
        <f>'Raw Data'!C178</f>
        <v>0</v>
      </c>
      <c r="D178">
        <f>'Raw Data'!D178</f>
        <v>0</v>
      </c>
      <c r="E178">
        <f>IFERROR(VLOOKUP(D178,'Lookup Tables'!$A:$B,2,FALSE),"Unknown")</f>
        <v>0</v>
      </c>
      <c r="F178">
        <f>'Raw Data'!E178</f>
        <v>0</v>
      </c>
      <c r="G178">
        <f>IFERROR(VLOOKUP(D178,'Lookup Tables'!$A:$C,3,FALSE),IF(ISNUMBER(SEARCH("STEEL",F178)),"Steel","Others"))</f>
        <v>0</v>
      </c>
      <c r="H178">
        <f>IF(ISNUMBER(SEARCH("scrubber",F178)) , "Scrubber", IF(ISNUMBER(SEARCH("container",F178)),"Container", IF(ISNUMBER(SEARCH("basket",F178)),"Basket", IF(ISNUMBER(SEARCH("lunch",F178)),"Lunch Box", IF(ISNUMBER(SEARCH("cutlery",F178)),"Cutlery","Other")))))</f>
        <v>0</v>
      </c>
      <c r="I178">
        <f>IF('Raw Data'!G178&lt;&gt;'','Raw Data'!G178,IFERROR(MID(F178,SEARCH("MODEL",F178)+6,20),""))</f>
        <v>0</v>
      </c>
      <c r="J178">
        <f>'Raw Data'!H178</f>
        <v>0</v>
      </c>
      <c r="K178">
        <f>'Raw Data'!I178</f>
        <v>0</v>
      </c>
      <c r="L178">
        <f>IF('Raw Data'!N178&lt;&gt;0,'Raw Data'!N178,IFERROR(VALUE(MID(F178,SEARCH("QTY",F178)+4,IFERROR(FIND(" ",F178,SEARCH("QTY",F178)+4)-(SEARCH("QTY",F178)+4),3))),""))</f>
        <v>0</v>
      </c>
      <c r="M178">
        <f>'Raw Data'!O178</f>
        <v>0</v>
      </c>
      <c r="N178">
        <f>'Raw Data'!P178</f>
        <v>0</v>
      </c>
      <c r="O178">
        <f>'Raw Data'!Q178</f>
        <v>0</v>
      </c>
      <c r="P178">
        <f>'Raw Data'!R178</f>
        <v>0</v>
      </c>
      <c r="Q178">
        <f>'Raw Data'!S178</f>
        <v>0</v>
      </c>
      <c r="R178">
        <f>'Raw Data'!T178</f>
        <v>0</v>
      </c>
      <c r="S178">
        <f>IFERROR(O178,0)+IFERROR(R178,0)</f>
        <v>0</v>
      </c>
      <c r="T178">
        <f>IF(A178="","",YEAR(A178))</f>
        <v>0</v>
      </c>
    </row>
    <row r="179" spans="1:20">
      <c r="A179">
        <f>'Raw Data'!B179</f>
        <v>0</v>
      </c>
      <c r="B179">
        <f>'Raw Data'!A179</f>
        <v>0</v>
      </c>
      <c r="C179">
        <f>'Raw Data'!C179</f>
        <v>0</v>
      </c>
      <c r="D179">
        <f>'Raw Data'!D179</f>
        <v>0</v>
      </c>
      <c r="E179">
        <f>IFERROR(VLOOKUP(D179,'Lookup Tables'!$A:$B,2,FALSE),"Unknown")</f>
        <v>0</v>
      </c>
      <c r="F179">
        <f>'Raw Data'!E179</f>
        <v>0</v>
      </c>
      <c r="G179">
        <f>IFERROR(VLOOKUP(D179,'Lookup Tables'!$A:$C,3,FALSE),IF(ISNUMBER(SEARCH("STEEL",F179)),"Steel","Others"))</f>
        <v>0</v>
      </c>
      <c r="H179">
        <f>IF(ISNUMBER(SEARCH("scrubber",F179)) , "Scrubber", IF(ISNUMBER(SEARCH("container",F179)),"Container", IF(ISNUMBER(SEARCH("basket",F179)),"Basket", IF(ISNUMBER(SEARCH("lunch",F179)),"Lunch Box", IF(ISNUMBER(SEARCH("cutlery",F179)),"Cutlery","Other")))))</f>
        <v>0</v>
      </c>
      <c r="I179">
        <f>IF('Raw Data'!G179&lt;&gt;'','Raw Data'!G179,IFERROR(MID(F179,SEARCH("MODEL",F179)+6,20),""))</f>
        <v>0</v>
      </c>
      <c r="J179">
        <f>'Raw Data'!H179</f>
        <v>0</v>
      </c>
      <c r="K179">
        <f>'Raw Data'!I179</f>
        <v>0</v>
      </c>
      <c r="L179">
        <f>IF('Raw Data'!N179&lt;&gt;0,'Raw Data'!N179,IFERROR(VALUE(MID(F179,SEARCH("QTY",F179)+4,IFERROR(FIND(" ",F179,SEARCH("QTY",F179)+4)-(SEARCH("QTY",F179)+4),3))),""))</f>
        <v>0</v>
      </c>
      <c r="M179">
        <f>'Raw Data'!O179</f>
        <v>0</v>
      </c>
      <c r="N179">
        <f>'Raw Data'!P179</f>
        <v>0</v>
      </c>
      <c r="O179">
        <f>'Raw Data'!Q179</f>
        <v>0</v>
      </c>
      <c r="P179">
        <f>'Raw Data'!R179</f>
        <v>0</v>
      </c>
      <c r="Q179">
        <f>'Raw Data'!S179</f>
        <v>0</v>
      </c>
      <c r="R179">
        <f>'Raw Data'!T179</f>
        <v>0</v>
      </c>
      <c r="S179">
        <f>IFERROR(O179,0)+IFERROR(R179,0)</f>
        <v>0</v>
      </c>
      <c r="T179">
        <f>IF(A179="","",YEAR(A179))</f>
        <v>0</v>
      </c>
    </row>
    <row r="180" spans="1:20">
      <c r="A180">
        <f>'Raw Data'!B180</f>
        <v>0</v>
      </c>
      <c r="B180">
        <f>'Raw Data'!A180</f>
        <v>0</v>
      </c>
      <c r="C180">
        <f>'Raw Data'!C180</f>
        <v>0</v>
      </c>
      <c r="D180">
        <f>'Raw Data'!D180</f>
        <v>0</v>
      </c>
      <c r="E180">
        <f>IFERROR(VLOOKUP(D180,'Lookup Tables'!$A:$B,2,FALSE),"Unknown")</f>
        <v>0</v>
      </c>
      <c r="F180">
        <f>'Raw Data'!E180</f>
        <v>0</v>
      </c>
      <c r="G180">
        <f>IFERROR(VLOOKUP(D180,'Lookup Tables'!$A:$C,3,FALSE),IF(ISNUMBER(SEARCH("STEEL",F180)),"Steel","Others"))</f>
        <v>0</v>
      </c>
      <c r="H180">
        <f>IF(ISNUMBER(SEARCH("scrubber",F180)) , "Scrubber", IF(ISNUMBER(SEARCH("container",F180)),"Container", IF(ISNUMBER(SEARCH("basket",F180)),"Basket", IF(ISNUMBER(SEARCH("lunch",F180)),"Lunch Box", IF(ISNUMBER(SEARCH("cutlery",F180)),"Cutlery","Other")))))</f>
        <v>0</v>
      </c>
      <c r="I180">
        <f>IF('Raw Data'!G180&lt;&gt;'','Raw Data'!G180,IFERROR(MID(F180,SEARCH("MODEL",F180)+6,20),""))</f>
        <v>0</v>
      </c>
      <c r="J180">
        <f>'Raw Data'!H180</f>
        <v>0</v>
      </c>
      <c r="K180">
        <f>'Raw Data'!I180</f>
        <v>0</v>
      </c>
      <c r="L180">
        <f>IF('Raw Data'!N180&lt;&gt;0,'Raw Data'!N180,IFERROR(VALUE(MID(F180,SEARCH("QTY",F180)+4,IFERROR(FIND(" ",F180,SEARCH("QTY",F180)+4)-(SEARCH("QTY",F180)+4),3))),""))</f>
        <v>0</v>
      </c>
      <c r="M180">
        <f>'Raw Data'!O180</f>
        <v>0</v>
      </c>
      <c r="N180">
        <f>'Raw Data'!P180</f>
        <v>0</v>
      </c>
      <c r="O180">
        <f>'Raw Data'!Q180</f>
        <v>0</v>
      </c>
      <c r="P180">
        <f>'Raw Data'!R180</f>
        <v>0</v>
      </c>
      <c r="Q180">
        <f>'Raw Data'!S180</f>
        <v>0</v>
      </c>
      <c r="R180">
        <f>'Raw Data'!T180</f>
        <v>0</v>
      </c>
      <c r="S180">
        <f>IFERROR(O180,0)+IFERROR(R180,0)</f>
        <v>0</v>
      </c>
      <c r="T180">
        <f>IF(A180="","",YEAR(A180))</f>
        <v>0</v>
      </c>
    </row>
    <row r="181" spans="1:20">
      <c r="A181">
        <f>'Raw Data'!B181</f>
        <v>0</v>
      </c>
      <c r="B181">
        <f>'Raw Data'!A181</f>
        <v>0</v>
      </c>
      <c r="C181">
        <f>'Raw Data'!C181</f>
        <v>0</v>
      </c>
      <c r="D181">
        <f>'Raw Data'!D181</f>
        <v>0</v>
      </c>
      <c r="E181">
        <f>IFERROR(VLOOKUP(D181,'Lookup Tables'!$A:$B,2,FALSE),"Unknown")</f>
        <v>0</v>
      </c>
      <c r="F181">
        <f>'Raw Data'!E181</f>
        <v>0</v>
      </c>
      <c r="G181">
        <f>IFERROR(VLOOKUP(D181,'Lookup Tables'!$A:$C,3,FALSE),IF(ISNUMBER(SEARCH("STEEL",F181)),"Steel","Others"))</f>
        <v>0</v>
      </c>
      <c r="H181">
        <f>IF(ISNUMBER(SEARCH("scrubber",F181)) , "Scrubber", IF(ISNUMBER(SEARCH("container",F181)),"Container", IF(ISNUMBER(SEARCH("basket",F181)),"Basket", IF(ISNUMBER(SEARCH("lunch",F181)),"Lunch Box", IF(ISNUMBER(SEARCH("cutlery",F181)),"Cutlery","Other")))))</f>
        <v>0</v>
      </c>
      <c r="I181">
        <f>IF('Raw Data'!G181&lt;&gt;'','Raw Data'!G181,IFERROR(MID(F181,SEARCH("MODEL",F181)+6,20),""))</f>
        <v>0</v>
      </c>
      <c r="J181">
        <f>'Raw Data'!H181</f>
        <v>0</v>
      </c>
      <c r="K181">
        <f>'Raw Data'!I181</f>
        <v>0</v>
      </c>
      <c r="L181">
        <f>IF('Raw Data'!N181&lt;&gt;0,'Raw Data'!N181,IFERROR(VALUE(MID(F181,SEARCH("QTY",F181)+4,IFERROR(FIND(" ",F181,SEARCH("QTY",F181)+4)-(SEARCH("QTY",F181)+4),3))),""))</f>
        <v>0</v>
      </c>
      <c r="M181">
        <f>'Raw Data'!O181</f>
        <v>0</v>
      </c>
      <c r="N181">
        <f>'Raw Data'!P181</f>
        <v>0</v>
      </c>
      <c r="O181">
        <f>'Raw Data'!Q181</f>
        <v>0</v>
      </c>
      <c r="P181">
        <f>'Raw Data'!R181</f>
        <v>0</v>
      </c>
      <c r="Q181">
        <f>'Raw Data'!S181</f>
        <v>0</v>
      </c>
      <c r="R181">
        <f>'Raw Data'!T181</f>
        <v>0</v>
      </c>
      <c r="S181">
        <f>IFERROR(O181,0)+IFERROR(R181,0)</f>
        <v>0</v>
      </c>
      <c r="T181">
        <f>IF(A181="","",YEAR(A181))</f>
        <v>0</v>
      </c>
    </row>
    <row r="182" spans="1:20">
      <c r="A182">
        <f>'Raw Data'!B182</f>
        <v>0</v>
      </c>
      <c r="B182">
        <f>'Raw Data'!A182</f>
        <v>0</v>
      </c>
      <c r="C182">
        <f>'Raw Data'!C182</f>
        <v>0</v>
      </c>
      <c r="D182">
        <f>'Raw Data'!D182</f>
        <v>0</v>
      </c>
      <c r="E182">
        <f>IFERROR(VLOOKUP(D182,'Lookup Tables'!$A:$B,2,FALSE),"Unknown")</f>
        <v>0</v>
      </c>
      <c r="F182">
        <f>'Raw Data'!E182</f>
        <v>0</v>
      </c>
      <c r="G182">
        <f>IFERROR(VLOOKUP(D182,'Lookup Tables'!$A:$C,3,FALSE),IF(ISNUMBER(SEARCH("STEEL",F182)),"Steel","Others"))</f>
        <v>0</v>
      </c>
      <c r="H182">
        <f>IF(ISNUMBER(SEARCH("scrubber",F182)) , "Scrubber", IF(ISNUMBER(SEARCH("container",F182)),"Container", IF(ISNUMBER(SEARCH("basket",F182)),"Basket", IF(ISNUMBER(SEARCH("lunch",F182)),"Lunch Box", IF(ISNUMBER(SEARCH("cutlery",F182)),"Cutlery","Other")))))</f>
        <v>0</v>
      </c>
      <c r="I182">
        <f>IF('Raw Data'!G182&lt;&gt;'','Raw Data'!G182,IFERROR(MID(F182,SEARCH("MODEL",F182)+6,20),""))</f>
        <v>0</v>
      </c>
      <c r="J182">
        <f>'Raw Data'!H182</f>
        <v>0</v>
      </c>
      <c r="K182">
        <f>'Raw Data'!I182</f>
        <v>0</v>
      </c>
      <c r="L182">
        <f>IF('Raw Data'!N182&lt;&gt;0,'Raw Data'!N182,IFERROR(VALUE(MID(F182,SEARCH("QTY",F182)+4,IFERROR(FIND(" ",F182,SEARCH("QTY",F182)+4)-(SEARCH("QTY",F182)+4),3))),""))</f>
        <v>0</v>
      </c>
      <c r="M182">
        <f>'Raw Data'!O182</f>
        <v>0</v>
      </c>
      <c r="N182">
        <f>'Raw Data'!P182</f>
        <v>0</v>
      </c>
      <c r="O182">
        <f>'Raw Data'!Q182</f>
        <v>0</v>
      </c>
      <c r="P182">
        <f>'Raw Data'!R182</f>
        <v>0</v>
      </c>
      <c r="Q182">
        <f>'Raw Data'!S182</f>
        <v>0</v>
      </c>
      <c r="R182">
        <f>'Raw Data'!T182</f>
        <v>0</v>
      </c>
      <c r="S182">
        <f>IFERROR(O182,0)+IFERROR(R182,0)</f>
        <v>0</v>
      </c>
      <c r="T182">
        <f>IF(A182="","",YEAR(A182))</f>
        <v>0</v>
      </c>
    </row>
    <row r="183" spans="1:20">
      <c r="A183">
        <f>'Raw Data'!B183</f>
        <v>0</v>
      </c>
      <c r="B183">
        <f>'Raw Data'!A183</f>
        <v>0</v>
      </c>
      <c r="C183">
        <f>'Raw Data'!C183</f>
        <v>0</v>
      </c>
      <c r="D183">
        <f>'Raw Data'!D183</f>
        <v>0</v>
      </c>
      <c r="E183">
        <f>IFERROR(VLOOKUP(D183,'Lookup Tables'!$A:$B,2,FALSE),"Unknown")</f>
        <v>0</v>
      </c>
      <c r="F183">
        <f>'Raw Data'!E183</f>
        <v>0</v>
      </c>
      <c r="G183">
        <f>IFERROR(VLOOKUP(D183,'Lookup Tables'!$A:$C,3,FALSE),IF(ISNUMBER(SEARCH("STEEL",F183)),"Steel","Others"))</f>
        <v>0</v>
      </c>
      <c r="H183">
        <f>IF(ISNUMBER(SEARCH("scrubber",F183)) , "Scrubber", IF(ISNUMBER(SEARCH("container",F183)),"Container", IF(ISNUMBER(SEARCH("basket",F183)),"Basket", IF(ISNUMBER(SEARCH("lunch",F183)),"Lunch Box", IF(ISNUMBER(SEARCH("cutlery",F183)),"Cutlery","Other")))))</f>
        <v>0</v>
      </c>
      <c r="I183">
        <f>IF('Raw Data'!G183&lt;&gt;'','Raw Data'!G183,IFERROR(MID(F183,SEARCH("MODEL",F183)+6,20),""))</f>
        <v>0</v>
      </c>
      <c r="J183">
        <f>'Raw Data'!H183</f>
        <v>0</v>
      </c>
      <c r="K183">
        <f>'Raw Data'!I183</f>
        <v>0</v>
      </c>
      <c r="L183">
        <f>IF('Raw Data'!N183&lt;&gt;0,'Raw Data'!N183,IFERROR(VALUE(MID(F183,SEARCH("QTY",F183)+4,IFERROR(FIND(" ",F183,SEARCH("QTY",F183)+4)-(SEARCH("QTY",F183)+4),3))),""))</f>
        <v>0</v>
      </c>
      <c r="M183">
        <f>'Raw Data'!O183</f>
        <v>0</v>
      </c>
      <c r="N183">
        <f>'Raw Data'!P183</f>
        <v>0</v>
      </c>
      <c r="O183">
        <f>'Raw Data'!Q183</f>
        <v>0</v>
      </c>
      <c r="P183">
        <f>'Raw Data'!R183</f>
        <v>0</v>
      </c>
      <c r="Q183">
        <f>'Raw Data'!S183</f>
        <v>0</v>
      </c>
      <c r="R183">
        <f>'Raw Data'!T183</f>
        <v>0</v>
      </c>
      <c r="S183">
        <f>IFERROR(O183,0)+IFERROR(R183,0)</f>
        <v>0</v>
      </c>
      <c r="T183">
        <f>IF(A183="","",YEAR(A183))</f>
        <v>0</v>
      </c>
    </row>
    <row r="184" spans="1:20">
      <c r="A184">
        <f>'Raw Data'!B184</f>
        <v>0</v>
      </c>
      <c r="B184">
        <f>'Raw Data'!A184</f>
        <v>0</v>
      </c>
      <c r="C184">
        <f>'Raw Data'!C184</f>
        <v>0</v>
      </c>
      <c r="D184">
        <f>'Raw Data'!D184</f>
        <v>0</v>
      </c>
      <c r="E184">
        <f>IFERROR(VLOOKUP(D184,'Lookup Tables'!$A:$B,2,FALSE),"Unknown")</f>
        <v>0</v>
      </c>
      <c r="F184">
        <f>'Raw Data'!E184</f>
        <v>0</v>
      </c>
      <c r="G184">
        <f>IFERROR(VLOOKUP(D184,'Lookup Tables'!$A:$C,3,FALSE),IF(ISNUMBER(SEARCH("STEEL",F184)),"Steel","Others"))</f>
        <v>0</v>
      </c>
      <c r="H184">
        <f>IF(ISNUMBER(SEARCH("scrubber",F184)) , "Scrubber", IF(ISNUMBER(SEARCH("container",F184)),"Container", IF(ISNUMBER(SEARCH("basket",F184)),"Basket", IF(ISNUMBER(SEARCH("lunch",F184)),"Lunch Box", IF(ISNUMBER(SEARCH("cutlery",F184)),"Cutlery","Other")))))</f>
        <v>0</v>
      </c>
      <c r="I184">
        <f>IF('Raw Data'!G184&lt;&gt;'','Raw Data'!G184,IFERROR(MID(F184,SEARCH("MODEL",F184)+6,20),""))</f>
        <v>0</v>
      </c>
      <c r="J184">
        <f>'Raw Data'!H184</f>
        <v>0</v>
      </c>
      <c r="K184">
        <f>'Raw Data'!I184</f>
        <v>0</v>
      </c>
      <c r="L184">
        <f>IF('Raw Data'!N184&lt;&gt;0,'Raw Data'!N184,IFERROR(VALUE(MID(F184,SEARCH("QTY",F184)+4,IFERROR(FIND(" ",F184,SEARCH("QTY",F184)+4)-(SEARCH("QTY",F184)+4),3))),""))</f>
        <v>0</v>
      </c>
      <c r="M184">
        <f>'Raw Data'!O184</f>
        <v>0</v>
      </c>
      <c r="N184">
        <f>'Raw Data'!P184</f>
        <v>0</v>
      </c>
      <c r="O184">
        <f>'Raw Data'!Q184</f>
        <v>0</v>
      </c>
      <c r="P184">
        <f>'Raw Data'!R184</f>
        <v>0</v>
      </c>
      <c r="Q184">
        <f>'Raw Data'!S184</f>
        <v>0</v>
      </c>
      <c r="R184">
        <f>'Raw Data'!T184</f>
        <v>0</v>
      </c>
      <c r="S184">
        <f>IFERROR(O184,0)+IFERROR(R184,0)</f>
        <v>0</v>
      </c>
      <c r="T184">
        <f>IF(A184="","",YEAR(A184))</f>
        <v>0</v>
      </c>
    </row>
    <row r="185" spans="1:20">
      <c r="A185">
        <f>'Raw Data'!B185</f>
        <v>0</v>
      </c>
      <c r="B185">
        <f>'Raw Data'!A185</f>
        <v>0</v>
      </c>
      <c r="C185">
        <f>'Raw Data'!C185</f>
        <v>0</v>
      </c>
      <c r="D185">
        <f>'Raw Data'!D185</f>
        <v>0</v>
      </c>
      <c r="E185">
        <f>IFERROR(VLOOKUP(D185,'Lookup Tables'!$A:$B,2,FALSE),"Unknown")</f>
        <v>0</v>
      </c>
      <c r="F185">
        <f>'Raw Data'!E185</f>
        <v>0</v>
      </c>
      <c r="G185">
        <f>IFERROR(VLOOKUP(D185,'Lookup Tables'!$A:$C,3,FALSE),IF(ISNUMBER(SEARCH("STEEL",F185)),"Steel","Others"))</f>
        <v>0</v>
      </c>
      <c r="H185">
        <f>IF(ISNUMBER(SEARCH("scrubber",F185)) , "Scrubber", IF(ISNUMBER(SEARCH("container",F185)),"Container", IF(ISNUMBER(SEARCH("basket",F185)),"Basket", IF(ISNUMBER(SEARCH("lunch",F185)),"Lunch Box", IF(ISNUMBER(SEARCH("cutlery",F185)),"Cutlery","Other")))))</f>
        <v>0</v>
      </c>
      <c r="I185">
        <f>IF('Raw Data'!G185&lt;&gt;'','Raw Data'!G185,IFERROR(MID(F185,SEARCH("MODEL",F185)+6,20),""))</f>
        <v>0</v>
      </c>
      <c r="J185">
        <f>'Raw Data'!H185</f>
        <v>0</v>
      </c>
      <c r="K185">
        <f>'Raw Data'!I185</f>
        <v>0</v>
      </c>
      <c r="L185">
        <f>IF('Raw Data'!N185&lt;&gt;0,'Raw Data'!N185,IFERROR(VALUE(MID(F185,SEARCH("QTY",F185)+4,IFERROR(FIND(" ",F185,SEARCH("QTY",F185)+4)-(SEARCH("QTY",F185)+4),3))),""))</f>
        <v>0</v>
      </c>
      <c r="M185">
        <f>'Raw Data'!O185</f>
        <v>0</v>
      </c>
      <c r="N185">
        <f>'Raw Data'!P185</f>
        <v>0</v>
      </c>
      <c r="O185">
        <f>'Raw Data'!Q185</f>
        <v>0</v>
      </c>
      <c r="P185">
        <f>'Raw Data'!R185</f>
        <v>0</v>
      </c>
      <c r="Q185">
        <f>'Raw Data'!S185</f>
        <v>0</v>
      </c>
      <c r="R185">
        <f>'Raw Data'!T185</f>
        <v>0</v>
      </c>
      <c r="S185">
        <f>IFERROR(O185,0)+IFERROR(R185,0)</f>
        <v>0</v>
      </c>
      <c r="T185">
        <f>IF(A185="","",YEAR(A185))</f>
        <v>0</v>
      </c>
    </row>
    <row r="186" spans="1:20">
      <c r="A186">
        <f>'Raw Data'!B186</f>
        <v>0</v>
      </c>
      <c r="B186">
        <f>'Raw Data'!A186</f>
        <v>0</v>
      </c>
      <c r="C186">
        <f>'Raw Data'!C186</f>
        <v>0</v>
      </c>
      <c r="D186">
        <f>'Raw Data'!D186</f>
        <v>0</v>
      </c>
      <c r="E186">
        <f>IFERROR(VLOOKUP(D186,'Lookup Tables'!$A:$B,2,FALSE),"Unknown")</f>
        <v>0</v>
      </c>
      <c r="F186">
        <f>'Raw Data'!E186</f>
        <v>0</v>
      </c>
      <c r="G186">
        <f>IFERROR(VLOOKUP(D186,'Lookup Tables'!$A:$C,3,FALSE),IF(ISNUMBER(SEARCH("STEEL",F186)),"Steel","Others"))</f>
        <v>0</v>
      </c>
      <c r="H186">
        <f>IF(ISNUMBER(SEARCH("scrubber",F186)) , "Scrubber", IF(ISNUMBER(SEARCH("container",F186)),"Container", IF(ISNUMBER(SEARCH("basket",F186)),"Basket", IF(ISNUMBER(SEARCH("lunch",F186)),"Lunch Box", IF(ISNUMBER(SEARCH("cutlery",F186)),"Cutlery","Other")))))</f>
        <v>0</v>
      </c>
      <c r="I186">
        <f>IF('Raw Data'!G186&lt;&gt;'','Raw Data'!G186,IFERROR(MID(F186,SEARCH("MODEL",F186)+6,20),""))</f>
        <v>0</v>
      </c>
      <c r="J186">
        <f>'Raw Data'!H186</f>
        <v>0</v>
      </c>
      <c r="K186">
        <f>'Raw Data'!I186</f>
        <v>0</v>
      </c>
      <c r="L186">
        <f>IF('Raw Data'!N186&lt;&gt;0,'Raw Data'!N186,IFERROR(VALUE(MID(F186,SEARCH("QTY",F186)+4,IFERROR(FIND(" ",F186,SEARCH("QTY",F186)+4)-(SEARCH("QTY",F186)+4),3))),""))</f>
        <v>0</v>
      </c>
      <c r="M186">
        <f>'Raw Data'!O186</f>
        <v>0</v>
      </c>
      <c r="N186">
        <f>'Raw Data'!P186</f>
        <v>0</v>
      </c>
      <c r="O186">
        <f>'Raw Data'!Q186</f>
        <v>0</v>
      </c>
      <c r="P186">
        <f>'Raw Data'!R186</f>
        <v>0</v>
      </c>
      <c r="Q186">
        <f>'Raw Data'!S186</f>
        <v>0</v>
      </c>
      <c r="R186">
        <f>'Raw Data'!T186</f>
        <v>0</v>
      </c>
      <c r="S186">
        <f>IFERROR(O186,0)+IFERROR(R186,0)</f>
        <v>0</v>
      </c>
      <c r="T186">
        <f>IF(A186="","",YEAR(A186))</f>
        <v>0</v>
      </c>
    </row>
    <row r="187" spans="1:20">
      <c r="A187">
        <f>'Raw Data'!B187</f>
        <v>0</v>
      </c>
      <c r="B187">
        <f>'Raw Data'!A187</f>
        <v>0</v>
      </c>
      <c r="C187">
        <f>'Raw Data'!C187</f>
        <v>0</v>
      </c>
      <c r="D187">
        <f>'Raw Data'!D187</f>
        <v>0</v>
      </c>
      <c r="E187">
        <f>IFERROR(VLOOKUP(D187,'Lookup Tables'!$A:$B,2,FALSE),"Unknown")</f>
        <v>0</v>
      </c>
      <c r="F187">
        <f>'Raw Data'!E187</f>
        <v>0</v>
      </c>
      <c r="G187">
        <f>IFERROR(VLOOKUP(D187,'Lookup Tables'!$A:$C,3,FALSE),IF(ISNUMBER(SEARCH("STEEL",F187)),"Steel","Others"))</f>
        <v>0</v>
      </c>
      <c r="H187">
        <f>IF(ISNUMBER(SEARCH("scrubber",F187)) , "Scrubber", IF(ISNUMBER(SEARCH("container",F187)),"Container", IF(ISNUMBER(SEARCH("basket",F187)),"Basket", IF(ISNUMBER(SEARCH("lunch",F187)),"Lunch Box", IF(ISNUMBER(SEARCH("cutlery",F187)),"Cutlery","Other")))))</f>
        <v>0</v>
      </c>
      <c r="I187">
        <f>IF('Raw Data'!G187&lt;&gt;'','Raw Data'!G187,IFERROR(MID(F187,SEARCH("MODEL",F187)+6,20),""))</f>
        <v>0</v>
      </c>
      <c r="J187">
        <f>'Raw Data'!H187</f>
        <v>0</v>
      </c>
      <c r="K187">
        <f>'Raw Data'!I187</f>
        <v>0</v>
      </c>
      <c r="L187">
        <f>IF('Raw Data'!N187&lt;&gt;0,'Raw Data'!N187,IFERROR(VALUE(MID(F187,SEARCH("QTY",F187)+4,IFERROR(FIND(" ",F187,SEARCH("QTY",F187)+4)-(SEARCH("QTY",F187)+4),3))),""))</f>
        <v>0</v>
      </c>
      <c r="M187">
        <f>'Raw Data'!O187</f>
        <v>0</v>
      </c>
      <c r="N187">
        <f>'Raw Data'!P187</f>
        <v>0</v>
      </c>
      <c r="O187">
        <f>'Raw Data'!Q187</f>
        <v>0</v>
      </c>
      <c r="P187">
        <f>'Raw Data'!R187</f>
        <v>0</v>
      </c>
      <c r="Q187">
        <f>'Raw Data'!S187</f>
        <v>0</v>
      </c>
      <c r="R187">
        <f>'Raw Data'!T187</f>
        <v>0</v>
      </c>
      <c r="S187">
        <f>IFERROR(O187,0)+IFERROR(R187,0)</f>
        <v>0</v>
      </c>
      <c r="T187">
        <f>IF(A187="","",YEAR(A187))</f>
        <v>0</v>
      </c>
    </row>
    <row r="188" spans="1:20">
      <c r="A188">
        <f>'Raw Data'!B188</f>
        <v>0</v>
      </c>
      <c r="B188">
        <f>'Raw Data'!A188</f>
        <v>0</v>
      </c>
      <c r="C188">
        <f>'Raw Data'!C188</f>
        <v>0</v>
      </c>
      <c r="D188">
        <f>'Raw Data'!D188</f>
        <v>0</v>
      </c>
      <c r="E188">
        <f>IFERROR(VLOOKUP(D188,'Lookup Tables'!$A:$B,2,FALSE),"Unknown")</f>
        <v>0</v>
      </c>
      <c r="F188">
        <f>'Raw Data'!E188</f>
        <v>0</v>
      </c>
      <c r="G188">
        <f>IFERROR(VLOOKUP(D188,'Lookup Tables'!$A:$C,3,FALSE),IF(ISNUMBER(SEARCH("STEEL",F188)),"Steel","Others"))</f>
        <v>0</v>
      </c>
      <c r="H188">
        <f>IF(ISNUMBER(SEARCH("scrubber",F188)) , "Scrubber", IF(ISNUMBER(SEARCH("container",F188)),"Container", IF(ISNUMBER(SEARCH("basket",F188)),"Basket", IF(ISNUMBER(SEARCH("lunch",F188)),"Lunch Box", IF(ISNUMBER(SEARCH("cutlery",F188)),"Cutlery","Other")))))</f>
        <v>0</v>
      </c>
      <c r="I188">
        <f>IF('Raw Data'!G188&lt;&gt;'','Raw Data'!G188,IFERROR(MID(F188,SEARCH("MODEL",F188)+6,20),""))</f>
        <v>0</v>
      </c>
      <c r="J188">
        <f>'Raw Data'!H188</f>
        <v>0</v>
      </c>
      <c r="K188">
        <f>'Raw Data'!I188</f>
        <v>0</v>
      </c>
      <c r="L188">
        <f>IF('Raw Data'!N188&lt;&gt;0,'Raw Data'!N188,IFERROR(VALUE(MID(F188,SEARCH("QTY",F188)+4,IFERROR(FIND(" ",F188,SEARCH("QTY",F188)+4)-(SEARCH("QTY",F188)+4),3))),""))</f>
        <v>0</v>
      </c>
      <c r="M188">
        <f>'Raw Data'!O188</f>
        <v>0</v>
      </c>
      <c r="N188">
        <f>'Raw Data'!P188</f>
        <v>0</v>
      </c>
      <c r="O188">
        <f>'Raw Data'!Q188</f>
        <v>0</v>
      </c>
      <c r="P188">
        <f>'Raw Data'!R188</f>
        <v>0</v>
      </c>
      <c r="Q188">
        <f>'Raw Data'!S188</f>
        <v>0</v>
      </c>
      <c r="R188">
        <f>'Raw Data'!T188</f>
        <v>0</v>
      </c>
      <c r="S188">
        <f>IFERROR(O188,0)+IFERROR(R188,0)</f>
        <v>0</v>
      </c>
      <c r="T188">
        <f>IF(A188="","",YEAR(A188))</f>
        <v>0</v>
      </c>
    </row>
    <row r="189" spans="1:20">
      <c r="A189">
        <f>'Raw Data'!B189</f>
        <v>0</v>
      </c>
      <c r="B189">
        <f>'Raw Data'!A189</f>
        <v>0</v>
      </c>
      <c r="C189">
        <f>'Raw Data'!C189</f>
        <v>0</v>
      </c>
      <c r="D189">
        <f>'Raw Data'!D189</f>
        <v>0</v>
      </c>
      <c r="E189">
        <f>IFERROR(VLOOKUP(D189,'Lookup Tables'!$A:$B,2,FALSE),"Unknown")</f>
        <v>0</v>
      </c>
      <c r="F189">
        <f>'Raw Data'!E189</f>
        <v>0</v>
      </c>
      <c r="G189">
        <f>IFERROR(VLOOKUP(D189,'Lookup Tables'!$A:$C,3,FALSE),IF(ISNUMBER(SEARCH("STEEL",F189)),"Steel","Others"))</f>
        <v>0</v>
      </c>
      <c r="H189">
        <f>IF(ISNUMBER(SEARCH("scrubber",F189)) , "Scrubber", IF(ISNUMBER(SEARCH("container",F189)),"Container", IF(ISNUMBER(SEARCH("basket",F189)),"Basket", IF(ISNUMBER(SEARCH("lunch",F189)),"Lunch Box", IF(ISNUMBER(SEARCH("cutlery",F189)),"Cutlery","Other")))))</f>
        <v>0</v>
      </c>
      <c r="I189">
        <f>IF('Raw Data'!G189&lt;&gt;'','Raw Data'!G189,IFERROR(MID(F189,SEARCH("MODEL",F189)+6,20),""))</f>
        <v>0</v>
      </c>
      <c r="J189">
        <f>'Raw Data'!H189</f>
        <v>0</v>
      </c>
      <c r="K189">
        <f>'Raw Data'!I189</f>
        <v>0</v>
      </c>
      <c r="L189">
        <f>IF('Raw Data'!N189&lt;&gt;0,'Raw Data'!N189,IFERROR(VALUE(MID(F189,SEARCH("QTY",F189)+4,IFERROR(FIND(" ",F189,SEARCH("QTY",F189)+4)-(SEARCH("QTY",F189)+4),3))),""))</f>
        <v>0</v>
      </c>
      <c r="M189">
        <f>'Raw Data'!O189</f>
        <v>0</v>
      </c>
      <c r="N189">
        <f>'Raw Data'!P189</f>
        <v>0</v>
      </c>
      <c r="O189">
        <f>'Raw Data'!Q189</f>
        <v>0</v>
      </c>
      <c r="P189">
        <f>'Raw Data'!R189</f>
        <v>0</v>
      </c>
      <c r="Q189">
        <f>'Raw Data'!S189</f>
        <v>0</v>
      </c>
      <c r="R189">
        <f>'Raw Data'!T189</f>
        <v>0</v>
      </c>
      <c r="S189">
        <f>IFERROR(O189,0)+IFERROR(R189,0)</f>
        <v>0</v>
      </c>
      <c r="T189">
        <f>IF(A189="","",YEAR(A189))</f>
        <v>0</v>
      </c>
    </row>
    <row r="190" spans="1:20">
      <c r="A190">
        <f>'Raw Data'!B190</f>
        <v>0</v>
      </c>
      <c r="B190">
        <f>'Raw Data'!A190</f>
        <v>0</v>
      </c>
      <c r="C190">
        <f>'Raw Data'!C190</f>
        <v>0</v>
      </c>
      <c r="D190">
        <f>'Raw Data'!D190</f>
        <v>0</v>
      </c>
      <c r="E190">
        <f>IFERROR(VLOOKUP(D190,'Lookup Tables'!$A:$B,2,FALSE),"Unknown")</f>
        <v>0</v>
      </c>
      <c r="F190">
        <f>'Raw Data'!E190</f>
        <v>0</v>
      </c>
      <c r="G190">
        <f>IFERROR(VLOOKUP(D190,'Lookup Tables'!$A:$C,3,FALSE),IF(ISNUMBER(SEARCH("STEEL",F190)),"Steel","Others"))</f>
        <v>0</v>
      </c>
      <c r="H190">
        <f>IF(ISNUMBER(SEARCH("scrubber",F190)) , "Scrubber", IF(ISNUMBER(SEARCH("container",F190)),"Container", IF(ISNUMBER(SEARCH("basket",F190)),"Basket", IF(ISNUMBER(SEARCH("lunch",F190)),"Lunch Box", IF(ISNUMBER(SEARCH("cutlery",F190)),"Cutlery","Other")))))</f>
        <v>0</v>
      </c>
      <c r="I190">
        <f>IF('Raw Data'!G190&lt;&gt;'','Raw Data'!G190,IFERROR(MID(F190,SEARCH("MODEL",F190)+6,20),""))</f>
        <v>0</v>
      </c>
      <c r="J190">
        <f>'Raw Data'!H190</f>
        <v>0</v>
      </c>
      <c r="K190">
        <f>'Raw Data'!I190</f>
        <v>0</v>
      </c>
      <c r="L190">
        <f>IF('Raw Data'!N190&lt;&gt;0,'Raw Data'!N190,IFERROR(VALUE(MID(F190,SEARCH("QTY",F190)+4,IFERROR(FIND(" ",F190,SEARCH("QTY",F190)+4)-(SEARCH("QTY",F190)+4),3))),""))</f>
        <v>0</v>
      </c>
      <c r="M190">
        <f>'Raw Data'!O190</f>
        <v>0</v>
      </c>
      <c r="N190">
        <f>'Raw Data'!P190</f>
        <v>0</v>
      </c>
      <c r="O190">
        <f>'Raw Data'!Q190</f>
        <v>0</v>
      </c>
      <c r="P190">
        <f>'Raw Data'!R190</f>
        <v>0</v>
      </c>
      <c r="Q190">
        <f>'Raw Data'!S190</f>
        <v>0</v>
      </c>
      <c r="R190">
        <f>'Raw Data'!T190</f>
        <v>0</v>
      </c>
      <c r="S190">
        <f>IFERROR(O190,0)+IFERROR(R190,0)</f>
        <v>0</v>
      </c>
      <c r="T190">
        <f>IF(A190="","",YEAR(A190))</f>
        <v>0</v>
      </c>
    </row>
    <row r="191" spans="1:20">
      <c r="A191">
        <f>'Raw Data'!B191</f>
        <v>0</v>
      </c>
      <c r="B191">
        <f>'Raw Data'!A191</f>
        <v>0</v>
      </c>
      <c r="C191">
        <f>'Raw Data'!C191</f>
        <v>0</v>
      </c>
      <c r="D191">
        <f>'Raw Data'!D191</f>
        <v>0</v>
      </c>
      <c r="E191">
        <f>IFERROR(VLOOKUP(D191,'Lookup Tables'!$A:$B,2,FALSE),"Unknown")</f>
        <v>0</v>
      </c>
      <c r="F191">
        <f>'Raw Data'!E191</f>
        <v>0</v>
      </c>
      <c r="G191">
        <f>IFERROR(VLOOKUP(D191,'Lookup Tables'!$A:$C,3,FALSE),IF(ISNUMBER(SEARCH("STEEL",F191)),"Steel","Others"))</f>
        <v>0</v>
      </c>
      <c r="H191">
        <f>IF(ISNUMBER(SEARCH("scrubber",F191)) , "Scrubber", IF(ISNUMBER(SEARCH("container",F191)),"Container", IF(ISNUMBER(SEARCH("basket",F191)),"Basket", IF(ISNUMBER(SEARCH("lunch",F191)),"Lunch Box", IF(ISNUMBER(SEARCH("cutlery",F191)),"Cutlery","Other")))))</f>
        <v>0</v>
      </c>
      <c r="I191">
        <f>IF('Raw Data'!G191&lt;&gt;'','Raw Data'!G191,IFERROR(MID(F191,SEARCH("MODEL",F191)+6,20),""))</f>
        <v>0</v>
      </c>
      <c r="J191">
        <f>'Raw Data'!H191</f>
        <v>0</v>
      </c>
      <c r="K191">
        <f>'Raw Data'!I191</f>
        <v>0</v>
      </c>
      <c r="L191">
        <f>IF('Raw Data'!N191&lt;&gt;0,'Raw Data'!N191,IFERROR(VALUE(MID(F191,SEARCH("QTY",F191)+4,IFERROR(FIND(" ",F191,SEARCH("QTY",F191)+4)-(SEARCH("QTY",F191)+4),3))),""))</f>
        <v>0</v>
      </c>
      <c r="M191">
        <f>'Raw Data'!O191</f>
        <v>0</v>
      </c>
      <c r="N191">
        <f>'Raw Data'!P191</f>
        <v>0</v>
      </c>
      <c r="O191">
        <f>'Raw Data'!Q191</f>
        <v>0</v>
      </c>
      <c r="P191">
        <f>'Raw Data'!R191</f>
        <v>0</v>
      </c>
      <c r="Q191">
        <f>'Raw Data'!S191</f>
        <v>0</v>
      </c>
      <c r="R191">
        <f>'Raw Data'!T191</f>
        <v>0</v>
      </c>
      <c r="S191">
        <f>IFERROR(O191,0)+IFERROR(R191,0)</f>
        <v>0</v>
      </c>
      <c r="T191">
        <f>IF(A191="","",YEAR(A191))</f>
        <v>0</v>
      </c>
    </row>
    <row r="192" spans="1:20">
      <c r="A192">
        <f>'Raw Data'!B192</f>
        <v>0</v>
      </c>
      <c r="B192">
        <f>'Raw Data'!A192</f>
        <v>0</v>
      </c>
      <c r="C192">
        <f>'Raw Data'!C192</f>
        <v>0</v>
      </c>
      <c r="D192">
        <f>'Raw Data'!D192</f>
        <v>0</v>
      </c>
      <c r="E192">
        <f>IFERROR(VLOOKUP(D192,'Lookup Tables'!$A:$B,2,FALSE),"Unknown")</f>
        <v>0</v>
      </c>
      <c r="F192">
        <f>'Raw Data'!E192</f>
        <v>0</v>
      </c>
      <c r="G192">
        <f>IFERROR(VLOOKUP(D192,'Lookup Tables'!$A:$C,3,FALSE),IF(ISNUMBER(SEARCH("STEEL",F192)),"Steel","Others"))</f>
        <v>0</v>
      </c>
      <c r="H192">
        <f>IF(ISNUMBER(SEARCH("scrubber",F192)) , "Scrubber", IF(ISNUMBER(SEARCH("container",F192)),"Container", IF(ISNUMBER(SEARCH("basket",F192)),"Basket", IF(ISNUMBER(SEARCH("lunch",F192)),"Lunch Box", IF(ISNUMBER(SEARCH("cutlery",F192)),"Cutlery","Other")))))</f>
        <v>0</v>
      </c>
      <c r="I192">
        <f>IF('Raw Data'!G192&lt;&gt;'','Raw Data'!G192,IFERROR(MID(F192,SEARCH("MODEL",F192)+6,20),""))</f>
        <v>0</v>
      </c>
      <c r="J192">
        <f>'Raw Data'!H192</f>
        <v>0</v>
      </c>
      <c r="K192">
        <f>'Raw Data'!I192</f>
        <v>0</v>
      </c>
      <c r="L192">
        <f>IF('Raw Data'!N192&lt;&gt;0,'Raw Data'!N192,IFERROR(VALUE(MID(F192,SEARCH("QTY",F192)+4,IFERROR(FIND(" ",F192,SEARCH("QTY",F192)+4)-(SEARCH("QTY",F192)+4),3))),""))</f>
        <v>0</v>
      </c>
      <c r="M192">
        <f>'Raw Data'!O192</f>
        <v>0</v>
      </c>
      <c r="N192">
        <f>'Raw Data'!P192</f>
        <v>0</v>
      </c>
      <c r="O192">
        <f>'Raw Data'!Q192</f>
        <v>0</v>
      </c>
      <c r="P192">
        <f>'Raw Data'!R192</f>
        <v>0</v>
      </c>
      <c r="Q192">
        <f>'Raw Data'!S192</f>
        <v>0</v>
      </c>
      <c r="R192">
        <f>'Raw Data'!T192</f>
        <v>0</v>
      </c>
      <c r="S192">
        <f>IFERROR(O192,0)+IFERROR(R192,0)</f>
        <v>0</v>
      </c>
      <c r="T192">
        <f>IF(A192="","",YEAR(A192))</f>
        <v>0</v>
      </c>
    </row>
    <row r="193" spans="1:20">
      <c r="A193">
        <f>'Raw Data'!B193</f>
        <v>0</v>
      </c>
      <c r="B193">
        <f>'Raw Data'!A193</f>
        <v>0</v>
      </c>
      <c r="C193">
        <f>'Raw Data'!C193</f>
        <v>0</v>
      </c>
      <c r="D193">
        <f>'Raw Data'!D193</f>
        <v>0</v>
      </c>
      <c r="E193">
        <f>IFERROR(VLOOKUP(D193,'Lookup Tables'!$A:$B,2,FALSE),"Unknown")</f>
        <v>0</v>
      </c>
      <c r="F193">
        <f>'Raw Data'!E193</f>
        <v>0</v>
      </c>
      <c r="G193">
        <f>IFERROR(VLOOKUP(D193,'Lookup Tables'!$A:$C,3,FALSE),IF(ISNUMBER(SEARCH("STEEL",F193)),"Steel","Others"))</f>
        <v>0</v>
      </c>
      <c r="H193">
        <f>IF(ISNUMBER(SEARCH("scrubber",F193)) , "Scrubber", IF(ISNUMBER(SEARCH("container",F193)),"Container", IF(ISNUMBER(SEARCH("basket",F193)),"Basket", IF(ISNUMBER(SEARCH("lunch",F193)),"Lunch Box", IF(ISNUMBER(SEARCH("cutlery",F193)),"Cutlery","Other")))))</f>
        <v>0</v>
      </c>
      <c r="I193">
        <f>IF('Raw Data'!G193&lt;&gt;'','Raw Data'!G193,IFERROR(MID(F193,SEARCH("MODEL",F193)+6,20),""))</f>
        <v>0</v>
      </c>
      <c r="J193">
        <f>'Raw Data'!H193</f>
        <v>0</v>
      </c>
      <c r="K193">
        <f>'Raw Data'!I193</f>
        <v>0</v>
      </c>
      <c r="L193">
        <f>IF('Raw Data'!N193&lt;&gt;0,'Raw Data'!N193,IFERROR(VALUE(MID(F193,SEARCH("QTY",F193)+4,IFERROR(FIND(" ",F193,SEARCH("QTY",F193)+4)-(SEARCH("QTY",F193)+4),3))),""))</f>
        <v>0</v>
      </c>
      <c r="M193">
        <f>'Raw Data'!O193</f>
        <v>0</v>
      </c>
      <c r="N193">
        <f>'Raw Data'!P193</f>
        <v>0</v>
      </c>
      <c r="O193">
        <f>'Raw Data'!Q193</f>
        <v>0</v>
      </c>
      <c r="P193">
        <f>'Raw Data'!R193</f>
        <v>0</v>
      </c>
      <c r="Q193">
        <f>'Raw Data'!S193</f>
        <v>0</v>
      </c>
      <c r="R193">
        <f>'Raw Data'!T193</f>
        <v>0</v>
      </c>
      <c r="S193">
        <f>IFERROR(O193,0)+IFERROR(R193,0)</f>
        <v>0</v>
      </c>
      <c r="T193">
        <f>IF(A193="","",YEAR(A193))</f>
        <v>0</v>
      </c>
    </row>
    <row r="194" spans="1:20">
      <c r="A194">
        <f>'Raw Data'!B194</f>
        <v>0</v>
      </c>
      <c r="B194">
        <f>'Raw Data'!A194</f>
        <v>0</v>
      </c>
      <c r="C194">
        <f>'Raw Data'!C194</f>
        <v>0</v>
      </c>
      <c r="D194">
        <f>'Raw Data'!D194</f>
        <v>0</v>
      </c>
      <c r="E194">
        <f>IFERROR(VLOOKUP(D194,'Lookup Tables'!$A:$B,2,FALSE),"Unknown")</f>
        <v>0</v>
      </c>
      <c r="F194">
        <f>'Raw Data'!E194</f>
        <v>0</v>
      </c>
      <c r="G194">
        <f>IFERROR(VLOOKUP(D194,'Lookup Tables'!$A:$C,3,FALSE),IF(ISNUMBER(SEARCH("STEEL",F194)),"Steel","Others"))</f>
        <v>0</v>
      </c>
      <c r="H194">
        <f>IF(ISNUMBER(SEARCH("scrubber",F194)) , "Scrubber", IF(ISNUMBER(SEARCH("container",F194)),"Container", IF(ISNUMBER(SEARCH("basket",F194)),"Basket", IF(ISNUMBER(SEARCH("lunch",F194)),"Lunch Box", IF(ISNUMBER(SEARCH("cutlery",F194)),"Cutlery","Other")))))</f>
        <v>0</v>
      </c>
      <c r="I194">
        <f>IF('Raw Data'!G194&lt;&gt;'','Raw Data'!G194,IFERROR(MID(F194,SEARCH("MODEL",F194)+6,20),""))</f>
        <v>0</v>
      </c>
      <c r="J194">
        <f>'Raw Data'!H194</f>
        <v>0</v>
      </c>
      <c r="K194">
        <f>'Raw Data'!I194</f>
        <v>0</v>
      </c>
      <c r="L194">
        <f>IF('Raw Data'!N194&lt;&gt;0,'Raw Data'!N194,IFERROR(VALUE(MID(F194,SEARCH("QTY",F194)+4,IFERROR(FIND(" ",F194,SEARCH("QTY",F194)+4)-(SEARCH("QTY",F194)+4),3))),""))</f>
        <v>0</v>
      </c>
      <c r="M194">
        <f>'Raw Data'!O194</f>
        <v>0</v>
      </c>
      <c r="N194">
        <f>'Raw Data'!P194</f>
        <v>0</v>
      </c>
      <c r="O194">
        <f>'Raw Data'!Q194</f>
        <v>0</v>
      </c>
      <c r="P194">
        <f>'Raw Data'!R194</f>
        <v>0</v>
      </c>
      <c r="Q194">
        <f>'Raw Data'!S194</f>
        <v>0</v>
      </c>
      <c r="R194">
        <f>'Raw Data'!T194</f>
        <v>0</v>
      </c>
      <c r="S194">
        <f>IFERROR(O194,0)+IFERROR(R194,0)</f>
        <v>0</v>
      </c>
      <c r="T194">
        <f>IF(A194="","",YEAR(A194))</f>
        <v>0</v>
      </c>
    </row>
    <row r="195" spans="1:20">
      <c r="A195">
        <f>'Raw Data'!B195</f>
        <v>0</v>
      </c>
      <c r="B195">
        <f>'Raw Data'!A195</f>
        <v>0</v>
      </c>
      <c r="C195">
        <f>'Raw Data'!C195</f>
        <v>0</v>
      </c>
      <c r="D195">
        <f>'Raw Data'!D195</f>
        <v>0</v>
      </c>
      <c r="E195">
        <f>IFERROR(VLOOKUP(D195,'Lookup Tables'!$A:$B,2,FALSE),"Unknown")</f>
        <v>0</v>
      </c>
      <c r="F195">
        <f>'Raw Data'!E195</f>
        <v>0</v>
      </c>
      <c r="G195">
        <f>IFERROR(VLOOKUP(D195,'Lookup Tables'!$A:$C,3,FALSE),IF(ISNUMBER(SEARCH("STEEL",F195)),"Steel","Others"))</f>
        <v>0</v>
      </c>
      <c r="H195">
        <f>IF(ISNUMBER(SEARCH("scrubber",F195)) , "Scrubber", IF(ISNUMBER(SEARCH("container",F195)),"Container", IF(ISNUMBER(SEARCH("basket",F195)),"Basket", IF(ISNUMBER(SEARCH("lunch",F195)),"Lunch Box", IF(ISNUMBER(SEARCH("cutlery",F195)),"Cutlery","Other")))))</f>
        <v>0</v>
      </c>
      <c r="I195">
        <f>IF('Raw Data'!G195&lt;&gt;'','Raw Data'!G195,IFERROR(MID(F195,SEARCH("MODEL",F195)+6,20),""))</f>
        <v>0</v>
      </c>
      <c r="J195">
        <f>'Raw Data'!H195</f>
        <v>0</v>
      </c>
      <c r="K195">
        <f>'Raw Data'!I195</f>
        <v>0</v>
      </c>
      <c r="L195">
        <f>IF('Raw Data'!N195&lt;&gt;0,'Raw Data'!N195,IFERROR(VALUE(MID(F195,SEARCH("QTY",F195)+4,IFERROR(FIND(" ",F195,SEARCH("QTY",F195)+4)-(SEARCH("QTY",F195)+4),3))),""))</f>
        <v>0</v>
      </c>
      <c r="M195">
        <f>'Raw Data'!O195</f>
        <v>0</v>
      </c>
      <c r="N195">
        <f>'Raw Data'!P195</f>
        <v>0</v>
      </c>
      <c r="O195">
        <f>'Raw Data'!Q195</f>
        <v>0</v>
      </c>
      <c r="P195">
        <f>'Raw Data'!R195</f>
        <v>0</v>
      </c>
      <c r="Q195">
        <f>'Raw Data'!S195</f>
        <v>0</v>
      </c>
      <c r="R195">
        <f>'Raw Data'!T195</f>
        <v>0</v>
      </c>
      <c r="S195">
        <f>IFERROR(O195,0)+IFERROR(R195,0)</f>
        <v>0</v>
      </c>
      <c r="T195">
        <f>IF(A195="","",YEAR(A195))</f>
        <v>0</v>
      </c>
    </row>
    <row r="196" spans="1:20">
      <c r="A196">
        <f>'Raw Data'!B196</f>
        <v>0</v>
      </c>
      <c r="B196">
        <f>'Raw Data'!A196</f>
        <v>0</v>
      </c>
      <c r="C196">
        <f>'Raw Data'!C196</f>
        <v>0</v>
      </c>
      <c r="D196">
        <f>'Raw Data'!D196</f>
        <v>0</v>
      </c>
      <c r="E196">
        <f>IFERROR(VLOOKUP(D196,'Lookup Tables'!$A:$B,2,FALSE),"Unknown")</f>
        <v>0</v>
      </c>
      <c r="F196">
        <f>'Raw Data'!E196</f>
        <v>0</v>
      </c>
      <c r="G196">
        <f>IFERROR(VLOOKUP(D196,'Lookup Tables'!$A:$C,3,FALSE),IF(ISNUMBER(SEARCH("STEEL",F196)),"Steel","Others"))</f>
        <v>0</v>
      </c>
      <c r="H196">
        <f>IF(ISNUMBER(SEARCH("scrubber",F196)) , "Scrubber", IF(ISNUMBER(SEARCH("container",F196)),"Container", IF(ISNUMBER(SEARCH("basket",F196)),"Basket", IF(ISNUMBER(SEARCH("lunch",F196)),"Lunch Box", IF(ISNUMBER(SEARCH("cutlery",F196)),"Cutlery","Other")))))</f>
        <v>0</v>
      </c>
      <c r="I196">
        <f>IF('Raw Data'!G196&lt;&gt;'','Raw Data'!G196,IFERROR(MID(F196,SEARCH("MODEL",F196)+6,20),""))</f>
        <v>0</v>
      </c>
      <c r="J196">
        <f>'Raw Data'!H196</f>
        <v>0</v>
      </c>
      <c r="K196">
        <f>'Raw Data'!I196</f>
        <v>0</v>
      </c>
      <c r="L196">
        <f>IF('Raw Data'!N196&lt;&gt;0,'Raw Data'!N196,IFERROR(VALUE(MID(F196,SEARCH("QTY",F196)+4,IFERROR(FIND(" ",F196,SEARCH("QTY",F196)+4)-(SEARCH("QTY",F196)+4),3))),""))</f>
        <v>0</v>
      </c>
      <c r="M196">
        <f>'Raw Data'!O196</f>
        <v>0</v>
      </c>
      <c r="N196">
        <f>'Raw Data'!P196</f>
        <v>0</v>
      </c>
      <c r="O196">
        <f>'Raw Data'!Q196</f>
        <v>0</v>
      </c>
      <c r="P196">
        <f>'Raw Data'!R196</f>
        <v>0</v>
      </c>
      <c r="Q196">
        <f>'Raw Data'!S196</f>
        <v>0</v>
      </c>
      <c r="R196">
        <f>'Raw Data'!T196</f>
        <v>0</v>
      </c>
      <c r="S196">
        <f>IFERROR(O196,0)+IFERROR(R196,0)</f>
        <v>0</v>
      </c>
      <c r="T196">
        <f>IF(A196="","",YEAR(A196))</f>
        <v>0</v>
      </c>
    </row>
    <row r="197" spans="1:20">
      <c r="A197">
        <f>'Raw Data'!B197</f>
        <v>0</v>
      </c>
      <c r="B197">
        <f>'Raw Data'!A197</f>
        <v>0</v>
      </c>
      <c r="C197">
        <f>'Raw Data'!C197</f>
        <v>0</v>
      </c>
      <c r="D197">
        <f>'Raw Data'!D197</f>
        <v>0</v>
      </c>
      <c r="E197">
        <f>IFERROR(VLOOKUP(D197,'Lookup Tables'!$A:$B,2,FALSE),"Unknown")</f>
        <v>0</v>
      </c>
      <c r="F197">
        <f>'Raw Data'!E197</f>
        <v>0</v>
      </c>
      <c r="G197">
        <f>IFERROR(VLOOKUP(D197,'Lookup Tables'!$A:$C,3,FALSE),IF(ISNUMBER(SEARCH("STEEL",F197)),"Steel","Others"))</f>
        <v>0</v>
      </c>
      <c r="H197">
        <f>IF(ISNUMBER(SEARCH("scrubber",F197)) , "Scrubber", IF(ISNUMBER(SEARCH("container",F197)),"Container", IF(ISNUMBER(SEARCH("basket",F197)),"Basket", IF(ISNUMBER(SEARCH("lunch",F197)),"Lunch Box", IF(ISNUMBER(SEARCH("cutlery",F197)),"Cutlery","Other")))))</f>
        <v>0</v>
      </c>
      <c r="I197">
        <f>IF('Raw Data'!G197&lt;&gt;'','Raw Data'!G197,IFERROR(MID(F197,SEARCH("MODEL",F197)+6,20),""))</f>
        <v>0</v>
      </c>
      <c r="J197">
        <f>'Raw Data'!H197</f>
        <v>0</v>
      </c>
      <c r="K197">
        <f>'Raw Data'!I197</f>
        <v>0</v>
      </c>
      <c r="L197">
        <f>IF('Raw Data'!N197&lt;&gt;0,'Raw Data'!N197,IFERROR(VALUE(MID(F197,SEARCH("QTY",F197)+4,IFERROR(FIND(" ",F197,SEARCH("QTY",F197)+4)-(SEARCH("QTY",F197)+4),3))),""))</f>
        <v>0</v>
      </c>
      <c r="M197">
        <f>'Raw Data'!O197</f>
        <v>0</v>
      </c>
      <c r="N197">
        <f>'Raw Data'!P197</f>
        <v>0</v>
      </c>
      <c r="O197">
        <f>'Raw Data'!Q197</f>
        <v>0</v>
      </c>
      <c r="P197">
        <f>'Raw Data'!R197</f>
        <v>0</v>
      </c>
      <c r="Q197">
        <f>'Raw Data'!S197</f>
        <v>0</v>
      </c>
      <c r="R197">
        <f>'Raw Data'!T197</f>
        <v>0</v>
      </c>
      <c r="S197">
        <f>IFERROR(O197,0)+IFERROR(R197,0)</f>
        <v>0</v>
      </c>
      <c r="T197">
        <f>IF(A197="","",YEAR(A197))</f>
        <v>0</v>
      </c>
    </row>
    <row r="198" spans="1:20">
      <c r="A198">
        <f>'Raw Data'!B198</f>
        <v>0</v>
      </c>
      <c r="B198">
        <f>'Raw Data'!A198</f>
        <v>0</v>
      </c>
      <c r="C198">
        <f>'Raw Data'!C198</f>
        <v>0</v>
      </c>
      <c r="D198">
        <f>'Raw Data'!D198</f>
        <v>0</v>
      </c>
      <c r="E198">
        <f>IFERROR(VLOOKUP(D198,'Lookup Tables'!$A:$B,2,FALSE),"Unknown")</f>
        <v>0</v>
      </c>
      <c r="F198">
        <f>'Raw Data'!E198</f>
        <v>0</v>
      </c>
      <c r="G198">
        <f>IFERROR(VLOOKUP(D198,'Lookup Tables'!$A:$C,3,FALSE),IF(ISNUMBER(SEARCH("STEEL",F198)),"Steel","Others"))</f>
        <v>0</v>
      </c>
      <c r="H198">
        <f>IF(ISNUMBER(SEARCH("scrubber",F198)) , "Scrubber", IF(ISNUMBER(SEARCH("container",F198)),"Container", IF(ISNUMBER(SEARCH("basket",F198)),"Basket", IF(ISNUMBER(SEARCH("lunch",F198)),"Lunch Box", IF(ISNUMBER(SEARCH("cutlery",F198)),"Cutlery","Other")))))</f>
        <v>0</v>
      </c>
      <c r="I198">
        <f>IF('Raw Data'!G198&lt;&gt;'','Raw Data'!G198,IFERROR(MID(F198,SEARCH("MODEL",F198)+6,20),""))</f>
        <v>0</v>
      </c>
      <c r="J198">
        <f>'Raw Data'!H198</f>
        <v>0</v>
      </c>
      <c r="K198">
        <f>'Raw Data'!I198</f>
        <v>0</v>
      </c>
      <c r="L198">
        <f>IF('Raw Data'!N198&lt;&gt;0,'Raw Data'!N198,IFERROR(VALUE(MID(F198,SEARCH("QTY",F198)+4,IFERROR(FIND(" ",F198,SEARCH("QTY",F198)+4)-(SEARCH("QTY",F198)+4),3))),""))</f>
        <v>0</v>
      </c>
      <c r="M198">
        <f>'Raw Data'!O198</f>
        <v>0</v>
      </c>
      <c r="N198">
        <f>'Raw Data'!P198</f>
        <v>0</v>
      </c>
      <c r="O198">
        <f>'Raw Data'!Q198</f>
        <v>0</v>
      </c>
      <c r="P198">
        <f>'Raw Data'!R198</f>
        <v>0</v>
      </c>
      <c r="Q198">
        <f>'Raw Data'!S198</f>
        <v>0</v>
      </c>
      <c r="R198">
        <f>'Raw Data'!T198</f>
        <v>0</v>
      </c>
      <c r="S198">
        <f>IFERROR(O198,0)+IFERROR(R198,0)</f>
        <v>0</v>
      </c>
      <c r="T198">
        <f>IF(A198="","",YEAR(A198))</f>
        <v>0</v>
      </c>
    </row>
    <row r="199" spans="1:20">
      <c r="A199">
        <f>'Raw Data'!B199</f>
        <v>0</v>
      </c>
      <c r="B199">
        <f>'Raw Data'!A199</f>
        <v>0</v>
      </c>
      <c r="C199">
        <f>'Raw Data'!C199</f>
        <v>0</v>
      </c>
      <c r="D199">
        <f>'Raw Data'!D199</f>
        <v>0</v>
      </c>
      <c r="E199">
        <f>IFERROR(VLOOKUP(D199,'Lookup Tables'!$A:$B,2,FALSE),"Unknown")</f>
        <v>0</v>
      </c>
      <c r="F199">
        <f>'Raw Data'!E199</f>
        <v>0</v>
      </c>
      <c r="G199">
        <f>IFERROR(VLOOKUP(D199,'Lookup Tables'!$A:$C,3,FALSE),IF(ISNUMBER(SEARCH("STEEL",F199)),"Steel","Others"))</f>
        <v>0</v>
      </c>
      <c r="H199">
        <f>IF(ISNUMBER(SEARCH("scrubber",F199)) , "Scrubber", IF(ISNUMBER(SEARCH("container",F199)),"Container", IF(ISNUMBER(SEARCH("basket",F199)),"Basket", IF(ISNUMBER(SEARCH("lunch",F199)),"Lunch Box", IF(ISNUMBER(SEARCH("cutlery",F199)),"Cutlery","Other")))))</f>
        <v>0</v>
      </c>
      <c r="I199">
        <f>IF('Raw Data'!G199&lt;&gt;'','Raw Data'!G199,IFERROR(MID(F199,SEARCH("MODEL",F199)+6,20),""))</f>
        <v>0</v>
      </c>
      <c r="J199">
        <f>'Raw Data'!H199</f>
        <v>0</v>
      </c>
      <c r="K199">
        <f>'Raw Data'!I199</f>
        <v>0</v>
      </c>
      <c r="L199">
        <f>IF('Raw Data'!N199&lt;&gt;0,'Raw Data'!N199,IFERROR(VALUE(MID(F199,SEARCH("QTY",F199)+4,IFERROR(FIND(" ",F199,SEARCH("QTY",F199)+4)-(SEARCH("QTY",F199)+4),3))),""))</f>
        <v>0</v>
      </c>
      <c r="M199">
        <f>'Raw Data'!O199</f>
        <v>0</v>
      </c>
      <c r="N199">
        <f>'Raw Data'!P199</f>
        <v>0</v>
      </c>
      <c r="O199">
        <f>'Raw Data'!Q199</f>
        <v>0</v>
      </c>
      <c r="P199">
        <f>'Raw Data'!R199</f>
        <v>0</v>
      </c>
      <c r="Q199">
        <f>'Raw Data'!S199</f>
        <v>0</v>
      </c>
      <c r="R199">
        <f>'Raw Data'!T199</f>
        <v>0</v>
      </c>
      <c r="S199">
        <f>IFERROR(O199,0)+IFERROR(R199,0)</f>
        <v>0</v>
      </c>
      <c r="T199">
        <f>IF(A199="","",YEAR(A199))</f>
        <v>0</v>
      </c>
    </row>
    <row r="200" spans="1:20">
      <c r="A200">
        <f>'Raw Data'!B200</f>
        <v>0</v>
      </c>
      <c r="B200">
        <f>'Raw Data'!A200</f>
        <v>0</v>
      </c>
      <c r="C200">
        <f>'Raw Data'!C200</f>
        <v>0</v>
      </c>
      <c r="D200">
        <f>'Raw Data'!D200</f>
        <v>0</v>
      </c>
      <c r="E200">
        <f>IFERROR(VLOOKUP(D200,'Lookup Tables'!$A:$B,2,FALSE),"Unknown")</f>
        <v>0</v>
      </c>
      <c r="F200">
        <f>'Raw Data'!E200</f>
        <v>0</v>
      </c>
      <c r="G200">
        <f>IFERROR(VLOOKUP(D200,'Lookup Tables'!$A:$C,3,FALSE),IF(ISNUMBER(SEARCH("STEEL",F200)),"Steel","Others"))</f>
        <v>0</v>
      </c>
      <c r="H200">
        <f>IF(ISNUMBER(SEARCH("scrubber",F200)) , "Scrubber", IF(ISNUMBER(SEARCH("container",F200)),"Container", IF(ISNUMBER(SEARCH("basket",F200)),"Basket", IF(ISNUMBER(SEARCH("lunch",F200)),"Lunch Box", IF(ISNUMBER(SEARCH("cutlery",F200)),"Cutlery","Other")))))</f>
        <v>0</v>
      </c>
      <c r="I200">
        <f>IF('Raw Data'!G200&lt;&gt;'','Raw Data'!G200,IFERROR(MID(F200,SEARCH("MODEL",F200)+6,20),""))</f>
        <v>0</v>
      </c>
      <c r="J200">
        <f>'Raw Data'!H200</f>
        <v>0</v>
      </c>
      <c r="K200">
        <f>'Raw Data'!I200</f>
        <v>0</v>
      </c>
      <c r="L200">
        <f>IF('Raw Data'!N200&lt;&gt;0,'Raw Data'!N200,IFERROR(VALUE(MID(F200,SEARCH("QTY",F200)+4,IFERROR(FIND(" ",F200,SEARCH("QTY",F200)+4)-(SEARCH("QTY",F200)+4),3))),""))</f>
        <v>0</v>
      </c>
      <c r="M200">
        <f>'Raw Data'!O200</f>
        <v>0</v>
      </c>
      <c r="N200">
        <f>'Raw Data'!P200</f>
        <v>0</v>
      </c>
      <c r="O200">
        <f>'Raw Data'!Q200</f>
        <v>0</v>
      </c>
      <c r="P200">
        <f>'Raw Data'!R200</f>
        <v>0</v>
      </c>
      <c r="Q200">
        <f>'Raw Data'!S200</f>
        <v>0</v>
      </c>
      <c r="R200">
        <f>'Raw Data'!T200</f>
        <v>0</v>
      </c>
      <c r="S200">
        <f>IFERROR(O200,0)+IFERROR(R200,0)</f>
        <v>0</v>
      </c>
      <c r="T200">
        <f>IF(A200="","",YEAR(A200))</f>
        <v>0</v>
      </c>
    </row>
    <row r="201" spans="1:20">
      <c r="A201">
        <f>'Raw Data'!B201</f>
        <v>0</v>
      </c>
      <c r="B201">
        <f>'Raw Data'!A201</f>
        <v>0</v>
      </c>
      <c r="C201">
        <f>'Raw Data'!C201</f>
        <v>0</v>
      </c>
      <c r="D201">
        <f>'Raw Data'!D201</f>
        <v>0</v>
      </c>
      <c r="E201">
        <f>IFERROR(VLOOKUP(D201,'Lookup Tables'!$A:$B,2,FALSE),"Unknown")</f>
        <v>0</v>
      </c>
      <c r="F201">
        <f>'Raw Data'!E201</f>
        <v>0</v>
      </c>
      <c r="G201">
        <f>IFERROR(VLOOKUP(D201,'Lookup Tables'!$A:$C,3,FALSE),IF(ISNUMBER(SEARCH("STEEL",F201)),"Steel","Others"))</f>
        <v>0</v>
      </c>
      <c r="H201">
        <f>IF(ISNUMBER(SEARCH("scrubber",F201)) , "Scrubber", IF(ISNUMBER(SEARCH("container",F201)),"Container", IF(ISNUMBER(SEARCH("basket",F201)),"Basket", IF(ISNUMBER(SEARCH("lunch",F201)),"Lunch Box", IF(ISNUMBER(SEARCH("cutlery",F201)),"Cutlery","Other")))))</f>
        <v>0</v>
      </c>
      <c r="I201">
        <f>IF('Raw Data'!G201&lt;&gt;'','Raw Data'!G201,IFERROR(MID(F201,SEARCH("MODEL",F201)+6,20),""))</f>
        <v>0</v>
      </c>
      <c r="J201">
        <f>'Raw Data'!H201</f>
        <v>0</v>
      </c>
      <c r="K201">
        <f>'Raw Data'!I201</f>
        <v>0</v>
      </c>
      <c r="L201">
        <f>IF('Raw Data'!N201&lt;&gt;0,'Raw Data'!N201,IFERROR(VALUE(MID(F201,SEARCH("QTY",F201)+4,IFERROR(FIND(" ",F201,SEARCH("QTY",F201)+4)-(SEARCH("QTY",F201)+4),3))),""))</f>
        <v>0</v>
      </c>
      <c r="M201">
        <f>'Raw Data'!O201</f>
        <v>0</v>
      </c>
      <c r="N201">
        <f>'Raw Data'!P201</f>
        <v>0</v>
      </c>
      <c r="O201">
        <f>'Raw Data'!Q201</f>
        <v>0</v>
      </c>
      <c r="P201">
        <f>'Raw Data'!R201</f>
        <v>0</v>
      </c>
      <c r="Q201">
        <f>'Raw Data'!S201</f>
        <v>0</v>
      </c>
      <c r="R201">
        <f>'Raw Data'!T201</f>
        <v>0</v>
      </c>
      <c r="S201">
        <f>IFERROR(O201,0)+IFERROR(R201,0)</f>
        <v>0</v>
      </c>
      <c r="T201">
        <f>IF(A201="","",YEAR(A201))</f>
        <v>0</v>
      </c>
    </row>
    <row r="202" spans="1:20">
      <c r="A202">
        <f>'Raw Data'!B202</f>
        <v>0</v>
      </c>
      <c r="B202">
        <f>'Raw Data'!A202</f>
        <v>0</v>
      </c>
      <c r="C202">
        <f>'Raw Data'!C202</f>
        <v>0</v>
      </c>
      <c r="D202">
        <f>'Raw Data'!D202</f>
        <v>0</v>
      </c>
      <c r="E202">
        <f>IFERROR(VLOOKUP(D202,'Lookup Tables'!$A:$B,2,FALSE),"Unknown")</f>
        <v>0</v>
      </c>
      <c r="F202">
        <f>'Raw Data'!E202</f>
        <v>0</v>
      </c>
      <c r="G202">
        <f>IFERROR(VLOOKUP(D202,'Lookup Tables'!$A:$C,3,FALSE),IF(ISNUMBER(SEARCH("STEEL",F202)),"Steel","Others"))</f>
        <v>0</v>
      </c>
      <c r="H202">
        <f>IF(ISNUMBER(SEARCH("scrubber",F202)) , "Scrubber", IF(ISNUMBER(SEARCH("container",F202)),"Container", IF(ISNUMBER(SEARCH("basket",F202)),"Basket", IF(ISNUMBER(SEARCH("lunch",F202)),"Lunch Box", IF(ISNUMBER(SEARCH("cutlery",F202)),"Cutlery","Other")))))</f>
        <v>0</v>
      </c>
      <c r="I202">
        <f>IF('Raw Data'!G202&lt;&gt;'','Raw Data'!G202,IFERROR(MID(F202,SEARCH("MODEL",F202)+6,20),""))</f>
        <v>0</v>
      </c>
      <c r="J202">
        <f>'Raw Data'!H202</f>
        <v>0</v>
      </c>
      <c r="K202">
        <f>'Raw Data'!I202</f>
        <v>0</v>
      </c>
      <c r="L202">
        <f>IF('Raw Data'!N202&lt;&gt;0,'Raw Data'!N202,IFERROR(VALUE(MID(F202,SEARCH("QTY",F202)+4,IFERROR(FIND(" ",F202,SEARCH("QTY",F202)+4)-(SEARCH("QTY",F202)+4),3))),""))</f>
        <v>0</v>
      </c>
      <c r="M202">
        <f>'Raw Data'!O202</f>
        <v>0</v>
      </c>
      <c r="N202">
        <f>'Raw Data'!P202</f>
        <v>0</v>
      </c>
      <c r="O202">
        <f>'Raw Data'!Q202</f>
        <v>0</v>
      </c>
      <c r="P202">
        <f>'Raw Data'!R202</f>
        <v>0</v>
      </c>
      <c r="Q202">
        <f>'Raw Data'!S202</f>
        <v>0</v>
      </c>
      <c r="R202">
        <f>'Raw Data'!T202</f>
        <v>0</v>
      </c>
      <c r="S202">
        <f>IFERROR(O202,0)+IFERROR(R202,0)</f>
        <v>0</v>
      </c>
      <c r="T202">
        <f>IF(A202="","",YEAR(A202))</f>
        <v>0</v>
      </c>
    </row>
    <row r="203" spans="1:20">
      <c r="A203">
        <f>'Raw Data'!B203</f>
        <v>0</v>
      </c>
      <c r="B203">
        <f>'Raw Data'!A203</f>
        <v>0</v>
      </c>
      <c r="C203">
        <f>'Raw Data'!C203</f>
        <v>0</v>
      </c>
      <c r="D203">
        <f>'Raw Data'!D203</f>
        <v>0</v>
      </c>
      <c r="E203">
        <f>IFERROR(VLOOKUP(D203,'Lookup Tables'!$A:$B,2,FALSE),"Unknown")</f>
        <v>0</v>
      </c>
      <c r="F203">
        <f>'Raw Data'!E203</f>
        <v>0</v>
      </c>
      <c r="G203">
        <f>IFERROR(VLOOKUP(D203,'Lookup Tables'!$A:$C,3,FALSE),IF(ISNUMBER(SEARCH("STEEL",F203)),"Steel","Others"))</f>
        <v>0</v>
      </c>
      <c r="H203">
        <f>IF(ISNUMBER(SEARCH("scrubber",F203)) , "Scrubber", IF(ISNUMBER(SEARCH("container",F203)),"Container", IF(ISNUMBER(SEARCH("basket",F203)),"Basket", IF(ISNUMBER(SEARCH("lunch",F203)),"Lunch Box", IF(ISNUMBER(SEARCH("cutlery",F203)),"Cutlery","Other")))))</f>
        <v>0</v>
      </c>
      <c r="I203">
        <f>IF('Raw Data'!G203&lt;&gt;'','Raw Data'!G203,IFERROR(MID(F203,SEARCH("MODEL",F203)+6,20),""))</f>
        <v>0</v>
      </c>
      <c r="J203">
        <f>'Raw Data'!H203</f>
        <v>0</v>
      </c>
      <c r="K203">
        <f>'Raw Data'!I203</f>
        <v>0</v>
      </c>
      <c r="L203">
        <f>IF('Raw Data'!N203&lt;&gt;0,'Raw Data'!N203,IFERROR(VALUE(MID(F203,SEARCH("QTY",F203)+4,IFERROR(FIND(" ",F203,SEARCH("QTY",F203)+4)-(SEARCH("QTY",F203)+4),3))),""))</f>
        <v>0</v>
      </c>
      <c r="M203">
        <f>'Raw Data'!O203</f>
        <v>0</v>
      </c>
      <c r="N203">
        <f>'Raw Data'!P203</f>
        <v>0</v>
      </c>
      <c r="O203">
        <f>'Raw Data'!Q203</f>
        <v>0</v>
      </c>
      <c r="P203">
        <f>'Raw Data'!R203</f>
        <v>0</v>
      </c>
      <c r="Q203">
        <f>'Raw Data'!S203</f>
        <v>0</v>
      </c>
      <c r="R203">
        <f>'Raw Data'!T203</f>
        <v>0</v>
      </c>
      <c r="S203">
        <f>IFERROR(O203,0)+IFERROR(R203,0)</f>
        <v>0</v>
      </c>
      <c r="T203">
        <f>IF(A203="","",YEAR(A203))</f>
        <v>0</v>
      </c>
    </row>
    <row r="204" spans="1:20">
      <c r="A204">
        <f>'Raw Data'!B204</f>
        <v>0</v>
      </c>
      <c r="B204">
        <f>'Raw Data'!A204</f>
        <v>0</v>
      </c>
      <c r="C204">
        <f>'Raw Data'!C204</f>
        <v>0</v>
      </c>
      <c r="D204">
        <f>'Raw Data'!D204</f>
        <v>0</v>
      </c>
      <c r="E204">
        <f>IFERROR(VLOOKUP(D204,'Lookup Tables'!$A:$B,2,FALSE),"Unknown")</f>
        <v>0</v>
      </c>
      <c r="F204">
        <f>'Raw Data'!E204</f>
        <v>0</v>
      </c>
      <c r="G204">
        <f>IFERROR(VLOOKUP(D204,'Lookup Tables'!$A:$C,3,FALSE),IF(ISNUMBER(SEARCH("STEEL",F204)),"Steel","Others"))</f>
        <v>0</v>
      </c>
      <c r="H204">
        <f>IF(ISNUMBER(SEARCH("scrubber",F204)) , "Scrubber", IF(ISNUMBER(SEARCH("container",F204)),"Container", IF(ISNUMBER(SEARCH("basket",F204)),"Basket", IF(ISNUMBER(SEARCH("lunch",F204)),"Lunch Box", IF(ISNUMBER(SEARCH("cutlery",F204)),"Cutlery","Other")))))</f>
        <v>0</v>
      </c>
      <c r="I204">
        <f>IF('Raw Data'!G204&lt;&gt;'','Raw Data'!G204,IFERROR(MID(F204,SEARCH("MODEL",F204)+6,20),""))</f>
        <v>0</v>
      </c>
      <c r="J204">
        <f>'Raw Data'!H204</f>
        <v>0</v>
      </c>
      <c r="K204">
        <f>'Raw Data'!I204</f>
        <v>0</v>
      </c>
      <c r="L204">
        <f>IF('Raw Data'!N204&lt;&gt;0,'Raw Data'!N204,IFERROR(VALUE(MID(F204,SEARCH("QTY",F204)+4,IFERROR(FIND(" ",F204,SEARCH("QTY",F204)+4)-(SEARCH("QTY",F204)+4),3))),""))</f>
        <v>0</v>
      </c>
      <c r="M204">
        <f>'Raw Data'!O204</f>
        <v>0</v>
      </c>
      <c r="N204">
        <f>'Raw Data'!P204</f>
        <v>0</v>
      </c>
      <c r="O204">
        <f>'Raw Data'!Q204</f>
        <v>0</v>
      </c>
      <c r="P204">
        <f>'Raw Data'!R204</f>
        <v>0</v>
      </c>
      <c r="Q204">
        <f>'Raw Data'!S204</f>
        <v>0</v>
      </c>
      <c r="R204">
        <f>'Raw Data'!T204</f>
        <v>0</v>
      </c>
      <c r="S204">
        <f>IFERROR(O204,0)+IFERROR(R204,0)</f>
        <v>0</v>
      </c>
      <c r="T204">
        <f>IF(A204="","",YEAR(A204))</f>
        <v>0</v>
      </c>
    </row>
    <row r="205" spans="1:20">
      <c r="A205">
        <f>'Raw Data'!B205</f>
        <v>0</v>
      </c>
      <c r="B205">
        <f>'Raw Data'!A205</f>
        <v>0</v>
      </c>
      <c r="C205">
        <f>'Raw Data'!C205</f>
        <v>0</v>
      </c>
      <c r="D205">
        <f>'Raw Data'!D205</f>
        <v>0</v>
      </c>
      <c r="E205">
        <f>IFERROR(VLOOKUP(D205,'Lookup Tables'!$A:$B,2,FALSE),"Unknown")</f>
        <v>0</v>
      </c>
      <c r="F205">
        <f>'Raw Data'!E205</f>
        <v>0</v>
      </c>
      <c r="G205">
        <f>IFERROR(VLOOKUP(D205,'Lookup Tables'!$A:$C,3,FALSE),IF(ISNUMBER(SEARCH("STEEL",F205)),"Steel","Others"))</f>
        <v>0</v>
      </c>
      <c r="H205">
        <f>IF(ISNUMBER(SEARCH("scrubber",F205)) , "Scrubber", IF(ISNUMBER(SEARCH("container",F205)),"Container", IF(ISNUMBER(SEARCH("basket",F205)),"Basket", IF(ISNUMBER(SEARCH("lunch",F205)),"Lunch Box", IF(ISNUMBER(SEARCH("cutlery",F205)),"Cutlery","Other")))))</f>
        <v>0</v>
      </c>
      <c r="I205">
        <f>IF('Raw Data'!G205&lt;&gt;'','Raw Data'!G205,IFERROR(MID(F205,SEARCH("MODEL",F205)+6,20),""))</f>
        <v>0</v>
      </c>
      <c r="J205">
        <f>'Raw Data'!H205</f>
        <v>0</v>
      </c>
      <c r="K205">
        <f>'Raw Data'!I205</f>
        <v>0</v>
      </c>
      <c r="L205">
        <f>IF('Raw Data'!N205&lt;&gt;0,'Raw Data'!N205,IFERROR(VALUE(MID(F205,SEARCH("QTY",F205)+4,IFERROR(FIND(" ",F205,SEARCH("QTY",F205)+4)-(SEARCH("QTY",F205)+4),3))),""))</f>
        <v>0</v>
      </c>
      <c r="M205">
        <f>'Raw Data'!O205</f>
        <v>0</v>
      </c>
      <c r="N205">
        <f>'Raw Data'!P205</f>
        <v>0</v>
      </c>
      <c r="O205">
        <f>'Raw Data'!Q205</f>
        <v>0</v>
      </c>
      <c r="P205">
        <f>'Raw Data'!R205</f>
        <v>0</v>
      </c>
      <c r="Q205">
        <f>'Raw Data'!S205</f>
        <v>0</v>
      </c>
      <c r="R205">
        <f>'Raw Data'!T205</f>
        <v>0</v>
      </c>
      <c r="S205">
        <f>IFERROR(O205,0)+IFERROR(R205,0)</f>
        <v>0</v>
      </c>
      <c r="T205">
        <f>IF(A205="","",YEAR(A205))</f>
        <v>0</v>
      </c>
    </row>
    <row r="206" spans="1:20">
      <c r="A206">
        <f>'Raw Data'!B206</f>
        <v>0</v>
      </c>
      <c r="B206">
        <f>'Raw Data'!A206</f>
        <v>0</v>
      </c>
      <c r="C206">
        <f>'Raw Data'!C206</f>
        <v>0</v>
      </c>
      <c r="D206">
        <f>'Raw Data'!D206</f>
        <v>0</v>
      </c>
      <c r="E206">
        <f>IFERROR(VLOOKUP(D206,'Lookup Tables'!$A:$B,2,FALSE),"Unknown")</f>
        <v>0</v>
      </c>
      <c r="F206">
        <f>'Raw Data'!E206</f>
        <v>0</v>
      </c>
      <c r="G206">
        <f>IFERROR(VLOOKUP(D206,'Lookup Tables'!$A:$C,3,FALSE),IF(ISNUMBER(SEARCH("STEEL",F206)),"Steel","Others"))</f>
        <v>0</v>
      </c>
      <c r="H206">
        <f>IF(ISNUMBER(SEARCH("scrubber",F206)) , "Scrubber", IF(ISNUMBER(SEARCH("container",F206)),"Container", IF(ISNUMBER(SEARCH("basket",F206)),"Basket", IF(ISNUMBER(SEARCH("lunch",F206)),"Lunch Box", IF(ISNUMBER(SEARCH("cutlery",F206)),"Cutlery","Other")))))</f>
        <v>0</v>
      </c>
      <c r="I206">
        <f>IF('Raw Data'!G206&lt;&gt;'','Raw Data'!G206,IFERROR(MID(F206,SEARCH("MODEL",F206)+6,20),""))</f>
        <v>0</v>
      </c>
      <c r="J206">
        <f>'Raw Data'!H206</f>
        <v>0</v>
      </c>
      <c r="K206">
        <f>'Raw Data'!I206</f>
        <v>0</v>
      </c>
      <c r="L206">
        <f>IF('Raw Data'!N206&lt;&gt;0,'Raw Data'!N206,IFERROR(VALUE(MID(F206,SEARCH("QTY",F206)+4,IFERROR(FIND(" ",F206,SEARCH("QTY",F206)+4)-(SEARCH("QTY",F206)+4),3))),""))</f>
        <v>0</v>
      </c>
      <c r="M206">
        <f>'Raw Data'!O206</f>
        <v>0</v>
      </c>
      <c r="N206">
        <f>'Raw Data'!P206</f>
        <v>0</v>
      </c>
      <c r="O206">
        <f>'Raw Data'!Q206</f>
        <v>0</v>
      </c>
      <c r="P206">
        <f>'Raw Data'!R206</f>
        <v>0</v>
      </c>
      <c r="Q206">
        <f>'Raw Data'!S206</f>
        <v>0</v>
      </c>
      <c r="R206">
        <f>'Raw Data'!T206</f>
        <v>0</v>
      </c>
      <c r="S206">
        <f>IFERROR(O206,0)+IFERROR(R206,0)</f>
        <v>0</v>
      </c>
      <c r="T206">
        <f>IF(A206="","",YEAR(A206))</f>
        <v>0</v>
      </c>
    </row>
    <row r="207" spans="1:20">
      <c r="A207">
        <f>'Raw Data'!B207</f>
        <v>0</v>
      </c>
      <c r="B207">
        <f>'Raw Data'!A207</f>
        <v>0</v>
      </c>
      <c r="C207">
        <f>'Raw Data'!C207</f>
        <v>0</v>
      </c>
      <c r="D207">
        <f>'Raw Data'!D207</f>
        <v>0</v>
      </c>
      <c r="E207">
        <f>IFERROR(VLOOKUP(D207,'Lookup Tables'!$A:$B,2,FALSE),"Unknown")</f>
        <v>0</v>
      </c>
      <c r="F207">
        <f>'Raw Data'!E207</f>
        <v>0</v>
      </c>
      <c r="G207">
        <f>IFERROR(VLOOKUP(D207,'Lookup Tables'!$A:$C,3,FALSE),IF(ISNUMBER(SEARCH("STEEL",F207)),"Steel","Others"))</f>
        <v>0</v>
      </c>
      <c r="H207">
        <f>IF(ISNUMBER(SEARCH("scrubber",F207)) , "Scrubber", IF(ISNUMBER(SEARCH("container",F207)),"Container", IF(ISNUMBER(SEARCH("basket",F207)),"Basket", IF(ISNUMBER(SEARCH("lunch",F207)),"Lunch Box", IF(ISNUMBER(SEARCH("cutlery",F207)),"Cutlery","Other")))))</f>
        <v>0</v>
      </c>
      <c r="I207">
        <f>IF('Raw Data'!G207&lt;&gt;'','Raw Data'!G207,IFERROR(MID(F207,SEARCH("MODEL",F207)+6,20),""))</f>
        <v>0</v>
      </c>
      <c r="J207">
        <f>'Raw Data'!H207</f>
        <v>0</v>
      </c>
      <c r="K207">
        <f>'Raw Data'!I207</f>
        <v>0</v>
      </c>
      <c r="L207">
        <f>IF('Raw Data'!N207&lt;&gt;0,'Raw Data'!N207,IFERROR(VALUE(MID(F207,SEARCH("QTY",F207)+4,IFERROR(FIND(" ",F207,SEARCH("QTY",F207)+4)-(SEARCH("QTY",F207)+4),3))),""))</f>
        <v>0</v>
      </c>
      <c r="M207">
        <f>'Raw Data'!O207</f>
        <v>0</v>
      </c>
      <c r="N207">
        <f>'Raw Data'!P207</f>
        <v>0</v>
      </c>
      <c r="O207">
        <f>'Raw Data'!Q207</f>
        <v>0</v>
      </c>
      <c r="P207">
        <f>'Raw Data'!R207</f>
        <v>0</v>
      </c>
      <c r="Q207">
        <f>'Raw Data'!S207</f>
        <v>0</v>
      </c>
      <c r="R207">
        <f>'Raw Data'!T207</f>
        <v>0</v>
      </c>
      <c r="S207">
        <f>IFERROR(O207,0)+IFERROR(R207,0)</f>
        <v>0</v>
      </c>
      <c r="T207">
        <f>IF(A207="","",YEAR(A207))</f>
        <v>0</v>
      </c>
    </row>
    <row r="208" spans="1:20">
      <c r="A208">
        <f>'Raw Data'!B208</f>
        <v>0</v>
      </c>
      <c r="B208">
        <f>'Raw Data'!A208</f>
        <v>0</v>
      </c>
      <c r="C208">
        <f>'Raw Data'!C208</f>
        <v>0</v>
      </c>
      <c r="D208">
        <f>'Raw Data'!D208</f>
        <v>0</v>
      </c>
      <c r="E208">
        <f>IFERROR(VLOOKUP(D208,'Lookup Tables'!$A:$B,2,FALSE),"Unknown")</f>
        <v>0</v>
      </c>
      <c r="F208">
        <f>'Raw Data'!E208</f>
        <v>0</v>
      </c>
      <c r="G208">
        <f>IFERROR(VLOOKUP(D208,'Lookup Tables'!$A:$C,3,FALSE),IF(ISNUMBER(SEARCH("STEEL",F208)),"Steel","Others"))</f>
        <v>0</v>
      </c>
      <c r="H208">
        <f>IF(ISNUMBER(SEARCH("scrubber",F208)) , "Scrubber", IF(ISNUMBER(SEARCH("container",F208)),"Container", IF(ISNUMBER(SEARCH("basket",F208)),"Basket", IF(ISNUMBER(SEARCH("lunch",F208)),"Lunch Box", IF(ISNUMBER(SEARCH("cutlery",F208)),"Cutlery","Other")))))</f>
        <v>0</v>
      </c>
      <c r="I208">
        <f>IF('Raw Data'!G208&lt;&gt;'','Raw Data'!G208,IFERROR(MID(F208,SEARCH("MODEL",F208)+6,20),""))</f>
        <v>0</v>
      </c>
      <c r="J208">
        <f>'Raw Data'!H208</f>
        <v>0</v>
      </c>
      <c r="K208">
        <f>'Raw Data'!I208</f>
        <v>0</v>
      </c>
      <c r="L208">
        <f>IF('Raw Data'!N208&lt;&gt;0,'Raw Data'!N208,IFERROR(VALUE(MID(F208,SEARCH("QTY",F208)+4,IFERROR(FIND(" ",F208,SEARCH("QTY",F208)+4)-(SEARCH("QTY",F208)+4),3))),""))</f>
        <v>0</v>
      </c>
      <c r="M208">
        <f>'Raw Data'!O208</f>
        <v>0</v>
      </c>
      <c r="N208">
        <f>'Raw Data'!P208</f>
        <v>0</v>
      </c>
      <c r="O208">
        <f>'Raw Data'!Q208</f>
        <v>0</v>
      </c>
      <c r="P208">
        <f>'Raw Data'!R208</f>
        <v>0</v>
      </c>
      <c r="Q208">
        <f>'Raw Data'!S208</f>
        <v>0</v>
      </c>
      <c r="R208">
        <f>'Raw Data'!T208</f>
        <v>0</v>
      </c>
      <c r="S208">
        <f>IFERROR(O208,0)+IFERROR(R208,0)</f>
        <v>0</v>
      </c>
      <c r="T208">
        <f>IF(A208="","",YEAR(A208))</f>
        <v>0</v>
      </c>
    </row>
    <row r="209" spans="1:20">
      <c r="A209">
        <f>'Raw Data'!B209</f>
        <v>0</v>
      </c>
      <c r="B209">
        <f>'Raw Data'!A209</f>
        <v>0</v>
      </c>
      <c r="C209">
        <f>'Raw Data'!C209</f>
        <v>0</v>
      </c>
      <c r="D209">
        <f>'Raw Data'!D209</f>
        <v>0</v>
      </c>
      <c r="E209">
        <f>IFERROR(VLOOKUP(D209,'Lookup Tables'!$A:$B,2,FALSE),"Unknown")</f>
        <v>0</v>
      </c>
      <c r="F209">
        <f>'Raw Data'!E209</f>
        <v>0</v>
      </c>
      <c r="G209">
        <f>IFERROR(VLOOKUP(D209,'Lookup Tables'!$A:$C,3,FALSE),IF(ISNUMBER(SEARCH("STEEL",F209)),"Steel","Others"))</f>
        <v>0</v>
      </c>
      <c r="H209">
        <f>IF(ISNUMBER(SEARCH("scrubber",F209)) , "Scrubber", IF(ISNUMBER(SEARCH("container",F209)),"Container", IF(ISNUMBER(SEARCH("basket",F209)),"Basket", IF(ISNUMBER(SEARCH("lunch",F209)),"Lunch Box", IF(ISNUMBER(SEARCH("cutlery",F209)),"Cutlery","Other")))))</f>
        <v>0</v>
      </c>
      <c r="I209">
        <f>IF('Raw Data'!G209&lt;&gt;'','Raw Data'!G209,IFERROR(MID(F209,SEARCH("MODEL",F209)+6,20),""))</f>
        <v>0</v>
      </c>
      <c r="J209">
        <f>'Raw Data'!H209</f>
        <v>0</v>
      </c>
      <c r="K209">
        <f>'Raw Data'!I209</f>
        <v>0</v>
      </c>
      <c r="L209">
        <f>IF('Raw Data'!N209&lt;&gt;0,'Raw Data'!N209,IFERROR(VALUE(MID(F209,SEARCH("QTY",F209)+4,IFERROR(FIND(" ",F209,SEARCH("QTY",F209)+4)-(SEARCH("QTY",F209)+4),3))),""))</f>
        <v>0</v>
      </c>
      <c r="M209">
        <f>'Raw Data'!O209</f>
        <v>0</v>
      </c>
      <c r="N209">
        <f>'Raw Data'!P209</f>
        <v>0</v>
      </c>
      <c r="O209">
        <f>'Raw Data'!Q209</f>
        <v>0</v>
      </c>
      <c r="P209">
        <f>'Raw Data'!R209</f>
        <v>0</v>
      </c>
      <c r="Q209">
        <f>'Raw Data'!S209</f>
        <v>0</v>
      </c>
      <c r="R209">
        <f>'Raw Data'!T209</f>
        <v>0</v>
      </c>
      <c r="S209">
        <f>IFERROR(O209,0)+IFERROR(R209,0)</f>
        <v>0</v>
      </c>
      <c r="T209">
        <f>IF(A209="","",YEAR(A209))</f>
        <v>0</v>
      </c>
    </row>
    <row r="210" spans="1:20">
      <c r="A210">
        <f>'Raw Data'!B210</f>
        <v>0</v>
      </c>
      <c r="B210">
        <f>'Raw Data'!A210</f>
        <v>0</v>
      </c>
      <c r="C210">
        <f>'Raw Data'!C210</f>
        <v>0</v>
      </c>
      <c r="D210">
        <f>'Raw Data'!D210</f>
        <v>0</v>
      </c>
      <c r="E210">
        <f>IFERROR(VLOOKUP(D210,'Lookup Tables'!$A:$B,2,FALSE),"Unknown")</f>
        <v>0</v>
      </c>
      <c r="F210">
        <f>'Raw Data'!E210</f>
        <v>0</v>
      </c>
      <c r="G210">
        <f>IFERROR(VLOOKUP(D210,'Lookup Tables'!$A:$C,3,FALSE),IF(ISNUMBER(SEARCH("STEEL",F210)),"Steel","Others"))</f>
        <v>0</v>
      </c>
      <c r="H210">
        <f>IF(ISNUMBER(SEARCH("scrubber",F210)) , "Scrubber", IF(ISNUMBER(SEARCH("container",F210)),"Container", IF(ISNUMBER(SEARCH("basket",F210)),"Basket", IF(ISNUMBER(SEARCH("lunch",F210)),"Lunch Box", IF(ISNUMBER(SEARCH("cutlery",F210)),"Cutlery","Other")))))</f>
        <v>0</v>
      </c>
      <c r="I210">
        <f>IF('Raw Data'!G210&lt;&gt;'','Raw Data'!G210,IFERROR(MID(F210,SEARCH("MODEL",F210)+6,20),""))</f>
        <v>0</v>
      </c>
      <c r="J210">
        <f>'Raw Data'!H210</f>
        <v>0</v>
      </c>
      <c r="K210">
        <f>'Raw Data'!I210</f>
        <v>0</v>
      </c>
      <c r="L210">
        <f>IF('Raw Data'!N210&lt;&gt;0,'Raw Data'!N210,IFERROR(VALUE(MID(F210,SEARCH("QTY",F210)+4,IFERROR(FIND(" ",F210,SEARCH("QTY",F210)+4)-(SEARCH("QTY",F210)+4),3))),""))</f>
        <v>0</v>
      </c>
      <c r="M210">
        <f>'Raw Data'!O210</f>
        <v>0</v>
      </c>
      <c r="N210">
        <f>'Raw Data'!P210</f>
        <v>0</v>
      </c>
      <c r="O210">
        <f>'Raw Data'!Q210</f>
        <v>0</v>
      </c>
      <c r="P210">
        <f>'Raw Data'!R210</f>
        <v>0</v>
      </c>
      <c r="Q210">
        <f>'Raw Data'!S210</f>
        <v>0</v>
      </c>
      <c r="R210">
        <f>'Raw Data'!T210</f>
        <v>0</v>
      </c>
      <c r="S210">
        <f>IFERROR(O210,0)+IFERROR(R210,0)</f>
        <v>0</v>
      </c>
      <c r="T210">
        <f>IF(A210="","",YEAR(A210))</f>
        <v>0</v>
      </c>
    </row>
    <row r="211" spans="1:20">
      <c r="A211">
        <f>'Raw Data'!B211</f>
        <v>0</v>
      </c>
      <c r="B211">
        <f>'Raw Data'!A211</f>
        <v>0</v>
      </c>
      <c r="C211">
        <f>'Raw Data'!C211</f>
        <v>0</v>
      </c>
      <c r="D211">
        <f>'Raw Data'!D211</f>
        <v>0</v>
      </c>
      <c r="E211">
        <f>IFERROR(VLOOKUP(D211,'Lookup Tables'!$A:$B,2,FALSE),"Unknown")</f>
        <v>0</v>
      </c>
      <c r="F211">
        <f>'Raw Data'!E211</f>
        <v>0</v>
      </c>
      <c r="G211">
        <f>IFERROR(VLOOKUP(D211,'Lookup Tables'!$A:$C,3,FALSE),IF(ISNUMBER(SEARCH("STEEL",F211)),"Steel","Others"))</f>
        <v>0</v>
      </c>
      <c r="H211">
        <f>IF(ISNUMBER(SEARCH("scrubber",F211)) , "Scrubber", IF(ISNUMBER(SEARCH("container",F211)),"Container", IF(ISNUMBER(SEARCH("basket",F211)),"Basket", IF(ISNUMBER(SEARCH("lunch",F211)),"Lunch Box", IF(ISNUMBER(SEARCH("cutlery",F211)),"Cutlery","Other")))))</f>
        <v>0</v>
      </c>
      <c r="I211">
        <f>IF('Raw Data'!G211&lt;&gt;'','Raw Data'!G211,IFERROR(MID(F211,SEARCH("MODEL",F211)+6,20),""))</f>
        <v>0</v>
      </c>
      <c r="J211">
        <f>'Raw Data'!H211</f>
        <v>0</v>
      </c>
      <c r="K211">
        <f>'Raw Data'!I211</f>
        <v>0</v>
      </c>
      <c r="L211">
        <f>IF('Raw Data'!N211&lt;&gt;0,'Raw Data'!N211,IFERROR(VALUE(MID(F211,SEARCH("QTY",F211)+4,IFERROR(FIND(" ",F211,SEARCH("QTY",F211)+4)-(SEARCH("QTY",F211)+4),3))),""))</f>
        <v>0</v>
      </c>
      <c r="M211">
        <f>'Raw Data'!O211</f>
        <v>0</v>
      </c>
      <c r="N211">
        <f>'Raw Data'!P211</f>
        <v>0</v>
      </c>
      <c r="O211">
        <f>'Raw Data'!Q211</f>
        <v>0</v>
      </c>
      <c r="P211">
        <f>'Raw Data'!R211</f>
        <v>0</v>
      </c>
      <c r="Q211">
        <f>'Raw Data'!S211</f>
        <v>0</v>
      </c>
      <c r="R211">
        <f>'Raw Data'!T211</f>
        <v>0</v>
      </c>
      <c r="S211">
        <f>IFERROR(O211,0)+IFERROR(R211,0)</f>
        <v>0</v>
      </c>
      <c r="T211">
        <f>IF(A211="","",YEAR(A211))</f>
        <v>0</v>
      </c>
    </row>
    <row r="212" spans="1:20">
      <c r="A212">
        <f>'Raw Data'!B212</f>
        <v>0</v>
      </c>
      <c r="B212">
        <f>'Raw Data'!A212</f>
        <v>0</v>
      </c>
      <c r="C212">
        <f>'Raw Data'!C212</f>
        <v>0</v>
      </c>
      <c r="D212">
        <f>'Raw Data'!D212</f>
        <v>0</v>
      </c>
      <c r="E212">
        <f>IFERROR(VLOOKUP(D212,'Lookup Tables'!$A:$B,2,FALSE),"Unknown")</f>
        <v>0</v>
      </c>
      <c r="F212">
        <f>'Raw Data'!E212</f>
        <v>0</v>
      </c>
      <c r="G212">
        <f>IFERROR(VLOOKUP(D212,'Lookup Tables'!$A:$C,3,FALSE),IF(ISNUMBER(SEARCH("STEEL",F212)),"Steel","Others"))</f>
        <v>0</v>
      </c>
      <c r="H212">
        <f>IF(ISNUMBER(SEARCH("scrubber",F212)) , "Scrubber", IF(ISNUMBER(SEARCH("container",F212)),"Container", IF(ISNUMBER(SEARCH("basket",F212)),"Basket", IF(ISNUMBER(SEARCH("lunch",F212)),"Lunch Box", IF(ISNUMBER(SEARCH("cutlery",F212)),"Cutlery","Other")))))</f>
        <v>0</v>
      </c>
      <c r="I212">
        <f>IF('Raw Data'!G212&lt;&gt;'','Raw Data'!G212,IFERROR(MID(F212,SEARCH("MODEL",F212)+6,20),""))</f>
        <v>0</v>
      </c>
      <c r="J212">
        <f>'Raw Data'!H212</f>
        <v>0</v>
      </c>
      <c r="K212">
        <f>'Raw Data'!I212</f>
        <v>0</v>
      </c>
      <c r="L212">
        <f>IF('Raw Data'!N212&lt;&gt;0,'Raw Data'!N212,IFERROR(VALUE(MID(F212,SEARCH("QTY",F212)+4,IFERROR(FIND(" ",F212,SEARCH("QTY",F212)+4)-(SEARCH("QTY",F212)+4),3))),""))</f>
        <v>0</v>
      </c>
      <c r="M212">
        <f>'Raw Data'!O212</f>
        <v>0</v>
      </c>
      <c r="N212">
        <f>'Raw Data'!P212</f>
        <v>0</v>
      </c>
      <c r="O212">
        <f>'Raw Data'!Q212</f>
        <v>0</v>
      </c>
      <c r="P212">
        <f>'Raw Data'!R212</f>
        <v>0</v>
      </c>
      <c r="Q212">
        <f>'Raw Data'!S212</f>
        <v>0</v>
      </c>
      <c r="R212">
        <f>'Raw Data'!T212</f>
        <v>0</v>
      </c>
      <c r="S212">
        <f>IFERROR(O212,0)+IFERROR(R212,0)</f>
        <v>0</v>
      </c>
      <c r="T212">
        <f>IF(A212="","",YEAR(A212))</f>
        <v>0</v>
      </c>
    </row>
    <row r="213" spans="1:20">
      <c r="A213">
        <f>'Raw Data'!B213</f>
        <v>0</v>
      </c>
      <c r="B213">
        <f>'Raw Data'!A213</f>
        <v>0</v>
      </c>
      <c r="C213">
        <f>'Raw Data'!C213</f>
        <v>0</v>
      </c>
      <c r="D213">
        <f>'Raw Data'!D213</f>
        <v>0</v>
      </c>
      <c r="E213">
        <f>IFERROR(VLOOKUP(D213,'Lookup Tables'!$A:$B,2,FALSE),"Unknown")</f>
        <v>0</v>
      </c>
      <c r="F213">
        <f>'Raw Data'!E213</f>
        <v>0</v>
      </c>
      <c r="G213">
        <f>IFERROR(VLOOKUP(D213,'Lookup Tables'!$A:$C,3,FALSE),IF(ISNUMBER(SEARCH("STEEL",F213)),"Steel","Others"))</f>
        <v>0</v>
      </c>
      <c r="H213">
        <f>IF(ISNUMBER(SEARCH("scrubber",F213)) , "Scrubber", IF(ISNUMBER(SEARCH("container",F213)),"Container", IF(ISNUMBER(SEARCH("basket",F213)),"Basket", IF(ISNUMBER(SEARCH("lunch",F213)),"Lunch Box", IF(ISNUMBER(SEARCH("cutlery",F213)),"Cutlery","Other")))))</f>
        <v>0</v>
      </c>
      <c r="I213">
        <f>IF('Raw Data'!G213&lt;&gt;'','Raw Data'!G213,IFERROR(MID(F213,SEARCH("MODEL",F213)+6,20),""))</f>
        <v>0</v>
      </c>
      <c r="J213">
        <f>'Raw Data'!H213</f>
        <v>0</v>
      </c>
      <c r="K213">
        <f>'Raw Data'!I213</f>
        <v>0</v>
      </c>
      <c r="L213">
        <f>IF('Raw Data'!N213&lt;&gt;0,'Raw Data'!N213,IFERROR(VALUE(MID(F213,SEARCH("QTY",F213)+4,IFERROR(FIND(" ",F213,SEARCH("QTY",F213)+4)-(SEARCH("QTY",F213)+4),3))),""))</f>
        <v>0</v>
      </c>
      <c r="M213">
        <f>'Raw Data'!O213</f>
        <v>0</v>
      </c>
      <c r="N213">
        <f>'Raw Data'!P213</f>
        <v>0</v>
      </c>
      <c r="O213">
        <f>'Raw Data'!Q213</f>
        <v>0</v>
      </c>
      <c r="P213">
        <f>'Raw Data'!R213</f>
        <v>0</v>
      </c>
      <c r="Q213">
        <f>'Raw Data'!S213</f>
        <v>0</v>
      </c>
      <c r="R213">
        <f>'Raw Data'!T213</f>
        <v>0</v>
      </c>
      <c r="S213">
        <f>IFERROR(O213,0)+IFERROR(R213,0)</f>
        <v>0</v>
      </c>
      <c r="T213">
        <f>IF(A213="","",YEAR(A213))</f>
        <v>0</v>
      </c>
    </row>
    <row r="214" spans="1:20">
      <c r="A214">
        <f>'Raw Data'!B214</f>
        <v>0</v>
      </c>
      <c r="B214">
        <f>'Raw Data'!A214</f>
        <v>0</v>
      </c>
      <c r="C214">
        <f>'Raw Data'!C214</f>
        <v>0</v>
      </c>
      <c r="D214">
        <f>'Raw Data'!D214</f>
        <v>0</v>
      </c>
      <c r="E214">
        <f>IFERROR(VLOOKUP(D214,'Lookup Tables'!$A:$B,2,FALSE),"Unknown")</f>
        <v>0</v>
      </c>
      <c r="F214">
        <f>'Raw Data'!E214</f>
        <v>0</v>
      </c>
      <c r="G214">
        <f>IFERROR(VLOOKUP(D214,'Lookup Tables'!$A:$C,3,FALSE),IF(ISNUMBER(SEARCH("STEEL",F214)),"Steel","Others"))</f>
        <v>0</v>
      </c>
      <c r="H214">
        <f>IF(ISNUMBER(SEARCH("scrubber",F214)) , "Scrubber", IF(ISNUMBER(SEARCH("container",F214)),"Container", IF(ISNUMBER(SEARCH("basket",F214)),"Basket", IF(ISNUMBER(SEARCH("lunch",F214)),"Lunch Box", IF(ISNUMBER(SEARCH("cutlery",F214)),"Cutlery","Other")))))</f>
        <v>0</v>
      </c>
      <c r="I214">
        <f>IF('Raw Data'!G214&lt;&gt;'','Raw Data'!G214,IFERROR(MID(F214,SEARCH("MODEL",F214)+6,20),""))</f>
        <v>0</v>
      </c>
      <c r="J214">
        <f>'Raw Data'!H214</f>
        <v>0</v>
      </c>
      <c r="K214">
        <f>'Raw Data'!I214</f>
        <v>0</v>
      </c>
      <c r="L214">
        <f>IF('Raw Data'!N214&lt;&gt;0,'Raw Data'!N214,IFERROR(VALUE(MID(F214,SEARCH("QTY",F214)+4,IFERROR(FIND(" ",F214,SEARCH("QTY",F214)+4)-(SEARCH("QTY",F214)+4),3))),""))</f>
        <v>0</v>
      </c>
      <c r="M214">
        <f>'Raw Data'!O214</f>
        <v>0</v>
      </c>
      <c r="N214">
        <f>'Raw Data'!P214</f>
        <v>0</v>
      </c>
      <c r="O214">
        <f>'Raw Data'!Q214</f>
        <v>0</v>
      </c>
      <c r="P214">
        <f>'Raw Data'!R214</f>
        <v>0</v>
      </c>
      <c r="Q214">
        <f>'Raw Data'!S214</f>
        <v>0</v>
      </c>
      <c r="R214">
        <f>'Raw Data'!T214</f>
        <v>0</v>
      </c>
      <c r="S214">
        <f>IFERROR(O214,0)+IFERROR(R214,0)</f>
        <v>0</v>
      </c>
      <c r="T214">
        <f>IF(A214="","",YEAR(A214))</f>
        <v>0</v>
      </c>
    </row>
    <row r="215" spans="1:20">
      <c r="A215">
        <f>'Raw Data'!B215</f>
        <v>0</v>
      </c>
      <c r="B215">
        <f>'Raw Data'!A215</f>
        <v>0</v>
      </c>
      <c r="C215">
        <f>'Raw Data'!C215</f>
        <v>0</v>
      </c>
      <c r="D215">
        <f>'Raw Data'!D215</f>
        <v>0</v>
      </c>
      <c r="E215">
        <f>IFERROR(VLOOKUP(D215,'Lookup Tables'!$A:$B,2,FALSE),"Unknown")</f>
        <v>0</v>
      </c>
      <c r="F215">
        <f>'Raw Data'!E215</f>
        <v>0</v>
      </c>
      <c r="G215">
        <f>IFERROR(VLOOKUP(D215,'Lookup Tables'!$A:$C,3,FALSE),IF(ISNUMBER(SEARCH("STEEL",F215)),"Steel","Others"))</f>
        <v>0</v>
      </c>
      <c r="H215">
        <f>IF(ISNUMBER(SEARCH("scrubber",F215)) , "Scrubber", IF(ISNUMBER(SEARCH("container",F215)),"Container", IF(ISNUMBER(SEARCH("basket",F215)),"Basket", IF(ISNUMBER(SEARCH("lunch",F215)),"Lunch Box", IF(ISNUMBER(SEARCH("cutlery",F215)),"Cutlery","Other")))))</f>
        <v>0</v>
      </c>
      <c r="I215">
        <f>IF('Raw Data'!G215&lt;&gt;'','Raw Data'!G215,IFERROR(MID(F215,SEARCH("MODEL",F215)+6,20),""))</f>
        <v>0</v>
      </c>
      <c r="J215">
        <f>'Raw Data'!H215</f>
        <v>0</v>
      </c>
      <c r="K215">
        <f>'Raw Data'!I215</f>
        <v>0</v>
      </c>
      <c r="L215">
        <f>IF('Raw Data'!N215&lt;&gt;0,'Raw Data'!N215,IFERROR(VALUE(MID(F215,SEARCH("QTY",F215)+4,IFERROR(FIND(" ",F215,SEARCH("QTY",F215)+4)-(SEARCH("QTY",F215)+4),3))),""))</f>
        <v>0</v>
      </c>
      <c r="M215">
        <f>'Raw Data'!O215</f>
        <v>0</v>
      </c>
      <c r="N215">
        <f>'Raw Data'!P215</f>
        <v>0</v>
      </c>
      <c r="O215">
        <f>'Raw Data'!Q215</f>
        <v>0</v>
      </c>
      <c r="P215">
        <f>'Raw Data'!R215</f>
        <v>0</v>
      </c>
      <c r="Q215">
        <f>'Raw Data'!S215</f>
        <v>0</v>
      </c>
      <c r="R215">
        <f>'Raw Data'!T215</f>
        <v>0</v>
      </c>
      <c r="S215">
        <f>IFERROR(O215,0)+IFERROR(R215,0)</f>
        <v>0</v>
      </c>
      <c r="T215">
        <f>IF(A215="","",YEAR(A215))</f>
        <v>0</v>
      </c>
    </row>
    <row r="216" spans="1:20">
      <c r="A216">
        <f>'Raw Data'!B216</f>
        <v>0</v>
      </c>
      <c r="B216">
        <f>'Raw Data'!A216</f>
        <v>0</v>
      </c>
      <c r="C216">
        <f>'Raw Data'!C216</f>
        <v>0</v>
      </c>
      <c r="D216">
        <f>'Raw Data'!D216</f>
        <v>0</v>
      </c>
      <c r="E216">
        <f>IFERROR(VLOOKUP(D216,'Lookup Tables'!$A:$B,2,FALSE),"Unknown")</f>
        <v>0</v>
      </c>
      <c r="F216">
        <f>'Raw Data'!E216</f>
        <v>0</v>
      </c>
      <c r="G216">
        <f>IFERROR(VLOOKUP(D216,'Lookup Tables'!$A:$C,3,FALSE),IF(ISNUMBER(SEARCH("STEEL",F216)),"Steel","Others"))</f>
        <v>0</v>
      </c>
      <c r="H216">
        <f>IF(ISNUMBER(SEARCH("scrubber",F216)) , "Scrubber", IF(ISNUMBER(SEARCH("container",F216)),"Container", IF(ISNUMBER(SEARCH("basket",F216)),"Basket", IF(ISNUMBER(SEARCH("lunch",F216)),"Lunch Box", IF(ISNUMBER(SEARCH("cutlery",F216)),"Cutlery","Other")))))</f>
        <v>0</v>
      </c>
      <c r="I216">
        <f>IF('Raw Data'!G216&lt;&gt;'','Raw Data'!G216,IFERROR(MID(F216,SEARCH("MODEL",F216)+6,20),""))</f>
        <v>0</v>
      </c>
      <c r="J216">
        <f>'Raw Data'!H216</f>
        <v>0</v>
      </c>
      <c r="K216">
        <f>'Raw Data'!I216</f>
        <v>0</v>
      </c>
      <c r="L216">
        <f>IF('Raw Data'!N216&lt;&gt;0,'Raw Data'!N216,IFERROR(VALUE(MID(F216,SEARCH("QTY",F216)+4,IFERROR(FIND(" ",F216,SEARCH("QTY",F216)+4)-(SEARCH("QTY",F216)+4),3))),""))</f>
        <v>0</v>
      </c>
      <c r="M216">
        <f>'Raw Data'!O216</f>
        <v>0</v>
      </c>
      <c r="N216">
        <f>'Raw Data'!P216</f>
        <v>0</v>
      </c>
      <c r="O216">
        <f>'Raw Data'!Q216</f>
        <v>0</v>
      </c>
      <c r="P216">
        <f>'Raw Data'!R216</f>
        <v>0</v>
      </c>
      <c r="Q216">
        <f>'Raw Data'!S216</f>
        <v>0</v>
      </c>
      <c r="R216">
        <f>'Raw Data'!T216</f>
        <v>0</v>
      </c>
      <c r="S216">
        <f>IFERROR(O216,0)+IFERROR(R216,0)</f>
        <v>0</v>
      </c>
      <c r="T216">
        <f>IF(A216="","",YEAR(A216))</f>
        <v>0</v>
      </c>
    </row>
    <row r="217" spans="1:20">
      <c r="A217">
        <f>'Raw Data'!B217</f>
        <v>0</v>
      </c>
      <c r="B217">
        <f>'Raw Data'!A217</f>
        <v>0</v>
      </c>
      <c r="C217">
        <f>'Raw Data'!C217</f>
        <v>0</v>
      </c>
      <c r="D217">
        <f>'Raw Data'!D217</f>
        <v>0</v>
      </c>
      <c r="E217">
        <f>IFERROR(VLOOKUP(D217,'Lookup Tables'!$A:$B,2,FALSE),"Unknown")</f>
        <v>0</v>
      </c>
      <c r="F217">
        <f>'Raw Data'!E217</f>
        <v>0</v>
      </c>
      <c r="G217">
        <f>IFERROR(VLOOKUP(D217,'Lookup Tables'!$A:$C,3,FALSE),IF(ISNUMBER(SEARCH("STEEL",F217)),"Steel","Others"))</f>
        <v>0</v>
      </c>
      <c r="H217">
        <f>IF(ISNUMBER(SEARCH("scrubber",F217)) , "Scrubber", IF(ISNUMBER(SEARCH("container",F217)),"Container", IF(ISNUMBER(SEARCH("basket",F217)),"Basket", IF(ISNUMBER(SEARCH("lunch",F217)),"Lunch Box", IF(ISNUMBER(SEARCH("cutlery",F217)),"Cutlery","Other")))))</f>
        <v>0</v>
      </c>
      <c r="I217">
        <f>IF('Raw Data'!G217&lt;&gt;'','Raw Data'!G217,IFERROR(MID(F217,SEARCH("MODEL",F217)+6,20),""))</f>
        <v>0</v>
      </c>
      <c r="J217">
        <f>'Raw Data'!H217</f>
        <v>0</v>
      </c>
      <c r="K217">
        <f>'Raw Data'!I217</f>
        <v>0</v>
      </c>
      <c r="L217">
        <f>IF('Raw Data'!N217&lt;&gt;0,'Raw Data'!N217,IFERROR(VALUE(MID(F217,SEARCH("QTY",F217)+4,IFERROR(FIND(" ",F217,SEARCH("QTY",F217)+4)-(SEARCH("QTY",F217)+4),3))),""))</f>
        <v>0</v>
      </c>
      <c r="M217">
        <f>'Raw Data'!O217</f>
        <v>0</v>
      </c>
      <c r="N217">
        <f>'Raw Data'!P217</f>
        <v>0</v>
      </c>
      <c r="O217">
        <f>'Raw Data'!Q217</f>
        <v>0</v>
      </c>
      <c r="P217">
        <f>'Raw Data'!R217</f>
        <v>0</v>
      </c>
      <c r="Q217">
        <f>'Raw Data'!S217</f>
        <v>0</v>
      </c>
      <c r="R217">
        <f>'Raw Data'!T217</f>
        <v>0</v>
      </c>
      <c r="S217">
        <f>IFERROR(O217,0)+IFERROR(R217,0)</f>
        <v>0</v>
      </c>
      <c r="T217">
        <f>IF(A217="","",YEAR(A217))</f>
        <v>0</v>
      </c>
    </row>
    <row r="218" spans="1:20">
      <c r="A218">
        <f>'Raw Data'!B218</f>
        <v>0</v>
      </c>
      <c r="B218">
        <f>'Raw Data'!A218</f>
        <v>0</v>
      </c>
      <c r="C218">
        <f>'Raw Data'!C218</f>
        <v>0</v>
      </c>
      <c r="D218">
        <f>'Raw Data'!D218</f>
        <v>0</v>
      </c>
      <c r="E218">
        <f>IFERROR(VLOOKUP(D218,'Lookup Tables'!$A:$B,2,FALSE),"Unknown")</f>
        <v>0</v>
      </c>
      <c r="F218">
        <f>'Raw Data'!E218</f>
        <v>0</v>
      </c>
      <c r="G218">
        <f>IFERROR(VLOOKUP(D218,'Lookup Tables'!$A:$C,3,FALSE),IF(ISNUMBER(SEARCH("STEEL",F218)),"Steel","Others"))</f>
        <v>0</v>
      </c>
      <c r="H218">
        <f>IF(ISNUMBER(SEARCH("scrubber",F218)) , "Scrubber", IF(ISNUMBER(SEARCH("container",F218)),"Container", IF(ISNUMBER(SEARCH("basket",F218)),"Basket", IF(ISNUMBER(SEARCH("lunch",F218)),"Lunch Box", IF(ISNUMBER(SEARCH("cutlery",F218)),"Cutlery","Other")))))</f>
        <v>0</v>
      </c>
      <c r="I218">
        <f>IF('Raw Data'!G218&lt;&gt;'','Raw Data'!G218,IFERROR(MID(F218,SEARCH("MODEL",F218)+6,20),""))</f>
        <v>0</v>
      </c>
      <c r="J218">
        <f>'Raw Data'!H218</f>
        <v>0</v>
      </c>
      <c r="K218">
        <f>'Raw Data'!I218</f>
        <v>0</v>
      </c>
      <c r="L218">
        <f>IF('Raw Data'!N218&lt;&gt;0,'Raw Data'!N218,IFERROR(VALUE(MID(F218,SEARCH("QTY",F218)+4,IFERROR(FIND(" ",F218,SEARCH("QTY",F218)+4)-(SEARCH("QTY",F218)+4),3))),""))</f>
        <v>0</v>
      </c>
      <c r="M218">
        <f>'Raw Data'!O218</f>
        <v>0</v>
      </c>
      <c r="N218">
        <f>'Raw Data'!P218</f>
        <v>0</v>
      </c>
      <c r="O218">
        <f>'Raw Data'!Q218</f>
        <v>0</v>
      </c>
      <c r="P218">
        <f>'Raw Data'!R218</f>
        <v>0</v>
      </c>
      <c r="Q218">
        <f>'Raw Data'!S218</f>
        <v>0</v>
      </c>
      <c r="R218">
        <f>'Raw Data'!T218</f>
        <v>0</v>
      </c>
      <c r="S218">
        <f>IFERROR(O218,0)+IFERROR(R218,0)</f>
        <v>0</v>
      </c>
      <c r="T218">
        <f>IF(A218="","",YEAR(A218))</f>
        <v>0</v>
      </c>
    </row>
    <row r="219" spans="1:20">
      <c r="A219">
        <f>'Raw Data'!B219</f>
        <v>0</v>
      </c>
      <c r="B219">
        <f>'Raw Data'!A219</f>
        <v>0</v>
      </c>
      <c r="C219">
        <f>'Raw Data'!C219</f>
        <v>0</v>
      </c>
      <c r="D219">
        <f>'Raw Data'!D219</f>
        <v>0</v>
      </c>
      <c r="E219">
        <f>IFERROR(VLOOKUP(D219,'Lookup Tables'!$A:$B,2,FALSE),"Unknown")</f>
        <v>0</v>
      </c>
      <c r="F219">
        <f>'Raw Data'!E219</f>
        <v>0</v>
      </c>
      <c r="G219">
        <f>IFERROR(VLOOKUP(D219,'Lookup Tables'!$A:$C,3,FALSE),IF(ISNUMBER(SEARCH("STEEL",F219)),"Steel","Others"))</f>
        <v>0</v>
      </c>
      <c r="H219">
        <f>IF(ISNUMBER(SEARCH("scrubber",F219)) , "Scrubber", IF(ISNUMBER(SEARCH("container",F219)),"Container", IF(ISNUMBER(SEARCH("basket",F219)),"Basket", IF(ISNUMBER(SEARCH("lunch",F219)),"Lunch Box", IF(ISNUMBER(SEARCH("cutlery",F219)),"Cutlery","Other")))))</f>
        <v>0</v>
      </c>
      <c r="I219">
        <f>IF('Raw Data'!G219&lt;&gt;'','Raw Data'!G219,IFERROR(MID(F219,SEARCH("MODEL",F219)+6,20),""))</f>
        <v>0</v>
      </c>
      <c r="J219">
        <f>'Raw Data'!H219</f>
        <v>0</v>
      </c>
      <c r="K219">
        <f>'Raw Data'!I219</f>
        <v>0</v>
      </c>
      <c r="L219">
        <f>IF('Raw Data'!N219&lt;&gt;0,'Raw Data'!N219,IFERROR(VALUE(MID(F219,SEARCH("QTY",F219)+4,IFERROR(FIND(" ",F219,SEARCH("QTY",F219)+4)-(SEARCH("QTY",F219)+4),3))),""))</f>
        <v>0</v>
      </c>
      <c r="M219">
        <f>'Raw Data'!O219</f>
        <v>0</v>
      </c>
      <c r="N219">
        <f>'Raw Data'!P219</f>
        <v>0</v>
      </c>
      <c r="O219">
        <f>'Raw Data'!Q219</f>
        <v>0</v>
      </c>
      <c r="P219">
        <f>'Raw Data'!R219</f>
        <v>0</v>
      </c>
      <c r="Q219">
        <f>'Raw Data'!S219</f>
        <v>0</v>
      </c>
      <c r="R219">
        <f>'Raw Data'!T219</f>
        <v>0</v>
      </c>
      <c r="S219">
        <f>IFERROR(O219,0)+IFERROR(R219,0)</f>
        <v>0</v>
      </c>
      <c r="T219">
        <f>IF(A219="","",YEAR(A219))</f>
        <v>0</v>
      </c>
    </row>
    <row r="220" spans="1:20">
      <c r="A220">
        <f>'Raw Data'!B220</f>
        <v>0</v>
      </c>
      <c r="B220">
        <f>'Raw Data'!A220</f>
        <v>0</v>
      </c>
      <c r="C220">
        <f>'Raw Data'!C220</f>
        <v>0</v>
      </c>
      <c r="D220">
        <f>'Raw Data'!D220</f>
        <v>0</v>
      </c>
      <c r="E220">
        <f>IFERROR(VLOOKUP(D220,'Lookup Tables'!$A:$B,2,FALSE),"Unknown")</f>
        <v>0</v>
      </c>
      <c r="F220">
        <f>'Raw Data'!E220</f>
        <v>0</v>
      </c>
      <c r="G220">
        <f>IFERROR(VLOOKUP(D220,'Lookup Tables'!$A:$C,3,FALSE),IF(ISNUMBER(SEARCH("STEEL",F220)),"Steel","Others"))</f>
        <v>0</v>
      </c>
      <c r="H220">
        <f>IF(ISNUMBER(SEARCH("scrubber",F220)) , "Scrubber", IF(ISNUMBER(SEARCH("container",F220)),"Container", IF(ISNUMBER(SEARCH("basket",F220)),"Basket", IF(ISNUMBER(SEARCH("lunch",F220)),"Lunch Box", IF(ISNUMBER(SEARCH("cutlery",F220)),"Cutlery","Other")))))</f>
        <v>0</v>
      </c>
      <c r="I220">
        <f>IF('Raw Data'!G220&lt;&gt;'','Raw Data'!G220,IFERROR(MID(F220,SEARCH("MODEL",F220)+6,20),""))</f>
        <v>0</v>
      </c>
      <c r="J220">
        <f>'Raw Data'!H220</f>
        <v>0</v>
      </c>
      <c r="K220">
        <f>'Raw Data'!I220</f>
        <v>0</v>
      </c>
      <c r="L220">
        <f>IF('Raw Data'!N220&lt;&gt;0,'Raw Data'!N220,IFERROR(VALUE(MID(F220,SEARCH("QTY",F220)+4,IFERROR(FIND(" ",F220,SEARCH("QTY",F220)+4)-(SEARCH("QTY",F220)+4),3))),""))</f>
        <v>0</v>
      </c>
      <c r="M220">
        <f>'Raw Data'!O220</f>
        <v>0</v>
      </c>
      <c r="N220">
        <f>'Raw Data'!P220</f>
        <v>0</v>
      </c>
      <c r="O220">
        <f>'Raw Data'!Q220</f>
        <v>0</v>
      </c>
      <c r="P220">
        <f>'Raw Data'!R220</f>
        <v>0</v>
      </c>
      <c r="Q220">
        <f>'Raw Data'!S220</f>
        <v>0</v>
      </c>
      <c r="R220">
        <f>'Raw Data'!T220</f>
        <v>0</v>
      </c>
      <c r="S220">
        <f>IFERROR(O220,0)+IFERROR(R220,0)</f>
        <v>0</v>
      </c>
      <c r="T220">
        <f>IF(A220="","",YEAR(A220))</f>
        <v>0</v>
      </c>
    </row>
    <row r="221" spans="1:20">
      <c r="A221">
        <f>'Raw Data'!B221</f>
        <v>0</v>
      </c>
      <c r="B221">
        <f>'Raw Data'!A221</f>
        <v>0</v>
      </c>
      <c r="C221">
        <f>'Raw Data'!C221</f>
        <v>0</v>
      </c>
      <c r="D221">
        <f>'Raw Data'!D221</f>
        <v>0</v>
      </c>
      <c r="E221">
        <f>IFERROR(VLOOKUP(D221,'Lookup Tables'!$A:$B,2,FALSE),"Unknown")</f>
        <v>0</v>
      </c>
      <c r="F221">
        <f>'Raw Data'!E221</f>
        <v>0</v>
      </c>
      <c r="G221">
        <f>IFERROR(VLOOKUP(D221,'Lookup Tables'!$A:$C,3,FALSE),IF(ISNUMBER(SEARCH("STEEL",F221)),"Steel","Others"))</f>
        <v>0</v>
      </c>
      <c r="H221">
        <f>IF(ISNUMBER(SEARCH("scrubber",F221)) , "Scrubber", IF(ISNUMBER(SEARCH("container",F221)),"Container", IF(ISNUMBER(SEARCH("basket",F221)),"Basket", IF(ISNUMBER(SEARCH("lunch",F221)),"Lunch Box", IF(ISNUMBER(SEARCH("cutlery",F221)),"Cutlery","Other")))))</f>
        <v>0</v>
      </c>
      <c r="I221">
        <f>IF('Raw Data'!G221&lt;&gt;'','Raw Data'!G221,IFERROR(MID(F221,SEARCH("MODEL",F221)+6,20),""))</f>
        <v>0</v>
      </c>
      <c r="J221">
        <f>'Raw Data'!H221</f>
        <v>0</v>
      </c>
      <c r="K221">
        <f>'Raw Data'!I221</f>
        <v>0</v>
      </c>
      <c r="L221">
        <f>IF('Raw Data'!N221&lt;&gt;0,'Raw Data'!N221,IFERROR(VALUE(MID(F221,SEARCH("QTY",F221)+4,IFERROR(FIND(" ",F221,SEARCH("QTY",F221)+4)-(SEARCH("QTY",F221)+4),3))),""))</f>
        <v>0</v>
      </c>
      <c r="M221">
        <f>'Raw Data'!O221</f>
        <v>0</v>
      </c>
      <c r="N221">
        <f>'Raw Data'!P221</f>
        <v>0</v>
      </c>
      <c r="O221">
        <f>'Raw Data'!Q221</f>
        <v>0</v>
      </c>
      <c r="P221">
        <f>'Raw Data'!R221</f>
        <v>0</v>
      </c>
      <c r="Q221">
        <f>'Raw Data'!S221</f>
        <v>0</v>
      </c>
      <c r="R221">
        <f>'Raw Data'!T221</f>
        <v>0</v>
      </c>
      <c r="S221">
        <f>IFERROR(O221,0)+IFERROR(R221,0)</f>
        <v>0</v>
      </c>
      <c r="T221">
        <f>IF(A221="","",YEAR(A221))</f>
        <v>0</v>
      </c>
    </row>
    <row r="222" spans="1:20">
      <c r="A222">
        <f>'Raw Data'!B222</f>
        <v>0</v>
      </c>
      <c r="B222">
        <f>'Raw Data'!A222</f>
        <v>0</v>
      </c>
      <c r="C222">
        <f>'Raw Data'!C222</f>
        <v>0</v>
      </c>
      <c r="D222">
        <f>'Raw Data'!D222</f>
        <v>0</v>
      </c>
      <c r="E222">
        <f>IFERROR(VLOOKUP(D222,'Lookup Tables'!$A:$B,2,FALSE),"Unknown")</f>
        <v>0</v>
      </c>
      <c r="F222">
        <f>'Raw Data'!E222</f>
        <v>0</v>
      </c>
      <c r="G222">
        <f>IFERROR(VLOOKUP(D222,'Lookup Tables'!$A:$C,3,FALSE),IF(ISNUMBER(SEARCH("STEEL",F222)),"Steel","Others"))</f>
        <v>0</v>
      </c>
      <c r="H222">
        <f>IF(ISNUMBER(SEARCH("scrubber",F222)) , "Scrubber", IF(ISNUMBER(SEARCH("container",F222)),"Container", IF(ISNUMBER(SEARCH("basket",F222)),"Basket", IF(ISNUMBER(SEARCH("lunch",F222)),"Lunch Box", IF(ISNUMBER(SEARCH("cutlery",F222)),"Cutlery","Other")))))</f>
        <v>0</v>
      </c>
      <c r="I222">
        <f>IF('Raw Data'!G222&lt;&gt;'','Raw Data'!G222,IFERROR(MID(F222,SEARCH("MODEL",F222)+6,20),""))</f>
        <v>0</v>
      </c>
      <c r="J222">
        <f>'Raw Data'!H222</f>
        <v>0</v>
      </c>
      <c r="K222">
        <f>'Raw Data'!I222</f>
        <v>0</v>
      </c>
      <c r="L222">
        <f>IF('Raw Data'!N222&lt;&gt;0,'Raw Data'!N222,IFERROR(VALUE(MID(F222,SEARCH("QTY",F222)+4,IFERROR(FIND(" ",F222,SEARCH("QTY",F222)+4)-(SEARCH("QTY",F222)+4),3))),""))</f>
        <v>0</v>
      </c>
      <c r="M222">
        <f>'Raw Data'!O222</f>
        <v>0</v>
      </c>
      <c r="N222">
        <f>'Raw Data'!P222</f>
        <v>0</v>
      </c>
      <c r="O222">
        <f>'Raw Data'!Q222</f>
        <v>0</v>
      </c>
      <c r="P222">
        <f>'Raw Data'!R222</f>
        <v>0</v>
      </c>
      <c r="Q222">
        <f>'Raw Data'!S222</f>
        <v>0</v>
      </c>
      <c r="R222">
        <f>'Raw Data'!T222</f>
        <v>0</v>
      </c>
      <c r="S222">
        <f>IFERROR(O222,0)+IFERROR(R222,0)</f>
        <v>0</v>
      </c>
      <c r="T222">
        <f>IF(A222="","",YEAR(A222))</f>
        <v>0</v>
      </c>
    </row>
    <row r="223" spans="1:20">
      <c r="A223">
        <f>'Raw Data'!B223</f>
        <v>0</v>
      </c>
      <c r="B223">
        <f>'Raw Data'!A223</f>
        <v>0</v>
      </c>
      <c r="C223">
        <f>'Raw Data'!C223</f>
        <v>0</v>
      </c>
      <c r="D223">
        <f>'Raw Data'!D223</f>
        <v>0</v>
      </c>
      <c r="E223">
        <f>IFERROR(VLOOKUP(D223,'Lookup Tables'!$A:$B,2,FALSE),"Unknown")</f>
        <v>0</v>
      </c>
      <c r="F223">
        <f>'Raw Data'!E223</f>
        <v>0</v>
      </c>
      <c r="G223">
        <f>IFERROR(VLOOKUP(D223,'Lookup Tables'!$A:$C,3,FALSE),IF(ISNUMBER(SEARCH("STEEL",F223)),"Steel","Others"))</f>
        <v>0</v>
      </c>
      <c r="H223">
        <f>IF(ISNUMBER(SEARCH("scrubber",F223)) , "Scrubber", IF(ISNUMBER(SEARCH("container",F223)),"Container", IF(ISNUMBER(SEARCH("basket",F223)),"Basket", IF(ISNUMBER(SEARCH("lunch",F223)),"Lunch Box", IF(ISNUMBER(SEARCH("cutlery",F223)),"Cutlery","Other")))))</f>
        <v>0</v>
      </c>
      <c r="I223">
        <f>IF('Raw Data'!G223&lt;&gt;'','Raw Data'!G223,IFERROR(MID(F223,SEARCH("MODEL",F223)+6,20),""))</f>
        <v>0</v>
      </c>
      <c r="J223">
        <f>'Raw Data'!H223</f>
        <v>0</v>
      </c>
      <c r="K223">
        <f>'Raw Data'!I223</f>
        <v>0</v>
      </c>
      <c r="L223">
        <f>IF('Raw Data'!N223&lt;&gt;0,'Raw Data'!N223,IFERROR(VALUE(MID(F223,SEARCH("QTY",F223)+4,IFERROR(FIND(" ",F223,SEARCH("QTY",F223)+4)-(SEARCH("QTY",F223)+4),3))),""))</f>
        <v>0</v>
      </c>
      <c r="M223">
        <f>'Raw Data'!O223</f>
        <v>0</v>
      </c>
      <c r="N223">
        <f>'Raw Data'!P223</f>
        <v>0</v>
      </c>
      <c r="O223">
        <f>'Raw Data'!Q223</f>
        <v>0</v>
      </c>
      <c r="P223">
        <f>'Raw Data'!R223</f>
        <v>0</v>
      </c>
      <c r="Q223">
        <f>'Raw Data'!S223</f>
        <v>0</v>
      </c>
      <c r="R223">
        <f>'Raw Data'!T223</f>
        <v>0</v>
      </c>
      <c r="S223">
        <f>IFERROR(O223,0)+IFERROR(R223,0)</f>
        <v>0</v>
      </c>
      <c r="T223">
        <f>IF(A223="","",YEAR(A223))</f>
        <v>0</v>
      </c>
    </row>
    <row r="224" spans="1:20">
      <c r="A224">
        <f>'Raw Data'!B224</f>
        <v>0</v>
      </c>
      <c r="B224">
        <f>'Raw Data'!A224</f>
        <v>0</v>
      </c>
      <c r="C224">
        <f>'Raw Data'!C224</f>
        <v>0</v>
      </c>
      <c r="D224">
        <f>'Raw Data'!D224</f>
        <v>0</v>
      </c>
      <c r="E224">
        <f>IFERROR(VLOOKUP(D224,'Lookup Tables'!$A:$B,2,FALSE),"Unknown")</f>
        <v>0</v>
      </c>
      <c r="F224">
        <f>'Raw Data'!E224</f>
        <v>0</v>
      </c>
      <c r="G224">
        <f>IFERROR(VLOOKUP(D224,'Lookup Tables'!$A:$C,3,FALSE),IF(ISNUMBER(SEARCH("STEEL",F224)),"Steel","Others"))</f>
        <v>0</v>
      </c>
      <c r="H224">
        <f>IF(ISNUMBER(SEARCH("scrubber",F224)) , "Scrubber", IF(ISNUMBER(SEARCH("container",F224)),"Container", IF(ISNUMBER(SEARCH("basket",F224)),"Basket", IF(ISNUMBER(SEARCH("lunch",F224)),"Lunch Box", IF(ISNUMBER(SEARCH("cutlery",F224)),"Cutlery","Other")))))</f>
        <v>0</v>
      </c>
      <c r="I224">
        <f>IF('Raw Data'!G224&lt;&gt;'','Raw Data'!G224,IFERROR(MID(F224,SEARCH("MODEL",F224)+6,20),""))</f>
        <v>0</v>
      </c>
      <c r="J224">
        <f>'Raw Data'!H224</f>
        <v>0</v>
      </c>
      <c r="K224">
        <f>'Raw Data'!I224</f>
        <v>0</v>
      </c>
      <c r="L224">
        <f>IF('Raw Data'!N224&lt;&gt;0,'Raw Data'!N224,IFERROR(VALUE(MID(F224,SEARCH("QTY",F224)+4,IFERROR(FIND(" ",F224,SEARCH("QTY",F224)+4)-(SEARCH("QTY",F224)+4),3))),""))</f>
        <v>0</v>
      </c>
      <c r="M224">
        <f>'Raw Data'!O224</f>
        <v>0</v>
      </c>
      <c r="N224">
        <f>'Raw Data'!P224</f>
        <v>0</v>
      </c>
      <c r="O224">
        <f>'Raw Data'!Q224</f>
        <v>0</v>
      </c>
      <c r="P224">
        <f>'Raw Data'!R224</f>
        <v>0</v>
      </c>
      <c r="Q224">
        <f>'Raw Data'!S224</f>
        <v>0</v>
      </c>
      <c r="R224">
        <f>'Raw Data'!T224</f>
        <v>0</v>
      </c>
      <c r="S224">
        <f>IFERROR(O224,0)+IFERROR(R224,0)</f>
        <v>0</v>
      </c>
      <c r="T224">
        <f>IF(A224="","",YEAR(A224))</f>
        <v>0</v>
      </c>
    </row>
    <row r="225" spans="1:20">
      <c r="A225">
        <f>'Raw Data'!B225</f>
        <v>0</v>
      </c>
      <c r="B225">
        <f>'Raw Data'!A225</f>
        <v>0</v>
      </c>
      <c r="C225">
        <f>'Raw Data'!C225</f>
        <v>0</v>
      </c>
      <c r="D225">
        <f>'Raw Data'!D225</f>
        <v>0</v>
      </c>
      <c r="E225">
        <f>IFERROR(VLOOKUP(D225,'Lookup Tables'!$A:$B,2,FALSE),"Unknown")</f>
        <v>0</v>
      </c>
      <c r="F225">
        <f>'Raw Data'!E225</f>
        <v>0</v>
      </c>
      <c r="G225">
        <f>IFERROR(VLOOKUP(D225,'Lookup Tables'!$A:$C,3,FALSE),IF(ISNUMBER(SEARCH("STEEL",F225)),"Steel","Others"))</f>
        <v>0</v>
      </c>
      <c r="H225">
        <f>IF(ISNUMBER(SEARCH("scrubber",F225)) , "Scrubber", IF(ISNUMBER(SEARCH("container",F225)),"Container", IF(ISNUMBER(SEARCH("basket",F225)),"Basket", IF(ISNUMBER(SEARCH("lunch",F225)),"Lunch Box", IF(ISNUMBER(SEARCH("cutlery",F225)),"Cutlery","Other")))))</f>
        <v>0</v>
      </c>
      <c r="I225">
        <f>IF('Raw Data'!G225&lt;&gt;'','Raw Data'!G225,IFERROR(MID(F225,SEARCH("MODEL",F225)+6,20),""))</f>
        <v>0</v>
      </c>
      <c r="J225">
        <f>'Raw Data'!H225</f>
        <v>0</v>
      </c>
      <c r="K225">
        <f>'Raw Data'!I225</f>
        <v>0</v>
      </c>
      <c r="L225">
        <f>IF('Raw Data'!N225&lt;&gt;0,'Raw Data'!N225,IFERROR(VALUE(MID(F225,SEARCH("QTY",F225)+4,IFERROR(FIND(" ",F225,SEARCH("QTY",F225)+4)-(SEARCH("QTY",F225)+4),3))),""))</f>
        <v>0</v>
      </c>
      <c r="M225">
        <f>'Raw Data'!O225</f>
        <v>0</v>
      </c>
      <c r="N225">
        <f>'Raw Data'!P225</f>
        <v>0</v>
      </c>
      <c r="O225">
        <f>'Raw Data'!Q225</f>
        <v>0</v>
      </c>
      <c r="P225">
        <f>'Raw Data'!R225</f>
        <v>0</v>
      </c>
      <c r="Q225">
        <f>'Raw Data'!S225</f>
        <v>0</v>
      </c>
      <c r="R225">
        <f>'Raw Data'!T225</f>
        <v>0</v>
      </c>
      <c r="S225">
        <f>IFERROR(O225,0)+IFERROR(R225,0)</f>
        <v>0</v>
      </c>
      <c r="T225">
        <f>IF(A225="","",YEAR(A225))</f>
        <v>0</v>
      </c>
    </row>
    <row r="226" spans="1:20">
      <c r="A226">
        <f>'Raw Data'!B226</f>
        <v>0</v>
      </c>
      <c r="B226">
        <f>'Raw Data'!A226</f>
        <v>0</v>
      </c>
      <c r="C226">
        <f>'Raw Data'!C226</f>
        <v>0</v>
      </c>
      <c r="D226">
        <f>'Raw Data'!D226</f>
        <v>0</v>
      </c>
      <c r="E226">
        <f>IFERROR(VLOOKUP(D226,'Lookup Tables'!$A:$B,2,FALSE),"Unknown")</f>
        <v>0</v>
      </c>
      <c r="F226">
        <f>'Raw Data'!E226</f>
        <v>0</v>
      </c>
      <c r="G226">
        <f>IFERROR(VLOOKUP(D226,'Lookup Tables'!$A:$C,3,FALSE),IF(ISNUMBER(SEARCH("STEEL",F226)),"Steel","Others"))</f>
        <v>0</v>
      </c>
      <c r="H226">
        <f>IF(ISNUMBER(SEARCH("scrubber",F226)) , "Scrubber", IF(ISNUMBER(SEARCH("container",F226)),"Container", IF(ISNUMBER(SEARCH("basket",F226)),"Basket", IF(ISNUMBER(SEARCH("lunch",F226)),"Lunch Box", IF(ISNUMBER(SEARCH("cutlery",F226)),"Cutlery","Other")))))</f>
        <v>0</v>
      </c>
      <c r="I226">
        <f>IF('Raw Data'!G226&lt;&gt;'','Raw Data'!G226,IFERROR(MID(F226,SEARCH("MODEL",F226)+6,20),""))</f>
        <v>0</v>
      </c>
      <c r="J226">
        <f>'Raw Data'!H226</f>
        <v>0</v>
      </c>
      <c r="K226">
        <f>'Raw Data'!I226</f>
        <v>0</v>
      </c>
      <c r="L226">
        <f>IF('Raw Data'!N226&lt;&gt;0,'Raw Data'!N226,IFERROR(VALUE(MID(F226,SEARCH("QTY",F226)+4,IFERROR(FIND(" ",F226,SEARCH("QTY",F226)+4)-(SEARCH("QTY",F226)+4),3))),""))</f>
        <v>0</v>
      </c>
      <c r="M226">
        <f>'Raw Data'!O226</f>
        <v>0</v>
      </c>
      <c r="N226">
        <f>'Raw Data'!P226</f>
        <v>0</v>
      </c>
      <c r="O226">
        <f>'Raw Data'!Q226</f>
        <v>0</v>
      </c>
      <c r="P226">
        <f>'Raw Data'!R226</f>
        <v>0</v>
      </c>
      <c r="Q226">
        <f>'Raw Data'!S226</f>
        <v>0</v>
      </c>
      <c r="R226">
        <f>'Raw Data'!T226</f>
        <v>0</v>
      </c>
      <c r="S226">
        <f>IFERROR(O226,0)+IFERROR(R226,0)</f>
        <v>0</v>
      </c>
      <c r="T226">
        <f>IF(A226="","",YEAR(A226))</f>
        <v>0</v>
      </c>
    </row>
    <row r="227" spans="1:20">
      <c r="A227">
        <f>'Raw Data'!B227</f>
        <v>0</v>
      </c>
      <c r="B227">
        <f>'Raw Data'!A227</f>
        <v>0</v>
      </c>
      <c r="C227">
        <f>'Raw Data'!C227</f>
        <v>0</v>
      </c>
      <c r="D227">
        <f>'Raw Data'!D227</f>
        <v>0</v>
      </c>
      <c r="E227">
        <f>IFERROR(VLOOKUP(D227,'Lookup Tables'!$A:$B,2,FALSE),"Unknown")</f>
        <v>0</v>
      </c>
      <c r="F227">
        <f>'Raw Data'!E227</f>
        <v>0</v>
      </c>
      <c r="G227">
        <f>IFERROR(VLOOKUP(D227,'Lookup Tables'!$A:$C,3,FALSE),IF(ISNUMBER(SEARCH("STEEL",F227)),"Steel","Others"))</f>
        <v>0</v>
      </c>
      <c r="H227">
        <f>IF(ISNUMBER(SEARCH("scrubber",F227)) , "Scrubber", IF(ISNUMBER(SEARCH("container",F227)),"Container", IF(ISNUMBER(SEARCH("basket",F227)),"Basket", IF(ISNUMBER(SEARCH("lunch",F227)),"Lunch Box", IF(ISNUMBER(SEARCH("cutlery",F227)),"Cutlery","Other")))))</f>
        <v>0</v>
      </c>
      <c r="I227">
        <f>IF('Raw Data'!G227&lt;&gt;'','Raw Data'!G227,IFERROR(MID(F227,SEARCH("MODEL",F227)+6,20),""))</f>
        <v>0</v>
      </c>
      <c r="J227">
        <f>'Raw Data'!H227</f>
        <v>0</v>
      </c>
      <c r="K227">
        <f>'Raw Data'!I227</f>
        <v>0</v>
      </c>
      <c r="L227">
        <f>IF('Raw Data'!N227&lt;&gt;0,'Raw Data'!N227,IFERROR(VALUE(MID(F227,SEARCH("QTY",F227)+4,IFERROR(FIND(" ",F227,SEARCH("QTY",F227)+4)-(SEARCH("QTY",F227)+4),3))),""))</f>
        <v>0</v>
      </c>
      <c r="M227">
        <f>'Raw Data'!O227</f>
        <v>0</v>
      </c>
      <c r="N227">
        <f>'Raw Data'!P227</f>
        <v>0</v>
      </c>
      <c r="O227">
        <f>'Raw Data'!Q227</f>
        <v>0</v>
      </c>
      <c r="P227">
        <f>'Raw Data'!R227</f>
        <v>0</v>
      </c>
      <c r="Q227">
        <f>'Raw Data'!S227</f>
        <v>0</v>
      </c>
      <c r="R227">
        <f>'Raw Data'!T227</f>
        <v>0</v>
      </c>
      <c r="S227">
        <f>IFERROR(O227,0)+IFERROR(R227,0)</f>
        <v>0</v>
      </c>
      <c r="T227">
        <f>IF(A227="","",YEAR(A227))</f>
        <v>0</v>
      </c>
    </row>
    <row r="228" spans="1:20">
      <c r="A228">
        <f>'Raw Data'!B228</f>
        <v>0</v>
      </c>
      <c r="B228">
        <f>'Raw Data'!A228</f>
        <v>0</v>
      </c>
      <c r="C228">
        <f>'Raw Data'!C228</f>
        <v>0</v>
      </c>
      <c r="D228">
        <f>'Raw Data'!D228</f>
        <v>0</v>
      </c>
      <c r="E228">
        <f>IFERROR(VLOOKUP(D228,'Lookup Tables'!$A:$B,2,FALSE),"Unknown")</f>
        <v>0</v>
      </c>
      <c r="F228">
        <f>'Raw Data'!E228</f>
        <v>0</v>
      </c>
      <c r="G228">
        <f>IFERROR(VLOOKUP(D228,'Lookup Tables'!$A:$C,3,FALSE),IF(ISNUMBER(SEARCH("STEEL",F228)),"Steel","Others"))</f>
        <v>0</v>
      </c>
      <c r="H228">
        <f>IF(ISNUMBER(SEARCH("scrubber",F228)) , "Scrubber", IF(ISNUMBER(SEARCH("container",F228)),"Container", IF(ISNUMBER(SEARCH("basket",F228)),"Basket", IF(ISNUMBER(SEARCH("lunch",F228)),"Lunch Box", IF(ISNUMBER(SEARCH("cutlery",F228)),"Cutlery","Other")))))</f>
        <v>0</v>
      </c>
      <c r="I228">
        <f>IF('Raw Data'!G228&lt;&gt;'','Raw Data'!G228,IFERROR(MID(F228,SEARCH("MODEL",F228)+6,20),""))</f>
        <v>0</v>
      </c>
      <c r="J228">
        <f>'Raw Data'!H228</f>
        <v>0</v>
      </c>
      <c r="K228">
        <f>'Raw Data'!I228</f>
        <v>0</v>
      </c>
      <c r="L228">
        <f>IF('Raw Data'!N228&lt;&gt;0,'Raw Data'!N228,IFERROR(VALUE(MID(F228,SEARCH("QTY",F228)+4,IFERROR(FIND(" ",F228,SEARCH("QTY",F228)+4)-(SEARCH("QTY",F228)+4),3))),""))</f>
        <v>0</v>
      </c>
      <c r="M228">
        <f>'Raw Data'!O228</f>
        <v>0</v>
      </c>
      <c r="N228">
        <f>'Raw Data'!P228</f>
        <v>0</v>
      </c>
      <c r="O228">
        <f>'Raw Data'!Q228</f>
        <v>0</v>
      </c>
      <c r="P228">
        <f>'Raw Data'!R228</f>
        <v>0</v>
      </c>
      <c r="Q228">
        <f>'Raw Data'!S228</f>
        <v>0</v>
      </c>
      <c r="R228">
        <f>'Raw Data'!T228</f>
        <v>0</v>
      </c>
      <c r="S228">
        <f>IFERROR(O228,0)+IFERROR(R228,0)</f>
        <v>0</v>
      </c>
      <c r="T228">
        <f>IF(A228="","",YEAR(A228))</f>
        <v>0</v>
      </c>
    </row>
    <row r="229" spans="1:20">
      <c r="A229">
        <f>'Raw Data'!B229</f>
        <v>0</v>
      </c>
      <c r="B229">
        <f>'Raw Data'!A229</f>
        <v>0</v>
      </c>
      <c r="C229">
        <f>'Raw Data'!C229</f>
        <v>0</v>
      </c>
      <c r="D229">
        <f>'Raw Data'!D229</f>
        <v>0</v>
      </c>
      <c r="E229">
        <f>IFERROR(VLOOKUP(D229,'Lookup Tables'!$A:$B,2,FALSE),"Unknown")</f>
        <v>0</v>
      </c>
      <c r="F229">
        <f>'Raw Data'!E229</f>
        <v>0</v>
      </c>
      <c r="G229">
        <f>IFERROR(VLOOKUP(D229,'Lookup Tables'!$A:$C,3,FALSE),IF(ISNUMBER(SEARCH("STEEL",F229)),"Steel","Others"))</f>
        <v>0</v>
      </c>
      <c r="H229">
        <f>IF(ISNUMBER(SEARCH("scrubber",F229)) , "Scrubber", IF(ISNUMBER(SEARCH("container",F229)),"Container", IF(ISNUMBER(SEARCH("basket",F229)),"Basket", IF(ISNUMBER(SEARCH("lunch",F229)),"Lunch Box", IF(ISNUMBER(SEARCH("cutlery",F229)),"Cutlery","Other")))))</f>
        <v>0</v>
      </c>
      <c r="I229">
        <f>IF('Raw Data'!G229&lt;&gt;'','Raw Data'!G229,IFERROR(MID(F229,SEARCH("MODEL",F229)+6,20),""))</f>
        <v>0</v>
      </c>
      <c r="J229">
        <f>'Raw Data'!H229</f>
        <v>0</v>
      </c>
      <c r="K229">
        <f>'Raw Data'!I229</f>
        <v>0</v>
      </c>
      <c r="L229">
        <f>IF('Raw Data'!N229&lt;&gt;0,'Raw Data'!N229,IFERROR(VALUE(MID(F229,SEARCH("QTY",F229)+4,IFERROR(FIND(" ",F229,SEARCH("QTY",F229)+4)-(SEARCH("QTY",F229)+4),3))),""))</f>
        <v>0</v>
      </c>
      <c r="M229">
        <f>'Raw Data'!O229</f>
        <v>0</v>
      </c>
      <c r="N229">
        <f>'Raw Data'!P229</f>
        <v>0</v>
      </c>
      <c r="O229">
        <f>'Raw Data'!Q229</f>
        <v>0</v>
      </c>
      <c r="P229">
        <f>'Raw Data'!R229</f>
        <v>0</v>
      </c>
      <c r="Q229">
        <f>'Raw Data'!S229</f>
        <v>0</v>
      </c>
      <c r="R229">
        <f>'Raw Data'!T229</f>
        <v>0</v>
      </c>
      <c r="S229">
        <f>IFERROR(O229,0)+IFERROR(R229,0)</f>
        <v>0</v>
      </c>
      <c r="T229">
        <f>IF(A229="","",YEAR(A229))</f>
        <v>0</v>
      </c>
    </row>
    <row r="230" spans="1:20">
      <c r="A230">
        <f>'Raw Data'!B230</f>
        <v>0</v>
      </c>
      <c r="B230">
        <f>'Raw Data'!A230</f>
        <v>0</v>
      </c>
      <c r="C230">
        <f>'Raw Data'!C230</f>
        <v>0</v>
      </c>
      <c r="D230">
        <f>'Raw Data'!D230</f>
        <v>0</v>
      </c>
      <c r="E230">
        <f>IFERROR(VLOOKUP(D230,'Lookup Tables'!$A:$B,2,FALSE),"Unknown")</f>
        <v>0</v>
      </c>
      <c r="F230">
        <f>'Raw Data'!E230</f>
        <v>0</v>
      </c>
      <c r="G230">
        <f>IFERROR(VLOOKUP(D230,'Lookup Tables'!$A:$C,3,FALSE),IF(ISNUMBER(SEARCH("STEEL",F230)),"Steel","Others"))</f>
        <v>0</v>
      </c>
      <c r="H230">
        <f>IF(ISNUMBER(SEARCH("scrubber",F230)) , "Scrubber", IF(ISNUMBER(SEARCH("container",F230)),"Container", IF(ISNUMBER(SEARCH("basket",F230)),"Basket", IF(ISNUMBER(SEARCH("lunch",F230)),"Lunch Box", IF(ISNUMBER(SEARCH("cutlery",F230)),"Cutlery","Other")))))</f>
        <v>0</v>
      </c>
      <c r="I230">
        <f>IF('Raw Data'!G230&lt;&gt;'','Raw Data'!G230,IFERROR(MID(F230,SEARCH("MODEL",F230)+6,20),""))</f>
        <v>0</v>
      </c>
      <c r="J230">
        <f>'Raw Data'!H230</f>
        <v>0</v>
      </c>
      <c r="K230">
        <f>'Raw Data'!I230</f>
        <v>0</v>
      </c>
      <c r="L230">
        <f>IF('Raw Data'!N230&lt;&gt;0,'Raw Data'!N230,IFERROR(VALUE(MID(F230,SEARCH("QTY",F230)+4,IFERROR(FIND(" ",F230,SEARCH("QTY",F230)+4)-(SEARCH("QTY",F230)+4),3))),""))</f>
        <v>0</v>
      </c>
      <c r="M230">
        <f>'Raw Data'!O230</f>
        <v>0</v>
      </c>
      <c r="N230">
        <f>'Raw Data'!P230</f>
        <v>0</v>
      </c>
      <c r="O230">
        <f>'Raw Data'!Q230</f>
        <v>0</v>
      </c>
      <c r="P230">
        <f>'Raw Data'!R230</f>
        <v>0</v>
      </c>
      <c r="Q230">
        <f>'Raw Data'!S230</f>
        <v>0</v>
      </c>
      <c r="R230">
        <f>'Raw Data'!T230</f>
        <v>0</v>
      </c>
      <c r="S230">
        <f>IFERROR(O230,0)+IFERROR(R230,0)</f>
        <v>0</v>
      </c>
      <c r="T230">
        <f>IF(A230="","",YEAR(A230))</f>
        <v>0</v>
      </c>
    </row>
    <row r="231" spans="1:20">
      <c r="A231">
        <f>'Raw Data'!B231</f>
        <v>0</v>
      </c>
      <c r="B231">
        <f>'Raw Data'!A231</f>
        <v>0</v>
      </c>
      <c r="C231">
        <f>'Raw Data'!C231</f>
        <v>0</v>
      </c>
      <c r="D231">
        <f>'Raw Data'!D231</f>
        <v>0</v>
      </c>
      <c r="E231">
        <f>IFERROR(VLOOKUP(D231,'Lookup Tables'!$A:$B,2,FALSE),"Unknown")</f>
        <v>0</v>
      </c>
      <c r="F231">
        <f>'Raw Data'!E231</f>
        <v>0</v>
      </c>
      <c r="G231">
        <f>IFERROR(VLOOKUP(D231,'Lookup Tables'!$A:$C,3,FALSE),IF(ISNUMBER(SEARCH("STEEL",F231)),"Steel","Others"))</f>
        <v>0</v>
      </c>
      <c r="H231">
        <f>IF(ISNUMBER(SEARCH("scrubber",F231)) , "Scrubber", IF(ISNUMBER(SEARCH("container",F231)),"Container", IF(ISNUMBER(SEARCH("basket",F231)),"Basket", IF(ISNUMBER(SEARCH("lunch",F231)),"Lunch Box", IF(ISNUMBER(SEARCH("cutlery",F231)),"Cutlery","Other")))))</f>
        <v>0</v>
      </c>
      <c r="I231">
        <f>IF('Raw Data'!G231&lt;&gt;'','Raw Data'!G231,IFERROR(MID(F231,SEARCH("MODEL",F231)+6,20),""))</f>
        <v>0</v>
      </c>
      <c r="J231">
        <f>'Raw Data'!H231</f>
        <v>0</v>
      </c>
      <c r="K231">
        <f>'Raw Data'!I231</f>
        <v>0</v>
      </c>
      <c r="L231">
        <f>IF('Raw Data'!N231&lt;&gt;0,'Raw Data'!N231,IFERROR(VALUE(MID(F231,SEARCH("QTY",F231)+4,IFERROR(FIND(" ",F231,SEARCH("QTY",F231)+4)-(SEARCH("QTY",F231)+4),3))),""))</f>
        <v>0</v>
      </c>
      <c r="M231">
        <f>'Raw Data'!O231</f>
        <v>0</v>
      </c>
      <c r="N231">
        <f>'Raw Data'!P231</f>
        <v>0</v>
      </c>
      <c r="O231">
        <f>'Raw Data'!Q231</f>
        <v>0</v>
      </c>
      <c r="P231">
        <f>'Raw Data'!R231</f>
        <v>0</v>
      </c>
      <c r="Q231">
        <f>'Raw Data'!S231</f>
        <v>0</v>
      </c>
      <c r="R231">
        <f>'Raw Data'!T231</f>
        <v>0</v>
      </c>
      <c r="S231">
        <f>IFERROR(O231,0)+IFERROR(R231,0)</f>
        <v>0</v>
      </c>
      <c r="T231">
        <f>IF(A231="","",YEAR(A231))</f>
        <v>0</v>
      </c>
    </row>
    <row r="232" spans="1:20">
      <c r="A232">
        <f>'Raw Data'!B232</f>
        <v>0</v>
      </c>
      <c r="B232">
        <f>'Raw Data'!A232</f>
        <v>0</v>
      </c>
      <c r="C232">
        <f>'Raw Data'!C232</f>
        <v>0</v>
      </c>
      <c r="D232">
        <f>'Raw Data'!D232</f>
        <v>0</v>
      </c>
      <c r="E232">
        <f>IFERROR(VLOOKUP(D232,'Lookup Tables'!$A:$B,2,FALSE),"Unknown")</f>
        <v>0</v>
      </c>
      <c r="F232">
        <f>'Raw Data'!E232</f>
        <v>0</v>
      </c>
      <c r="G232">
        <f>IFERROR(VLOOKUP(D232,'Lookup Tables'!$A:$C,3,FALSE),IF(ISNUMBER(SEARCH("STEEL",F232)),"Steel","Others"))</f>
        <v>0</v>
      </c>
      <c r="H232">
        <f>IF(ISNUMBER(SEARCH("scrubber",F232)) , "Scrubber", IF(ISNUMBER(SEARCH("container",F232)),"Container", IF(ISNUMBER(SEARCH("basket",F232)),"Basket", IF(ISNUMBER(SEARCH("lunch",F232)),"Lunch Box", IF(ISNUMBER(SEARCH("cutlery",F232)),"Cutlery","Other")))))</f>
        <v>0</v>
      </c>
      <c r="I232">
        <f>IF('Raw Data'!G232&lt;&gt;'','Raw Data'!G232,IFERROR(MID(F232,SEARCH("MODEL",F232)+6,20),""))</f>
        <v>0</v>
      </c>
      <c r="J232">
        <f>'Raw Data'!H232</f>
        <v>0</v>
      </c>
      <c r="K232">
        <f>'Raw Data'!I232</f>
        <v>0</v>
      </c>
      <c r="L232">
        <f>IF('Raw Data'!N232&lt;&gt;0,'Raw Data'!N232,IFERROR(VALUE(MID(F232,SEARCH("QTY",F232)+4,IFERROR(FIND(" ",F232,SEARCH("QTY",F232)+4)-(SEARCH("QTY",F232)+4),3))),""))</f>
        <v>0</v>
      </c>
      <c r="M232">
        <f>'Raw Data'!O232</f>
        <v>0</v>
      </c>
      <c r="N232">
        <f>'Raw Data'!P232</f>
        <v>0</v>
      </c>
      <c r="O232">
        <f>'Raw Data'!Q232</f>
        <v>0</v>
      </c>
      <c r="P232">
        <f>'Raw Data'!R232</f>
        <v>0</v>
      </c>
      <c r="Q232">
        <f>'Raw Data'!S232</f>
        <v>0</v>
      </c>
      <c r="R232">
        <f>'Raw Data'!T232</f>
        <v>0</v>
      </c>
      <c r="S232">
        <f>IFERROR(O232,0)+IFERROR(R232,0)</f>
        <v>0</v>
      </c>
      <c r="T232">
        <f>IF(A232="","",YEAR(A232))</f>
        <v>0</v>
      </c>
    </row>
    <row r="233" spans="1:20">
      <c r="A233">
        <f>'Raw Data'!B233</f>
        <v>0</v>
      </c>
      <c r="B233">
        <f>'Raw Data'!A233</f>
        <v>0</v>
      </c>
      <c r="C233">
        <f>'Raw Data'!C233</f>
        <v>0</v>
      </c>
      <c r="D233">
        <f>'Raw Data'!D233</f>
        <v>0</v>
      </c>
      <c r="E233">
        <f>IFERROR(VLOOKUP(D233,'Lookup Tables'!$A:$B,2,FALSE),"Unknown")</f>
        <v>0</v>
      </c>
      <c r="F233">
        <f>'Raw Data'!E233</f>
        <v>0</v>
      </c>
      <c r="G233">
        <f>IFERROR(VLOOKUP(D233,'Lookup Tables'!$A:$C,3,FALSE),IF(ISNUMBER(SEARCH("STEEL",F233)),"Steel","Others"))</f>
        <v>0</v>
      </c>
      <c r="H233">
        <f>IF(ISNUMBER(SEARCH("scrubber",F233)) , "Scrubber", IF(ISNUMBER(SEARCH("container",F233)),"Container", IF(ISNUMBER(SEARCH("basket",F233)),"Basket", IF(ISNUMBER(SEARCH("lunch",F233)),"Lunch Box", IF(ISNUMBER(SEARCH("cutlery",F233)),"Cutlery","Other")))))</f>
        <v>0</v>
      </c>
      <c r="I233">
        <f>IF('Raw Data'!G233&lt;&gt;'','Raw Data'!G233,IFERROR(MID(F233,SEARCH("MODEL",F233)+6,20),""))</f>
        <v>0</v>
      </c>
      <c r="J233">
        <f>'Raw Data'!H233</f>
        <v>0</v>
      </c>
      <c r="K233">
        <f>'Raw Data'!I233</f>
        <v>0</v>
      </c>
      <c r="L233">
        <f>IF('Raw Data'!N233&lt;&gt;0,'Raw Data'!N233,IFERROR(VALUE(MID(F233,SEARCH("QTY",F233)+4,IFERROR(FIND(" ",F233,SEARCH("QTY",F233)+4)-(SEARCH("QTY",F233)+4),3))),""))</f>
        <v>0</v>
      </c>
      <c r="M233">
        <f>'Raw Data'!O233</f>
        <v>0</v>
      </c>
      <c r="N233">
        <f>'Raw Data'!P233</f>
        <v>0</v>
      </c>
      <c r="O233">
        <f>'Raw Data'!Q233</f>
        <v>0</v>
      </c>
      <c r="P233">
        <f>'Raw Data'!R233</f>
        <v>0</v>
      </c>
      <c r="Q233">
        <f>'Raw Data'!S233</f>
        <v>0</v>
      </c>
      <c r="R233">
        <f>'Raw Data'!T233</f>
        <v>0</v>
      </c>
      <c r="S233">
        <f>IFERROR(O233,0)+IFERROR(R233,0)</f>
        <v>0</v>
      </c>
      <c r="T233">
        <f>IF(A233="","",YEAR(A233))</f>
        <v>0</v>
      </c>
    </row>
    <row r="234" spans="1:20">
      <c r="A234">
        <f>'Raw Data'!B234</f>
        <v>0</v>
      </c>
      <c r="B234">
        <f>'Raw Data'!A234</f>
        <v>0</v>
      </c>
      <c r="C234">
        <f>'Raw Data'!C234</f>
        <v>0</v>
      </c>
      <c r="D234">
        <f>'Raw Data'!D234</f>
        <v>0</v>
      </c>
      <c r="E234">
        <f>IFERROR(VLOOKUP(D234,'Lookup Tables'!$A:$B,2,FALSE),"Unknown")</f>
        <v>0</v>
      </c>
      <c r="F234">
        <f>'Raw Data'!E234</f>
        <v>0</v>
      </c>
      <c r="G234">
        <f>IFERROR(VLOOKUP(D234,'Lookup Tables'!$A:$C,3,FALSE),IF(ISNUMBER(SEARCH("STEEL",F234)),"Steel","Others"))</f>
        <v>0</v>
      </c>
      <c r="H234">
        <f>IF(ISNUMBER(SEARCH("scrubber",F234)) , "Scrubber", IF(ISNUMBER(SEARCH("container",F234)),"Container", IF(ISNUMBER(SEARCH("basket",F234)),"Basket", IF(ISNUMBER(SEARCH("lunch",F234)),"Lunch Box", IF(ISNUMBER(SEARCH("cutlery",F234)),"Cutlery","Other")))))</f>
        <v>0</v>
      </c>
      <c r="I234">
        <f>IF('Raw Data'!G234&lt;&gt;'','Raw Data'!G234,IFERROR(MID(F234,SEARCH("MODEL",F234)+6,20),""))</f>
        <v>0</v>
      </c>
      <c r="J234">
        <f>'Raw Data'!H234</f>
        <v>0</v>
      </c>
      <c r="K234">
        <f>'Raw Data'!I234</f>
        <v>0</v>
      </c>
      <c r="L234">
        <f>IF('Raw Data'!N234&lt;&gt;0,'Raw Data'!N234,IFERROR(VALUE(MID(F234,SEARCH("QTY",F234)+4,IFERROR(FIND(" ",F234,SEARCH("QTY",F234)+4)-(SEARCH("QTY",F234)+4),3))),""))</f>
        <v>0</v>
      </c>
      <c r="M234">
        <f>'Raw Data'!O234</f>
        <v>0</v>
      </c>
      <c r="N234">
        <f>'Raw Data'!P234</f>
        <v>0</v>
      </c>
      <c r="O234">
        <f>'Raw Data'!Q234</f>
        <v>0</v>
      </c>
      <c r="P234">
        <f>'Raw Data'!R234</f>
        <v>0</v>
      </c>
      <c r="Q234">
        <f>'Raw Data'!S234</f>
        <v>0</v>
      </c>
      <c r="R234">
        <f>'Raw Data'!T234</f>
        <v>0</v>
      </c>
      <c r="S234">
        <f>IFERROR(O234,0)+IFERROR(R234,0)</f>
        <v>0</v>
      </c>
      <c r="T234">
        <f>IF(A234="","",YEAR(A234))</f>
        <v>0</v>
      </c>
    </row>
    <row r="235" spans="1:20">
      <c r="A235">
        <f>'Raw Data'!B235</f>
        <v>0</v>
      </c>
      <c r="B235">
        <f>'Raw Data'!A235</f>
        <v>0</v>
      </c>
      <c r="C235">
        <f>'Raw Data'!C235</f>
        <v>0</v>
      </c>
      <c r="D235">
        <f>'Raw Data'!D235</f>
        <v>0</v>
      </c>
      <c r="E235">
        <f>IFERROR(VLOOKUP(D235,'Lookup Tables'!$A:$B,2,FALSE),"Unknown")</f>
        <v>0</v>
      </c>
      <c r="F235">
        <f>'Raw Data'!E235</f>
        <v>0</v>
      </c>
      <c r="G235">
        <f>IFERROR(VLOOKUP(D235,'Lookup Tables'!$A:$C,3,FALSE),IF(ISNUMBER(SEARCH("STEEL",F235)),"Steel","Others"))</f>
        <v>0</v>
      </c>
      <c r="H235">
        <f>IF(ISNUMBER(SEARCH("scrubber",F235)) , "Scrubber", IF(ISNUMBER(SEARCH("container",F235)),"Container", IF(ISNUMBER(SEARCH("basket",F235)),"Basket", IF(ISNUMBER(SEARCH("lunch",F235)),"Lunch Box", IF(ISNUMBER(SEARCH("cutlery",F235)),"Cutlery","Other")))))</f>
        <v>0</v>
      </c>
      <c r="I235">
        <f>IF('Raw Data'!G235&lt;&gt;'','Raw Data'!G235,IFERROR(MID(F235,SEARCH("MODEL",F235)+6,20),""))</f>
        <v>0</v>
      </c>
      <c r="J235">
        <f>'Raw Data'!H235</f>
        <v>0</v>
      </c>
      <c r="K235">
        <f>'Raw Data'!I235</f>
        <v>0</v>
      </c>
      <c r="L235">
        <f>IF('Raw Data'!N235&lt;&gt;0,'Raw Data'!N235,IFERROR(VALUE(MID(F235,SEARCH("QTY",F235)+4,IFERROR(FIND(" ",F235,SEARCH("QTY",F235)+4)-(SEARCH("QTY",F235)+4),3))),""))</f>
        <v>0</v>
      </c>
      <c r="M235">
        <f>'Raw Data'!O235</f>
        <v>0</v>
      </c>
      <c r="N235">
        <f>'Raw Data'!P235</f>
        <v>0</v>
      </c>
      <c r="O235">
        <f>'Raw Data'!Q235</f>
        <v>0</v>
      </c>
      <c r="P235">
        <f>'Raw Data'!R235</f>
        <v>0</v>
      </c>
      <c r="Q235">
        <f>'Raw Data'!S235</f>
        <v>0</v>
      </c>
      <c r="R235">
        <f>'Raw Data'!T235</f>
        <v>0</v>
      </c>
      <c r="S235">
        <f>IFERROR(O235,0)+IFERROR(R235,0)</f>
        <v>0</v>
      </c>
      <c r="T235">
        <f>IF(A235="","",YEAR(A235))</f>
        <v>0</v>
      </c>
    </row>
    <row r="236" spans="1:20">
      <c r="A236">
        <f>'Raw Data'!B236</f>
        <v>0</v>
      </c>
      <c r="B236">
        <f>'Raw Data'!A236</f>
        <v>0</v>
      </c>
      <c r="C236">
        <f>'Raw Data'!C236</f>
        <v>0</v>
      </c>
      <c r="D236">
        <f>'Raw Data'!D236</f>
        <v>0</v>
      </c>
      <c r="E236">
        <f>IFERROR(VLOOKUP(D236,'Lookup Tables'!$A:$B,2,FALSE),"Unknown")</f>
        <v>0</v>
      </c>
      <c r="F236">
        <f>'Raw Data'!E236</f>
        <v>0</v>
      </c>
      <c r="G236">
        <f>IFERROR(VLOOKUP(D236,'Lookup Tables'!$A:$C,3,FALSE),IF(ISNUMBER(SEARCH("STEEL",F236)),"Steel","Others"))</f>
        <v>0</v>
      </c>
      <c r="H236">
        <f>IF(ISNUMBER(SEARCH("scrubber",F236)) , "Scrubber", IF(ISNUMBER(SEARCH("container",F236)),"Container", IF(ISNUMBER(SEARCH("basket",F236)),"Basket", IF(ISNUMBER(SEARCH("lunch",F236)),"Lunch Box", IF(ISNUMBER(SEARCH("cutlery",F236)),"Cutlery","Other")))))</f>
        <v>0</v>
      </c>
      <c r="I236">
        <f>IF('Raw Data'!G236&lt;&gt;'','Raw Data'!G236,IFERROR(MID(F236,SEARCH("MODEL",F236)+6,20),""))</f>
        <v>0</v>
      </c>
      <c r="J236">
        <f>'Raw Data'!H236</f>
        <v>0</v>
      </c>
      <c r="K236">
        <f>'Raw Data'!I236</f>
        <v>0</v>
      </c>
      <c r="L236">
        <f>IF('Raw Data'!N236&lt;&gt;0,'Raw Data'!N236,IFERROR(VALUE(MID(F236,SEARCH("QTY",F236)+4,IFERROR(FIND(" ",F236,SEARCH("QTY",F236)+4)-(SEARCH("QTY",F236)+4),3))),""))</f>
        <v>0</v>
      </c>
      <c r="M236">
        <f>'Raw Data'!O236</f>
        <v>0</v>
      </c>
      <c r="N236">
        <f>'Raw Data'!P236</f>
        <v>0</v>
      </c>
      <c r="O236">
        <f>'Raw Data'!Q236</f>
        <v>0</v>
      </c>
      <c r="P236">
        <f>'Raw Data'!R236</f>
        <v>0</v>
      </c>
      <c r="Q236">
        <f>'Raw Data'!S236</f>
        <v>0</v>
      </c>
      <c r="R236">
        <f>'Raw Data'!T236</f>
        <v>0</v>
      </c>
      <c r="S236">
        <f>IFERROR(O236,0)+IFERROR(R236,0)</f>
        <v>0</v>
      </c>
      <c r="T236">
        <f>IF(A236="","",YEAR(A236))</f>
        <v>0</v>
      </c>
    </row>
    <row r="237" spans="1:20">
      <c r="A237">
        <f>'Raw Data'!B237</f>
        <v>0</v>
      </c>
      <c r="B237">
        <f>'Raw Data'!A237</f>
        <v>0</v>
      </c>
      <c r="C237">
        <f>'Raw Data'!C237</f>
        <v>0</v>
      </c>
      <c r="D237">
        <f>'Raw Data'!D237</f>
        <v>0</v>
      </c>
      <c r="E237">
        <f>IFERROR(VLOOKUP(D237,'Lookup Tables'!$A:$B,2,FALSE),"Unknown")</f>
        <v>0</v>
      </c>
      <c r="F237">
        <f>'Raw Data'!E237</f>
        <v>0</v>
      </c>
      <c r="G237">
        <f>IFERROR(VLOOKUP(D237,'Lookup Tables'!$A:$C,3,FALSE),IF(ISNUMBER(SEARCH("STEEL",F237)),"Steel","Others"))</f>
        <v>0</v>
      </c>
      <c r="H237">
        <f>IF(ISNUMBER(SEARCH("scrubber",F237)) , "Scrubber", IF(ISNUMBER(SEARCH("container",F237)),"Container", IF(ISNUMBER(SEARCH("basket",F237)),"Basket", IF(ISNUMBER(SEARCH("lunch",F237)),"Lunch Box", IF(ISNUMBER(SEARCH("cutlery",F237)),"Cutlery","Other")))))</f>
        <v>0</v>
      </c>
      <c r="I237">
        <f>IF('Raw Data'!G237&lt;&gt;'','Raw Data'!G237,IFERROR(MID(F237,SEARCH("MODEL",F237)+6,20),""))</f>
        <v>0</v>
      </c>
      <c r="J237">
        <f>'Raw Data'!H237</f>
        <v>0</v>
      </c>
      <c r="K237">
        <f>'Raw Data'!I237</f>
        <v>0</v>
      </c>
      <c r="L237">
        <f>IF('Raw Data'!N237&lt;&gt;0,'Raw Data'!N237,IFERROR(VALUE(MID(F237,SEARCH("QTY",F237)+4,IFERROR(FIND(" ",F237,SEARCH("QTY",F237)+4)-(SEARCH("QTY",F237)+4),3))),""))</f>
        <v>0</v>
      </c>
      <c r="M237">
        <f>'Raw Data'!O237</f>
        <v>0</v>
      </c>
      <c r="N237">
        <f>'Raw Data'!P237</f>
        <v>0</v>
      </c>
      <c r="O237">
        <f>'Raw Data'!Q237</f>
        <v>0</v>
      </c>
      <c r="P237">
        <f>'Raw Data'!R237</f>
        <v>0</v>
      </c>
      <c r="Q237">
        <f>'Raw Data'!S237</f>
        <v>0</v>
      </c>
      <c r="R237">
        <f>'Raw Data'!T237</f>
        <v>0</v>
      </c>
      <c r="S237">
        <f>IFERROR(O237,0)+IFERROR(R237,0)</f>
        <v>0</v>
      </c>
      <c r="T237">
        <f>IF(A237="","",YEAR(A237))</f>
        <v>0</v>
      </c>
    </row>
    <row r="238" spans="1:20">
      <c r="A238">
        <f>'Raw Data'!B238</f>
        <v>0</v>
      </c>
      <c r="B238">
        <f>'Raw Data'!A238</f>
        <v>0</v>
      </c>
      <c r="C238">
        <f>'Raw Data'!C238</f>
        <v>0</v>
      </c>
      <c r="D238">
        <f>'Raw Data'!D238</f>
        <v>0</v>
      </c>
      <c r="E238">
        <f>IFERROR(VLOOKUP(D238,'Lookup Tables'!$A:$B,2,FALSE),"Unknown")</f>
        <v>0</v>
      </c>
      <c r="F238">
        <f>'Raw Data'!E238</f>
        <v>0</v>
      </c>
      <c r="G238">
        <f>IFERROR(VLOOKUP(D238,'Lookup Tables'!$A:$C,3,FALSE),IF(ISNUMBER(SEARCH("STEEL",F238)),"Steel","Others"))</f>
        <v>0</v>
      </c>
      <c r="H238">
        <f>IF(ISNUMBER(SEARCH("scrubber",F238)) , "Scrubber", IF(ISNUMBER(SEARCH("container",F238)),"Container", IF(ISNUMBER(SEARCH("basket",F238)),"Basket", IF(ISNUMBER(SEARCH("lunch",F238)),"Lunch Box", IF(ISNUMBER(SEARCH("cutlery",F238)),"Cutlery","Other")))))</f>
        <v>0</v>
      </c>
      <c r="I238">
        <f>IF('Raw Data'!G238&lt;&gt;'','Raw Data'!G238,IFERROR(MID(F238,SEARCH("MODEL",F238)+6,20),""))</f>
        <v>0</v>
      </c>
      <c r="J238">
        <f>'Raw Data'!H238</f>
        <v>0</v>
      </c>
      <c r="K238">
        <f>'Raw Data'!I238</f>
        <v>0</v>
      </c>
      <c r="L238">
        <f>IF('Raw Data'!N238&lt;&gt;0,'Raw Data'!N238,IFERROR(VALUE(MID(F238,SEARCH("QTY",F238)+4,IFERROR(FIND(" ",F238,SEARCH("QTY",F238)+4)-(SEARCH("QTY",F238)+4),3))),""))</f>
        <v>0</v>
      </c>
      <c r="M238">
        <f>'Raw Data'!O238</f>
        <v>0</v>
      </c>
      <c r="N238">
        <f>'Raw Data'!P238</f>
        <v>0</v>
      </c>
      <c r="O238">
        <f>'Raw Data'!Q238</f>
        <v>0</v>
      </c>
      <c r="P238">
        <f>'Raw Data'!R238</f>
        <v>0</v>
      </c>
      <c r="Q238">
        <f>'Raw Data'!S238</f>
        <v>0</v>
      </c>
      <c r="R238">
        <f>'Raw Data'!T238</f>
        <v>0</v>
      </c>
      <c r="S238">
        <f>IFERROR(O238,0)+IFERROR(R238,0)</f>
        <v>0</v>
      </c>
      <c r="T238">
        <f>IF(A238="","",YEAR(A238))</f>
        <v>0</v>
      </c>
    </row>
    <row r="239" spans="1:20">
      <c r="A239">
        <f>'Raw Data'!B239</f>
        <v>0</v>
      </c>
      <c r="B239">
        <f>'Raw Data'!A239</f>
        <v>0</v>
      </c>
      <c r="C239">
        <f>'Raw Data'!C239</f>
        <v>0</v>
      </c>
      <c r="D239">
        <f>'Raw Data'!D239</f>
        <v>0</v>
      </c>
      <c r="E239">
        <f>IFERROR(VLOOKUP(D239,'Lookup Tables'!$A:$B,2,FALSE),"Unknown")</f>
        <v>0</v>
      </c>
      <c r="F239">
        <f>'Raw Data'!E239</f>
        <v>0</v>
      </c>
      <c r="G239">
        <f>IFERROR(VLOOKUP(D239,'Lookup Tables'!$A:$C,3,FALSE),IF(ISNUMBER(SEARCH("STEEL",F239)),"Steel","Others"))</f>
        <v>0</v>
      </c>
      <c r="H239">
        <f>IF(ISNUMBER(SEARCH("scrubber",F239)) , "Scrubber", IF(ISNUMBER(SEARCH("container",F239)),"Container", IF(ISNUMBER(SEARCH("basket",F239)),"Basket", IF(ISNUMBER(SEARCH("lunch",F239)),"Lunch Box", IF(ISNUMBER(SEARCH("cutlery",F239)),"Cutlery","Other")))))</f>
        <v>0</v>
      </c>
      <c r="I239">
        <f>IF('Raw Data'!G239&lt;&gt;'','Raw Data'!G239,IFERROR(MID(F239,SEARCH("MODEL",F239)+6,20),""))</f>
        <v>0</v>
      </c>
      <c r="J239">
        <f>'Raw Data'!H239</f>
        <v>0</v>
      </c>
      <c r="K239">
        <f>'Raw Data'!I239</f>
        <v>0</v>
      </c>
      <c r="L239">
        <f>IF('Raw Data'!N239&lt;&gt;0,'Raw Data'!N239,IFERROR(VALUE(MID(F239,SEARCH("QTY",F239)+4,IFERROR(FIND(" ",F239,SEARCH("QTY",F239)+4)-(SEARCH("QTY",F239)+4),3))),""))</f>
        <v>0</v>
      </c>
      <c r="M239">
        <f>'Raw Data'!O239</f>
        <v>0</v>
      </c>
      <c r="N239">
        <f>'Raw Data'!P239</f>
        <v>0</v>
      </c>
      <c r="O239">
        <f>'Raw Data'!Q239</f>
        <v>0</v>
      </c>
      <c r="P239">
        <f>'Raw Data'!R239</f>
        <v>0</v>
      </c>
      <c r="Q239">
        <f>'Raw Data'!S239</f>
        <v>0</v>
      </c>
      <c r="R239">
        <f>'Raw Data'!T239</f>
        <v>0</v>
      </c>
      <c r="S239">
        <f>IFERROR(O239,0)+IFERROR(R239,0)</f>
        <v>0</v>
      </c>
      <c r="T239">
        <f>IF(A239="","",YEAR(A239))</f>
        <v>0</v>
      </c>
    </row>
    <row r="240" spans="1:20">
      <c r="A240">
        <f>'Raw Data'!B240</f>
        <v>0</v>
      </c>
      <c r="B240">
        <f>'Raw Data'!A240</f>
        <v>0</v>
      </c>
      <c r="C240">
        <f>'Raw Data'!C240</f>
        <v>0</v>
      </c>
      <c r="D240">
        <f>'Raw Data'!D240</f>
        <v>0</v>
      </c>
      <c r="E240">
        <f>IFERROR(VLOOKUP(D240,'Lookup Tables'!$A:$B,2,FALSE),"Unknown")</f>
        <v>0</v>
      </c>
      <c r="F240">
        <f>'Raw Data'!E240</f>
        <v>0</v>
      </c>
      <c r="G240">
        <f>IFERROR(VLOOKUP(D240,'Lookup Tables'!$A:$C,3,FALSE),IF(ISNUMBER(SEARCH("STEEL",F240)),"Steel","Others"))</f>
        <v>0</v>
      </c>
      <c r="H240">
        <f>IF(ISNUMBER(SEARCH("scrubber",F240)) , "Scrubber", IF(ISNUMBER(SEARCH("container",F240)),"Container", IF(ISNUMBER(SEARCH("basket",F240)),"Basket", IF(ISNUMBER(SEARCH("lunch",F240)),"Lunch Box", IF(ISNUMBER(SEARCH("cutlery",F240)),"Cutlery","Other")))))</f>
        <v>0</v>
      </c>
      <c r="I240">
        <f>IF('Raw Data'!G240&lt;&gt;'','Raw Data'!G240,IFERROR(MID(F240,SEARCH("MODEL",F240)+6,20),""))</f>
        <v>0</v>
      </c>
      <c r="J240">
        <f>'Raw Data'!H240</f>
        <v>0</v>
      </c>
      <c r="K240">
        <f>'Raw Data'!I240</f>
        <v>0</v>
      </c>
      <c r="L240">
        <f>IF('Raw Data'!N240&lt;&gt;0,'Raw Data'!N240,IFERROR(VALUE(MID(F240,SEARCH("QTY",F240)+4,IFERROR(FIND(" ",F240,SEARCH("QTY",F240)+4)-(SEARCH("QTY",F240)+4),3))),""))</f>
        <v>0</v>
      </c>
      <c r="M240">
        <f>'Raw Data'!O240</f>
        <v>0</v>
      </c>
      <c r="N240">
        <f>'Raw Data'!P240</f>
        <v>0</v>
      </c>
      <c r="O240">
        <f>'Raw Data'!Q240</f>
        <v>0</v>
      </c>
      <c r="P240">
        <f>'Raw Data'!R240</f>
        <v>0</v>
      </c>
      <c r="Q240">
        <f>'Raw Data'!S240</f>
        <v>0</v>
      </c>
      <c r="R240">
        <f>'Raw Data'!T240</f>
        <v>0</v>
      </c>
      <c r="S240">
        <f>IFERROR(O240,0)+IFERROR(R240,0)</f>
        <v>0</v>
      </c>
      <c r="T240">
        <f>IF(A240="","",YEAR(A240))</f>
        <v>0</v>
      </c>
    </row>
    <row r="241" spans="1:20">
      <c r="A241">
        <f>'Raw Data'!B241</f>
        <v>0</v>
      </c>
      <c r="B241">
        <f>'Raw Data'!A241</f>
        <v>0</v>
      </c>
      <c r="C241">
        <f>'Raw Data'!C241</f>
        <v>0</v>
      </c>
      <c r="D241">
        <f>'Raw Data'!D241</f>
        <v>0</v>
      </c>
      <c r="E241">
        <f>IFERROR(VLOOKUP(D241,'Lookup Tables'!$A:$B,2,FALSE),"Unknown")</f>
        <v>0</v>
      </c>
      <c r="F241">
        <f>'Raw Data'!E241</f>
        <v>0</v>
      </c>
      <c r="G241">
        <f>IFERROR(VLOOKUP(D241,'Lookup Tables'!$A:$C,3,FALSE),IF(ISNUMBER(SEARCH("STEEL",F241)),"Steel","Others"))</f>
        <v>0</v>
      </c>
      <c r="H241">
        <f>IF(ISNUMBER(SEARCH("scrubber",F241)) , "Scrubber", IF(ISNUMBER(SEARCH("container",F241)),"Container", IF(ISNUMBER(SEARCH("basket",F241)),"Basket", IF(ISNUMBER(SEARCH("lunch",F241)),"Lunch Box", IF(ISNUMBER(SEARCH("cutlery",F241)),"Cutlery","Other")))))</f>
        <v>0</v>
      </c>
      <c r="I241">
        <f>IF('Raw Data'!G241&lt;&gt;'','Raw Data'!G241,IFERROR(MID(F241,SEARCH("MODEL",F241)+6,20),""))</f>
        <v>0</v>
      </c>
      <c r="J241">
        <f>'Raw Data'!H241</f>
        <v>0</v>
      </c>
      <c r="K241">
        <f>'Raw Data'!I241</f>
        <v>0</v>
      </c>
      <c r="L241">
        <f>IF('Raw Data'!N241&lt;&gt;0,'Raw Data'!N241,IFERROR(VALUE(MID(F241,SEARCH("QTY",F241)+4,IFERROR(FIND(" ",F241,SEARCH("QTY",F241)+4)-(SEARCH("QTY",F241)+4),3))),""))</f>
        <v>0</v>
      </c>
      <c r="M241">
        <f>'Raw Data'!O241</f>
        <v>0</v>
      </c>
      <c r="N241">
        <f>'Raw Data'!P241</f>
        <v>0</v>
      </c>
      <c r="O241">
        <f>'Raw Data'!Q241</f>
        <v>0</v>
      </c>
      <c r="P241">
        <f>'Raw Data'!R241</f>
        <v>0</v>
      </c>
      <c r="Q241">
        <f>'Raw Data'!S241</f>
        <v>0</v>
      </c>
      <c r="R241">
        <f>'Raw Data'!T241</f>
        <v>0</v>
      </c>
      <c r="S241">
        <f>IFERROR(O241,0)+IFERROR(R241,0)</f>
        <v>0</v>
      </c>
      <c r="T241">
        <f>IF(A241="","",YEAR(A241))</f>
        <v>0</v>
      </c>
    </row>
    <row r="242" spans="1:20">
      <c r="A242">
        <f>'Raw Data'!B242</f>
        <v>0</v>
      </c>
      <c r="B242">
        <f>'Raw Data'!A242</f>
        <v>0</v>
      </c>
      <c r="C242">
        <f>'Raw Data'!C242</f>
        <v>0</v>
      </c>
      <c r="D242">
        <f>'Raw Data'!D242</f>
        <v>0</v>
      </c>
      <c r="E242">
        <f>IFERROR(VLOOKUP(D242,'Lookup Tables'!$A:$B,2,FALSE),"Unknown")</f>
        <v>0</v>
      </c>
      <c r="F242">
        <f>'Raw Data'!E242</f>
        <v>0</v>
      </c>
      <c r="G242">
        <f>IFERROR(VLOOKUP(D242,'Lookup Tables'!$A:$C,3,FALSE),IF(ISNUMBER(SEARCH("STEEL",F242)),"Steel","Others"))</f>
        <v>0</v>
      </c>
      <c r="H242">
        <f>IF(ISNUMBER(SEARCH("scrubber",F242)) , "Scrubber", IF(ISNUMBER(SEARCH("container",F242)),"Container", IF(ISNUMBER(SEARCH("basket",F242)),"Basket", IF(ISNUMBER(SEARCH("lunch",F242)),"Lunch Box", IF(ISNUMBER(SEARCH("cutlery",F242)),"Cutlery","Other")))))</f>
        <v>0</v>
      </c>
      <c r="I242">
        <f>IF('Raw Data'!G242&lt;&gt;'','Raw Data'!G242,IFERROR(MID(F242,SEARCH("MODEL",F242)+6,20),""))</f>
        <v>0</v>
      </c>
      <c r="J242">
        <f>'Raw Data'!H242</f>
        <v>0</v>
      </c>
      <c r="K242">
        <f>'Raw Data'!I242</f>
        <v>0</v>
      </c>
      <c r="L242">
        <f>IF('Raw Data'!N242&lt;&gt;0,'Raw Data'!N242,IFERROR(VALUE(MID(F242,SEARCH("QTY",F242)+4,IFERROR(FIND(" ",F242,SEARCH("QTY",F242)+4)-(SEARCH("QTY",F242)+4),3))),""))</f>
        <v>0</v>
      </c>
      <c r="M242">
        <f>'Raw Data'!O242</f>
        <v>0</v>
      </c>
      <c r="N242">
        <f>'Raw Data'!P242</f>
        <v>0</v>
      </c>
      <c r="O242">
        <f>'Raw Data'!Q242</f>
        <v>0</v>
      </c>
      <c r="P242">
        <f>'Raw Data'!R242</f>
        <v>0</v>
      </c>
      <c r="Q242">
        <f>'Raw Data'!S242</f>
        <v>0</v>
      </c>
      <c r="R242">
        <f>'Raw Data'!T242</f>
        <v>0</v>
      </c>
      <c r="S242">
        <f>IFERROR(O242,0)+IFERROR(R242,0)</f>
        <v>0</v>
      </c>
      <c r="T242">
        <f>IF(A242="","",YEAR(A242))</f>
        <v>0</v>
      </c>
    </row>
    <row r="243" spans="1:20">
      <c r="A243">
        <f>'Raw Data'!B243</f>
        <v>0</v>
      </c>
      <c r="B243">
        <f>'Raw Data'!A243</f>
        <v>0</v>
      </c>
      <c r="C243">
        <f>'Raw Data'!C243</f>
        <v>0</v>
      </c>
      <c r="D243">
        <f>'Raw Data'!D243</f>
        <v>0</v>
      </c>
      <c r="E243">
        <f>IFERROR(VLOOKUP(D243,'Lookup Tables'!$A:$B,2,FALSE),"Unknown")</f>
        <v>0</v>
      </c>
      <c r="F243">
        <f>'Raw Data'!E243</f>
        <v>0</v>
      </c>
      <c r="G243">
        <f>IFERROR(VLOOKUP(D243,'Lookup Tables'!$A:$C,3,FALSE),IF(ISNUMBER(SEARCH("STEEL",F243)),"Steel","Others"))</f>
        <v>0</v>
      </c>
      <c r="H243">
        <f>IF(ISNUMBER(SEARCH("scrubber",F243)) , "Scrubber", IF(ISNUMBER(SEARCH("container",F243)),"Container", IF(ISNUMBER(SEARCH("basket",F243)),"Basket", IF(ISNUMBER(SEARCH("lunch",F243)),"Lunch Box", IF(ISNUMBER(SEARCH("cutlery",F243)),"Cutlery","Other")))))</f>
        <v>0</v>
      </c>
      <c r="I243">
        <f>IF('Raw Data'!G243&lt;&gt;'','Raw Data'!G243,IFERROR(MID(F243,SEARCH("MODEL",F243)+6,20),""))</f>
        <v>0</v>
      </c>
      <c r="J243">
        <f>'Raw Data'!H243</f>
        <v>0</v>
      </c>
      <c r="K243">
        <f>'Raw Data'!I243</f>
        <v>0</v>
      </c>
      <c r="L243">
        <f>IF('Raw Data'!N243&lt;&gt;0,'Raw Data'!N243,IFERROR(VALUE(MID(F243,SEARCH("QTY",F243)+4,IFERROR(FIND(" ",F243,SEARCH("QTY",F243)+4)-(SEARCH("QTY",F243)+4),3))),""))</f>
        <v>0</v>
      </c>
      <c r="M243">
        <f>'Raw Data'!O243</f>
        <v>0</v>
      </c>
      <c r="N243">
        <f>'Raw Data'!P243</f>
        <v>0</v>
      </c>
      <c r="O243">
        <f>'Raw Data'!Q243</f>
        <v>0</v>
      </c>
      <c r="P243">
        <f>'Raw Data'!R243</f>
        <v>0</v>
      </c>
      <c r="Q243">
        <f>'Raw Data'!S243</f>
        <v>0</v>
      </c>
      <c r="R243">
        <f>'Raw Data'!T243</f>
        <v>0</v>
      </c>
      <c r="S243">
        <f>IFERROR(O243,0)+IFERROR(R243,0)</f>
        <v>0</v>
      </c>
      <c r="T243">
        <f>IF(A243="","",YEAR(A243))</f>
        <v>0</v>
      </c>
    </row>
    <row r="244" spans="1:20">
      <c r="A244">
        <f>'Raw Data'!B244</f>
        <v>0</v>
      </c>
      <c r="B244">
        <f>'Raw Data'!A244</f>
        <v>0</v>
      </c>
      <c r="C244">
        <f>'Raw Data'!C244</f>
        <v>0</v>
      </c>
      <c r="D244">
        <f>'Raw Data'!D244</f>
        <v>0</v>
      </c>
      <c r="E244">
        <f>IFERROR(VLOOKUP(D244,'Lookup Tables'!$A:$B,2,FALSE),"Unknown")</f>
        <v>0</v>
      </c>
      <c r="F244">
        <f>'Raw Data'!E244</f>
        <v>0</v>
      </c>
      <c r="G244">
        <f>IFERROR(VLOOKUP(D244,'Lookup Tables'!$A:$C,3,FALSE),IF(ISNUMBER(SEARCH("STEEL",F244)),"Steel","Others"))</f>
        <v>0</v>
      </c>
      <c r="H244">
        <f>IF(ISNUMBER(SEARCH("scrubber",F244)) , "Scrubber", IF(ISNUMBER(SEARCH("container",F244)),"Container", IF(ISNUMBER(SEARCH("basket",F244)),"Basket", IF(ISNUMBER(SEARCH("lunch",F244)),"Lunch Box", IF(ISNUMBER(SEARCH("cutlery",F244)),"Cutlery","Other")))))</f>
        <v>0</v>
      </c>
      <c r="I244">
        <f>IF('Raw Data'!G244&lt;&gt;'','Raw Data'!G244,IFERROR(MID(F244,SEARCH("MODEL",F244)+6,20),""))</f>
        <v>0</v>
      </c>
      <c r="J244">
        <f>'Raw Data'!H244</f>
        <v>0</v>
      </c>
      <c r="K244">
        <f>'Raw Data'!I244</f>
        <v>0</v>
      </c>
      <c r="L244">
        <f>IF('Raw Data'!N244&lt;&gt;0,'Raw Data'!N244,IFERROR(VALUE(MID(F244,SEARCH("QTY",F244)+4,IFERROR(FIND(" ",F244,SEARCH("QTY",F244)+4)-(SEARCH("QTY",F244)+4),3))),""))</f>
        <v>0</v>
      </c>
      <c r="M244">
        <f>'Raw Data'!O244</f>
        <v>0</v>
      </c>
      <c r="N244">
        <f>'Raw Data'!P244</f>
        <v>0</v>
      </c>
      <c r="O244">
        <f>'Raw Data'!Q244</f>
        <v>0</v>
      </c>
      <c r="P244">
        <f>'Raw Data'!R244</f>
        <v>0</v>
      </c>
      <c r="Q244">
        <f>'Raw Data'!S244</f>
        <v>0</v>
      </c>
      <c r="R244">
        <f>'Raw Data'!T244</f>
        <v>0</v>
      </c>
      <c r="S244">
        <f>IFERROR(O244,0)+IFERROR(R244,0)</f>
        <v>0</v>
      </c>
      <c r="T244">
        <f>IF(A244="","",YEAR(A244))</f>
        <v>0</v>
      </c>
    </row>
    <row r="245" spans="1:20">
      <c r="A245">
        <f>'Raw Data'!B245</f>
        <v>0</v>
      </c>
      <c r="B245">
        <f>'Raw Data'!A245</f>
        <v>0</v>
      </c>
      <c r="C245">
        <f>'Raw Data'!C245</f>
        <v>0</v>
      </c>
      <c r="D245">
        <f>'Raw Data'!D245</f>
        <v>0</v>
      </c>
      <c r="E245">
        <f>IFERROR(VLOOKUP(D245,'Lookup Tables'!$A:$B,2,FALSE),"Unknown")</f>
        <v>0</v>
      </c>
      <c r="F245">
        <f>'Raw Data'!E245</f>
        <v>0</v>
      </c>
      <c r="G245">
        <f>IFERROR(VLOOKUP(D245,'Lookup Tables'!$A:$C,3,FALSE),IF(ISNUMBER(SEARCH("STEEL",F245)),"Steel","Others"))</f>
        <v>0</v>
      </c>
      <c r="H245">
        <f>IF(ISNUMBER(SEARCH("scrubber",F245)) , "Scrubber", IF(ISNUMBER(SEARCH("container",F245)),"Container", IF(ISNUMBER(SEARCH("basket",F245)),"Basket", IF(ISNUMBER(SEARCH("lunch",F245)),"Lunch Box", IF(ISNUMBER(SEARCH("cutlery",F245)),"Cutlery","Other")))))</f>
        <v>0</v>
      </c>
      <c r="I245">
        <f>IF('Raw Data'!G245&lt;&gt;'','Raw Data'!G245,IFERROR(MID(F245,SEARCH("MODEL",F245)+6,20),""))</f>
        <v>0</v>
      </c>
      <c r="J245">
        <f>'Raw Data'!H245</f>
        <v>0</v>
      </c>
      <c r="K245">
        <f>'Raw Data'!I245</f>
        <v>0</v>
      </c>
      <c r="L245">
        <f>IF('Raw Data'!N245&lt;&gt;0,'Raw Data'!N245,IFERROR(VALUE(MID(F245,SEARCH("QTY",F245)+4,IFERROR(FIND(" ",F245,SEARCH("QTY",F245)+4)-(SEARCH("QTY",F245)+4),3))),""))</f>
        <v>0</v>
      </c>
      <c r="M245">
        <f>'Raw Data'!O245</f>
        <v>0</v>
      </c>
      <c r="N245">
        <f>'Raw Data'!P245</f>
        <v>0</v>
      </c>
      <c r="O245">
        <f>'Raw Data'!Q245</f>
        <v>0</v>
      </c>
      <c r="P245">
        <f>'Raw Data'!R245</f>
        <v>0</v>
      </c>
      <c r="Q245">
        <f>'Raw Data'!S245</f>
        <v>0</v>
      </c>
      <c r="R245">
        <f>'Raw Data'!T245</f>
        <v>0</v>
      </c>
      <c r="S245">
        <f>IFERROR(O245,0)+IFERROR(R245,0)</f>
        <v>0</v>
      </c>
      <c r="T245">
        <f>IF(A245="","",YEAR(A245))</f>
        <v>0</v>
      </c>
    </row>
    <row r="246" spans="1:20">
      <c r="A246">
        <f>'Raw Data'!B246</f>
        <v>0</v>
      </c>
      <c r="B246">
        <f>'Raw Data'!A246</f>
        <v>0</v>
      </c>
      <c r="C246">
        <f>'Raw Data'!C246</f>
        <v>0</v>
      </c>
      <c r="D246">
        <f>'Raw Data'!D246</f>
        <v>0</v>
      </c>
      <c r="E246">
        <f>IFERROR(VLOOKUP(D246,'Lookup Tables'!$A:$B,2,FALSE),"Unknown")</f>
        <v>0</v>
      </c>
      <c r="F246">
        <f>'Raw Data'!E246</f>
        <v>0</v>
      </c>
      <c r="G246">
        <f>IFERROR(VLOOKUP(D246,'Lookup Tables'!$A:$C,3,FALSE),IF(ISNUMBER(SEARCH("STEEL",F246)),"Steel","Others"))</f>
        <v>0</v>
      </c>
      <c r="H246">
        <f>IF(ISNUMBER(SEARCH("scrubber",F246)) , "Scrubber", IF(ISNUMBER(SEARCH("container",F246)),"Container", IF(ISNUMBER(SEARCH("basket",F246)),"Basket", IF(ISNUMBER(SEARCH("lunch",F246)),"Lunch Box", IF(ISNUMBER(SEARCH("cutlery",F246)),"Cutlery","Other")))))</f>
        <v>0</v>
      </c>
      <c r="I246">
        <f>IF('Raw Data'!G246&lt;&gt;'','Raw Data'!G246,IFERROR(MID(F246,SEARCH("MODEL",F246)+6,20),""))</f>
        <v>0</v>
      </c>
      <c r="J246">
        <f>'Raw Data'!H246</f>
        <v>0</v>
      </c>
      <c r="K246">
        <f>'Raw Data'!I246</f>
        <v>0</v>
      </c>
      <c r="L246">
        <f>IF('Raw Data'!N246&lt;&gt;0,'Raw Data'!N246,IFERROR(VALUE(MID(F246,SEARCH("QTY",F246)+4,IFERROR(FIND(" ",F246,SEARCH("QTY",F246)+4)-(SEARCH("QTY",F246)+4),3))),""))</f>
        <v>0</v>
      </c>
      <c r="M246">
        <f>'Raw Data'!O246</f>
        <v>0</v>
      </c>
      <c r="N246">
        <f>'Raw Data'!P246</f>
        <v>0</v>
      </c>
      <c r="O246">
        <f>'Raw Data'!Q246</f>
        <v>0</v>
      </c>
      <c r="P246">
        <f>'Raw Data'!R246</f>
        <v>0</v>
      </c>
      <c r="Q246">
        <f>'Raw Data'!S246</f>
        <v>0</v>
      </c>
      <c r="R246">
        <f>'Raw Data'!T246</f>
        <v>0</v>
      </c>
      <c r="S246">
        <f>IFERROR(O246,0)+IFERROR(R246,0)</f>
        <v>0</v>
      </c>
      <c r="T246">
        <f>IF(A246="","",YEAR(A246))</f>
        <v>0</v>
      </c>
    </row>
    <row r="247" spans="1:20">
      <c r="A247">
        <f>'Raw Data'!B247</f>
        <v>0</v>
      </c>
      <c r="B247">
        <f>'Raw Data'!A247</f>
        <v>0</v>
      </c>
      <c r="C247">
        <f>'Raw Data'!C247</f>
        <v>0</v>
      </c>
      <c r="D247">
        <f>'Raw Data'!D247</f>
        <v>0</v>
      </c>
      <c r="E247">
        <f>IFERROR(VLOOKUP(D247,'Lookup Tables'!$A:$B,2,FALSE),"Unknown")</f>
        <v>0</v>
      </c>
      <c r="F247">
        <f>'Raw Data'!E247</f>
        <v>0</v>
      </c>
      <c r="G247">
        <f>IFERROR(VLOOKUP(D247,'Lookup Tables'!$A:$C,3,FALSE),IF(ISNUMBER(SEARCH("STEEL",F247)),"Steel","Others"))</f>
        <v>0</v>
      </c>
      <c r="H247">
        <f>IF(ISNUMBER(SEARCH("scrubber",F247)) , "Scrubber", IF(ISNUMBER(SEARCH("container",F247)),"Container", IF(ISNUMBER(SEARCH("basket",F247)),"Basket", IF(ISNUMBER(SEARCH("lunch",F247)),"Lunch Box", IF(ISNUMBER(SEARCH("cutlery",F247)),"Cutlery","Other")))))</f>
        <v>0</v>
      </c>
      <c r="I247">
        <f>IF('Raw Data'!G247&lt;&gt;'','Raw Data'!G247,IFERROR(MID(F247,SEARCH("MODEL",F247)+6,20),""))</f>
        <v>0</v>
      </c>
      <c r="J247">
        <f>'Raw Data'!H247</f>
        <v>0</v>
      </c>
      <c r="K247">
        <f>'Raw Data'!I247</f>
        <v>0</v>
      </c>
      <c r="L247">
        <f>IF('Raw Data'!N247&lt;&gt;0,'Raw Data'!N247,IFERROR(VALUE(MID(F247,SEARCH("QTY",F247)+4,IFERROR(FIND(" ",F247,SEARCH("QTY",F247)+4)-(SEARCH("QTY",F247)+4),3))),""))</f>
        <v>0</v>
      </c>
      <c r="M247">
        <f>'Raw Data'!O247</f>
        <v>0</v>
      </c>
      <c r="N247">
        <f>'Raw Data'!P247</f>
        <v>0</v>
      </c>
      <c r="O247">
        <f>'Raw Data'!Q247</f>
        <v>0</v>
      </c>
      <c r="P247">
        <f>'Raw Data'!R247</f>
        <v>0</v>
      </c>
      <c r="Q247">
        <f>'Raw Data'!S247</f>
        <v>0</v>
      </c>
      <c r="R247">
        <f>'Raw Data'!T247</f>
        <v>0</v>
      </c>
      <c r="S247">
        <f>IFERROR(O247,0)+IFERROR(R247,0)</f>
        <v>0</v>
      </c>
      <c r="T247">
        <f>IF(A247="","",YEAR(A247))</f>
        <v>0</v>
      </c>
    </row>
    <row r="248" spans="1:20">
      <c r="A248">
        <f>'Raw Data'!B248</f>
        <v>0</v>
      </c>
      <c r="B248">
        <f>'Raw Data'!A248</f>
        <v>0</v>
      </c>
      <c r="C248">
        <f>'Raw Data'!C248</f>
        <v>0</v>
      </c>
      <c r="D248">
        <f>'Raw Data'!D248</f>
        <v>0</v>
      </c>
      <c r="E248">
        <f>IFERROR(VLOOKUP(D248,'Lookup Tables'!$A:$B,2,FALSE),"Unknown")</f>
        <v>0</v>
      </c>
      <c r="F248">
        <f>'Raw Data'!E248</f>
        <v>0</v>
      </c>
      <c r="G248">
        <f>IFERROR(VLOOKUP(D248,'Lookup Tables'!$A:$C,3,FALSE),IF(ISNUMBER(SEARCH("STEEL",F248)),"Steel","Others"))</f>
        <v>0</v>
      </c>
      <c r="H248">
        <f>IF(ISNUMBER(SEARCH("scrubber",F248)) , "Scrubber", IF(ISNUMBER(SEARCH("container",F248)),"Container", IF(ISNUMBER(SEARCH("basket",F248)),"Basket", IF(ISNUMBER(SEARCH("lunch",F248)),"Lunch Box", IF(ISNUMBER(SEARCH("cutlery",F248)),"Cutlery","Other")))))</f>
        <v>0</v>
      </c>
      <c r="I248">
        <f>IF('Raw Data'!G248&lt;&gt;'','Raw Data'!G248,IFERROR(MID(F248,SEARCH("MODEL",F248)+6,20),""))</f>
        <v>0</v>
      </c>
      <c r="J248">
        <f>'Raw Data'!H248</f>
        <v>0</v>
      </c>
      <c r="K248">
        <f>'Raw Data'!I248</f>
        <v>0</v>
      </c>
      <c r="L248">
        <f>IF('Raw Data'!N248&lt;&gt;0,'Raw Data'!N248,IFERROR(VALUE(MID(F248,SEARCH("QTY",F248)+4,IFERROR(FIND(" ",F248,SEARCH("QTY",F248)+4)-(SEARCH("QTY",F248)+4),3))),""))</f>
        <v>0</v>
      </c>
      <c r="M248">
        <f>'Raw Data'!O248</f>
        <v>0</v>
      </c>
      <c r="N248">
        <f>'Raw Data'!P248</f>
        <v>0</v>
      </c>
      <c r="O248">
        <f>'Raw Data'!Q248</f>
        <v>0</v>
      </c>
      <c r="P248">
        <f>'Raw Data'!R248</f>
        <v>0</v>
      </c>
      <c r="Q248">
        <f>'Raw Data'!S248</f>
        <v>0</v>
      </c>
      <c r="R248">
        <f>'Raw Data'!T248</f>
        <v>0</v>
      </c>
      <c r="S248">
        <f>IFERROR(O248,0)+IFERROR(R248,0)</f>
        <v>0</v>
      </c>
      <c r="T248">
        <f>IF(A248="","",YEAR(A248))</f>
        <v>0</v>
      </c>
    </row>
    <row r="249" spans="1:20">
      <c r="A249">
        <f>'Raw Data'!B249</f>
        <v>0</v>
      </c>
      <c r="B249">
        <f>'Raw Data'!A249</f>
        <v>0</v>
      </c>
      <c r="C249">
        <f>'Raw Data'!C249</f>
        <v>0</v>
      </c>
      <c r="D249">
        <f>'Raw Data'!D249</f>
        <v>0</v>
      </c>
      <c r="E249">
        <f>IFERROR(VLOOKUP(D249,'Lookup Tables'!$A:$B,2,FALSE),"Unknown")</f>
        <v>0</v>
      </c>
      <c r="F249">
        <f>'Raw Data'!E249</f>
        <v>0</v>
      </c>
      <c r="G249">
        <f>IFERROR(VLOOKUP(D249,'Lookup Tables'!$A:$C,3,FALSE),IF(ISNUMBER(SEARCH("STEEL",F249)),"Steel","Others"))</f>
        <v>0</v>
      </c>
      <c r="H249">
        <f>IF(ISNUMBER(SEARCH("scrubber",F249)) , "Scrubber", IF(ISNUMBER(SEARCH("container",F249)),"Container", IF(ISNUMBER(SEARCH("basket",F249)),"Basket", IF(ISNUMBER(SEARCH("lunch",F249)),"Lunch Box", IF(ISNUMBER(SEARCH("cutlery",F249)),"Cutlery","Other")))))</f>
        <v>0</v>
      </c>
      <c r="I249">
        <f>IF('Raw Data'!G249&lt;&gt;'','Raw Data'!G249,IFERROR(MID(F249,SEARCH("MODEL",F249)+6,20),""))</f>
        <v>0</v>
      </c>
      <c r="J249">
        <f>'Raw Data'!H249</f>
        <v>0</v>
      </c>
      <c r="K249">
        <f>'Raw Data'!I249</f>
        <v>0</v>
      </c>
      <c r="L249">
        <f>IF('Raw Data'!N249&lt;&gt;0,'Raw Data'!N249,IFERROR(VALUE(MID(F249,SEARCH("QTY",F249)+4,IFERROR(FIND(" ",F249,SEARCH("QTY",F249)+4)-(SEARCH("QTY",F249)+4),3))),""))</f>
        <v>0</v>
      </c>
      <c r="M249">
        <f>'Raw Data'!O249</f>
        <v>0</v>
      </c>
      <c r="N249">
        <f>'Raw Data'!P249</f>
        <v>0</v>
      </c>
      <c r="O249">
        <f>'Raw Data'!Q249</f>
        <v>0</v>
      </c>
      <c r="P249">
        <f>'Raw Data'!R249</f>
        <v>0</v>
      </c>
      <c r="Q249">
        <f>'Raw Data'!S249</f>
        <v>0</v>
      </c>
      <c r="R249">
        <f>'Raw Data'!T249</f>
        <v>0</v>
      </c>
      <c r="S249">
        <f>IFERROR(O249,0)+IFERROR(R249,0)</f>
        <v>0</v>
      </c>
      <c r="T249">
        <f>IF(A249="","",YEAR(A249))</f>
        <v>0</v>
      </c>
    </row>
    <row r="250" spans="1:20">
      <c r="A250">
        <f>'Raw Data'!B250</f>
        <v>0</v>
      </c>
      <c r="B250">
        <f>'Raw Data'!A250</f>
        <v>0</v>
      </c>
      <c r="C250">
        <f>'Raw Data'!C250</f>
        <v>0</v>
      </c>
      <c r="D250">
        <f>'Raw Data'!D250</f>
        <v>0</v>
      </c>
      <c r="E250">
        <f>IFERROR(VLOOKUP(D250,'Lookup Tables'!$A:$B,2,FALSE),"Unknown")</f>
        <v>0</v>
      </c>
      <c r="F250">
        <f>'Raw Data'!E250</f>
        <v>0</v>
      </c>
      <c r="G250">
        <f>IFERROR(VLOOKUP(D250,'Lookup Tables'!$A:$C,3,FALSE),IF(ISNUMBER(SEARCH("STEEL",F250)),"Steel","Others"))</f>
        <v>0</v>
      </c>
      <c r="H250">
        <f>IF(ISNUMBER(SEARCH("scrubber",F250)) , "Scrubber", IF(ISNUMBER(SEARCH("container",F250)),"Container", IF(ISNUMBER(SEARCH("basket",F250)),"Basket", IF(ISNUMBER(SEARCH("lunch",F250)),"Lunch Box", IF(ISNUMBER(SEARCH("cutlery",F250)),"Cutlery","Other")))))</f>
        <v>0</v>
      </c>
      <c r="I250">
        <f>IF('Raw Data'!G250&lt;&gt;'','Raw Data'!G250,IFERROR(MID(F250,SEARCH("MODEL",F250)+6,20),""))</f>
        <v>0</v>
      </c>
      <c r="J250">
        <f>'Raw Data'!H250</f>
        <v>0</v>
      </c>
      <c r="K250">
        <f>'Raw Data'!I250</f>
        <v>0</v>
      </c>
      <c r="L250">
        <f>IF('Raw Data'!N250&lt;&gt;0,'Raw Data'!N250,IFERROR(VALUE(MID(F250,SEARCH("QTY",F250)+4,IFERROR(FIND(" ",F250,SEARCH("QTY",F250)+4)-(SEARCH("QTY",F250)+4),3))),""))</f>
        <v>0</v>
      </c>
      <c r="M250">
        <f>'Raw Data'!O250</f>
        <v>0</v>
      </c>
      <c r="N250">
        <f>'Raw Data'!P250</f>
        <v>0</v>
      </c>
      <c r="O250">
        <f>'Raw Data'!Q250</f>
        <v>0</v>
      </c>
      <c r="P250">
        <f>'Raw Data'!R250</f>
        <v>0</v>
      </c>
      <c r="Q250">
        <f>'Raw Data'!S250</f>
        <v>0</v>
      </c>
      <c r="R250">
        <f>'Raw Data'!T250</f>
        <v>0</v>
      </c>
      <c r="S250">
        <f>IFERROR(O250,0)+IFERROR(R250,0)</f>
        <v>0</v>
      </c>
      <c r="T250">
        <f>IF(A250="","",YEAR(A250))</f>
        <v>0</v>
      </c>
    </row>
    <row r="251" spans="1:20">
      <c r="A251">
        <f>'Raw Data'!B251</f>
        <v>0</v>
      </c>
      <c r="B251">
        <f>'Raw Data'!A251</f>
        <v>0</v>
      </c>
      <c r="C251">
        <f>'Raw Data'!C251</f>
        <v>0</v>
      </c>
      <c r="D251">
        <f>'Raw Data'!D251</f>
        <v>0</v>
      </c>
      <c r="E251">
        <f>IFERROR(VLOOKUP(D251,'Lookup Tables'!$A:$B,2,FALSE),"Unknown")</f>
        <v>0</v>
      </c>
      <c r="F251">
        <f>'Raw Data'!E251</f>
        <v>0</v>
      </c>
      <c r="G251">
        <f>IFERROR(VLOOKUP(D251,'Lookup Tables'!$A:$C,3,FALSE),IF(ISNUMBER(SEARCH("STEEL",F251)),"Steel","Others"))</f>
        <v>0</v>
      </c>
      <c r="H251">
        <f>IF(ISNUMBER(SEARCH("scrubber",F251)) , "Scrubber", IF(ISNUMBER(SEARCH("container",F251)),"Container", IF(ISNUMBER(SEARCH("basket",F251)),"Basket", IF(ISNUMBER(SEARCH("lunch",F251)),"Lunch Box", IF(ISNUMBER(SEARCH("cutlery",F251)),"Cutlery","Other")))))</f>
        <v>0</v>
      </c>
      <c r="I251">
        <f>IF('Raw Data'!G251&lt;&gt;'','Raw Data'!G251,IFERROR(MID(F251,SEARCH("MODEL",F251)+6,20),""))</f>
        <v>0</v>
      </c>
      <c r="J251">
        <f>'Raw Data'!H251</f>
        <v>0</v>
      </c>
      <c r="K251">
        <f>'Raw Data'!I251</f>
        <v>0</v>
      </c>
      <c r="L251">
        <f>IF('Raw Data'!N251&lt;&gt;0,'Raw Data'!N251,IFERROR(VALUE(MID(F251,SEARCH("QTY",F251)+4,IFERROR(FIND(" ",F251,SEARCH("QTY",F251)+4)-(SEARCH("QTY",F251)+4),3))),""))</f>
        <v>0</v>
      </c>
      <c r="M251">
        <f>'Raw Data'!O251</f>
        <v>0</v>
      </c>
      <c r="N251">
        <f>'Raw Data'!P251</f>
        <v>0</v>
      </c>
      <c r="O251">
        <f>'Raw Data'!Q251</f>
        <v>0</v>
      </c>
      <c r="P251">
        <f>'Raw Data'!R251</f>
        <v>0</v>
      </c>
      <c r="Q251">
        <f>'Raw Data'!S251</f>
        <v>0</v>
      </c>
      <c r="R251">
        <f>'Raw Data'!T251</f>
        <v>0</v>
      </c>
      <c r="S251">
        <f>IFERROR(O251,0)+IFERROR(R251,0)</f>
        <v>0</v>
      </c>
      <c r="T251">
        <f>IF(A251="","",YEAR(A251))</f>
        <v>0</v>
      </c>
    </row>
    <row r="252" spans="1:20">
      <c r="A252">
        <f>'Raw Data'!B252</f>
        <v>0</v>
      </c>
      <c r="B252">
        <f>'Raw Data'!A252</f>
        <v>0</v>
      </c>
      <c r="C252">
        <f>'Raw Data'!C252</f>
        <v>0</v>
      </c>
      <c r="D252">
        <f>'Raw Data'!D252</f>
        <v>0</v>
      </c>
      <c r="E252">
        <f>IFERROR(VLOOKUP(D252,'Lookup Tables'!$A:$B,2,FALSE),"Unknown")</f>
        <v>0</v>
      </c>
      <c r="F252">
        <f>'Raw Data'!E252</f>
        <v>0</v>
      </c>
      <c r="G252">
        <f>IFERROR(VLOOKUP(D252,'Lookup Tables'!$A:$C,3,FALSE),IF(ISNUMBER(SEARCH("STEEL",F252)),"Steel","Others"))</f>
        <v>0</v>
      </c>
      <c r="H252">
        <f>IF(ISNUMBER(SEARCH("scrubber",F252)) , "Scrubber", IF(ISNUMBER(SEARCH("container",F252)),"Container", IF(ISNUMBER(SEARCH("basket",F252)),"Basket", IF(ISNUMBER(SEARCH("lunch",F252)),"Lunch Box", IF(ISNUMBER(SEARCH("cutlery",F252)),"Cutlery","Other")))))</f>
        <v>0</v>
      </c>
      <c r="I252">
        <f>IF('Raw Data'!G252&lt;&gt;'','Raw Data'!G252,IFERROR(MID(F252,SEARCH("MODEL",F252)+6,20),""))</f>
        <v>0</v>
      </c>
      <c r="J252">
        <f>'Raw Data'!H252</f>
        <v>0</v>
      </c>
      <c r="K252">
        <f>'Raw Data'!I252</f>
        <v>0</v>
      </c>
      <c r="L252">
        <f>IF('Raw Data'!N252&lt;&gt;0,'Raw Data'!N252,IFERROR(VALUE(MID(F252,SEARCH("QTY",F252)+4,IFERROR(FIND(" ",F252,SEARCH("QTY",F252)+4)-(SEARCH("QTY",F252)+4),3))),""))</f>
        <v>0</v>
      </c>
      <c r="M252">
        <f>'Raw Data'!O252</f>
        <v>0</v>
      </c>
      <c r="N252">
        <f>'Raw Data'!P252</f>
        <v>0</v>
      </c>
      <c r="O252">
        <f>'Raw Data'!Q252</f>
        <v>0</v>
      </c>
      <c r="P252">
        <f>'Raw Data'!R252</f>
        <v>0</v>
      </c>
      <c r="Q252">
        <f>'Raw Data'!S252</f>
        <v>0</v>
      </c>
      <c r="R252">
        <f>'Raw Data'!T252</f>
        <v>0</v>
      </c>
      <c r="S252">
        <f>IFERROR(O252,0)+IFERROR(R252,0)</f>
        <v>0</v>
      </c>
      <c r="T252">
        <f>IF(A252="","",YEAR(A252))</f>
        <v>0</v>
      </c>
    </row>
    <row r="253" spans="1:20">
      <c r="A253">
        <f>'Raw Data'!B253</f>
        <v>0</v>
      </c>
      <c r="B253">
        <f>'Raw Data'!A253</f>
        <v>0</v>
      </c>
      <c r="C253">
        <f>'Raw Data'!C253</f>
        <v>0</v>
      </c>
      <c r="D253">
        <f>'Raw Data'!D253</f>
        <v>0</v>
      </c>
      <c r="E253">
        <f>IFERROR(VLOOKUP(D253,'Lookup Tables'!$A:$B,2,FALSE),"Unknown")</f>
        <v>0</v>
      </c>
      <c r="F253">
        <f>'Raw Data'!E253</f>
        <v>0</v>
      </c>
      <c r="G253">
        <f>IFERROR(VLOOKUP(D253,'Lookup Tables'!$A:$C,3,FALSE),IF(ISNUMBER(SEARCH("STEEL",F253)),"Steel","Others"))</f>
        <v>0</v>
      </c>
      <c r="H253">
        <f>IF(ISNUMBER(SEARCH("scrubber",F253)) , "Scrubber", IF(ISNUMBER(SEARCH("container",F253)),"Container", IF(ISNUMBER(SEARCH("basket",F253)),"Basket", IF(ISNUMBER(SEARCH("lunch",F253)),"Lunch Box", IF(ISNUMBER(SEARCH("cutlery",F253)),"Cutlery","Other")))))</f>
        <v>0</v>
      </c>
      <c r="I253">
        <f>IF('Raw Data'!G253&lt;&gt;'','Raw Data'!G253,IFERROR(MID(F253,SEARCH("MODEL",F253)+6,20),""))</f>
        <v>0</v>
      </c>
      <c r="J253">
        <f>'Raw Data'!H253</f>
        <v>0</v>
      </c>
      <c r="K253">
        <f>'Raw Data'!I253</f>
        <v>0</v>
      </c>
      <c r="L253">
        <f>IF('Raw Data'!N253&lt;&gt;0,'Raw Data'!N253,IFERROR(VALUE(MID(F253,SEARCH("QTY",F253)+4,IFERROR(FIND(" ",F253,SEARCH("QTY",F253)+4)-(SEARCH("QTY",F253)+4),3))),""))</f>
        <v>0</v>
      </c>
      <c r="M253">
        <f>'Raw Data'!O253</f>
        <v>0</v>
      </c>
      <c r="N253">
        <f>'Raw Data'!P253</f>
        <v>0</v>
      </c>
      <c r="O253">
        <f>'Raw Data'!Q253</f>
        <v>0</v>
      </c>
      <c r="P253">
        <f>'Raw Data'!R253</f>
        <v>0</v>
      </c>
      <c r="Q253">
        <f>'Raw Data'!S253</f>
        <v>0</v>
      </c>
      <c r="R253">
        <f>'Raw Data'!T253</f>
        <v>0</v>
      </c>
      <c r="S253">
        <f>IFERROR(O253,0)+IFERROR(R253,0)</f>
        <v>0</v>
      </c>
      <c r="T253">
        <f>IF(A253="","",YEAR(A253))</f>
        <v>0</v>
      </c>
    </row>
    <row r="254" spans="1:20">
      <c r="A254">
        <f>'Raw Data'!B254</f>
        <v>0</v>
      </c>
      <c r="B254">
        <f>'Raw Data'!A254</f>
        <v>0</v>
      </c>
      <c r="C254">
        <f>'Raw Data'!C254</f>
        <v>0</v>
      </c>
      <c r="D254">
        <f>'Raw Data'!D254</f>
        <v>0</v>
      </c>
      <c r="E254">
        <f>IFERROR(VLOOKUP(D254,'Lookup Tables'!$A:$B,2,FALSE),"Unknown")</f>
        <v>0</v>
      </c>
      <c r="F254">
        <f>'Raw Data'!E254</f>
        <v>0</v>
      </c>
      <c r="G254">
        <f>IFERROR(VLOOKUP(D254,'Lookup Tables'!$A:$C,3,FALSE),IF(ISNUMBER(SEARCH("STEEL",F254)),"Steel","Others"))</f>
        <v>0</v>
      </c>
      <c r="H254">
        <f>IF(ISNUMBER(SEARCH("scrubber",F254)) , "Scrubber", IF(ISNUMBER(SEARCH("container",F254)),"Container", IF(ISNUMBER(SEARCH("basket",F254)),"Basket", IF(ISNUMBER(SEARCH("lunch",F254)),"Lunch Box", IF(ISNUMBER(SEARCH("cutlery",F254)),"Cutlery","Other")))))</f>
        <v>0</v>
      </c>
      <c r="I254">
        <f>IF('Raw Data'!G254&lt;&gt;'','Raw Data'!G254,IFERROR(MID(F254,SEARCH("MODEL",F254)+6,20),""))</f>
        <v>0</v>
      </c>
      <c r="J254">
        <f>'Raw Data'!H254</f>
        <v>0</v>
      </c>
      <c r="K254">
        <f>'Raw Data'!I254</f>
        <v>0</v>
      </c>
      <c r="L254">
        <f>IF('Raw Data'!N254&lt;&gt;0,'Raw Data'!N254,IFERROR(VALUE(MID(F254,SEARCH("QTY",F254)+4,IFERROR(FIND(" ",F254,SEARCH("QTY",F254)+4)-(SEARCH("QTY",F254)+4),3))),""))</f>
        <v>0</v>
      </c>
      <c r="M254">
        <f>'Raw Data'!O254</f>
        <v>0</v>
      </c>
      <c r="N254">
        <f>'Raw Data'!P254</f>
        <v>0</v>
      </c>
      <c r="O254">
        <f>'Raw Data'!Q254</f>
        <v>0</v>
      </c>
      <c r="P254">
        <f>'Raw Data'!R254</f>
        <v>0</v>
      </c>
      <c r="Q254">
        <f>'Raw Data'!S254</f>
        <v>0</v>
      </c>
      <c r="R254">
        <f>'Raw Data'!T254</f>
        <v>0</v>
      </c>
      <c r="S254">
        <f>IFERROR(O254,0)+IFERROR(R254,0)</f>
        <v>0</v>
      </c>
      <c r="T254">
        <f>IF(A254="","",YEAR(A254))</f>
        <v>0</v>
      </c>
    </row>
    <row r="255" spans="1:20">
      <c r="A255">
        <f>'Raw Data'!B255</f>
        <v>0</v>
      </c>
      <c r="B255">
        <f>'Raw Data'!A255</f>
        <v>0</v>
      </c>
      <c r="C255">
        <f>'Raw Data'!C255</f>
        <v>0</v>
      </c>
      <c r="D255">
        <f>'Raw Data'!D255</f>
        <v>0</v>
      </c>
      <c r="E255">
        <f>IFERROR(VLOOKUP(D255,'Lookup Tables'!$A:$B,2,FALSE),"Unknown")</f>
        <v>0</v>
      </c>
      <c r="F255">
        <f>'Raw Data'!E255</f>
        <v>0</v>
      </c>
      <c r="G255">
        <f>IFERROR(VLOOKUP(D255,'Lookup Tables'!$A:$C,3,FALSE),IF(ISNUMBER(SEARCH("STEEL",F255)),"Steel","Others"))</f>
        <v>0</v>
      </c>
      <c r="H255">
        <f>IF(ISNUMBER(SEARCH("scrubber",F255)) , "Scrubber", IF(ISNUMBER(SEARCH("container",F255)),"Container", IF(ISNUMBER(SEARCH("basket",F255)),"Basket", IF(ISNUMBER(SEARCH("lunch",F255)),"Lunch Box", IF(ISNUMBER(SEARCH("cutlery",F255)),"Cutlery","Other")))))</f>
        <v>0</v>
      </c>
      <c r="I255">
        <f>IF('Raw Data'!G255&lt;&gt;'','Raw Data'!G255,IFERROR(MID(F255,SEARCH("MODEL",F255)+6,20),""))</f>
        <v>0</v>
      </c>
      <c r="J255">
        <f>'Raw Data'!H255</f>
        <v>0</v>
      </c>
      <c r="K255">
        <f>'Raw Data'!I255</f>
        <v>0</v>
      </c>
      <c r="L255">
        <f>IF('Raw Data'!N255&lt;&gt;0,'Raw Data'!N255,IFERROR(VALUE(MID(F255,SEARCH("QTY",F255)+4,IFERROR(FIND(" ",F255,SEARCH("QTY",F255)+4)-(SEARCH("QTY",F255)+4),3))),""))</f>
        <v>0</v>
      </c>
      <c r="M255">
        <f>'Raw Data'!O255</f>
        <v>0</v>
      </c>
      <c r="N255">
        <f>'Raw Data'!P255</f>
        <v>0</v>
      </c>
      <c r="O255">
        <f>'Raw Data'!Q255</f>
        <v>0</v>
      </c>
      <c r="P255">
        <f>'Raw Data'!R255</f>
        <v>0</v>
      </c>
      <c r="Q255">
        <f>'Raw Data'!S255</f>
        <v>0</v>
      </c>
      <c r="R255">
        <f>'Raw Data'!T255</f>
        <v>0</v>
      </c>
      <c r="S255">
        <f>IFERROR(O255,0)+IFERROR(R255,0)</f>
        <v>0</v>
      </c>
      <c r="T255">
        <f>IF(A255="","",YEAR(A255))</f>
        <v>0</v>
      </c>
    </row>
    <row r="256" spans="1:20">
      <c r="A256">
        <f>'Raw Data'!B256</f>
        <v>0</v>
      </c>
      <c r="B256">
        <f>'Raw Data'!A256</f>
        <v>0</v>
      </c>
      <c r="C256">
        <f>'Raw Data'!C256</f>
        <v>0</v>
      </c>
      <c r="D256">
        <f>'Raw Data'!D256</f>
        <v>0</v>
      </c>
      <c r="E256">
        <f>IFERROR(VLOOKUP(D256,'Lookup Tables'!$A:$B,2,FALSE),"Unknown")</f>
        <v>0</v>
      </c>
      <c r="F256">
        <f>'Raw Data'!E256</f>
        <v>0</v>
      </c>
      <c r="G256">
        <f>IFERROR(VLOOKUP(D256,'Lookup Tables'!$A:$C,3,FALSE),IF(ISNUMBER(SEARCH("STEEL",F256)),"Steel","Others"))</f>
        <v>0</v>
      </c>
      <c r="H256">
        <f>IF(ISNUMBER(SEARCH("scrubber",F256)) , "Scrubber", IF(ISNUMBER(SEARCH("container",F256)),"Container", IF(ISNUMBER(SEARCH("basket",F256)),"Basket", IF(ISNUMBER(SEARCH("lunch",F256)),"Lunch Box", IF(ISNUMBER(SEARCH("cutlery",F256)),"Cutlery","Other")))))</f>
        <v>0</v>
      </c>
      <c r="I256">
        <f>IF('Raw Data'!G256&lt;&gt;'','Raw Data'!G256,IFERROR(MID(F256,SEARCH("MODEL",F256)+6,20),""))</f>
        <v>0</v>
      </c>
      <c r="J256">
        <f>'Raw Data'!H256</f>
        <v>0</v>
      </c>
      <c r="K256">
        <f>'Raw Data'!I256</f>
        <v>0</v>
      </c>
      <c r="L256">
        <f>IF('Raw Data'!N256&lt;&gt;0,'Raw Data'!N256,IFERROR(VALUE(MID(F256,SEARCH("QTY",F256)+4,IFERROR(FIND(" ",F256,SEARCH("QTY",F256)+4)-(SEARCH("QTY",F256)+4),3))),""))</f>
        <v>0</v>
      </c>
      <c r="M256">
        <f>'Raw Data'!O256</f>
        <v>0</v>
      </c>
      <c r="N256">
        <f>'Raw Data'!P256</f>
        <v>0</v>
      </c>
      <c r="O256">
        <f>'Raw Data'!Q256</f>
        <v>0</v>
      </c>
      <c r="P256">
        <f>'Raw Data'!R256</f>
        <v>0</v>
      </c>
      <c r="Q256">
        <f>'Raw Data'!S256</f>
        <v>0</v>
      </c>
      <c r="R256">
        <f>'Raw Data'!T256</f>
        <v>0</v>
      </c>
      <c r="S256">
        <f>IFERROR(O256,0)+IFERROR(R256,0)</f>
        <v>0</v>
      </c>
      <c r="T256">
        <f>IF(A256="","",YEAR(A256))</f>
        <v>0</v>
      </c>
    </row>
    <row r="257" spans="1:20">
      <c r="A257">
        <f>'Raw Data'!B257</f>
        <v>0</v>
      </c>
      <c r="B257">
        <f>'Raw Data'!A257</f>
        <v>0</v>
      </c>
      <c r="C257">
        <f>'Raw Data'!C257</f>
        <v>0</v>
      </c>
      <c r="D257">
        <f>'Raw Data'!D257</f>
        <v>0</v>
      </c>
      <c r="E257">
        <f>IFERROR(VLOOKUP(D257,'Lookup Tables'!$A:$B,2,FALSE),"Unknown")</f>
        <v>0</v>
      </c>
      <c r="F257">
        <f>'Raw Data'!E257</f>
        <v>0</v>
      </c>
      <c r="G257">
        <f>IFERROR(VLOOKUP(D257,'Lookup Tables'!$A:$C,3,FALSE),IF(ISNUMBER(SEARCH("STEEL",F257)),"Steel","Others"))</f>
        <v>0</v>
      </c>
      <c r="H257">
        <f>IF(ISNUMBER(SEARCH("scrubber",F257)) , "Scrubber", IF(ISNUMBER(SEARCH("container",F257)),"Container", IF(ISNUMBER(SEARCH("basket",F257)),"Basket", IF(ISNUMBER(SEARCH("lunch",F257)),"Lunch Box", IF(ISNUMBER(SEARCH("cutlery",F257)),"Cutlery","Other")))))</f>
        <v>0</v>
      </c>
      <c r="I257">
        <f>IF('Raw Data'!G257&lt;&gt;'','Raw Data'!G257,IFERROR(MID(F257,SEARCH("MODEL",F257)+6,20),""))</f>
        <v>0</v>
      </c>
      <c r="J257">
        <f>'Raw Data'!H257</f>
        <v>0</v>
      </c>
      <c r="K257">
        <f>'Raw Data'!I257</f>
        <v>0</v>
      </c>
      <c r="L257">
        <f>IF('Raw Data'!N257&lt;&gt;0,'Raw Data'!N257,IFERROR(VALUE(MID(F257,SEARCH("QTY",F257)+4,IFERROR(FIND(" ",F257,SEARCH("QTY",F257)+4)-(SEARCH("QTY",F257)+4),3))),""))</f>
        <v>0</v>
      </c>
      <c r="M257">
        <f>'Raw Data'!O257</f>
        <v>0</v>
      </c>
      <c r="N257">
        <f>'Raw Data'!P257</f>
        <v>0</v>
      </c>
      <c r="O257">
        <f>'Raw Data'!Q257</f>
        <v>0</v>
      </c>
      <c r="P257">
        <f>'Raw Data'!R257</f>
        <v>0</v>
      </c>
      <c r="Q257">
        <f>'Raw Data'!S257</f>
        <v>0</v>
      </c>
      <c r="R257">
        <f>'Raw Data'!T257</f>
        <v>0</v>
      </c>
      <c r="S257">
        <f>IFERROR(O257,0)+IFERROR(R257,0)</f>
        <v>0</v>
      </c>
      <c r="T257">
        <f>IF(A257="","",YEAR(A257))</f>
        <v>0</v>
      </c>
    </row>
    <row r="258" spans="1:20">
      <c r="A258">
        <f>'Raw Data'!B258</f>
        <v>0</v>
      </c>
      <c r="B258">
        <f>'Raw Data'!A258</f>
        <v>0</v>
      </c>
      <c r="C258">
        <f>'Raw Data'!C258</f>
        <v>0</v>
      </c>
      <c r="D258">
        <f>'Raw Data'!D258</f>
        <v>0</v>
      </c>
      <c r="E258">
        <f>IFERROR(VLOOKUP(D258,'Lookup Tables'!$A:$B,2,FALSE),"Unknown")</f>
        <v>0</v>
      </c>
      <c r="F258">
        <f>'Raw Data'!E258</f>
        <v>0</v>
      </c>
      <c r="G258">
        <f>IFERROR(VLOOKUP(D258,'Lookup Tables'!$A:$C,3,FALSE),IF(ISNUMBER(SEARCH("STEEL",F258)),"Steel","Others"))</f>
        <v>0</v>
      </c>
      <c r="H258">
        <f>IF(ISNUMBER(SEARCH("scrubber",F258)) , "Scrubber", IF(ISNUMBER(SEARCH("container",F258)),"Container", IF(ISNUMBER(SEARCH("basket",F258)),"Basket", IF(ISNUMBER(SEARCH("lunch",F258)),"Lunch Box", IF(ISNUMBER(SEARCH("cutlery",F258)),"Cutlery","Other")))))</f>
        <v>0</v>
      </c>
      <c r="I258">
        <f>IF('Raw Data'!G258&lt;&gt;'','Raw Data'!G258,IFERROR(MID(F258,SEARCH("MODEL",F258)+6,20),""))</f>
        <v>0</v>
      </c>
      <c r="J258">
        <f>'Raw Data'!H258</f>
        <v>0</v>
      </c>
      <c r="K258">
        <f>'Raw Data'!I258</f>
        <v>0</v>
      </c>
      <c r="L258">
        <f>IF('Raw Data'!N258&lt;&gt;0,'Raw Data'!N258,IFERROR(VALUE(MID(F258,SEARCH("QTY",F258)+4,IFERROR(FIND(" ",F258,SEARCH("QTY",F258)+4)-(SEARCH("QTY",F258)+4),3))),""))</f>
        <v>0</v>
      </c>
      <c r="M258">
        <f>'Raw Data'!O258</f>
        <v>0</v>
      </c>
      <c r="N258">
        <f>'Raw Data'!P258</f>
        <v>0</v>
      </c>
      <c r="O258">
        <f>'Raw Data'!Q258</f>
        <v>0</v>
      </c>
      <c r="P258">
        <f>'Raw Data'!R258</f>
        <v>0</v>
      </c>
      <c r="Q258">
        <f>'Raw Data'!S258</f>
        <v>0</v>
      </c>
      <c r="R258">
        <f>'Raw Data'!T258</f>
        <v>0</v>
      </c>
      <c r="S258">
        <f>IFERROR(O258,0)+IFERROR(R258,0)</f>
        <v>0</v>
      </c>
      <c r="T258">
        <f>IF(A258="","",YEAR(A258))</f>
        <v>0</v>
      </c>
    </row>
    <row r="259" spans="1:20">
      <c r="A259">
        <f>'Raw Data'!B259</f>
        <v>0</v>
      </c>
      <c r="B259">
        <f>'Raw Data'!A259</f>
        <v>0</v>
      </c>
      <c r="C259">
        <f>'Raw Data'!C259</f>
        <v>0</v>
      </c>
      <c r="D259">
        <f>'Raw Data'!D259</f>
        <v>0</v>
      </c>
      <c r="E259">
        <f>IFERROR(VLOOKUP(D259,'Lookup Tables'!$A:$B,2,FALSE),"Unknown")</f>
        <v>0</v>
      </c>
      <c r="F259">
        <f>'Raw Data'!E259</f>
        <v>0</v>
      </c>
      <c r="G259">
        <f>IFERROR(VLOOKUP(D259,'Lookup Tables'!$A:$C,3,FALSE),IF(ISNUMBER(SEARCH("STEEL",F259)),"Steel","Others"))</f>
        <v>0</v>
      </c>
      <c r="H259">
        <f>IF(ISNUMBER(SEARCH("scrubber",F259)) , "Scrubber", IF(ISNUMBER(SEARCH("container",F259)),"Container", IF(ISNUMBER(SEARCH("basket",F259)),"Basket", IF(ISNUMBER(SEARCH("lunch",F259)),"Lunch Box", IF(ISNUMBER(SEARCH("cutlery",F259)),"Cutlery","Other")))))</f>
        <v>0</v>
      </c>
      <c r="I259">
        <f>IF('Raw Data'!G259&lt;&gt;'','Raw Data'!G259,IFERROR(MID(F259,SEARCH("MODEL",F259)+6,20),""))</f>
        <v>0</v>
      </c>
      <c r="J259">
        <f>'Raw Data'!H259</f>
        <v>0</v>
      </c>
      <c r="K259">
        <f>'Raw Data'!I259</f>
        <v>0</v>
      </c>
      <c r="L259">
        <f>IF('Raw Data'!N259&lt;&gt;0,'Raw Data'!N259,IFERROR(VALUE(MID(F259,SEARCH("QTY",F259)+4,IFERROR(FIND(" ",F259,SEARCH("QTY",F259)+4)-(SEARCH("QTY",F259)+4),3))),""))</f>
        <v>0</v>
      </c>
      <c r="M259">
        <f>'Raw Data'!O259</f>
        <v>0</v>
      </c>
      <c r="N259">
        <f>'Raw Data'!P259</f>
        <v>0</v>
      </c>
      <c r="O259">
        <f>'Raw Data'!Q259</f>
        <v>0</v>
      </c>
      <c r="P259">
        <f>'Raw Data'!R259</f>
        <v>0</v>
      </c>
      <c r="Q259">
        <f>'Raw Data'!S259</f>
        <v>0</v>
      </c>
      <c r="R259">
        <f>'Raw Data'!T259</f>
        <v>0</v>
      </c>
      <c r="S259">
        <f>IFERROR(O259,0)+IFERROR(R259,0)</f>
        <v>0</v>
      </c>
      <c r="T259">
        <f>IF(A259="","",YEAR(A259))</f>
        <v>0</v>
      </c>
    </row>
    <row r="260" spans="1:20">
      <c r="A260">
        <f>'Raw Data'!B260</f>
        <v>0</v>
      </c>
      <c r="B260">
        <f>'Raw Data'!A260</f>
        <v>0</v>
      </c>
      <c r="C260">
        <f>'Raw Data'!C260</f>
        <v>0</v>
      </c>
      <c r="D260">
        <f>'Raw Data'!D260</f>
        <v>0</v>
      </c>
      <c r="E260">
        <f>IFERROR(VLOOKUP(D260,'Lookup Tables'!$A:$B,2,FALSE),"Unknown")</f>
        <v>0</v>
      </c>
      <c r="F260">
        <f>'Raw Data'!E260</f>
        <v>0</v>
      </c>
      <c r="G260">
        <f>IFERROR(VLOOKUP(D260,'Lookup Tables'!$A:$C,3,FALSE),IF(ISNUMBER(SEARCH("STEEL",F260)),"Steel","Others"))</f>
        <v>0</v>
      </c>
      <c r="H260">
        <f>IF(ISNUMBER(SEARCH("scrubber",F260)) , "Scrubber", IF(ISNUMBER(SEARCH("container",F260)),"Container", IF(ISNUMBER(SEARCH("basket",F260)),"Basket", IF(ISNUMBER(SEARCH("lunch",F260)),"Lunch Box", IF(ISNUMBER(SEARCH("cutlery",F260)),"Cutlery","Other")))))</f>
        <v>0</v>
      </c>
      <c r="I260">
        <f>IF('Raw Data'!G260&lt;&gt;'','Raw Data'!G260,IFERROR(MID(F260,SEARCH("MODEL",F260)+6,20),""))</f>
        <v>0</v>
      </c>
      <c r="J260">
        <f>'Raw Data'!H260</f>
        <v>0</v>
      </c>
      <c r="K260">
        <f>'Raw Data'!I260</f>
        <v>0</v>
      </c>
      <c r="L260">
        <f>IF('Raw Data'!N260&lt;&gt;0,'Raw Data'!N260,IFERROR(VALUE(MID(F260,SEARCH("QTY",F260)+4,IFERROR(FIND(" ",F260,SEARCH("QTY",F260)+4)-(SEARCH("QTY",F260)+4),3))),""))</f>
        <v>0</v>
      </c>
      <c r="M260">
        <f>'Raw Data'!O260</f>
        <v>0</v>
      </c>
      <c r="N260">
        <f>'Raw Data'!P260</f>
        <v>0</v>
      </c>
      <c r="O260">
        <f>'Raw Data'!Q260</f>
        <v>0</v>
      </c>
      <c r="P260">
        <f>'Raw Data'!R260</f>
        <v>0</v>
      </c>
      <c r="Q260">
        <f>'Raw Data'!S260</f>
        <v>0</v>
      </c>
      <c r="R260">
        <f>'Raw Data'!T260</f>
        <v>0</v>
      </c>
      <c r="S260">
        <f>IFERROR(O260,0)+IFERROR(R260,0)</f>
        <v>0</v>
      </c>
      <c r="T260">
        <f>IF(A260="","",YEAR(A260))</f>
        <v>0</v>
      </c>
    </row>
    <row r="261" spans="1:20">
      <c r="A261">
        <f>'Raw Data'!B261</f>
        <v>0</v>
      </c>
      <c r="B261">
        <f>'Raw Data'!A261</f>
        <v>0</v>
      </c>
      <c r="C261">
        <f>'Raw Data'!C261</f>
        <v>0</v>
      </c>
      <c r="D261">
        <f>'Raw Data'!D261</f>
        <v>0</v>
      </c>
      <c r="E261">
        <f>IFERROR(VLOOKUP(D261,'Lookup Tables'!$A:$B,2,FALSE),"Unknown")</f>
        <v>0</v>
      </c>
      <c r="F261">
        <f>'Raw Data'!E261</f>
        <v>0</v>
      </c>
      <c r="G261">
        <f>IFERROR(VLOOKUP(D261,'Lookup Tables'!$A:$C,3,FALSE),IF(ISNUMBER(SEARCH("STEEL",F261)),"Steel","Others"))</f>
        <v>0</v>
      </c>
      <c r="H261">
        <f>IF(ISNUMBER(SEARCH("scrubber",F261)) , "Scrubber", IF(ISNUMBER(SEARCH("container",F261)),"Container", IF(ISNUMBER(SEARCH("basket",F261)),"Basket", IF(ISNUMBER(SEARCH("lunch",F261)),"Lunch Box", IF(ISNUMBER(SEARCH("cutlery",F261)),"Cutlery","Other")))))</f>
        <v>0</v>
      </c>
      <c r="I261">
        <f>IF('Raw Data'!G261&lt;&gt;'','Raw Data'!G261,IFERROR(MID(F261,SEARCH("MODEL",F261)+6,20),""))</f>
        <v>0</v>
      </c>
      <c r="J261">
        <f>'Raw Data'!H261</f>
        <v>0</v>
      </c>
      <c r="K261">
        <f>'Raw Data'!I261</f>
        <v>0</v>
      </c>
      <c r="L261">
        <f>IF('Raw Data'!N261&lt;&gt;0,'Raw Data'!N261,IFERROR(VALUE(MID(F261,SEARCH("QTY",F261)+4,IFERROR(FIND(" ",F261,SEARCH("QTY",F261)+4)-(SEARCH("QTY",F261)+4),3))),""))</f>
        <v>0</v>
      </c>
      <c r="M261">
        <f>'Raw Data'!O261</f>
        <v>0</v>
      </c>
      <c r="N261">
        <f>'Raw Data'!P261</f>
        <v>0</v>
      </c>
      <c r="O261">
        <f>'Raw Data'!Q261</f>
        <v>0</v>
      </c>
      <c r="P261">
        <f>'Raw Data'!R261</f>
        <v>0</v>
      </c>
      <c r="Q261">
        <f>'Raw Data'!S261</f>
        <v>0</v>
      </c>
      <c r="R261">
        <f>'Raw Data'!T261</f>
        <v>0</v>
      </c>
      <c r="S261">
        <f>IFERROR(O261,0)+IFERROR(R261,0)</f>
        <v>0</v>
      </c>
      <c r="T261">
        <f>IF(A261="","",YEAR(A261))</f>
        <v>0</v>
      </c>
    </row>
    <row r="262" spans="1:20">
      <c r="A262">
        <f>'Raw Data'!B262</f>
        <v>0</v>
      </c>
      <c r="B262">
        <f>'Raw Data'!A262</f>
        <v>0</v>
      </c>
      <c r="C262">
        <f>'Raw Data'!C262</f>
        <v>0</v>
      </c>
      <c r="D262">
        <f>'Raw Data'!D262</f>
        <v>0</v>
      </c>
      <c r="E262">
        <f>IFERROR(VLOOKUP(D262,'Lookup Tables'!$A:$B,2,FALSE),"Unknown")</f>
        <v>0</v>
      </c>
      <c r="F262">
        <f>'Raw Data'!E262</f>
        <v>0</v>
      </c>
      <c r="G262">
        <f>IFERROR(VLOOKUP(D262,'Lookup Tables'!$A:$C,3,FALSE),IF(ISNUMBER(SEARCH("STEEL",F262)),"Steel","Others"))</f>
        <v>0</v>
      </c>
      <c r="H262">
        <f>IF(ISNUMBER(SEARCH("scrubber",F262)) , "Scrubber", IF(ISNUMBER(SEARCH("container",F262)),"Container", IF(ISNUMBER(SEARCH("basket",F262)),"Basket", IF(ISNUMBER(SEARCH("lunch",F262)),"Lunch Box", IF(ISNUMBER(SEARCH("cutlery",F262)),"Cutlery","Other")))))</f>
        <v>0</v>
      </c>
      <c r="I262">
        <f>IF('Raw Data'!G262&lt;&gt;'','Raw Data'!G262,IFERROR(MID(F262,SEARCH("MODEL",F262)+6,20),""))</f>
        <v>0</v>
      </c>
      <c r="J262">
        <f>'Raw Data'!H262</f>
        <v>0</v>
      </c>
      <c r="K262">
        <f>'Raw Data'!I262</f>
        <v>0</v>
      </c>
      <c r="L262">
        <f>IF('Raw Data'!N262&lt;&gt;0,'Raw Data'!N262,IFERROR(VALUE(MID(F262,SEARCH("QTY",F262)+4,IFERROR(FIND(" ",F262,SEARCH("QTY",F262)+4)-(SEARCH("QTY",F262)+4),3))),""))</f>
        <v>0</v>
      </c>
      <c r="M262">
        <f>'Raw Data'!O262</f>
        <v>0</v>
      </c>
      <c r="N262">
        <f>'Raw Data'!P262</f>
        <v>0</v>
      </c>
      <c r="O262">
        <f>'Raw Data'!Q262</f>
        <v>0</v>
      </c>
      <c r="P262">
        <f>'Raw Data'!R262</f>
        <v>0</v>
      </c>
      <c r="Q262">
        <f>'Raw Data'!S262</f>
        <v>0</v>
      </c>
      <c r="R262">
        <f>'Raw Data'!T262</f>
        <v>0</v>
      </c>
      <c r="S262">
        <f>IFERROR(O262,0)+IFERROR(R262,0)</f>
        <v>0</v>
      </c>
      <c r="T262">
        <f>IF(A262="","",YEAR(A262))</f>
        <v>0</v>
      </c>
    </row>
    <row r="263" spans="1:20">
      <c r="A263">
        <f>'Raw Data'!B263</f>
        <v>0</v>
      </c>
      <c r="B263">
        <f>'Raw Data'!A263</f>
        <v>0</v>
      </c>
      <c r="C263">
        <f>'Raw Data'!C263</f>
        <v>0</v>
      </c>
      <c r="D263">
        <f>'Raw Data'!D263</f>
        <v>0</v>
      </c>
      <c r="E263">
        <f>IFERROR(VLOOKUP(D263,'Lookup Tables'!$A:$B,2,FALSE),"Unknown")</f>
        <v>0</v>
      </c>
      <c r="F263">
        <f>'Raw Data'!E263</f>
        <v>0</v>
      </c>
      <c r="G263">
        <f>IFERROR(VLOOKUP(D263,'Lookup Tables'!$A:$C,3,FALSE),IF(ISNUMBER(SEARCH("STEEL",F263)),"Steel","Others"))</f>
        <v>0</v>
      </c>
      <c r="H263">
        <f>IF(ISNUMBER(SEARCH("scrubber",F263)) , "Scrubber", IF(ISNUMBER(SEARCH("container",F263)),"Container", IF(ISNUMBER(SEARCH("basket",F263)),"Basket", IF(ISNUMBER(SEARCH("lunch",F263)),"Lunch Box", IF(ISNUMBER(SEARCH("cutlery",F263)),"Cutlery","Other")))))</f>
        <v>0</v>
      </c>
      <c r="I263">
        <f>IF('Raw Data'!G263&lt;&gt;'','Raw Data'!G263,IFERROR(MID(F263,SEARCH("MODEL",F263)+6,20),""))</f>
        <v>0</v>
      </c>
      <c r="J263">
        <f>'Raw Data'!H263</f>
        <v>0</v>
      </c>
      <c r="K263">
        <f>'Raw Data'!I263</f>
        <v>0</v>
      </c>
      <c r="L263">
        <f>IF('Raw Data'!N263&lt;&gt;0,'Raw Data'!N263,IFERROR(VALUE(MID(F263,SEARCH("QTY",F263)+4,IFERROR(FIND(" ",F263,SEARCH("QTY",F263)+4)-(SEARCH("QTY",F263)+4),3))),""))</f>
        <v>0</v>
      </c>
      <c r="M263">
        <f>'Raw Data'!O263</f>
        <v>0</v>
      </c>
      <c r="N263">
        <f>'Raw Data'!P263</f>
        <v>0</v>
      </c>
      <c r="O263">
        <f>'Raw Data'!Q263</f>
        <v>0</v>
      </c>
      <c r="P263">
        <f>'Raw Data'!R263</f>
        <v>0</v>
      </c>
      <c r="Q263">
        <f>'Raw Data'!S263</f>
        <v>0</v>
      </c>
      <c r="R263">
        <f>'Raw Data'!T263</f>
        <v>0</v>
      </c>
      <c r="S263">
        <f>IFERROR(O263,0)+IFERROR(R263,0)</f>
        <v>0</v>
      </c>
      <c r="T263">
        <f>IF(A263="","",YEAR(A263))</f>
        <v>0</v>
      </c>
    </row>
    <row r="264" spans="1:20">
      <c r="A264">
        <f>'Raw Data'!B264</f>
        <v>0</v>
      </c>
      <c r="B264">
        <f>'Raw Data'!A264</f>
        <v>0</v>
      </c>
      <c r="C264">
        <f>'Raw Data'!C264</f>
        <v>0</v>
      </c>
      <c r="D264">
        <f>'Raw Data'!D264</f>
        <v>0</v>
      </c>
      <c r="E264">
        <f>IFERROR(VLOOKUP(D264,'Lookup Tables'!$A:$B,2,FALSE),"Unknown")</f>
        <v>0</v>
      </c>
      <c r="F264">
        <f>'Raw Data'!E264</f>
        <v>0</v>
      </c>
      <c r="G264">
        <f>IFERROR(VLOOKUP(D264,'Lookup Tables'!$A:$C,3,FALSE),IF(ISNUMBER(SEARCH("STEEL",F264)),"Steel","Others"))</f>
        <v>0</v>
      </c>
      <c r="H264">
        <f>IF(ISNUMBER(SEARCH("scrubber",F264)) , "Scrubber", IF(ISNUMBER(SEARCH("container",F264)),"Container", IF(ISNUMBER(SEARCH("basket",F264)),"Basket", IF(ISNUMBER(SEARCH("lunch",F264)),"Lunch Box", IF(ISNUMBER(SEARCH("cutlery",F264)),"Cutlery","Other")))))</f>
        <v>0</v>
      </c>
      <c r="I264">
        <f>IF('Raw Data'!G264&lt;&gt;'','Raw Data'!G264,IFERROR(MID(F264,SEARCH("MODEL",F264)+6,20),""))</f>
        <v>0</v>
      </c>
      <c r="J264">
        <f>'Raw Data'!H264</f>
        <v>0</v>
      </c>
      <c r="K264">
        <f>'Raw Data'!I264</f>
        <v>0</v>
      </c>
      <c r="L264">
        <f>IF('Raw Data'!N264&lt;&gt;0,'Raw Data'!N264,IFERROR(VALUE(MID(F264,SEARCH("QTY",F264)+4,IFERROR(FIND(" ",F264,SEARCH("QTY",F264)+4)-(SEARCH("QTY",F264)+4),3))),""))</f>
        <v>0</v>
      </c>
      <c r="M264">
        <f>'Raw Data'!O264</f>
        <v>0</v>
      </c>
      <c r="N264">
        <f>'Raw Data'!P264</f>
        <v>0</v>
      </c>
      <c r="O264">
        <f>'Raw Data'!Q264</f>
        <v>0</v>
      </c>
      <c r="P264">
        <f>'Raw Data'!R264</f>
        <v>0</v>
      </c>
      <c r="Q264">
        <f>'Raw Data'!S264</f>
        <v>0</v>
      </c>
      <c r="R264">
        <f>'Raw Data'!T264</f>
        <v>0</v>
      </c>
      <c r="S264">
        <f>IFERROR(O264,0)+IFERROR(R264,0)</f>
        <v>0</v>
      </c>
      <c r="T264">
        <f>IF(A264="","",YEAR(A264))</f>
        <v>0</v>
      </c>
    </row>
    <row r="265" spans="1:20">
      <c r="A265">
        <f>'Raw Data'!B265</f>
        <v>0</v>
      </c>
      <c r="B265">
        <f>'Raw Data'!A265</f>
        <v>0</v>
      </c>
      <c r="C265">
        <f>'Raw Data'!C265</f>
        <v>0</v>
      </c>
      <c r="D265">
        <f>'Raw Data'!D265</f>
        <v>0</v>
      </c>
      <c r="E265">
        <f>IFERROR(VLOOKUP(D265,'Lookup Tables'!$A:$B,2,FALSE),"Unknown")</f>
        <v>0</v>
      </c>
      <c r="F265">
        <f>'Raw Data'!E265</f>
        <v>0</v>
      </c>
      <c r="G265">
        <f>IFERROR(VLOOKUP(D265,'Lookup Tables'!$A:$C,3,FALSE),IF(ISNUMBER(SEARCH("STEEL",F265)),"Steel","Others"))</f>
        <v>0</v>
      </c>
      <c r="H265">
        <f>IF(ISNUMBER(SEARCH("scrubber",F265)) , "Scrubber", IF(ISNUMBER(SEARCH("container",F265)),"Container", IF(ISNUMBER(SEARCH("basket",F265)),"Basket", IF(ISNUMBER(SEARCH("lunch",F265)),"Lunch Box", IF(ISNUMBER(SEARCH("cutlery",F265)),"Cutlery","Other")))))</f>
        <v>0</v>
      </c>
      <c r="I265">
        <f>IF('Raw Data'!G265&lt;&gt;'','Raw Data'!G265,IFERROR(MID(F265,SEARCH("MODEL",F265)+6,20),""))</f>
        <v>0</v>
      </c>
      <c r="J265">
        <f>'Raw Data'!H265</f>
        <v>0</v>
      </c>
      <c r="K265">
        <f>'Raw Data'!I265</f>
        <v>0</v>
      </c>
      <c r="L265">
        <f>IF('Raw Data'!N265&lt;&gt;0,'Raw Data'!N265,IFERROR(VALUE(MID(F265,SEARCH("QTY",F265)+4,IFERROR(FIND(" ",F265,SEARCH("QTY",F265)+4)-(SEARCH("QTY",F265)+4),3))),""))</f>
        <v>0</v>
      </c>
      <c r="M265">
        <f>'Raw Data'!O265</f>
        <v>0</v>
      </c>
      <c r="N265">
        <f>'Raw Data'!P265</f>
        <v>0</v>
      </c>
      <c r="O265">
        <f>'Raw Data'!Q265</f>
        <v>0</v>
      </c>
      <c r="P265">
        <f>'Raw Data'!R265</f>
        <v>0</v>
      </c>
      <c r="Q265">
        <f>'Raw Data'!S265</f>
        <v>0</v>
      </c>
      <c r="R265">
        <f>'Raw Data'!T265</f>
        <v>0</v>
      </c>
      <c r="S265">
        <f>IFERROR(O265,0)+IFERROR(R265,0)</f>
        <v>0</v>
      </c>
      <c r="T265">
        <f>IF(A265="","",YEAR(A265))</f>
        <v>0</v>
      </c>
    </row>
    <row r="266" spans="1:20">
      <c r="A266">
        <f>'Raw Data'!B266</f>
        <v>0</v>
      </c>
      <c r="B266">
        <f>'Raw Data'!A266</f>
        <v>0</v>
      </c>
      <c r="C266">
        <f>'Raw Data'!C266</f>
        <v>0</v>
      </c>
      <c r="D266">
        <f>'Raw Data'!D266</f>
        <v>0</v>
      </c>
      <c r="E266">
        <f>IFERROR(VLOOKUP(D266,'Lookup Tables'!$A:$B,2,FALSE),"Unknown")</f>
        <v>0</v>
      </c>
      <c r="F266">
        <f>'Raw Data'!E266</f>
        <v>0</v>
      </c>
      <c r="G266">
        <f>IFERROR(VLOOKUP(D266,'Lookup Tables'!$A:$C,3,FALSE),IF(ISNUMBER(SEARCH("STEEL",F266)),"Steel","Others"))</f>
        <v>0</v>
      </c>
      <c r="H266">
        <f>IF(ISNUMBER(SEARCH("scrubber",F266)) , "Scrubber", IF(ISNUMBER(SEARCH("container",F266)),"Container", IF(ISNUMBER(SEARCH("basket",F266)),"Basket", IF(ISNUMBER(SEARCH("lunch",F266)),"Lunch Box", IF(ISNUMBER(SEARCH("cutlery",F266)),"Cutlery","Other")))))</f>
        <v>0</v>
      </c>
      <c r="I266">
        <f>IF('Raw Data'!G266&lt;&gt;'','Raw Data'!G266,IFERROR(MID(F266,SEARCH("MODEL",F266)+6,20),""))</f>
        <v>0</v>
      </c>
      <c r="J266">
        <f>'Raw Data'!H266</f>
        <v>0</v>
      </c>
      <c r="K266">
        <f>'Raw Data'!I266</f>
        <v>0</v>
      </c>
      <c r="L266">
        <f>IF('Raw Data'!N266&lt;&gt;0,'Raw Data'!N266,IFERROR(VALUE(MID(F266,SEARCH("QTY",F266)+4,IFERROR(FIND(" ",F266,SEARCH("QTY",F266)+4)-(SEARCH("QTY",F266)+4),3))),""))</f>
        <v>0</v>
      </c>
      <c r="M266">
        <f>'Raw Data'!O266</f>
        <v>0</v>
      </c>
      <c r="N266">
        <f>'Raw Data'!P266</f>
        <v>0</v>
      </c>
      <c r="O266">
        <f>'Raw Data'!Q266</f>
        <v>0</v>
      </c>
      <c r="P266">
        <f>'Raw Data'!R266</f>
        <v>0</v>
      </c>
      <c r="Q266">
        <f>'Raw Data'!S266</f>
        <v>0</v>
      </c>
      <c r="R266">
        <f>'Raw Data'!T266</f>
        <v>0</v>
      </c>
      <c r="S266">
        <f>IFERROR(O266,0)+IFERROR(R266,0)</f>
        <v>0</v>
      </c>
      <c r="T266">
        <f>IF(A266="","",YEAR(A266))</f>
        <v>0</v>
      </c>
    </row>
    <row r="267" spans="1:20">
      <c r="A267">
        <f>'Raw Data'!B267</f>
        <v>0</v>
      </c>
      <c r="B267">
        <f>'Raw Data'!A267</f>
        <v>0</v>
      </c>
      <c r="C267">
        <f>'Raw Data'!C267</f>
        <v>0</v>
      </c>
      <c r="D267">
        <f>'Raw Data'!D267</f>
        <v>0</v>
      </c>
      <c r="E267">
        <f>IFERROR(VLOOKUP(D267,'Lookup Tables'!$A:$B,2,FALSE),"Unknown")</f>
        <v>0</v>
      </c>
      <c r="F267">
        <f>'Raw Data'!E267</f>
        <v>0</v>
      </c>
      <c r="G267">
        <f>IFERROR(VLOOKUP(D267,'Lookup Tables'!$A:$C,3,FALSE),IF(ISNUMBER(SEARCH("STEEL",F267)),"Steel","Others"))</f>
        <v>0</v>
      </c>
      <c r="H267">
        <f>IF(ISNUMBER(SEARCH("scrubber",F267)) , "Scrubber", IF(ISNUMBER(SEARCH("container",F267)),"Container", IF(ISNUMBER(SEARCH("basket",F267)),"Basket", IF(ISNUMBER(SEARCH("lunch",F267)),"Lunch Box", IF(ISNUMBER(SEARCH("cutlery",F267)),"Cutlery","Other")))))</f>
        <v>0</v>
      </c>
      <c r="I267">
        <f>IF('Raw Data'!G267&lt;&gt;'','Raw Data'!G267,IFERROR(MID(F267,SEARCH("MODEL",F267)+6,20),""))</f>
        <v>0</v>
      </c>
      <c r="J267">
        <f>'Raw Data'!H267</f>
        <v>0</v>
      </c>
      <c r="K267">
        <f>'Raw Data'!I267</f>
        <v>0</v>
      </c>
      <c r="L267">
        <f>IF('Raw Data'!N267&lt;&gt;0,'Raw Data'!N267,IFERROR(VALUE(MID(F267,SEARCH("QTY",F267)+4,IFERROR(FIND(" ",F267,SEARCH("QTY",F267)+4)-(SEARCH("QTY",F267)+4),3))),""))</f>
        <v>0</v>
      </c>
      <c r="M267">
        <f>'Raw Data'!O267</f>
        <v>0</v>
      </c>
      <c r="N267">
        <f>'Raw Data'!P267</f>
        <v>0</v>
      </c>
      <c r="O267">
        <f>'Raw Data'!Q267</f>
        <v>0</v>
      </c>
      <c r="P267">
        <f>'Raw Data'!R267</f>
        <v>0</v>
      </c>
      <c r="Q267">
        <f>'Raw Data'!S267</f>
        <v>0</v>
      </c>
      <c r="R267">
        <f>'Raw Data'!T267</f>
        <v>0</v>
      </c>
      <c r="S267">
        <f>IFERROR(O267,0)+IFERROR(R267,0)</f>
        <v>0</v>
      </c>
      <c r="T267">
        <f>IF(A267="","",YEAR(A267))</f>
        <v>0</v>
      </c>
    </row>
    <row r="268" spans="1:20">
      <c r="A268">
        <f>'Raw Data'!B268</f>
        <v>0</v>
      </c>
      <c r="B268">
        <f>'Raw Data'!A268</f>
        <v>0</v>
      </c>
      <c r="C268">
        <f>'Raw Data'!C268</f>
        <v>0</v>
      </c>
      <c r="D268">
        <f>'Raw Data'!D268</f>
        <v>0</v>
      </c>
      <c r="E268">
        <f>IFERROR(VLOOKUP(D268,'Lookup Tables'!$A:$B,2,FALSE),"Unknown")</f>
        <v>0</v>
      </c>
      <c r="F268">
        <f>'Raw Data'!E268</f>
        <v>0</v>
      </c>
      <c r="G268">
        <f>IFERROR(VLOOKUP(D268,'Lookup Tables'!$A:$C,3,FALSE),IF(ISNUMBER(SEARCH("STEEL",F268)),"Steel","Others"))</f>
        <v>0</v>
      </c>
      <c r="H268">
        <f>IF(ISNUMBER(SEARCH("scrubber",F268)) , "Scrubber", IF(ISNUMBER(SEARCH("container",F268)),"Container", IF(ISNUMBER(SEARCH("basket",F268)),"Basket", IF(ISNUMBER(SEARCH("lunch",F268)),"Lunch Box", IF(ISNUMBER(SEARCH("cutlery",F268)),"Cutlery","Other")))))</f>
        <v>0</v>
      </c>
      <c r="I268">
        <f>IF('Raw Data'!G268&lt;&gt;'','Raw Data'!G268,IFERROR(MID(F268,SEARCH("MODEL",F268)+6,20),""))</f>
        <v>0</v>
      </c>
      <c r="J268">
        <f>'Raw Data'!H268</f>
        <v>0</v>
      </c>
      <c r="K268">
        <f>'Raw Data'!I268</f>
        <v>0</v>
      </c>
      <c r="L268">
        <f>IF('Raw Data'!N268&lt;&gt;0,'Raw Data'!N268,IFERROR(VALUE(MID(F268,SEARCH("QTY",F268)+4,IFERROR(FIND(" ",F268,SEARCH("QTY",F268)+4)-(SEARCH("QTY",F268)+4),3))),""))</f>
        <v>0</v>
      </c>
      <c r="M268">
        <f>'Raw Data'!O268</f>
        <v>0</v>
      </c>
      <c r="N268">
        <f>'Raw Data'!P268</f>
        <v>0</v>
      </c>
      <c r="O268">
        <f>'Raw Data'!Q268</f>
        <v>0</v>
      </c>
      <c r="P268">
        <f>'Raw Data'!R268</f>
        <v>0</v>
      </c>
      <c r="Q268">
        <f>'Raw Data'!S268</f>
        <v>0</v>
      </c>
      <c r="R268">
        <f>'Raw Data'!T268</f>
        <v>0</v>
      </c>
      <c r="S268">
        <f>IFERROR(O268,0)+IFERROR(R268,0)</f>
        <v>0</v>
      </c>
      <c r="T268">
        <f>IF(A268="","",YEAR(A268))</f>
        <v>0</v>
      </c>
    </row>
    <row r="269" spans="1:20">
      <c r="A269">
        <f>'Raw Data'!B269</f>
        <v>0</v>
      </c>
      <c r="B269">
        <f>'Raw Data'!A269</f>
        <v>0</v>
      </c>
      <c r="C269">
        <f>'Raw Data'!C269</f>
        <v>0</v>
      </c>
      <c r="D269">
        <f>'Raw Data'!D269</f>
        <v>0</v>
      </c>
      <c r="E269">
        <f>IFERROR(VLOOKUP(D269,'Lookup Tables'!$A:$B,2,FALSE),"Unknown")</f>
        <v>0</v>
      </c>
      <c r="F269">
        <f>'Raw Data'!E269</f>
        <v>0</v>
      </c>
      <c r="G269">
        <f>IFERROR(VLOOKUP(D269,'Lookup Tables'!$A:$C,3,FALSE),IF(ISNUMBER(SEARCH("STEEL",F269)),"Steel","Others"))</f>
        <v>0</v>
      </c>
      <c r="H269">
        <f>IF(ISNUMBER(SEARCH("scrubber",F269)) , "Scrubber", IF(ISNUMBER(SEARCH("container",F269)),"Container", IF(ISNUMBER(SEARCH("basket",F269)),"Basket", IF(ISNUMBER(SEARCH("lunch",F269)),"Lunch Box", IF(ISNUMBER(SEARCH("cutlery",F269)),"Cutlery","Other")))))</f>
        <v>0</v>
      </c>
      <c r="I269">
        <f>IF('Raw Data'!G269&lt;&gt;'','Raw Data'!G269,IFERROR(MID(F269,SEARCH("MODEL",F269)+6,20),""))</f>
        <v>0</v>
      </c>
      <c r="J269">
        <f>'Raw Data'!H269</f>
        <v>0</v>
      </c>
      <c r="K269">
        <f>'Raw Data'!I269</f>
        <v>0</v>
      </c>
      <c r="L269">
        <f>IF('Raw Data'!N269&lt;&gt;0,'Raw Data'!N269,IFERROR(VALUE(MID(F269,SEARCH("QTY",F269)+4,IFERROR(FIND(" ",F269,SEARCH("QTY",F269)+4)-(SEARCH("QTY",F269)+4),3))),""))</f>
        <v>0</v>
      </c>
      <c r="M269">
        <f>'Raw Data'!O269</f>
        <v>0</v>
      </c>
      <c r="N269">
        <f>'Raw Data'!P269</f>
        <v>0</v>
      </c>
      <c r="O269">
        <f>'Raw Data'!Q269</f>
        <v>0</v>
      </c>
      <c r="P269">
        <f>'Raw Data'!R269</f>
        <v>0</v>
      </c>
      <c r="Q269">
        <f>'Raw Data'!S269</f>
        <v>0</v>
      </c>
      <c r="R269">
        <f>'Raw Data'!T269</f>
        <v>0</v>
      </c>
      <c r="S269">
        <f>IFERROR(O269,0)+IFERROR(R269,0)</f>
        <v>0</v>
      </c>
      <c r="T269">
        <f>IF(A269="","",YEAR(A269))</f>
        <v>0</v>
      </c>
    </row>
    <row r="270" spans="1:20">
      <c r="A270">
        <f>'Raw Data'!B270</f>
        <v>0</v>
      </c>
      <c r="B270">
        <f>'Raw Data'!A270</f>
        <v>0</v>
      </c>
      <c r="C270">
        <f>'Raw Data'!C270</f>
        <v>0</v>
      </c>
      <c r="D270">
        <f>'Raw Data'!D270</f>
        <v>0</v>
      </c>
      <c r="E270">
        <f>IFERROR(VLOOKUP(D270,'Lookup Tables'!$A:$B,2,FALSE),"Unknown")</f>
        <v>0</v>
      </c>
      <c r="F270">
        <f>'Raw Data'!E270</f>
        <v>0</v>
      </c>
      <c r="G270">
        <f>IFERROR(VLOOKUP(D270,'Lookup Tables'!$A:$C,3,FALSE),IF(ISNUMBER(SEARCH("STEEL",F270)),"Steel","Others"))</f>
        <v>0</v>
      </c>
      <c r="H270">
        <f>IF(ISNUMBER(SEARCH("scrubber",F270)) , "Scrubber", IF(ISNUMBER(SEARCH("container",F270)),"Container", IF(ISNUMBER(SEARCH("basket",F270)),"Basket", IF(ISNUMBER(SEARCH("lunch",F270)),"Lunch Box", IF(ISNUMBER(SEARCH("cutlery",F270)),"Cutlery","Other")))))</f>
        <v>0</v>
      </c>
      <c r="I270">
        <f>IF('Raw Data'!G270&lt;&gt;'','Raw Data'!G270,IFERROR(MID(F270,SEARCH("MODEL",F270)+6,20),""))</f>
        <v>0</v>
      </c>
      <c r="J270">
        <f>'Raw Data'!H270</f>
        <v>0</v>
      </c>
      <c r="K270">
        <f>'Raw Data'!I270</f>
        <v>0</v>
      </c>
      <c r="L270">
        <f>IF('Raw Data'!N270&lt;&gt;0,'Raw Data'!N270,IFERROR(VALUE(MID(F270,SEARCH("QTY",F270)+4,IFERROR(FIND(" ",F270,SEARCH("QTY",F270)+4)-(SEARCH("QTY",F270)+4),3))),""))</f>
        <v>0</v>
      </c>
      <c r="M270">
        <f>'Raw Data'!O270</f>
        <v>0</v>
      </c>
      <c r="N270">
        <f>'Raw Data'!P270</f>
        <v>0</v>
      </c>
      <c r="O270">
        <f>'Raw Data'!Q270</f>
        <v>0</v>
      </c>
      <c r="P270">
        <f>'Raw Data'!R270</f>
        <v>0</v>
      </c>
      <c r="Q270">
        <f>'Raw Data'!S270</f>
        <v>0</v>
      </c>
      <c r="R270">
        <f>'Raw Data'!T270</f>
        <v>0</v>
      </c>
      <c r="S270">
        <f>IFERROR(O270,0)+IFERROR(R270,0)</f>
        <v>0</v>
      </c>
      <c r="T270">
        <f>IF(A270="","",YEAR(A270))</f>
        <v>0</v>
      </c>
    </row>
    <row r="271" spans="1:20">
      <c r="A271">
        <f>'Raw Data'!B271</f>
        <v>0</v>
      </c>
      <c r="B271">
        <f>'Raw Data'!A271</f>
        <v>0</v>
      </c>
      <c r="C271">
        <f>'Raw Data'!C271</f>
        <v>0</v>
      </c>
      <c r="D271">
        <f>'Raw Data'!D271</f>
        <v>0</v>
      </c>
      <c r="E271">
        <f>IFERROR(VLOOKUP(D271,'Lookup Tables'!$A:$B,2,FALSE),"Unknown")</f>
        <v>0</v>
      </c>
      <c r="F271">
        <f>'Raw Data'!E271</f>
        <v>0</v>
      </c>
      <c r="G271">
        <f>IFERROR(VLOOKUP(D271,'Lookup Tables'!$A:$C,3,FALSE),IF(ISNUMBER(SEARCH("STEEL",F271)),"Steel","Others"))</f>
        <v>0</v>
      </c>
      <c r="H271">
        <f>IF(ISNUMBER(SEARCH("scrubber",F271)) , "Scrubber", IF(ISNUMBER(SEARCH("container",F271)),"Container", IF(ISNUMBER(SEARCH("basket",F271)),"Basket", IF(ISNUMBER(SEARCH("lunch",F271)),"Lunch Box", IF(ISNUMBER(SEARCH("cutlery",F271)),"Cutlery","Other")))))</f>
        <v>0</v>
      </c>
      <c r="I271">
        <f>IF('Raw Data'!G271&lt;&gt;'','Raw Data'!G271,IFERROR(MID(F271,SEARCH("MODEL",F271)+6,20),""))</f>
        <v>0</v>
      </c>
      <c r="J271">
        <f>'Raw Data'!H271</f>
        <v>0</v>
      </c>
      <c r="K271">
        <f>'Raw Data'!I271</f>
        <v>0</v>
      </c>
      <c r="L271">
        <f>IF('Raw Data'!N271&lt;&gt;0,'Raw Data'!N271,IFERROR(VALUE(MID(F271,SEARCH("QTY",F271)+4,IFERROR(FIND(" ",F271,SEARCH("QTY",F271)+4)-(SEARCH("QTY",F271)+4),3))),""))</f>
        <v>0</v>
      </c>
      <c r="M271">
        <f>'Raw Data'!O271</f>
        <v>0</v>
      </c>
      <c r="N271">
        <f>'Raw Data'!P271</f>
        <v>0</v>
      </c>
      <c r="O271">
        <f>'Raw Data'!Q271</f>
        <v>0</v>
      </c>
      <c r="P271">
        <f>'Raw Data'!R271</f>
        <v>0</v>
      </c>
      <c r="Q271">
        <f>'Raw Data'!S271</f>
        <v>0</v>
      </c>
      <c r="R271">
        <f>'Raw Data'!T271</f>
        <v>0</v>
      </c>
      <c r="S271">
        <f>IFERROR(O271,0)+IFERROR(R271,0)</f>
        <v>0</v>
      </c>
      <c r="T271">
        <f>IF(A271="","",YEAR(A271))</f>
        <v>0</v>
      </c>
    </row>
    <row r="272" spans="1:20">
      <c r="A272">
        <f>'Raw Data'!B272</f>
        <v>0</v>
      </c>
      <c r="B272">
        <f>'Raw Data'!A272</f>
        <v>0</v>
      </c>
      <c r="C272">
        <f>'Raw Data'!C272</f>
        <v>0</v>
      </c>
      <c r="D272">
        <f>'Raw Data'!D272</f>
        <v>0</v>
      </c>
      <c r="E272">
        <f>IFERROR(VLOOKUP(D272,'Lookup Tables'!$A:$B,2,FALSE),"Unknown")</f>
        <v>0</v>
      </c>
      <c r="F272">
        <f>'Raw Data'!E272</f>
        <v>0</v>
      </c>
      <c r="G272">
        <f>IFERROR(VLOOKUP(D272,'Lookup Tables'!$A:$C,3,FALSE),IF(ISNUMBER(SEARCH("STEEL",F272)),"Steel","Others"))</f>
        <v>0</v>
      </c>
      <c r="H272">
        <f>IF(ISNUMBER(SEARCH("scrubber",F272)) , "Scrubber", IF(ISNUMBER(SEARCH("container",F272)),"Container", IF(ISNUMBER(SEARCH("basket",F272)),"Basket", IF(ISNUMBER(SEARCH("lunch",F272)),"Lunch Box", IF(ISNUMBER(SEARCH("cutlery",F272)),"Cutlery","Other")))))</f>
        <v>0</v>
      </c>
      <c r="I272">
        <f>IF('Raw Data'!G272&lt;&gt;'','Raw Data'!G272,IFERROR(MID(F272,SEARCH("MODEL",F272)+6,20),""))</f>
        <v>0</v>
      </c>
      <c r="J272">
        <f>'Raw Data'!H272</f>
        <v>0</v>
      </c>
      <c r="K272">
        <f>'Raw Data'!I272</f>
        <v>0</v>
      </c>
      <c r="L272">
        <f>IF('Raw Data'!N272&lt;&gt;0,'Raw Data'!N272,IFERROR(VALUE(MID(F272,SEARCH("QTY",F272)+4,IFERROR(FIND(" ",F272,SEARCH("QTY",F272)+4)-(SEARCH("QTY",F272)+4),3))),""))</f>
        <v>0</v>
      </c>
      <c r="M272">
        <f>'Raw Data'!O272</f>
        <v>0</v>
      </c>
      <c r="N272">
        <f>'Raw Data'!P272</f>
        <v>0</v>
      </c>
      <c r="O272">
        <f>'Raw Data'!Q272</f>
        <v>0</v>
      </c>
      <c r="P272">
        <f>'Raw Data'!R272</f>
        <v>0</v>
      </c>
      <c r="Q272">
        <f>'Raw Data'!S272</f>
        <v>0</v>
      </c>
      <c r="R272">
        <f>'Raw Data'!T272</f>
        <v>0</v>
      </c>
      <c r="S272">
        <f>IFERROR(O272,0)+IFERROR(R272,0)</f>
        <v>0</v>
      </c>
      <c r="T272">
        <f>IF(A272="","",YEAR(A272))</f>
        <v>0</v>
      </c>
    </row>
    <row r="273" spans="1:20">
      <c r="A273">
        <f>'Raw Data'!B273</f>
        <v>0</v>
      </c>
      <c r="B273">
        <f>'Raw Data'!A273</f>
        <v>0</v>
      </c>
      <c r="C273">
        <f>'Raw Data'!C273</f>
        <v>0</v>
      </c>
      <c r="D273">
        <f>'Raw Data'!D273</f>
        <v>0</v>
      </c>
      <c r="E273">
        <f>IFERROR(VLOOKUP(D273,'Lookup Tables'!$A:$B,2,FALSE),"Unknown")</f>
        <v>0</v>
      </c>
      <c r="F273">
        <f>'Raw Data'!E273</f>
        <v>0</v>
      </c>
      <c r="G273">
        <f>IFERROR(VLOOKUP(D273,'Lookup Tables'!$A:$C,3,FALSE),IF(ISNUMBER(SEARCH("STEEL",F273)),"Steel","Others"))</f>
        <v>0</v>
      </c>
      <c r="H273">
        <f>IF(ISNUMBER(SEARCH("scrubber",F273)) , "Scrubber", IF(ISNUMBER(SEARCH("container",F273)),"Container", IF(ISNUMBER(SEARCH("basket",F273)),"Basket", IF(ISNUMBER(SEARCH("lunch",F273)),"Lunch Box", IF(ISNUMBER(SEARCH("cutlery",F273)),"Cutlery","Other")))))</f>
        <v>0</v>
      </c>
      <c r="I273">
        <f>IF('Raw Data'!G273&lt;&gt;'','Raw Data'!G273,IFERROR(MID(F273,SEARCH("MODEL",F273)+6,20),""))</f>
        <v>0</v>
      </c>
      <c r="J273">
        <f>'Raw Data'!H273</f>
        <v>0</v>
      </c>
      <c r="K273">
        <f>'Raw Data'!I273</f>
        <v>0</v>
      </c>
      <c r="L273">
        <f>IF('Raw Data'!N273&lt;&gt;0,'Raw Data'!N273,IFERROR(VALUE(MID(F273,SEARCH("QTY",F273)+4,IFERROR(FIND(" ",F273,SEARCH("QTY",F273)+4)-(SEARCH("QTY",F273)+4),3))),""))</f>
        <v>0</v>
      </c>
      <c r="M273">
        <f>'Raw Data'!O273</f>
        <v>0</v>
      </c>
      <c r="N273">
        <f>'Raw Data'!P273</f>
        <v>0</v>
      </c>
      <c r="O273">
        <f>'Raw Data'!Q273</f>
        <v>0</v>
      </c>
      <c r="P273">
        <f>'Raw Data'!R273</f>
        <v>0</v>
      </c>
      <c r="Q273">
        <f>'Raw Data'!S273</f>
        <v>0</v>
      </c>
      <c r="R273">
        <f>'Raw Data'!T273</f>
        <v>0</v>
      </c>
      <c r="S273">
        <f>IFERROR(O273,0)+IFERROR(R273,0)</f>
        <v>0</v>
      </c>
      <c r="T273">
        <f>IF(A273="","",YEAR(A273))</f>
        <v>0</v>
      </c>
    </row>
    <row r="274" spans="1:20">
      <c r="A274">
        <f>'Raw Data'!B274</f>
        <v>0</v>
      </c>
      <c r="B274">
        <f>'Raw Data'!A274</f>
        <v>0</v>
      </c>
      <c r="C274">
        <f>'Raw Data'!C274</f>
        <v>0</v>
      </c>
      <c r="D274">
        <f>'Raw Data'!D274</f>
        <v>0</v>
      </c>
      <c r="E274">
        <f>IFERROR(VLOOKUP(D274,'Lookup Tables'!$A:$B,2,FALSE),"Unknown")</f>
        <v>0</v>
      </c>
      <c r="F274">
        <f>'Raw Data'!E274</f>
        <v>0</v>
      </c>
      <c r="G274">
        <f>IFERROR(VLOOKUP(D274,'Lookup Tables'!$A:$C,3,FALSE),IF(ISNUMBER(SEARCH("STEEL",F274)),"Steel","Others"))</f>
        <v>0</v>
      </c>
      <c r="H274">
        <f>IF(ISNUMBER(SEARCH("scrubber",F274)) , "Scrubber", IF(ISNUMBER(SEARCH("container",F274)),"Container", IF(ISNUMBER(SEARCH("basket",F274)),"Basket", IF(ISNUMBER(SEARCH("lunch",F274)),"Lunch Box", IF(ISNUMBER(SEARCH("cutlery",F274)),"Cutlery","Other")))))</f>
        <v>0</v>
      </c>
      <c r="I274">
        <f>IF('Raw Data'!G274&lt;&gt;'','Raw Data'!G274,IFERROR(MID(F274,SEARCH("MODEL",F274)+6,20),""))</f>
        <v>0</v>
      </c>
      <c r="J274">
        <f>'Raw Data'!H274</f>
        <v>0</v>
      </c>
      <c r="K274">
        <f>'Raw Data'!I274</f>
        <v>0</v>
      </c>
      <c r="L274">
        <f>IF('Raw Data'!N274&lt;&gt;0,'Raw Data'!N274,IFERROR(VALUE(MID(F274,SEARCH("QTY",F274)+4,IFERROR(FIND(" ",F274,SEARCH("QTY",F274)+4)-(SEARCH("QTY",F274)+4),3))),""))</f>
        <v>0</v>
      </c>
      <c r="M274">
        <f>'Raw Data'!O274</f>
        <v>0</v>
      </c>
      <c r="N274">
        <f>'Raw Data'!P274</f>
        <v>0</v>
      </c>
      <c r="O274">
        <f>'Raw Data'!Q274</f>
        <v>0</v>
      </c>
      <c r="P274">
        <f>'Raw Data'!R274</f>
        <v>0</v>
      </c>
      <c r="Q274">
        <f>'Raw Data'!S274</f>
        <v>0</v>
      </c>
      <c r="R274">
        <f>'Raw Data'!T274</f>
        <v>0</v>
      </c>
      <c r="S274">
        <f>IFERROR(O274,0)+IFERROR(R274,0)</f>
        <v>0</v>
      </c>
      <c r="T274">
        <f>IF(A274="","",YEAR(A274))</f>
        <v>0</v>
      </c>
    </row>
    <row r="275" spans="1:20">
      <c r="A275">
        <f>'Raw Data'!B275</f>
        <v>0</v>
      </c>
      <c r="B275">
        <f>'Raw Data'!A275</f>
        <v>0</v>
      </c>
      <c r="C275">
        <f>'Raw Data'!C275</f>
        <v>0</v>
      </c>
      <c r="D275">
        <f>'Raw Data'!D275</f>
        <v>0</v>
      </c>
      <c r="E275">
        <f>IFERROR(VLOOKUP(D275,'Lookup Tables'!$A:$B,2,FALSE),"Unknown")</f>
        <v>0</v>
      </c>
      <c r="F275">
        <f>'Raw Data'!E275</f>
        <v>0</v>
      </c>
      <c r="G275">
        <f>IFERROR(VLOOKUP(D275,'Lookup Tables'!$A:$C,3,FALSE),IF(ISNUMBER(SEARCH("STEEL",F275)),"Steel","Others"))</f>
        <v>0</v>
      </c>
      <c r="H275">
        <f>IF(ISNUMBER(SEARCH("scrubber",F275)) , "Scrubber", IF(ISNUMBER(SEARCH("container",F275)),"Container", IF(ISNUMBER(SEARCH("basket",F275)),"Basket", IF(ISNUMBER(SEARCH("lunch",F275)),"Lunch Box", IF(ISNUMBER(SEARCH("cutlery",F275)),"Cutlery","Other")))))</f>
        <v>0</v>
      </c>
      <c r="I275">
        <f>IF('Raw Data'!G275&lt;&gt;'','Raw Data'!G275,IFERROR(MID(F275,SEARCH("MODEL",F275)+6,20),""))</f>
        <v>0</v>
      </c>
      <c r="J275">
        <f>'Raw Data'!H275</f>
        <v>0</v>
      </c>
      <c r="K275">
        <f>'Raw Data'!I275</f>
        <v>0</v>
      </c>
      <c r="L275">
        <f>IF('Raw Data'!N275&lt;&gt;0,'Raw Data'!N275,IFERROR(VALUE(MID(F275,SEARCH("QTY",F275)+4,IFERROR(FIND(" ",F275,SEARCH("QTY",F275)+4)-(SEARCH("QTY",F275)+4),3))),""))</f>
        <v>0</v>
      </c>
      <c r="M275">
        <f>'Raw Data'!O275</f>
        <v>0</v>
      </c>
      <c r="N275">
        <f>'Raw Data'!P275</f>
        <v>0</v>
      </c>
      <c r="O275">
        <f>'Raw Data'!Q275</f>
        <v>0</v>
      </c>
      <c r="P275">
        <f>'Raw Data'!R275</f>
        <v>0</v>
      </c>
      <c r="Q275">
        <f>'Raw Data'!S275</f>
        <v>0</v>
      </c>
      <c r="R275">
        <f>'Raw Data'!T275</f>
        <v>0</v>
      </c>
      <c r="S275">
        <f>IFERROR(O275,0)+IFERROR(R275,0)</f>
        <v>0</v>
      </c>
      <c r="T275">
        <f>IF(A275="","",YEAR(A275))</f>
        <v>0</v>
      </c>
    </row>
    <row r="276" spans="1:20">
      <c r="A276">
        <f>'Raw Data'!B276</f>
        <v>0</v>
      </c>
      <c r="B276">
        <f>'Raw Data'!A276</f>
        <v>0</v>
      </c>
      <c r="C276">
        <f>'Raw Data'!C276</f>
        <v>0</v>
      </c>
      <c r="D276">
        <f>'Raw Data'!D276</f>
        <v>0</v>
      </c>
      <c r="E276">
        <f>IFERROR(VLOOKUP(D276,'Lookup Tables'!$A:$B,2,FALSE),"Unknown")</f>
        <v>0</v>
      </c>
      <c r="F276">
        <f>'Raw Data'!E276</f>
        <v>0</v>
      </c>
      <c r="G276">
        <f>IFERROR(VLOOKUP(D276,'Lookup Tables'!$A:$C,3,FALSE),IF(ISNUMBER(SEARCH("STEEL",F276)),"Steel","Others"))</f>
        <v>0</v>
      </c>
      <c r="H276">
        <f>IF(ISNUMBER(SEARCH("scrubber",F276)) , "Scrubber", IF(ISNUMBER(SEARCH("container",F276)),"Container", IF(ISNUMBER(SEARCH("basket",F276)),"Basket", IF(ISNUMBER(SEARCH("lunch",F276)),"Lunch Box", IF(ISNUMBER(SEARCH("cutlery",F276)),"Cutlery","Other")))))</f>
        <v>0</v>
      </c>
      <c r="I276">
        <f>IF('Raw Data'!G276&lt;&gt;'','Raw Data'!G276,IFERROR(MID(F276,SEARCH("MODEL",F276)+6,20),""))</f>
        <v>0</v>
      </c>
      <c r="J276">
        <f>'Raw Data'!H276</f>
        <v>0</v>
      </c>
      <c r="K276">
        <f>'Raw Data'!I276</f>
        <v>0</v>
      </c>
      <c r="L276">
        <f>IF('Raw Data'!N276&lt;&gt;0,'Raw Data'!N276,IFERROR(VALUE(MID(F276,SEARCH("QTY",F276)+4,IFERROR(FIND(" ",F276,SEARCH("QTY",F276)+4)-(SEARCH("QTY",F276)+4),3))),""))</f>
        <v>0</v>
      </c>
      <c r="M276">
        <f>'Raw Data'!O276</f>
        <v>0</v>
      </c>
      <c r="N276">
        <f>'Raw Data'!P276</f>
        <v>0</v>
      </c>
      <c r="O276">
        <f>'Raw Data'!Q276</f>
        <v>0</v>
      </c>
      <c r="P276">
        <f>'Raw Data'!R276</f>
        <v>0</v>
      </c>
      <c r="Q276">
        <f>'Raw Data'!S276</f>
        <v>0</v>
      </c>
      <c r="R276">
        <f>'Raw Data'!T276</f>
        <v>0</v>
      </c>
      <c r="S276">
        <f>IFERROR(O276,0)+IFERROR(R276,0)</f>
        <v>0</v>
      </c>
      <c r="T276">
        <f>IF(A276="","",YEAR(A276))</f>
        <v>0</v>
      </c>
    </row>
    <row r="277" spans="1:20">
      <c r="A277">
        <f>'Raw Data'!B277</f>
        <v>0</v>
      </c>
      <c r="B277">
        <f>'Raw Data'!A277</f>
        <v>0</v>
      </c>
      <c r="C277">
        <f>'Raw Data'!C277</f>
        <v>0</v>
      </c>
      <c r="D277">
        <f>'Raw Data'!D277</f>
        <v>0</v>
      </c>
      <c r="E277">
        <f>IFERROR(VLOOKUP(D277,'Lookup Tables'!$A:$B,2,FALSE),"Unknown")</f>
        <v>0</v>
      </c>
      <c r="F277">
        <f>'Raw Data'!E277</f>
        <v>0</v>
      </c>
      <c r="G277">
        <f>IFERROR(VLOOKUP(D277,'Lookup Tables'!$A:$C,3,FALSE),IF(ISNUMBER(SEARCH("STEEL",F277)),"Steel","Others"))</f>
        <v>0</v>
      </c>
      <c r="H277">
        <f>IF(ISNUMBER(SEARCH("scrubber",F277)) , "Scrubber", IF(ISNUMBER(SEARCH("container",F277)),"Container", IF(ISNUMBER(SEARCH("basket",F277)),"Basket", IF(ISNUMBER(SEARCH("lunch",F277)),"Lunch Box", IF(ISNUMBER(SEARCH("cutlery",F277)),"Cutlery","Other")))))</f>
        <v>0</v>
      </c>
      <c r="I277">
        <f>IF('Raw Data'!G277&lt;&gt;'','Raw Data'!G277,IFERROR(MID(F277,SEARCH("MODEL",F277)+6,20),""))</f>
        <v>0</v>
      </c>
      <c r="J277">
        <f>'Raw Data'!H277</f>
        <v>0</v>
      </c>
      <c r="K277">
        <f>'Raw Data'!I277</f>
        <v>0</v>
      </c>
      <c r="L277">
        <f>IF('Raw Data'!N277&lt;&gt;0,'Raw Data'!N277,IFERROR(VALUE(MID(F277,SEARCH("QTY",F277)+4,IFERROR(FIND(" ",F277,SEARCH("QTY",F277)+4)-(SEARCH("QTY",F277)+4),3))),""))</f>
        <v>0</v>
      </c>
      <c r="M277">
        <f>'Raw Data'!O277</f>
        <v>0</v>
      </c>
      <c r="N277">
        <f>'Raw Data'!P277</f>
        <v>0</v>
      </c>
      <c r="O277">
        <f>'Raw Data'!Q277</f>
        <v>0</v>
      </c>
      <c r="P277">
        <f>'Raw Data'!R277</f>
        <v>0</v>
      </c>
      <c r="Q277">
        <f>'Raw Data'!S277</f>
        <v>0</v>
      </c>
      <c r="R277">
        <f>'Raw Data'!T277</f>
        <v>0</v>
      </c>
      <c r="S277">
        <f>IFERROR(O277,0)+IFERROR(R277,0)</f>
        <v>0</v>
      </c>
      <c r="T277">
        <f>IF(A277="","",YEAR(A277))</f>
        <v>0</v>
      </c>
    </row>
    <row r="278" spans="1:20">
      <c r="A278">
        <f>'Raw Data'!B278</f>
        <v>0</v>
      </c>
      <c r="B278">
        <f>'Raw Data'!A278</f>
        <v>0</v>
      </c>
      <c r="C278">
        <f>'Raw Data'!C278</f>
        <v>0</v>
      </c>
      <c r="D278">
        <f>'Raw Data'!D278</f>
        <v>0</v>
      </c>
      <c r="E278">
        <f>IFERROR(VLOOKUP(D278,'Lookup Tables'!$A:$B,2,FALSE),"Unknown")</f>
        <v>0</v>
      </c>
      <c r="F278">
        <f>'Raw Data'!E278</f>
        <v>0</v>
      </c>
      <c r="G278">
        <f>IFERROR(VLOOKUP(D278,'Lookup Tables'!$A:$C,3,FALSE),IF(ISNUMBER(SEARCH("STEEL",F278)),"Steel","Others"))</f>
        <v>0</v>
      </c>
      <c r="H278">
        <f>IF(ISNUMBER(SEARCH("scrubber",F278)) , "Scrubber", IF(ISNUMBER(SEARCH("container",F278)),"Container", IF(ISNUMBER(SEARCH("basket",F278)),"Basket", IF(ISNUMBER(SEARCH("lunch",F278)),"Lunch Box", IF(ISNUMBER(SEARCH("cutlery",F278)),"Cutlery","Other")))))</f>
        <v>0</v>
      </c>
      <c r="I278">
        <f>IF('Raw Data'!G278&lt;&gt;'','Raw Data'!G278,IFERROR(MID(F278,SEARCH("MODEL",F278)+6,20),""))</f>
        <v>0</v>
      </c>
      <c r="J278">
        <f>'Raw Data'!H278</f>
        <v>0</v>
      </c>
      <c r="K278">
        <f>'Raw Data'!I278</f>
        <v>0</v>
      </c>
      <c r="L278">
        <f>IF('Raw Data'!N278&lt;&gt;0,'Raw Data'!N278,IFERROR(VALUE(MID(F278,SEARCH("QTY",F278)+4,IFERROR(FIND(" ",F278,SEARCH("QTY",F278)+4)-(SEARCH("QTY",F278)+4),3))),""))</f>
        <v>0</v>
      </c>
      <c r="M278">
        <f>'Raw Data'!O278</f>
        <v>0</v>
      </c>
      <c r="N278">
        <f>'Raw Data'!P278</f>
        <v>0</v>
      </c>
      <c r="O278">
        <f>'Raw Data'!Q278</f>
        <v>0</v>
      </c>
      <c r="P278">
        <f>'Raw Data'!R278</f>
        <v>0</v>
      </c>
      <c r="Q278">
        <f>'Raw Data'!S278</f>
        <v>0</v>
      </c>
      <c r="R278">
        <f>'Raw Data'!T278</f>
        <v>0</v>
      </c>
      <c r="S278">
        <f>IFERROR(O278,0)+IFERROR(R278,0)</f>
        <v>0</v>
      </c>
      <c r="T278">
        <f>IF(A278="","",YEAR(A278))</f>
        <v>0</v>
      </c>
    </row>
    <row r="279" spans="1:20">
      <c r="A279">
        <f>'Raw Data'!B279</f>
        <v>0</v>
      </c>
      <c r="B279">
        <f>'Raw Data'!A279</f>
        <v>0</v>
      </c>
      <c r="C279">
        <f>'Raw Data'!C279</f>
        <v>0</v>
      </c>
      <c r="D279">
        <f>'Raw Data'!D279</f>
        <v>0</v>
      </c>
      <c r="E279">
        <f>IFERROR(VLOOKUP(D279,'Lookup Tables'!$A:$B,2,FALSE),"Unknown")</f>
        <v>0</v>
      </c>
      <c r="F279">
        <f>'Raw Data'!E279</f>
        <v>0</v>
      </c>
      <c r="G279">
        <f>IFERROR(VLOOKUP(D279,'Lookup Tables'!$A:$C,3,FALSE),IF(ISNUMBER(SEARCH("STEEL",F279)),"Steel","Others"))</f>
        <v>0</v>
      </c>
      <c r="H279">
        <f>IF(ISNUMBER(SEARCH("scrubber",F279)) , "Scrubber", IF(ISNUMBER(SEARCH("container",F279)),"Container", IF(ISNUMBER(SEARCH("basket",F279)),"Basket", IF(ISNUMBER(SEARCH("lunch",F279)),"Lunch Box", IF(ISNUMBER(SEARCH("cutlery",F279)),"Cutlery","Other")))))</f>
        <v>0</v>
      </c>
      <c r="I279">
        <f>IF('Raw Data'!G279&lt;&gt;'','Raw Data'!G279,IFERROR(MID(F279,SEARCH("MODEL",F279)+6,20),""))</f>
        <v>0</v>
      </c>
      <c r="J279">
        <f>'Raw Data'!H279</f>
        <v>0</v>
      </c>
      <c r="K279">
        <f>'Raw Data'!I279</f>
        <v>0</v>
      </c>
      <c r="L279">
        <f>IF('Raw Data'!N279&lt;&gt;0,'Raw Data'!N279,IFERROR(VALUE(MID(F279,SEARCH("QTY",F279)+4,IFERROR(FIND(" ",F279,SEARCH("QTY",F279)+4)-(SEARCH("QTY",F279)+4),3))),""))</f>
        <v>0</v>
      </c>
      <c r="M279">
        <f>'Raw Data'!O279</f>
        <v>0</v>
      </c>
      <c r="N279">
        <f>'Raw Data'!P279</f>
        <v>0</v>
      </c>
      <c r="O279">
        <f>'Raw Data'!Q279</f>
        <v>0</v>
      </c>
      <c r="P279">
        <f>'Raw Data'!R279</f>
        <v>0</v>
      </c>
      <c r="Q279">
        <f>'Raw Data'!S279</f>
        <v>0</v>
      </c>
      <c r="R279">
        <f>'Raw Data'!T279</f>
        <v>0</v>
      </c>
      <c r="S279">
        <f>IFERROR(O279,0)+IFERROR(R279,0)</f>
        <v>0</v>
      </c>
      <c r="T279">
        <f>IF(A279="","",YEAR(A279))</f>
        <v>0</v>
      </c>
    </row>
    <row r="280" spans="1:20">
      <c r="A280">
        <f>'Raw Data'!B280</f>
        <v>0</v>
      </c>
      <c r="B280">
        <f>'Raw Data'!A280</f>
        <v>0</v>
      </c>
      <c r="C280">
        <f>'Raw Data'!C280</f>
        <v>0</v>
      </c>
      <c r="D280">
        <f>'Raw Data'!D280</f>
        <v>0</v>
      </c>
      <c r="E280">
        <f>IFERROR(VLOOKUP(D280,'Lookup Tables'!$A:$B,2,FALSE),"Unknown")</f>
        <v>0</v>
      </c>
      <c r="F280">
        <f>'Raw Data'!E280</f>
        <v>0</v>
      </c>
      <c r="G280">
        <f>IFERROR(VLOOKUP(D280,'Lookup Tables'!$A:$C,3,FALSE),IF(ISNUMBER(SEARCH("STEEL",F280)),"Steel","Others"))</f>
        <v>0</v>
      </c>
      <c r="H280">
        <f>IF(ISNUMBER(SEARCH("scrubber",F280)) , "Scrubber", IF(ISNUMBER(SEARCH("container",F280)),"Container", IF(ISNUMBER(SEARCH("basket",F280)),"Basket", IF(ISNUMBER(SEARCH("lunch",F280)),"Lunch Box", IF(ISNUMBER(SEARCH("cutlery",F280)),"Cutlery","Other")))))</f>
        <v>0</v>
      </c>
      <c r="I280">
        <f>IF('Raw Data'!G280&lt;&gt;'','Raw Data'!G280,IFERROR(MID(F280,SEARCH("MODEL",F280)+6,20),""))</f>
        <v>0</v>
      </c>
      <c r="J280">
        <f>'Raw Data'!H280</f>
        <v>0</v>
      </c>
      <c r="K280">
        <f>'Raw Data'!I280</f>
        <v>0</v>
      </c>
      <c r="L280">
        <f>IF('Raw Data'!N280&lt;&gt;0,'Raw Data'!N280,IFERROR(VALUE(MID(F280,SEARCH("QTY",F280)+4,IFERROR(FIND(" ",F280,SEARCH("QTY",F280)+4)-(SEARCH("QTY",F280)+4),3))),""))</f>
        <v>0</v>
      </c>
      <c r="M280">
        <f>'Raw Data'!O280</f>
        <v>0</v>
      </c>
      <c r="N280">
        <f>'Raw Data'!P280</f>
        <v>0</v>
      </c>
      <c r="O280">
        <f>'Raw Data'!Q280</f>
        <v>0</v>
      </c>
      <c r="P280">
        <f>'Raw Data'!R280</f>
        <v>0</v>
      </c>
      <c r="Q280">
        <f>'Raw Data'!S280</f>
        <v>0</v>
      </c>
      <c r="R280">
        <f>'Raw Data'!T280</f>
        <v>0</v>
      </c>
      <c r="S280">
        <f>IFERROR(O280,0)+IFERROR(R280,0)</f>
        <v>0</v>
      </c>
      <c r="T280">
        <f>IF(A280="","",YEAR(A280))</f>
        <v>0</v>
      </c>
    </row>
    <row r="281" spans="1:20">
      <c r="A281">
        <f>'Raw Data'!B281</f>
        <v>0</v>
      </c>
      <c r="B281">
        <f>'Raw Data'!A281</f>
        <v>0</v>
      </c>
      <c r="C281">
        <f>'Raw Data'!C281</f>
        <v>0</v>
      </c>
      <c r="D281">
        <f>'Raw Data'!D281</f>
        <v>0</v>
      </c>
      <c r="E281">
        <f>IFERROR(VLOOKUP(D281,'Lookup Tables'!$A:$B,2,FALSE),"Unknown")</f>
        <v>0</v>
      </c>
      <c r="F281">
        <f>'Raw Data'!E281</f>
        <v>0</v>
      </c>
      <c r="G281">
        <f>IFERROR(VLOOKUP(D281,'Lookup Tables'!$A:$C,3,FALSE),IF(ISNUMBER(SEARCH("STEEL",F281)),"Steel","Others"))</f>
        <v>0</v>
      </c>
      <c r="H281">
        <f>IF(ISNUMBER(SEARCH("scrubber",F281)) , "Scrubber", IF(ISNUMBER(SEARCH("container",F281)),"Container", IF(ISNUMBER(SEARCH("basket",F281)),"Basket", IF(ISNUMBER(SEARCH("lunch",F281)),"Lunch Box", IF(ISNUMBER(SEARCH("cutlery",F281)),"Cutlery","Other")))))</f>
        <v>0</v>
      </c>
      <c r="I281">
        <f>IF('Raw Data'!G281&lt;&gt;'','Raw Data'!G281,IFERROR(MID(F281,SEARCH("MODEL",F281)+6,20),""))</f>
        <v>0</v>
      </c>
      <c r="J281">
        <f>'Raw Data'!H281</f>
        <v>0</v>
      </c>
      <c r="K281">
        <f>'Raw Data'!I281</f>
        <v>0</v>
      </c>
      <c r="L281">
        <f>IF('Raw Data'!N281&lt;&gt;0,'Raw Data'!N281,IFERROR(VALUE(MID(F281,SEARCH("QTY",F281)+4,IFERROR(FIND(" ",F281,SEARCH("QTY",F281)+4)-(SEARCH("QTY",F281)+4),3))),""))</f>
        <v>0</v>
      </c>
      <c r="M281">
        <f>'Raw Data'!O281</f>
        <v>0</v>
      </c>
      <c r="N281">
        <f>'Raw Data'!P281</f>
        <v>0</v>
      </c>
      <c r="O281">
        <f>'Raw Data'!Q281</f>
        <v>0</v>
      </c>
      <c r="P281">
        <f>'Raw Data'!R281</f>
        <v>0</v>
      </c>
      <c r="Q281">
        <f>'Raw Data'!S281</f>
        <v>0</v>
      </c>
      <c r="R281">
        <f>'Raw Data'!T281</f>
        <v>0</v>
      </c>
      <c r="S281">
        <f>IFERROR(O281,0)+IFERROR(R281,0)</f>
        <v>0</v>
      </c>
      <c r="T281">
        <f>IF(A281="","",YEAR(A281))</f>
        <v>0</v>
      </c>
    </row>
    <row r="282" spans="1:20">
      <c r="A282">
        <f>'Raw Data'!B282</f>
        <v>0</v>
      </c>
      <c r="B282">
        <f>'Raw Data'!A282</f>
        <v>0</v>
      </c>
      <c r="C282">
        <f>'Raw Data'!C282</f>
        <v>0</v>
      </c>
      <c r="D282">
        <f>'Raw Data'!D282</f>
        <v>0</v>
      </c>
      <c r="E282">
        <f>IFERROR(VLOOKUP(D282,'Lookup Tables'!$A:$B,2,FALSE),"Unknown")</f>
        <v>0</v>
      </c>
      <c r="F282">
        <f>'Raw Data'!E282</f>
        <v>0</v>
      </c>
      <c r="G282">
        <f>IFERROR(VLOOKUP(D282,'Lookup Tables'!$A:$C,3,FALSE),IF(ISNUMBER(SEARCH("STEEL",F282)),"Steel","Others"))</f>
        <v>0</v>
      </c>
      <c r="H282">
        <f>IF(ISNUMBER(SEARCH("scrubber",F282)) , "Scrubber", IF(ISNUMBER(SEARCH("container",F282)),"Container", IF(ISNUMBER(SEARCH("basket",F282)),"Basket", IF(ISNUMBER(SEARCH("lunch",F282)),"Lunch Box", IF(ISNUMBER(SEARCH("cutlery",F282)),"Cutlery","Other")))))</f>
        <v>0</v>
      </c>
      <c r="I282">
        <f>IF('Raw Data'!G282&lt;&gt;'','Raw Data'!G282,IFERROR(MID(F282,SEARCH("MODEL",F282)+6,20),""))</f>
        <v>0</v>
      </c>
      <c r="J282">
        <f>'Raw Data'!H282</f>
        <v>0</v>
      </c>
      <c r="K282">
        <f>'Raw Data'!I282</f>
        <v>0</v>
      </c>
      <c r="L282">
        <f>IF('Raw Data'!N282&lt;&gt;0,'Raw Data'!N282,IFERROR(VALUE(MID(F282,SEARCH("QTY",F282)+4,IFERROR(FIND(" ",F282,SEARCH("QTY",F282)+4)-(SEARCH("QTY",F282)+4),3))),""))</f>
        <v>0</v>
      </c>
      <c r="M282">
        <f>'Raw Data'!O282</f>
        <v>0</v>
      </c>
      <c r="N282">
        <f>'Raw Data'!P282</f>
        <v>0</v>
      </c>
      <c r="O282">
        <f>'Raw Data'!Q282</f>
        <v>0</v>
      </c>
      <c r="P282">
        <f>'Raw Data'!R282</f>
        <v>0</v>
      </c>
      <c r="Q282">
        <f>'Raw Data'!S282</f>
        <v>0</v>
      </c>
      <c r="R282">
        <f>'Raw Data'!T282</f>
        <v>0</v>
      </c>
      <c r="S282">
        <f>IFERROR(O282,0)+IFERROR(R282,0)</f>
        <v>0</v>
      </c>
      <c r="T282">
        <f>IF(A282="","",YEAR(A282))</f>
        <v>0</v>
      </c>
    </row>
    <row r="283" spans="1:20">
      <c r="A283">
        <f>'Raw Data'!B283</f>
        <v>0</v>
      </c>
      <c r="B283">
        <f>'Raw Data'!A283</f>
        <v>0</v>
      </c>
      <c r="C283">
        <f>'Raw Data'!C283</f>
        <v>0</v>
      </c>
      <c r="D283">
        <f>'Raw Data'!D283</f>
        <v>0</v>
      </c>
      <c r="E283">
        <f>IFERROR(VLOOKUP(D283,'Lookup Tables'!$A:$B,2,FALSE),"Unknown")</f>
        <v>0</v>
      </c>
      <c r="F283">
        <f>'Raw Data'!E283</f>
        <v>0</v>
      </c>
      <c r="G283">
        <f>IFERROR(VLOOKUP(D283,'Lookup Tables'!$A:$C,3,FALSE),IF(ISNUMBER(SEARCH("STEEL",F283)),"Steel","Others"))</f>
        <v>0</v>
      </c>
      <c r="H283">
        <f>IF(ISNUMBER(SEARCH("scrubber",F283)) , "Scrubber", IF(ISNUMBER(SEARCH("container",F283)),"Container", IF(ISNUMBER(SEARCH("basket",F283)),"Basket", IF(ISNUMBER(SEARCH("lunch",F283)),"Lunch Box", IF(ISNUMBER(SEARCH("cutlery",F283)),"Cutlery","Other")))))</f>
        <v>0</v>
      </c>
      <c r="I283">
        <f>IF('Raw Data'!G283&lt;&gt;'','Raw Data'!G283,IFERROR(MID(F283,SEARCH("MODEL",F283)+6,20),""))</f>
        <v>0</v>
      </c>
      <c r="J283">
        <f>'Raw Data'!H283</f>
        <v>0</v>
      </c>
      <c r="K283">
        <f>'Raw Data'!I283</f>
        <v>0</v>
      </c>
      <c r="L283">
        <f>IF('Raw Data'!N283&lt;&gt;0,'Raw Data'!N283,IFERROR(VALUE(MID(F283,SEARCH("QTY",F283)+4,IFERROR(FIND(" ",F283,SEARCH("QTY",F283)+4)-(SEARCH("QTY",F283)+4),3))),""))</f>
        <v>0</v>
      </c>
      <c r="M283">
        <f>'Raw Data'!O283</f>
        <v>0</v>
      </c>
      <c r="N283">
        <f>'Raw Data'!P283</f>
        <v>0</v>
      </c>
      <c r="O283">
        <f>'Raw Data'!Q283</f>
        <v>0</v>
      </c>
      <c r="P283">
        <f>'Raw Data'!R283</f>
        <v>0</v>
      </c>
      <c r="Q283">
        <f>'Raw Data'!S283</f>
        <v>0</v>
      </c>
      <c r="R283">
        <f>'Raw Data'!T283</f>
        <v>0</v>
      </c>
      <c r="S283">
        <f>IFERROR(O283,0)+IFERROR(R283,0)</f>
        <v>0</v>
      </c>
      <c r="T283">
        <f>IF(A283="","",YEAR(A283))</f>
        <v>0</v>
      </c>
    </row>
    <row r="284" spans="1:20">
      <c r="A284">
        <f>'Raw Data'!B284</f>
        <v>0</v>
      </c>
      <c r="B284">
        <f>'Raw Data'!A284</f>
        <v>0</v>
      </c>
      <c r="C284">
        <f>'Raw Data'!C284</f>
        <v>0</v>
      </c>
      <c r="D284">
        <f>'Raw Data'!D284</f>
        <v>0</v>
      </c>
      <c r="E284">
        <f>IFERROR(VLOOKUP(D284,'Lookup Tables'!$A:$B,2,FALSE),"Unknown")</f>
        <v>0</v>
      </c>
      <c r="F284">
        <f>'Raw Data'!E284</f>
        <v>0</v>
      </c>
      <c r="G284">
        <f>IFERROR(VLOOKUP(D284,'Lookup Tables'!$A:$C,3,FALSE),IF(ISNUMBER(SEARCH("STEEL",F284)),"Steel","Others"))</f>
        <v>0</v>
      </c>
      <c r="H284">
        <f>IF(ISNUMBER(SEARCH("scrubber",F284)) , "Scrubber", IF(ISNUMBER(SEARCH("container",F284)),"Container", IF(ISNUMBER(SEARCH("basket",F284)),"Basket", IF(ISNUMBER(SEARCH("lunch",F284)),"Lunch Box", IF(ISNUMBER(SEARCH("cutlery",F284)),"Cutlery","Other")))))</f>
        <v>0</v>
      </c>
      <c r="I284">
        <f>IF('Raw Data'!G284&lt;&gt;'','Raw Data'!G284,IFERROR(MID(F284,SEARCH("MODEL",F284)+6,20),""))</f>
        <v>0</v>
      </c>
      <c r="J284">
        <f>'Raw Data'!H284</f>
        <v>0</v>
      </c>
      <c r="K284">
        <f>'Raw Data'!I284</f>
        <v>0</v>
      </c>
      <c r="L284">
        <f>IF('Raw Data'!N284&lt;&gt;0,'Raw Data'!N284,IFERROR(VALUE(MID(F284,SEARCH("QTY",F284)+4,IFERROR(FIND(" ",F284,SEARCH("QTY",F284)+4)-(SEARCH("QTY",F284)+4),3))),""))</f>
        <v>0</v>
      </c>
      <c r="M284">
        <f>'Raw Data'!O284</f>
        <v>0</v>
      </c>
      <c r="N284">
        <f>'Raw Data'!P284</f>
        <v>0</v>
      </c>
      <c r="O284">
        <f>'Raw Data'!Q284</f>
        <v>0</v>
      </c>
      <c r="P284">
        <f>'Raw Data'!R284</f>
        <v>0</v>
      </c>
      <c r="Q284">
        <f>'Raw Data'!S284</f>
        <v>0</v>
      </c>
      <c r="R284">
        <f>'Raw Data'!T284</f>
        <v>0</v>
      </c>
      <c r="S284">
        <f>IFERROR(O284,0)+IFERROR(R284,0)</f>
        <v>0</v>
      </c>
      <c r="T284">
        <f>IF(A284="","",YEAR(A284))</f>
        <v>0</v>
      </c>
    </row>
    <row r="285" spans="1:20">
      <c r="A285">
        <f>'Raw Data'!B285</f>
        <v>0</v>
      </c>
      <c r="B285">
        <f>'Raw Data'!A285</f>
        <v>0</v>
      </c>
      <c r="C285">
        <f>'Raw Data'!C285</f>
        <v>0</v>
      </c>
      <c r="D285">
        <f>'Raw Data'!D285</f>
        <v>0</v>
      </c>
      <c r="E285">
        <f>IFERROR(VLOOKUP(D285,'Lookup Tables'!$A:$B,2,FALSE),"Unknown")</f>
        <v>0</v>
      </c>
      <c r="F285">
        <f>'Raw Data'!E285</f>
        <v>0</v>
      </c>
      <c r="G285">
        <f>IFERROR(VLOOKUP(D285,'Lookup Tables'!$A:$C,3,FALSE),IF(ISNUMBER(SEARCH("STEEL",F285)),"Steel","Others"))</f>
        <v>0</v>
      </c>
      <c r="H285">
        <f>IF(ISNUMBER(SEARCH("scrubber",F285)) , "Scrubber", IF(ISNUMBER(SEARCH("container",F285)),"Container", IF(ISNUMBER(SEARCH("basket",F285)),"Basket", IF(ISNUMBER(SEARCH("lunch",F285)),"Lunch Box", IF(ISNUMBER(SEARCH("cutlery",F285)),"Cutlery","Other")))))</f>
        <v>0</v>
      </c>
      <c r="I285">
        <f>IF('Raw Data'!G285&lt;&gt;'','Raw Data'!G285,IFERROR(MID(F285,SEARCH("MODEL",F285)+6,20),""))</f>
        <v>0</v>
      </c>
      <c r="J285">
        <f>'Raw Data'!H285</f>
        <v>0</v>
      </c>
      <c r="K285">
        <f>'Raw Data'!I285</f>
        <v>0</v>
      </c>
      <c r="L285">
        <f>IF('Raw Data'!N285&lt;&gt;0,'Raw Data'!N285,IFERROR(VALUE(MID(F285,SEARCH("QTY",F285)+4,IFERROR(FIND(" ",F285,SEARCH("QTY",F285)+4)-(SEARCH("QTY",F285)+4),3))),""))</f>
        <v>0</v>
      </c>
      <c r="M285">
        <f>'Raw Data'!O285</f>
        <v>0</v>
      </c>
      <c r="N285">
        <f>'Raw Data'!P285</f>
        <v>0</v>
      </c>
      <c r="O285">
        <f>'Raw Data'!Q285</f>
        <v>0</v>
      </c>
      <c r="P285">
        <f>'Raw Data'!R285</f>
        <v>0</v>
      </c>
      <c r="Q285">
        <f>'Raw Data'!S285</f>
        <v>0</v>
      </c>
      <c r="R285">
        <f>'Raw Data'!T285</f>
        <v>0</v>
      </c>
      <c r="S285">
        <f>IFERROR(O285,0)+IFERROR(R285,0)</f>
        <v>0</v>
      </c>
      <c r="T285">
        <f>IF(A285="","",YEAR(A285))</f>
        <v>0</v>
      </c>
    </row>
    <row r="286" spans="1:20">
      <c r="A286">
        <f>'Raw Data'!B286</f>
        <v>0</v>
      </c>
      <c r="B286">
        <f>'Raw Data'!A286</f>
        <v>0</v>
      </c>
      <c r="C286">
        <f>'Raw Data'!C286</f>
        <v>0</v>
      </c>
      <c r="D286">
        <f>'Raw Data'!D286</f>
        <v>0</v>
      </c>
      <c r="E286">
        <f>IFERROR(VLOOKUP(D286,'Lookup Tables'!$A:$B,2,FALSE),"Unknown")</f>
        <v>0</v>
      </c>
      <c r="F286">
        <f>'Raw Data'!E286</f>
        <v>0</v>
      </c>
      <c r="G286">
        <f>IFERROR(VLOOKUP(D286,'Lookup Tables'!$A:$C,3,FALSE),IF(ISNUMBER(SEARCH("STEEL",F286)),"Steel","Others"))</f>
        <v>0</v>
      </c>
      <c r="H286">
        <f>IF(ISNUMBER(SEARCH("scrubber",F286)) , "Scrubber", IF(ISNUMBER(SEARCH("container",F286)),"Container", IF(ISNUMBER(SEARCH("basket",F286)),"Basket", IF(ISNUMBER(SEARCH("lunch",F286)),"Lunch Box", IF(ISNUMBER(SEARCH("cutlery",F286)),"Cutlery","Other")))))</f>
        <v>0</v>
      </c>
      <c r="I286">
        <f>IF('Raw Data'!G286&lt;&gt;'','Raw Data'!G286,IFERROR(MID(F286,SEARCH("MODEL",F286)+6,20),""))</f>
        <v>0</v>
      </c>
      <c r="J286">
        <f>'Raw Data'!H286</f>
        <v>0</v>
      </c>
      <c r="K286">
        <f>'Raw Data'!I286</f>
        <v>0</v>
      </c>
      <c r="L286">
        <f>IF('Raw Data'!N286&lt;&gt;0,'Raw Data'!N286,IFERROR(VALUE(MID(F286,SEARCH("QTY",F286)+4,IFERROR(FIND(" ",F286,SEARCH("QTY",F286)+4)-(SEARCH("QTY",F286)+4),3))),""))</f>
        <v>0</v>
      </c>
      <c r="M286">
        <f>'Raw Data'!O286</f>
        <v>0</v>
      </c>
      <c r="N286">
        <f>'Raw Data'!P286</f>
        <v>0</v>
      </c>
      <c r="O286">
        <f>'Raw Data'!Q286</f>
        <v>0</v>
      </c>
      <c r="P286">
        <f>'Raw Data'!R286</f>
        <v>0</v>
      </c>
      <c r="Q286">
        <f>'Raw Data'!S286</f>
        <v>0</v>
      </c>
      <c r="R286">
        <f>'Raw Data'!T286</f>
        <v>0</v>
      </c>
      <c r="S286">
        <f>IFERROR(O286,0)+IFERROR(R286,0)</f>
        <v>0</v>
      </c>
      <c r="T286">
        <f>IF(A286="","",YEAR(A286))</f>
        <v>0</v>
      </c>
    </row>
    <row r="287" spans="1:20">
      <c r="A287">
        <f>'Raw Data'!B287</f>
        <v>0</v>
      </c>
      <c r="B287">
        <f>'Raw Data'!A287</f>
        <v>0</v>
      </c>
      <c r="C287">
        <f>'Raw Data'!C287</f>
        <v>0</v>
      </c>
      <c r="D287">
        <f>'Raw Data'!D287</f>
        <v>0</v>
      </c>
      <c r="E287">
        <f>IFERROR(VLOOKUP(D287,'Lookup Tables'!$A:$B,2,FALSE),"Unknown")</f>
        <v>0</v>
      </c>
      <c r="F287">
        <f>'Raw Data'!E287</f>
        <v>0</v>
      </c>
      <c r="G287">
        <f>IFERROR(VLOOKUP(D287,'Lookup Tables'!$A:$C,3,FALSE),IF(ISNUMBER(SEARCH("STEEL",F287)),"Steel","Others"))</f>
        <v>0</v>
      </c>
      <c r="H287">
        <f>IF(ISNUMBER(SEARCH("scrubber",F287)) , "Scrubber", IF(ISNUMBER(SEARCH("container",F287)),"Container", IF(ISNUMBER(SEARCH("basket",F287)),"Basket", IF(ISNUMBER(SEARCH("lunch",F287)),"Lunch Box", IF(ISNUMBER(SEARCH("cutlery",F287)),"Cutlery","Other")))))</f>
        <v>0</v>
      </c>
      <c r="I287">
        <f>IF('Raw Data'!G287&lt;&gt;'','Raw Data'!G287,IFERROR(MID(F287,SEARCH("MODEL",F287)+6,20),""))</f>
        <v>0</v>
      </c>
      <c r="J287">
        <f>'Raw Data'!H287</f>
        <v>0</v>
      </c>
      <c r="K287">
        <f>'Raw Data'!I287</f>
        <v>0</v>
      </c>
      <c r="L287">
        <f>IF('Raw Data'!N287&lt;&gt;0,'Raw Data'!N287,IFERROR(VALUE(MID(F287,SEARCH("QTY",F287)+4,IFERROR(FIND(" ",F287,SEARCH("QTY",F287)+4)-(SEARCH("QTY",F287)+4),3))),""))</f>
        <v>0</v>
      </c>
      <c r="M287">
        <f>'Raw Data'!O287</f>
        <v>0</v>
      </c>
      <c r="N287">
        <f>'Raw Data'!P287</f>
        <v>0</v>
      </c>
      <c r="O287">
        <f>'Raw Data'!Q287</f>
        <v>0</v>
      </c>
      <c r="P287">
        <f>'Raw Data'!R287</f>
        <v>0</v>
      </c>
      <c r="Q287">
        <f>'Raw Data'!S287</f>
        <v>0</v>
      </c>
      <c r="R287">
        <f>'Raw Data'!T287</f>
        <v>0</v>
      </c>
      <c r="S287">
        <f>IFERROR(O287,0)+IFERROR(R287,0)</f>
        <v>0</v>
      </c>
      <c r="T287">
        <f>IF(A287="","",YEAR(A287))</f>
        <v>0</v>
      </c>
    </row>
    <row r="288" spans="1:20">
      <c r="A288">
        <f>'Raw Data'!B288</f>
        <v>0</v>
      </c>
      <c r="B288">
        <f>'Raw Data'!A288</f>
        <v>0</v>
      </c>
      <c r="C288">
        <f>'Raw Data'!C288</f>
        <v>0</v>
      </c>
      <c r="D288">
        <f>'Raw Data'!D288</f>
        <v>0</v>
      </c>
      <c r="E288">
        <f>IFERROR(VLOOKUP(D288,'Lookup Tables'!$A:$B,2,FALSE),"Unknown")</f>
        <v>0</v>
      </c>
      <c r="F288">
        <f>'Raw Data'!E288</f>
        <v>0</v>
      </c>
      <c r="G288">
        <f>IFERROR(VLOOKUP(D288,'Lookup Tables'!$A:$C,3,FALSE),IF(ISNUMBER(SEARCH("STEEL",F288)),"Steel","Others"))</f>
        <v>0</v>
      </c>
      <c r="H288">
        <f>IF(ISNUMBER(SEARCH("scrubber",F288)) , "Scrubber", IF(ISNUMBER(SEARCH("container",F288)),"Container", IF(ISNUMBER(SEARCH("basket",F288)),"Basket", IF(ISNUMBER(SEARCH("lunch",F288)),"Lunch Box", IF(ISNUMBER(SEARCH("cutlery",F288)),"Cutlery","Other")))))</f>
        <v>0</v>
      </c>
      <c r="I288">
        <f>IF('Raw Data'!G288&lt;&gt;'','Raw Data'!G288,IFERROR(MID(F288,SEARCH("MODEL",F288)+6,20),""))</f>
        <v>0</v>
      </c>
      <c r="J288">
        <f>'Raw Data'!H288</f>
        <v>0</v>
      </c>
      <c r="K288">
        <f>'Raw Data'!I288</f>
        <v>0</v>
      </c>
      <c r="L288">
        <f>IF('Raw Data'!N288&lt;&gt;0,'Raw Data'!N288,IFERROR(VALUE(MID(F288,SEARCH("QTY",F288)+4,IFERROR(FIND(" ",F288,SEARCH("QTY",F288)+4)-(SEARCH("QTY",F288)+4),3))),""))</f>
        <v>0</v>
      </c>
      <c r="M288">
        <f>'Raw Data'!O288</f>
        <v>0</v>
      </c>
      <c r="N288">
        <f>'Raw Data'!P288</f>
        <v>0</v>
      </c>
      <c r="O288">
        <f>'Raw Data'!Q288</f>
        <v>0</v>
      </c>
      <c r="P288">
        <f>'Raw Data'!R288</f>
        <v>0</v>
      </c>
      <c r="Q288">
        <f>'Raw Data'!S288</f>
        <v>0</v>
      </c>
      <c r="R288">
        <f>'Raw Data'!T288</f>
        <v>0</v>
      </c>
      <c r="S288">
        <f>IFERROR(O288,0)+IFERROR(R288,0)</f>
        <v>0</v>
      </c>
      <c r="T288">
        <f>IF(A288="","",YEAR(A288))</f>
        <v>0</v>
      </c>
    </row>
    <row r="289" spans="1:20">
      <c r="A289">
        <f>'Raw Data'!B289</f>
        <v>0</v>
      </c>
      <c r="B289">
        <f>'Raw Data'!A289</f>
        <v>0</v>
      </c>
      <c r="C289">
        <f>'Raw Data'!C289</f>
        <v>0</v>
      </c>
      <c r="D289">
        <f>'Raw Data'!D289</f>
        <v>0</v>
      </c>
      <c r="E289">
        <f>IFERROR(VLOOKUP(D289,'Lookup Tables'!$A:$B,2,FALSE),"Unknown")</f>
        <v>0</v>
      </c>
      <c r="F289">
        <f>'Raw Data'!E289</f>
        <v>0</v>
      </c>
      <c r="G289">
        <f>IFERROR(VLOOKUP(D289,'Lookup Tables'!$A:$C,3,FALSE),IF(ISNUMBER(SEARCH("STEEL",F289)),"Steel","Others"))</f>
        <v>0</v>
      </c>
      <c r="H289">
        <f>IF(ISNUMBER(SEARCH("scrubber",F289)) , "Scrubber", IF(ISNUMBER(SEARCH("container",F289)),"Container", IF(ISNUMBER(SEARCH("basket",F289)),"Basket", IF(ISNUMBER(SEARCH("lunch",F289)),"Lunch Box", IF(ISNUMBER(SEARCH("cutlery",F289)),"Cutlery","Other")))))</f>
        <v>0</v>
      </c>
      <c r="I289">
        <f>IF('Raw Data'!G289&lt;&gt;'','Raw Data'!G289,IFERROR(MID(F289,SEARCH("MODEL",F289)+6,20),""))</f>
        <v>0</v>
      </c>
      <c r="J289">
        <f>'Raw Data'!H289</f>
        <v>0</v>
      </c>
      <c r="K289">
        <f>'Raw Data'!I289</f>
        <v>0</v>
      </c>
      <c r="L289">
        <f>IF('Raw Data'!N289&lt;&gt;0,'Raw Data'!N289,IFERROR(VALUE(MID(F289,SEARCH("QTY",F289)+4,IFERROR(FIND(" ",F289,SEARCH("QTY",F289)+4)-(SEARCH("QTY",F289)+4),3))),""))</f>
        <v>0</v>
      </c>
      <c r="M289">
        <f>'Raw Data'!O289</f>
        <v>0</v>
      </c>
      <c r="N289">
        <f>'Raw Data'!P289</f>
        <v>0</v>
      </c>
      <c r="O289">
        <f>'Raw Data'!Q289</f>
        <v>0</v>
      </c>
      <c r="P289">
        <f>'Raw Data'!R289</f>
        <v>0</v>
      </c>
      <c r="Q289">
        <f>'Raw Data'!S289</f>
        <v>0</v>
      </c>
      <c r="R289">
        <f>'Raw Data'!T289</f>
        <v>0</v>
      </c>
      <c r="S289">
        <f>IFERROR(O289,0)+IFERROR(R289,0)</f>
        <v>0</v>
      </c>
      <c r="T289">
        <f>IF(A289="","",YEAR(A289))</f>
        <v>0</v>
      </c>
    </row>
    <row r="290" spans="1:20">
      <c r="A290">
        <f>'Raw Data'!B290</f>
        <v>0</v>
      </c>
      <c r="B290">
        <f>'Raw Data'!A290</f>
        <v>0</v>
      </c>
      <c r="C290">
        <f>'Raw Data'!C290</f>
        <v>0</v>
      </c>
      <c r="D290">
        <f>'Raw Data'!D290</f>
        <v>0</v>
      </c>
      <c r="E290">
        <f>IFERROR(VLOOKUP(D290,'Lookup Tables'!$A:$B,2,FALSE),"Unknown")</f>
        <v>0</v>
      </c>
      <c r="F290">
        <f>'Raw Data'!E290</f>
        <v>0</v>
      </c>
      <c r="G290">
        <f>IFERROR(VLOOKUP(D290,'Lookup Tables'!$A:$C,3,FALSE),IF(ISNUMBER(SEARCH("STEEL",F290)),"Steel","Others"))</f>
        <v>0</v>
      </c>
      <c r="H290">
        <f>IF(ISNUMBER(SEARCH("scrubber",F290)) , "Scrubber", IF(ISNUMBER(SEARCH("container",F290)),"Container", IF(ISNUMBER(SEARCH("basket",F290)),"Basket", IF(ISNUMBER(SEARCH("lunch",F290)),"Lunch Box", IF(ISNUMBER(SEARCH("cutlery",F290)),"Cutlery","Other")))))</f>
        <v>0</v>
      </c>
      <c r="I290">
        <f>IF('Raw Data'!G290&lt;&gt;'','Raw Data'!G290,IFERROR(MID(F290,SEARCH("MODEL",F290)+6,20),""))</f>
        <v>0</v>
      </c>
      <c r="J290">
        <f>'Raw Data'!H290</f>
        <v>0</v>
      </c>
      <c r="K290">
        <f>'Raw Data'!I290</f>
        <v>0</v>
      </c>
      <c r="L290">
        <f>IF('Raw Data'!N290&lt;&gt;0,'Raw Data'!N290,IFERROR(VALUE(MID(F290,SEARCH("QTY",F290)+4,IFERROR(FIND(" ",F290,SEARCH("QTY",F290)+4)-(SEARCH("QTY",F290)+4),3))),""))</f>
        <v>0</v>
      </c>
      <c r="M290">
        <f>'Raw Data'!O290</f>
        <v>0</v>
      </c>
      <c r="N290">
        <f>'Raw Data'!P290</f>
        <v>0</v>
      </c>
      <c r="O290">
        <f>'Raw Data'!Q290</f>
        <v>0</v>
      </c>
      <c r="P290">
        <f>'Raw Data'!R290</f>
        <v>0</v>
      </c>
      <c r="Q290">
        <f>'Raw Data'!S290</f>
        <v>0</v>
      </c>
      <c r="R290">
        <f>'Raw Data'!T290</f>
        <v>0</v>
      </c>
      <c r="S290">
        <f>IFERROR(O290,0)+IFERROR(R290,0)</f>
        <v>0</v>
      </c>
      <c r="T290">
        <f>IF(A290="","",YEAR(A290))</f>
        <v>0</v>
      </c>
    </row>
    <row r="291" spans="1:20">
      <c r="A291">
        <f>'Raw Data'!B291</f>
        <v>0</v>
      </c>
      <c r="B291">
        <f>'Raw Data'!A291</f>
        <v>0</v>
      </c>
      <c r="C291">
        <f>'Raw Data'!C291</f>
        <v>0</v>
      </c>
      <c r="D291">
        <f>'Raw Data'!D291</f>
        <v>0</v>
      </c>
      <c r="E291">
        <f>IFERROR(VLOOKUP(D291,'Lookup Tables'!$A:$B,2,FALSE),"Unknown")</f>
        <v>0</v>
      </c>
      <c r="F291">
        <f>'Raw Data'!E291</f>
        <v>0</v>
      </c>
      <c r="G291">
        <f>IFERROR(VLOOKUP(D291,'Lookup Tables'!$A:$C,3,FALSE),IF(ISNUMBER(SEARCH("STEEL",F291)),"Steel","Others"))</f>
        <v>0</v>
      </c>
      <c r="H291">
        <f>IF(ISNUMBER(SEARCH("scrubber",F291)) , "Scrubber", IF(ISNUMBER(SEARCH("container",F291)),"Container", IF(ISNUMBER(SEARCH("basket",F291)),"Basket", IF(ISNUMBER(SEARCH("lunch",F291)),"Lunch Box", IF(ISNUMBER(SEARCH("cutlery",F291)),"Cutlery","Other")))))</f>
        <v>0</v>
      </c>
      <c r="I291">
        <f>IF('Raw Data'!G291&lt;&gt;'','Raw Data'!G291,IFERROR(MID(F291,SEARCH("MODEL",F291)+6,20),""))</f>
        <v>0</v>
      </c>
      <c r="J291">
        <f>'Raw Data'!H291</f>
        <v>0</v>
      </c>
      <c r="K291">
        <f>'Raw Data'!I291</f>
        <v>0</v>
      </c>
      <c r="L291">
        <f>IF('Raw Data'!N291&lt;&gt;0,'Raw Data'!N291,IFERROR(VALUE(MID(F291,SEARCH("QTY",F291)+4,IFERROR(FIND(" ",F291,SEARCH("QTY",F291)+4)-(SEARCH("QTY",F291)+4),3))),""))</f>
        <v>0</v>
      </c>
      <c r="M291">
        <f>'Raw Data'!O291</f>
        <v>0</v>
      </c>
      <c r="N291">
        <f>'Raw Data'!P291</f>
        <v>0</v>
      </c>
      <c r="O291">
        <f>'Raw Data'!Q291</f>
        <v>0</v>
      </c>
      <c r="P291">
        <f>'Raw Data'!R291</f>
        <v>0</v>
      </c>
      <c r="Q291">
        <f>'Raw Data'!S291</f>
        <v>0</v>
      </c>
      <c r="R291">
        <f>'Raw Data'!T291</f>
        <v>0</v>
      </c>
      <c r="S291">
        <f>IFERROR(O291,0)+IFERROR(R291,0)</f>
        <v>0</v>
      </c>
      <c r="T291">
        <f>IF(A291="","",YEAR(A291))</f>
        <v>0</v>
      </c>
    </row>
    <row r="292" spans="1:20">
      <c r="A292">
        <f>'Raw Data'!B292</f>
        <v>0</v>
      </c>
      <c r="B292">
        <f>'Raw Data'!A292</f>
        <v>0</v>
      </c>
      <c r="C292">
        <f>'Raw Data'!C292</f>
        <v>0</v>
      </c>
      <c r="D292">
        <f>'Raw Data'!D292</f>
        <v>0</v>
      </c>
      <c r="E292">
        <f>IFERROR(VLOOKUP(D292,'Lookup Tables'!$A:$B,2,FALSE),"Unknown")</f>
        <v>0</v>
      </c>
      <c r="F292">
        <f>'Raw Data'!E292</f>
        <v>0</v>
      </c>
      <c r="G292">
        <f>IFERROR(VLOOKUP(D292,'Lookup Tables'!$A:$C,3,FALSE),IF(ISNUMBER(SEARCH("STEEL",F292)),"Steel","Others"))</f>
        <v>0</v>
      </c>
      <c r="H292">
        <f>IF(ISNUMBER(SEARCH("scrubber",F292)) , "Scrubber", IF(ISNUMBER(SEARCH("container",F292)),"Container", IF(ISNUMBER(SEARCH("basket",F292)),"Basket", IF(ISNUMBER(SEARCH("lunch",F292)),"Lunch Box", IF(ISNUMBER(SEARCH("cutlery",F292)),"Cutlery","Other")))))</f>
        <v>0</v>
      </c>
      <c r="I292">
        <f>IF('Raw Data'!G292&lt;&gt;'','Raw Data'!G292,IFERROR(MID(F292,SEARCH("MODEL",F292)+6,20),""))</f>
        <v>0</v>
      </c>
      <c r="J292">
        <f>'Raw Data'!H292</f>
        <v>0</v>
      </c>
      <c r="K292">
        <f>'Raw Data'!I292</f>
        <v>0</v>
      </c>
      <c r="L292">
        <f>IF('Raw Data'!N292&lt;&gt;0,'Raw Data'!N292,IFERROR(VALUE(MID(F292,SEARCH("QTY",F292)+4,IFERROR(FIND(" ",F292,SEARCH("QTY",F292)+4)-(SEARCH("QTY",F292)+4),3))),""))</f>
        <v>0</v>
      </c>
      <c r="M292">
        <f>'Raw Data'!O292</f>
        <v>0</v>
      </c>
      <c r="N292">
        <f>'Raw Data'!P292</f>
        <v>0</v>
      </c>
      <c r="O292">
        <f>'Raw Data'!Q292</f>
        <v>0</v>
      </c>
      <c r="P292">
        <f>'Raw Data'!R292</f>
        <v>0</v>
      </c>
      <c r="Q292">
        <f>'Raw Data'!S292</f>
        <v>0</v>
      </c>
      <c r="R292">
        <f>'Raw Data'!T292</f>
        <v>0</v>
      </c>
      <c r="S292">
        <f>IFERROR(O292,0)+IFERROR(R292,0)</f>
        <v>0</v>
      </c>
      <c r="T292">
        <f>IF(A292="","",YEAR(A292))</f>
        <v>0</v>
      </c>
    </row>
    <row r="293" spans="1:20">
      <c r="A293">
        <f>'Raw Data'!B293</f>
        <v>0</v>
      </c>
      <c r="B293">
        <f>'Raw Data'!A293</f>
        <v>0</v>
      </c>
      <c r="C293">
        <f>'Raw Data'!C293</f>
        <v>0</v>
      </c>
      <c r="D293">
        <f>'Raw Data'!D293</f>
        <v>0</v>
      </c>
      <c r="E293">
        <f>IFERROR(VLOOKUP(D293,'Lookup Tables'!$A:$B,2,FALSE),"Unknown")</f>
        <v>0</v>
      </c>
      <c r="F293">
        <f>'Raw Data'!E293</f>
        <v>0</v>
      </c>
      <c r="G293">
        <f>IFERROR(VLOOKUP(D293,'Lookup Tables'!$A:$C,3,FALSE),IF(ISNUMBER(SEARCH("STEEL",F293)),"Steel","Others"))</f>
        <v>0</v>
      </c>
      <c r="H293">
        <f>IF(ISNUMBER(SEARCH("scrubber",F293)) , "Scrubber", IF(ISNUMBER(SEARCH("container",F293)),"Container", IF(ISNUMBER(SEARCH("basket",F293)),"Basket", IF(ISNUMBER(SEARCH("lunch",F293)),"Lunch Box", IF(ISNUMBER(SEARCH("cutlery",F293)),"Cutlery","Other")))))</f>
        <v>0</v>
      </c>
      <c r="I293">
        <f>IF('Raw Data'!G293&lt;&gt;'','Raw Data'!G293,IFERROR(MID(F293,SEARCH("MODEL",F293)+6,20),""))</f>
        <v>0</v>
      </c>
      <c r="J293">
        <f>'Raw Data'!H293</f>
        <v>0</v>
      </c>
      <c r="K293">
        <f>'Raw Data'!I293</f>
        <v>0</v>
      </c>
      <c r="L293">
        <f>IF('Raw Data'!N293&lt;&gt;0,'Raw Data'!N293,IFERROR(VALUE(MID(F293,SEARCH("QTY",F293)+4,IFERROR(FIND(" ",F293,SEARCH("QTY",F293)+4)-(SEARCH("QTY",F293)+4),3))),""))</f>
        <v>0</v>
      </c>
      <c r="M293">
        <f>'Raw Data'!O293</f>
        <v>0</v>
      </c>
      <c r="N293">
        <f>'Raw Data'!P293</f>
        <v>0</v>
      </c>
      <c r="O293">
        <f>'Raw Data'!Q293</f>
        <v>0</v>
      </c>
      <c r="P293">
        <f>'Raw Data'!R293</f>
        <v>0</v>
      </c>
      <c r="Q293">
        <f>'Raw Data'!S293</f>
        <v>0</v>
      </c>
      <c r="R293">
        <f>'Raw Data'!T293</f>
        <v>0</v>
      </c>
      <c r="S293">
        <f>IFERROR(O293,0)+IFERROR(R293,0)</f>
        <v>0</v>
      </c>
      <c r="T293">
        <f>IF(A293="","",YEAR(A293))</f>
        <v>0</v>
      </c>
    </row>
    <row r="294" spans="1:20">
      <c r="A294">
        <f>'Raw Data'!B294</f>
        <v>0</v>
      </c>
      <c r="B294">
        <f>'Raw Data'!A294</f>
        <v>0</v>
      </c>
      <c r="C294">
        <f>'Raw Data'!C294</f>
        <v>0</v>
      </c>
      <c r="D294">
        <f>'Raw Data'!D294</f>
        <v>0</v>
      </c>
      <c r="E294">
        <f>IFERROR(VLOOKUP(D294,'Lookup Tables'!$A:$B,2,FALSE),"Unknown")</f>
        <v>0</v>
      </c>
      <c r="F294">
        <f>'Raw Data'!E294</f>
        <v>0</v>
      </c>
      <c r="G294">
        <f>IFERROR(VLOOKUP(D294,'Lookup Tables'!$A:$C,3,FALSE),IF(ISNUMBER(SEARCH("STEEL",F294)),"Steel","Others"))</f>
        <v>0</v>
      </c>
      <c r="H294">
        <f>IF(ISNUMBER(SEARCH("scrubber",F294)) , "Scrubber", IF(ISNUMBER(SEARCH("container",F294)),"Container", IF(ISNUMBER(SEARCH("basket",F294)),"Basket", IF(ISNUMBER(SEARCH("lunch",F294)),"Lunch Box", IF(ISNUMBER(SEARCH("cutlery",F294)),"Cutlery","Other")))))</f>
        <v>0</v>
      </c>
      <c r="I294">
        <f>IF('Raw Data'!G294&lt;&gt;'','Raw Data'!G294,IFERROR(MID(F294,SEARCH("MODEL",F294)+6,20),""))</f>
        <v>0</v>
      </c>
      <c r="J294">
        <f>'Raw Data'!H294</f>
        <v>0</v>
      </c>
      <c r="K294">
        <f>'Raw Data'!I294</f>
        <v>0</v>
      </c>
      <c r="L294">
        <f>IF('Raw Data'!N294&lt;&gt;0,'Raw Data'!N294,IFERROR(VALUE(MID(F294,SEARCH("QTY",F294)+4,IFERROR(FIND(" ",F294,SEARCH("QTY",F294)+4)-(SEARCH("QTY",F294)+4),3))),""))</f>
        <v>0</v>
      </c>
      <c r="M294">
        <f>'Raw Data'!O294</f>
        <v>0</v>
      </c>
      <c r="N294">
        <f>'Raw Data'!P294</f>
        <v>0</v>
      </c>
      <c r="O294">
        <f>'Raw Data'!Q294</f>
        <v>0</v>
      </c>
      <c r="P294">
        <f>'Raw Data'!R294</f>
        <v>0</v>
      </c>
      <c r="Q294">
        <f>'Raw Data'!S294</f>
        <v>0</v>
      </c>
      <c r="R294">
        <f>'Raw Data'!T294</f>
        <v>0</v>
      </c>
      <c r="S294">
        <f>IFERROR(O294,0)+IFERROR(R294,0)</f>
        <v>0</v>
      </c>
      <c r="T294">
        <f>IF(A294="","",YEAR(A294))</f>
        <v>0</v>
      </c>
    </row>
    <row r="295" spans="1:20">
      <c r="A295">
        <f>'Raw Data'!B295</f>
        <v>0</v>
      </c>
      <c r="B295">
        <f>'Raw Data'!A295</f>
        <v>0</v>
      </c>
      <c r="C295">
        <f>'Raw Data'!C295</f>
        <v>0</v>
      </c>
      <c r="D295">
        <f>'Raw Data'!D295</f>
        <v>0</v>
      </c>
      <c r="E295">
        <f>IFERROR(VLOOKUP(D295,'Lookup Tables'!$A:$B,2,FALSE),"Unknown")</f>
        <v>0</v>
      </c>
      <c r="F295">
        <f>'Raw Data'!E295</f>
        <v>0</v>
      </c>
      <c r="G295">
        <f>IFERROR(VLOOKUP(D295,'Lookup Tables'!$A:$C,3,FALSE),IF(ISNUMBER(SEARCH("STEEL",F295)),"Steel","Others"))</f>
        <v>0</v>
      </c>
      <c r="H295">
        <f>IF(ISNUMBER(SEARCH("scrubber",F295)) , "Scrubber", IF(ISNUMBER(SEARCH("container",F295)),"Container", IF(ISNUMBER(SEARCH("basket",F295)),"Basket", IF(ISNUMBER(SEARCH("lunch",F295)),"Lunch Box", IF(ISNUMBER(SEARCH("cutlery",F295)),"Cutlery","Other")))))</f>
        <v>0</v>
      </c>
      <c r="I295">
        <f>IF('Raw Data'!G295&lt;&gt;'','Raw Data'!G295,IFERROR(MID(F295,SEARCH("MODEL",F295)+6,20),""))</f>
        <v>0</v>
      </c>
      <c r="J295">
        <f>'Raw Data'!H295</f>
        <v>0</v>
      </c>
      <c r="K295">
        <f>'Raw Data'!I295</f>
        <v>0</v>
      </c>
      <c r="L295">
        <f>IF('Raw Data'!N295&lt;&gt;0,'Raw Data'!N295,IFERROR(VALUE(MID(F295,SEARCH("QTY",F295)+4,IFERROR(FIND(" ",F295,SEARCH("QTY",F295)+4)-(SEARCH("QTY",F295)+4),3))),""))</f>
        <v>0</v>
      </c>
      <c r="M295">
        <f>'Raw Data'!O295</f>
        <v>0</v>
      </c>
      <c r="N295">
        <f>'Raw Data'!P295</f>
        <v>0</v>
      </c>
      <c r="O295">
        <f>'Raw Data'!Q295</f>
        <v>0</v>
      </c>
      <c r="P295">
        <f>'Raw Data'!R295</f>
        <v>0</v>
      </c>
      <c r="Q295">
        <f>'Raw Data'!S295</f>
        <v>0</v>
      </c>
      <c r="R295">
        <f>'Raw Data'!T295</f>
        <v>0</v>
      </c>
      <c r="S295">
        <f>IFERROR(O295,0)+IFERROR(R295,0)</f>
        <v>0</v>
      </c>
      <c r="T295">
        <f>IF(A295="","",YEAR(A295))</f>
        <v>0</v>
      </c>
    </row>
    <row r="296" spans="1:20">
      <c r="A296">
        <f>'Raw Data'!B296</f>
        <v>0</v>
      </c>
      <c r="B296">
        <f>'Raw Data'!A296</f>
        <v>0</v>
      </c>
      <c r="C296">
        <f>'Raw Data'!C296</f>
        <v>0</v>
      </c>
      <c r="D296">
        <f>'Raw Data'!D296</f>
        <v>0</v>
      </c>
      <c r="E296">
        <f>IFERROR(VLOOKUP(D296,'Lookup Tables'!$A:$B,2,FALSE),"Unknown")</f>
        <v>0</v>
      </c>
      <c r="F296">
        <f>'Raw Data'!E296</f>
        <v>0</v>
      </c>
      <c r="G296">
        <f>IFERROR(VLOOKUP(D296,'Lookup Tables'!$A:$C,3,FALSE),IF(ISNUMBER(SEARCH("STEEL",F296)),"Steel","Others"))</f>
        <v>0</v>
      </c>
      <c r="H296">
        <f>IF(ISNUMBER(SEARCH("scrubber",F296)) , "Scrubber", IF(ISNUMBER(SEARCH("container",F296)),"Container", IF(ISNUMBER(SEARCH("basket",F296)),"Basket", IF(ISNUMBER(SEARCH("lunch",F296)),"Lunch Box", IF(ISNUMBER(SEARCH("cutlery",F296)),"Cutlery","Other")))))</f>
        <v>0</v>
      </c>
      <c r="I296">
        <f>IF('Raw Data'!G296&lt;&gt;'','Raw Data'!G296,IFERROR(MID(F296,SEARCH("MODEL",F296)+6,20),""))</f>
        <v>0</v>
      </c>
      <c r="J296">
        <f>'Raw Data'!H296</f>
        <v>0</v>
      </c>
      <c r="K296">
        <f>'Raw Data'!I296</f>
        <v>0</v>
      </c>
      <c r="L296">
        <f>IF('Raw Data'!N296&lt;&gt;0,'Raw Data'!N296,IFERROR(VALUE(MID(F296,SEARCH("QTY",F296)+4,IFERROR(FIND(" ",F296,SEARCH("QTY",F296)+4)-(SEARCH("QTY",F296)+4),3))),""))</f>
        <v>0</v>
      </c>
      <c r="M296">
        <f>'Raw Data'!O296</f>
        <v>0</v>
      </c>
      <c r="N296">
        <f>'Raw Data'!P296</f>
        <v>0</v>
      </c>
      <c r="O296">
        <f>'Raw Data'!Q296</f>
        <v>0</v>
      </c>
      <c r="P296">
        <f>'Raw Data'!R296</f>
        <v>0</v>
      </c>
      <c r="Q296">
        <f>'Raw Data'!S296</f>
        <v>0</v>
      </c>
      <c r="R296">
        <f>'Raw Data'!T296</f>
        <v>0</v>
      </c>
      <c r="S296">
        <f>IFERROR(O296,0)+IFERROR(R296,0)</f>
        <v>0</v>
      </c>
      <c r="T296">
        <f>IF(A296="","",YEAR(A296))</f>
        <v>0</v>
      </c>
    </row>
    <row r="297" spans="1:20">
      <c r="A297">
        <f>'Raw Data'!B297</f>
        <v>0</v>
      </c>
      <c r="B297">
        <f>'Raw Data'!A297</f>
        <v>0</v>
      </c>
      <c r="C297">
        <f>'Raw Data'!C297</f>
        <v>0</v>
      </c>
      <c r="D297">
        <f>'Raw Data'!D297</f>
        <v>0</v>
      </c>
      <c r="E297">
        <f>IFERROR(VLOOKUP(D297,'Lookup Tables'!$A:$B,2,FALSE),"Unknown")</f>
        <v>0</v>
      </c>
      <c r="F297">
        <f>'Raw Data'!E297</f>
        <v>0</v>
      </c>
      <c r="G297">
        <f>IFERROR(VLOOKUP(D297,'Lookup Tables'!$A:$C,3,FALSE),IF(ISNUMBER(SEARCH("STEEL",F297)),"Steel","Others"))</f>
        <v>0</v>
      </c>
      <c r="H297">
        <f>IF(ISNUMBER(SEARCH("scrubber",F297)) , "Scrubber", IF(ISNUMBER(SEARCH("container",F297)),"Container", IF(ISNUMBER(SEARCH("basket",F297)),"Basket", IF(ISNUMBER(SEARCH("lunch",F297)),"Lunch Box", IF(ISNUMBER(SEARCH("cutlery",F297)),"Cutlery","Other")))))</f>
        <v>0</v>
      </c>
      <c r="I297">
        <f>IF('Raw Data'!G297&lt;&gt;'','Raw Data'!G297,IFERROR(MID(F297,SEARCH("MODEL",F297)+6,20),""))</f>
        <v>0</v>
      </c>
      <c r="J297">
        <f>'Raw Data'!H297</f>
        <v>0</v>
      </c>
      <c r="K297">
        <f>'Raw Data'!I297</f>
        <v>0</v>
      </c>
      <c r="L297">
        <f>IF('Raw Data'!N297&lt;&gt;0,'Raw Data'!N297,IFERROR(VALUE(MID(F297,SEARCH("QTY",F297)+4,IFERROR(FIND(" ",F297,SEARCH("QTY",F297)+4)-(SEARCH("QTY",F297)+4),3))),""))</f>
        <v>0</v>
      </c>
      <c r="M297">
        <f>'Raw Data'!O297</f>
        <v>0</v>
      </c>
      <c r="N297">
        <f>'Raw Data'!P297</f>
        <v>0</v>
      </c>
      <c r="O297">
        <f>'Raw Data'!Q297</f>
        <v>0</v>
      </c>
      <c r="P297">
        <f>'Raw Data'!R297</f>
        <v>0</v>
      </c>
      <c r="Q297">
        <f>'Raw Data'!S297</f>
        <v>0</v>
      </c>
      <c r="R297">
        <f>'Raw Data'!T297</f>
        <v>0</v>
      </c>
      <c r="S297">
        <f>IFERROR(O297,0)+IFERROR(R297,0)</f>
        <v>0</v>
      </c>
      <c r="T297">
        <f>IF(A297="","",YEAR(A297))</f>
        <v>0</v>
      </c>
    </row>
    <row r="298" spans="1:20">
      <c r="A298">
        <f>'Raw Data'!B298</f>
        <v>0</v>
      </c>
      <c r="B298">
        <f>'Raw Data'!A298</f>
        <v>0</v>
      </c>
      <c r="C298">
        <f>'Raw Data'!C298</f>
        <v>0</v>
      </c>
      <c r="D298">
        <f>'Raw Data'!D298</f>
        <v>0</v>
      </c>
      <c r="E298">
        <f>IFERROR(VLOOKUP(D298,'Lookup Tables'!$A:$B,2,FALSE),"Unknown")</f>
        <v>0</v>
      </c>
      <c r="F298">
        <f>'Raw Data'!E298</f>
        <v>0</v>
      </c>
      <c r="G298">
        <f>IFERROR(VLOOKUP(D298,'Lookup Tables'!$A:$C,3,FALSE),IF(ISNUMBER(SEARCH("STEEL",F298)),"Steel","Others"))</f>
        <v>0</v>
      </c>
      <c r="H298">
        <f>IF(ISNUMBER(SEARCH("scrubber",F298)) , "Scrubber", IF(ISNUMBER(SEARCH("container",F298)),"Container", IF(ISNUMBER(SEARCH("basket",F298)),"Basket", IF(ISNUMBER(SEARCH("lunch",F298)),"Lunch Box", IF(ISNUMBER(SEARCH("cutlery",F298)),"Cutlery","Other")))))</f>
        <v>0</v>
      </c>
      <c r="I298">
        <f>IF('Raw Data'!G298&lt;&gt;'','Raw Data'!G298,IFERROR(MID(F298,SEARCH("MODEL",F298)+6,20),""))</f>
        <v>0</v>
      </c>
      <c r="J298">
        <f>'Raw Data'!H298</f>
        <v>0</v>
      </c>
      <c r="K298">
        <f>'Raw Data'!I298</f>
        <v>0</v>
      </c>
      <c r="L298">
        <f>IF('Raw Data'!N298&lt;&gt;0,'Raw Data'!N298,IFERROR(VALUE(MID(F298,SEARCH("QTY",F298)+4,IFERROR(FIND(" ",F298,SEARCH("QTY",F298)+4)-(SEARCH("QTY",F298)+4),3))),""))</f>
        <v>0</v>
      </c>
      <c r="M298">
        <f>'Raw Data'!O298</f>
        <v>0</v>
      </c>
      <c r="N298">
        <f>'Raw Data'!P298</f>
        <v>0</v>
      </c>
      <c r="O298">
        <f>'Raw Data'!Q298</f>
        <v>0</v>
      </c>
      <c r="P298">
        <f>'Raw Data'!R298</f>
        <v>0</v>
      </c>
      <c r="Q298">
        <f>'Raw Data'!S298</f>
        <v>0</v>
      </c>
      <c r="R298">
        <f>'Raw Data'!T298</f>
        <v>0</v>
      </c>
      <c r="S298">
        <f>IFERROR(O298,0)+IFERROR(R298,0)</f>
        <v>0</v>
      </c>
      <c r="T298">
        <f>IF(A298="","",YEAR(A298))</f>
        <v>0</v>
      </c>
    </row>
    <row r="299" spans="1:20">
      <c r="A299">
        <f>'Raw Data'!B299</f>
        <v>0</v>
      </c>
      <c r="B299">
        <f>'Raw Data'!A299</f>
        <v>0</v>
      </c>
      <c r="C299">
        <f>'Raw Data'!C299</f>
        <v>0</v>
      </c>
      <c r="D299">
        <f>'Raw Data'!D299</f>
        <v>0</v>
      </c>
      <c r="E299">
        <f>IFERROR(VLOOKUP(D299,'Lookup Tables'!$A:$B,2,FALSE),"Unknown")</f>
        <v>0</v>
      </c>
      <c r="F299">
        <f>'Raw Data'!E299</f>
        <v>0</v>
      </c>
      <c r="G299">
        <f>IFERROR(VLOOKUP(D299,'Lookup Tables'!$A:$C,3,FALSE),IF(ISNUMBER(SEARCH("STEEL",F299)),"Steel","Others"))</f>
        <v>0</v>
      </c>
      <c r="H299">
        <f>IF(ISNUMBER(SEARCH("scrubber",F299)) , "Scrubber", IF(ISNUMBER(SEARCH("container",F299)),"Container", IF(ISNUMBER(SEARCH("basket",F299)),"Basket", IF(ISNUMBER(SEARCH("lunch",F299)),"Lunch Box", IF(ISNUMBER(SEARCH("cutlery",F299)),"Cutlery","Other")))))</f>
        <v>0</v>
      </c>
      <c r="I299">
        <f>IF('Raw Data'!G299&lt;&gt;'','Raw Data'!G299,IFERROR(MID(F299,SEARCH("MODEL",F299)+6,20),""))</f>
        <v>0</v>
      </c>
      <c r="J299">
        <f>'Raw Data'!H299</f>
        <v>0</v>
      </c>
      <c r="K299">
        <f>'Raw Data'!I299</f>
        <v>0</v>
      </c>
      <c r="L299">
        <f>IF('Raw Data'!N299&lt;&gt;0,'Raw Data'!N299,IFERROR(VALUE(MID(F299,SEARCH("QTY",F299)+4,IFERROR(FIND(" ",F299,SEARCH("QTY",F299)+4)-(SEARCH("QTY",F299)+4),3))),""))</f>
        <v>0</v>
      </c>
      <c r="M299">
        <f>'Raw Data'!O299</f>
        <v>0</v>
      </c>
      <c r="N299">
        <f>'Raw Data'!P299</f>
        <v>0</v>
      </c>
      <c r="O299">
        <f>'Raw Data'!Q299</f>
        <v>0</v>
      </c>
      <c r="P299">
        <f>'Raw Data'!R299</f>
        <v>0</v>
      </c>
      <c r="Q299">
        <f>'Raw Data'!S299</f>
        <v>0</v>
      </c>
      <c r="R299">
        <f>'Raw Data'!T299</f>
        <v>0</v>
      </c>
      <c r="S299">
        <f>IFERROR(O299,0)+IFERROR(R299,0)</f>
        <v>0</v>
      </c>
      <c r="T299">
        <f>IF(A299="","",YEAR(A299))</f>
        <v>0</v>
      </c>
    </row>
    <row r="300" spans="1:20">
      <c r="A300">
        <f>'Raw Data'!B300</f>
        <v>0</v>
      </c>
      <c r="B300">
        <f>'Raw Data'!A300</f>
        <v>0</v>
      </c>
      <c r="C300">
        <f>'Raw Data'!C300</f>
        <v>0</v>
      </c>
      <c r="D300">
        <f>'Raw Data'!D300</f>
        <v>0</v>
      </c>
      <c r="E300">
        <f>IFERROR(VLOOKUP(D300,'Lookup Tables'!$A:$B,2,FALSE),"Unknown")</f>
        <v>0</v>
      </c>
      <c r="F300">
        <f>'Raw Data'!E300</f>
        <v>0</v>
      </c>
      <c r="G300">
        <f>IFERROR(VLOOKUP(D300,'Lookup Tables'!$A:$C,3,FALSE),IF(ISNUMBER(SEARCH("STEEL",F300)),"Steel","Others"))</f>
        <v>0</v>
      </c>
      <c r="H300">
        <f>IF(ISNUMBER(SEARCH("scrubber",F300)) , "Scrubber", IF(ISNUMBER(SEARCH("container",F300)),"Container", IF(ISNUMBER(SEARCH("basket",F300)),"Basket", IF(ISNUMBER(SEARCH("lunch",F300)),"Lunch Box", IF(ISNUMBER(SEARCH("cutlery",F300)),"Cutlery","Other")))))</f>
        <v>0</v>
      </c>
      <c r="I300">
        <f>IF('Raw Data'!G300&lt;&gt;'','Raw Data'!G300,IFERROR(MID(F300,SEARCH("MODEL",F300)+6,20),""))</f>
        <v>0</v>
      </c>
      <c r="J300">
        <f>'Raw Data'!H300</f>
        <v>0</v>
      </c>
      <c r="K300">
        <f>'Raw Data'!I300</f>
        <v>0</v>
      </c>
      <c r="L300">
        <f>IF('Raw Data'!N300&lt;&gt;0,'Raw Data'!N300,IFERROR(VALUE(MID(F300,SEARCH("QTY",F300)+4,IFERROR(FIND(" ",F300,SEARCH("QTY",F300)+4)-(SEARCH("QTY",F300)+4),3))),""))</f>
        <v>0</v>
      </c>
      <c r="M300">
        <f>'Raw Data'!O300</f>
        <v>0</v>
      </c>
      <c r="N300">
        <f>'Raw Data'!P300</f>
        <v>0</v>
      </c>
      <c r="O300">
        <f>'Raw Data'!Q300</f>
        <v>0</v>
      </c>
      <c r="P300">
        <f>'Raw Data'!R300</f>
        <v>0</v>
      </c>
      <c r="Q300">
        <f>'Raw Data'!S300</f>
        <v>0</v>
      </c>
      <c r="R300">
        <f>'Raw Data'!T300</f>
        <v>0</v>
      </c>
      <c r="S300">
        <f>IFERROR(O300,0)+IFERROR(R300,0)</f>
        <v>0</v>
      </c>
      <c r="T300">
        <f>IF(A300="","",YEAR(A300))</f>
        <v>0</v>
      </c>
    </row>
    <row r="301" spans="1:20">
      <c r="A301">
        <f>'Raw Data'!B301</f>
        <v>0</v>
      </c>
      <c r="B301">
        <f>'Raw Data'!A301</f>
        <v>0</v>
      </c>
      <c r="C301">
        <f>'Raw Data'!C301</f>
        <v>0</v>
      </c>
      <c r="D301">
        <f>'Raw Data'!D301</f>
        <v>0</v>
      </c>
      <c r="E301">
        <f>IFERROR(VLOOKUP(D301,'Lookup Tables'!$A:$B,2,FALSE),"Unknown")</f>
        <v>0</v>
      </c>
      <c r="F301">
        <f>'Raw Data'!E301</f>
        <v>0</v>
      </c>
      <c r="G301">
        <f>IFERROR(VLOOKUP(D301,'Lookup Tables'!$A:$C,3,FALSE),IF(ISNUMBER(SEARCH("STEEL",F301)),"Steel","Others"))</f>
        <v>0</v>
      </c>
      <c r="H301">
        <f>IF(ISNUMBER(SEARCH("scrubber",F301)) , "Scrubber", IF(ISNUMBER(SEARCH("container",F301)),"Container", IF(ISNUMBER(SEARCH("basket",F301)),"Basket", IF(ISNUMBER(SEARCH("lunch",F301)),"Lunch Box", IF(ISNUMBER(SEARCH("cutlery",F301)),"Cutlery","Other")))))</f>
        <v>0</v>
      </c>
      <c r="I301">
        <f>IF('Raw Data'!G301&lt;&gt;'','Raw Data'!G301,IFERROR(MID(F301,SEARCH("MODEL",F301)+6,20),""))</f>
        <v>0</v>
      </c>
      <c r="J301">
        <f>'Raw Data'!H301</f>
        <v>0</v>
      </c>
      <c r="K301">
        <f>'Raw Data'!I301</f>
        <v>0</v>
      </c>
      <c r="L301">
        <f>IF('Raw Data'!N301&lt;&gt;0,'Raw Data'!N301,IFERROR(VALUE(MID(F301,SEARCH("QTY",F301)+4,IFERROR(FIND(" ",F301,SEARCH("QTY",F301)+4)-(SEARCH("QTY",F301)+4),3))),""))</f>
        <v>0</v>
      </c>
      <c r="M301">
        <f>'Raw Data'!O301</f>
        <v>0</v>
      </c>
      <c r="N301">
        <f>'Raw Data'!P301</f>
        <v>0</v>
      </c>
      <c r="O301">
        <f>'Raw Data'!Q301</f>
        <v>0</v>
      </c>
      <c r="P301">
        <f>'Raw Data'!R301</f>
        <v>0</v>
      </c>
      <c r="Q301">
        <f>'Raw Data'!S301</f>
        <v>0</v>
      </c>
      <c r="R301">
        <f>'Raw Data'!T301</f>
        <v>0</v>
      </c>
      <c r="S301">
        <f>IFERROR(O301,0)+IFERROR(R301,0)</f>
        <v>0</v>
      </c>
      <c r="T301">
        <f>IF(A301="","",YEAR(A301))</f>
        <v>0</v>
      </c>
    </row>
    <row r="302" spans="1:20">
      <c r="A302">
        <f>'Raw Data'!B302</f>
        <v>0</v>
      </c>
      <c r="B302">
        <f>'Raw Data'!A302</f>
        <v>0</v>
      </c>
      <c r="C302">
        <f>'Raw Data'!C302</f>
        <v>0</v>
      </c>
      <c r="D302">
        <f>'Raw Data'!D302</f>
        <v>0</v>
      </c>
      <c r="E302">
        <f>IFERROR(VLOOKUP(D302,'Lookup Tables'!$A:$B,2,FALSE),"Unknown")</f>
        <v>0</v>
      </c>
      <c r="F302">
        <f>'Raw Data'!E302</f>
        <v>0</v>
      </c>
      <c r="G302">
        <f>IFERROR(VLOOKUP(D302,'Lookup Tables'!$A:$C,3,FALSE),IF(ISNUMBER(SEARCH("STEEL",F302)),"Steel","Others"))</f>
        <v>0</v>
      </c>
      <c r="H302">
        <f>IF(ISNUMBER(SEARCH("scrubber",F302)) , "Scrubber", IF(ISNUMBER(SEARCH("container",F302)),"Container", IF(ISNUMBER(SEARCH("basket",F302)),"Basket", IF(ISNUMBER(SEARCH("lunch",F302)),"Lunch Box", IF(ISNUMBER(SEARCH("cutlery",F302)),"Cutlery","Other")))))</f>
        <v>0</v>
      </c>
      <c r="I302">
        <f>IF('Raw Data'!G302&lt;&gt;'','Raw Data'!G302,IFERROR(MID(F302,SEARCH("MODEL",F302)+6,20),""))</f>
        <v>0</v>
      </c>
      <c r="J302">
        <f>'Raw Data'!H302</f>
        <v>0</v>
      </c>
      <c r="K302">
        <f>'Raw Data'!I302</f>
        <v>0</v>
      </c>
      <c r="L302">
        <f>IF('Raw Data'!N302&lt;&gt;0,'Raw Data'!N302,IFERROR(VALUE(MID(F302,SEARCH("QTY",F302)+4,IFERROR(FIND(" ",F302,SEARCH("QTY",F302)+4)-(SEARCH("QTY",F302)+4),3))),""))</f>
        <v>0</v>
      </c>
      <c r="M302">
        <f>'Raw Data'!O302</f>
        <v>0</v>
      </c>
      <c r="N302">
        <f>'Raw Data'!P302</f>
        <v>0</v>
      </c>
      <c r="O302">
        <f>'Raw Data'!Q302</f>
        <v>0</v>
      </c>
      <c r="P302">
        <f>'Raw Data'!R302</f>
        <v>0</v>
      </c>
      <c r="Q302">
        <f>'Raw Data'!S302</f>
        <v>0</v>
      </c>
      <c r="R302">
        <f>'Raw Data'!T302</f>
        <v>0</v>
      </c>
      <c r="S302">
        <f>IFERROR(O302,0)+IFERROR(R302,0)</f>
        <v>0</v>
      </c>
      <c r="T302">
        <f>IF(A302="","",YEAR(A302))</f>
        <v>0</v>
      </c>
    </row>
    <row r="303" spans="1:20">
      <c r="A303">
        <f>'Raw Data'!B303</f>
        <v>0</v>
      </c>
      <c r="B303">
        <f>'Raw Data'!A303</f>
        <v>0</v>
      </c>
      <c r="C303">
        <f>'Raw Data'!C303</f>
        <v>0</v>
      </c>
      <c r="D303">
        <f>'Raw Data'!D303</f>
        <v>0</v>
      </c>
      <c r="E303">
        <f>IFERROR(VLOOKUP(D303,'Lookup Tables'!$A:$B,2,FALSE),"Unknown")</f>
        <v>0</v>
      </c>
      <c r="F303">
        <f>'Raw Data'!E303</f>
        <v>0</v>
      </c>
      <c r="G303">
        <f>IFERROR(VLOOKUP(D303,'Lookup Tables'!$A:$C,3,FALSE),IF(ISNUMBER(SEARCH("STEEL",F303)),"Steel","Others"))</f>
        <v>0</v>
      </c>
      <c r="H303">
        <f>IF(ISNUMBER(SEARCH("scrubber",F303)) , "Scrubber", IF(ISNUMBER(SEARCH("container",F303)),"Container", IF(ISNUMBER(SEARCH("basket",F303)),"Basket", IF(ISNUMBER(SEARCH("lunch",F303)),"Lunch Box", IF(ISNUMBER(SEARCH("cutlery",F303)),"Cutlery","Other")))))</f>
        <v>0</v>
      </c>
      <c r="I303">
        <f>IF('Raw Data'!G303&lt;&gt;'','Raw Data'!G303,IFERROR(MID(F303,SEARCH("MODEL",F303)+6,20),""))</f>
        <v>0</v>
      </c>
      <c r="J303">
        <f>'Raw Data'!H303</f>
        <v>0</v>
      </c>
      <c r="K303">
        <f>'Raw Data'!I303</f>
        <v>0</v>
      </c>
      <c r="L303">
        <f>IF('Raw Data'!N303&lt;&gt;0,'Raw Data'!N303,IFERROR(VALUE(MID(F303,SEARCH("QTY",F303)+4,IFERROR(FIND(" ",F303,SEARCH("QTY",F303)+4)-(SEARCH("QTY",F303)+4),3))),""))</f>
        <v>0</v>
      </c>
      <c r="M303">
        <f>'Raw Data'!O303</f>
        <v>0</v>
      </c>
      <c r="N303">
        <f>'Raw Data'!P303</f>
        <v>0</v>
      </c>
      <c r="O303">
        <f>'Raw Data'!Q303</f>
        <v>0</v>
      </c>
      <c r="P303">
        <f>'Raw Data'!R303</f>
        <v>0</v>
      </c>
      <c r="Q303">
        <f>'Raw Data'!S303</f>
        <v>0</v>
      </c>
      <c r="R303">
        <f>'Raw Data'!T303</f>
        <v>0</v>
      </c>
      <c r="S303">
        <f>IFERROR(O303,0)+IFERROR(R303,0)</f>
        <v>0</v>
      </c>
      <c r="T303">
        <f>IF(A303="","",YEAR(A303))</f>
        <v>0</v>
      </c>
    </row>
    <row r="304" spans="1:20">
      <c r="A304">
        <f>'Raw Data'!B304</f>
        <v>0</v>
      </c>
      <c r="B304">
        <f>'Raw Data'!A304</f>
        <v>0</v>
      </c>
      <c r="C304">
        <f>'Raw Data'!C304</f>
        <v>0</v>
      </c>
      <c r="D304">
        <f>'Raw Data'!D304</f>
        <v>0</v>
      </c>
      <c r="E304">
        <f>IFERROR(VLOOKUP(D304,'Lookup Tables'!$A:$B,2,FALSE),"Unknown")</f>
        <v>0</v>
      </c>
      <c r="F304">
        <f>'Raw Data'!E304</f>
        <v>0</v>
      </c>
      <c r="G304">
        <f>IFERROR(VLOOKUP(D304,'Lookup Tables'!$A:$C,3,FALSE),IF(ISNUMBER(SEARCH("STEEL",F304)),"Steel","Others"))</f>
        <v>0</v>
      </c>
      <c r="H304">
        <f>IF(ISNUMBER(SEARCH("scrubber",F304)) , "Scrubber", IF(ISNUMBER(SEARCH("container",F304)),"Container", IF(ISNUMBER(SEARCH("basket",F304)),"Basket", IF(ISNUMBER(SEARCH("lunch",F304)),"Lunch Box", IF(ISNUMBER(SEARCH("cutlery",F304)),"Cutlery","Other")))))</f>
        <v>0</v>
      </c>
      <c r="I304">
        <f>IF('Raw Data'!G304&lt;&gt;'','Raw Data'!G304,IFERROR(MID(F304,SEARCH("MODEL",F304)+6,20),""))</f>
        <v>0</v>
      </c>
      <c r="J304">
        <f>'Raw Data'!H304</f>
        <v>0</v>
      </c>
      <c r="K304">
        <f>'Raw Data'!I304</f>
        <v>0</v>
      </c>
      <c r="L304">
        <f>IF('Raw Data'!N304&lt;&gt;0,'Raw Data'!N304,IFERROR(VALUE(MID(F304,SEARCH("QTY",F304)+4,IFERROR(FIND(" ",F304,SEARCH("QTY",F304)+4)-(SEARCH("QTY",F304)+4),3))),""))</f>
        <v>0</v>
      </c>
      <c r="M304">
        <f>'Raw Data'!O304</f>
        <v>0</v>
      </c>
      <c r="N304">
        <f>'Raw Data'!P304</f>
        <v>0</v>
      </c>
      <c r="O304">
        <f>'Raw Data'!Q304</f>
        <v>0</v>
      </c>
      <c r="P304">
        <f>'Raw Data'!R304</f>
        <v>0</v>
      </c>
      <c r="Q304">
        <f>'Raw Data'!S304</f>
        <v>0</v>
      </c>
      <c r="R304">
        <f>'Raw Data'!T304</f>
        <v>0</v>
      </c>
      <c r="S304">
        <f>IFERROR(O304,0)+IFERROR(R304,0)</f>
        <v>0</v>
      </c>
      <c r="T304">
        <f>IF(A304="","",YEAR(A304))</f>
        <v>0</v>
      </c>
    </row>
    <row r="305" spans="1:20">
      <c r="A305">
        <f>'Raw Data'!B305</f>
        <v>0</v>
      </c>
      <c r="B305">
        <f>'Raw Data'!A305</f>
        <v>0</v>
      </c>
      <c r="C305">
        <f>'Raw Data'!C305</f>
        <v>0</v>
      </c>
      <c r="D305">
        <f>'Raw Data'!D305</f>
        <v>0</v>
      </c>
      <c r="E305">
        <f>IFERROR(VLOOKUP(D305,'Lookup Tables'!$A:$B,2,FALSE),"Unknown")</f>
        <v>0</v>
      </c>
      <c r="F305">
        <f>'Raw Data'!E305</f>
        <v>0</v>
      </c>
      <c r="G305">
        <f>IFERROR(VLOOKUP(D305,'Lookup Tables'!$A:$C,3,FALSE),IF(ISNUMBER(SEARCH("STEEL",F305)),"Steel","Others"))</f>
        <v>0</v>
      </c>
      <c r="H305">
        <f>IF(ISNUMBER(SEARCH("scrubber",F305)) , "Scrubber", IF(ISNUMBER(SEARCH("container",F305)),"Container", IF(ISNUMBER(SEARCH("basket",F305)),"Basket", IF(ISNUMBER(SEARCH("lunch",F305)),"Lunch Box", IF(ISNUMBER(SEARCH("cutlery",F305)),"Cutlery","Other")))))</f>
        <v>0</v>
      </c>
      <c r="I305">
        <f>IF('Raw Data'!G305&lt;&gt;'','Raw Data'!G305,IFERROR(MID(F305,SEARCH("MODEL",F305)+6,20),""))</f>
        <v>0</v>
      </c>
      <c r="J305">
        <f>'Raw Data'!H305</f>
        <v>0</v>
      </c>
      <c r="K305">
        <f>'Raw Data'!I305</f>
        <v>0</v>
      </c>
      <c r="L305">
        <f>IF('Raw Data'!N305&lt;&gt;0,'Raw Data'!N305,IFERROR(VALUE(MID(F305,SEARCH("QTY",F305)+4,IFERROR(FIND(" ",F305,SEARCH("QTY",F305)+4)-(SEARCH("QTY",F305)+4),3))),""))</f>
        <v>0</v>
      </c>
      <c r="M305">
        <f>'Raw Data'!O305</f>
        <v>0</v>
      </c>
      <c r="N305">
        <f>'Raw Data'!P305</f>
        <v>0</v>
      </c>
      <c r="O305">
        <f>'Raw Data'!Q305</f>
        <v>0</v>
      </c>
      <c r="P305">
        <f>'Raw Data'!R305</f>
        <v>0</v>
      </c>
      <c r="Q305">
        <f>'Raw Data'!S305</f>
        <v>0</v>
      </c>
      <c r="R305">
        <f>'Raw Data'!T305</f>
        <v>0</v>
      </c>
      <c r="S305">
        <f>IFERROR(O305,0)+IFERROR(R305,0)</f>
        <v>0</v>
      </c>
      <c r="T305">
        <f>IF(A305="","",YEAR(A305))</f>
        <v>0</v>
      </c>
    </row>
    <row r="306" spans="1:20">
      <c r="A306">
        <f>'Raw Data'!B306</f>
        <v>0</v>
      </c>
      <c r="B306">
        <f>'Raw Data'!A306</f>
        <v>0</v>
      </c>
      <c r="C306">
        <f>'Raw Data'!C306</f>
        <v>0</v>
      </c>
      <c r="D306">
        <f>'Raw Data'!D306</f>
        <v>0</v>
      </c>
      <c r="E306">
        <f>IFERROR(VLOOKUP(D306,'Lookup Tables'!$A:$B,2,FALSE),"Unknown")</f>
        <v>0</v>
      </c>
      <c r="F306">
        <f>'Raw Data'!E306</f>
        <v>0</v>
      </c>
      <c r="G306">
        <f>IFERROR(VLOOKUP(D306,'Lookup Tables'!$A:$C,3,FALSE),IF(ISNUMBER(SEARCH("STEEL",F306)),"Steel","Others"))</f>
        <v>0</v>
      </c>
      <c r="H306">
        <f>IF(ISNUMBER(SEARCH("scrubber",F306)) , "Scrubber", IF(ISNUMBER(SEARCH("container",F306)),"Container", IF(ISNUMBER(SEARCH("basket",F306)),"Basket", IF(ISNUMBER(SEARCH("lunch",F306)),"Lunch Box", IF(ISNUMBER(SEARCH("cutlery",F306)),"Cutlery","Other")))))</f>
        <v>0</v>
      </c>
      <c r="I306">
        <f>IF('Raw Data'!G306&lt;&gt;'','Raw Data'!G306,IFERROR(MID(F306,SEARCH("MODEL",F306)+6,20),""))</f>
        <v>0</v>
      </c>
      <c r="J306">
        <f>'Raw Data'!H306</f>
        <v>0</v>
      </c>
      <c r="K306">
        <f>'Raw Data'!I306</f>
        <v>0</v>
      </c>
      <c r="L306">
        <f>IF('Raw Data'!N306&lt;&gt;0,'Raw Data'!N306,IFERROR(VALUE(MID(F306,SEARCH("QTY",F306)+4,IFERROR(FIND(" ",F306,SEARCH("QTY",F306)+4)-(SEARCH("QTY",F306)+4),3))),""))</f>
        <v>0</v>
      </c>
      <c r="M306">
        <f>'Raw Data'!O306</f>
        <v>0</v>
      </c>
      <c r="N306">
        <f>'Raw Data'!P306</f>
        <v>0</v>
      </c>
      <c r="O306">
        <f>'Raw Data'!Q306</f>
        <v>0</v>
      </c>
      <c r="P306">
        <f>'Raw Data'!R306</f>
        <v>0</v>
      </c>
      <c r="Q306">
        <f>'Raw Data'!S306</f>
        <v>0</v>
      </c>
      <c r="R306">
        <f>'Raw Data'!T306</f>
        <v>0</v>
      </c>
      <c r="S306">
        <f>IFERROR(O306,0)+IFERROR(R306,0)</f>
        <v>0</v>
      </c>
      <c r="T306">
        <f>IF(A306="","",YEAR(A306))</f>
        <v>0</v>
      </c>
    </row>
    <row r="307" spans="1:20">
      <c r="A307">
        <f>'Raw Data'!B307</f>
        <v>0</v>
      </c>
      <c r="B307">
        <f>'Raw Data'!A307</f>
        <v>0</v>
      </c>
      <c r="C307">
        <f>'Raw Data'!C307</f>
        <v>0</v>
      </c>
      <c r="D307">
        <f>'Raw Data'!D307</f>
        <v>0</v>
      </c>
      <c r="E307">
        <f>IFERROR(VLOOKUP(D307,'Lookup Tables'!$A:$B,2,FALSE),"Unknown")</f>
        <v>0</v>
      </c>
      <c r="F307">
        <f>'Raw Data'!E307</f>
        <v>0</v>
      </c>
      <c r="G307">
        <f>IFERROR(VLOOKUP(D307,'Lookup Tables'!$A:$C,3,FALSE),IF(ISNUMBER(SEARCH("STEEL",F307)),"Steel","Others"))</f>
        <v>0</v>
      </c>
      <c r="H307">
        <f>IF(ISNUMBER(SEARCH("scrubber",F307)) , "Scrubber", IF(ISNUMBER(SEARCH("container",F307)),"Container", IF(ISNUMBER(SEARCH("basket",F307)),"Basket", IF(ISNUMBER(SEARCH("lunch",F307)),"Lunch Box", IF(ISNUMBER(SEARCH("cutlery",F307)),"Cutlery","Other")))))</f>
        <v>0</v>
      </c>
      <c r="I307">
        <f>IF('Raw Data'!G307&lt;&gt;'','Raw Data'!G307,IFERROR(MID(F307,SEARCH("MODEL",F307)+6,20),""))</f>
        <v>0</v>
      </c>
      <c r="J307">
        <f>'Raw Data'!H307</f>
        <v>0</v>
      </c>
      <c r="K307">
        <f>'Raw Data'!I307</f>
        <v>0</v>
      </c>
      <c r="L307">
        <f>IF('Raw Data'!N307&lt;&gt;0,'Raw Data'!N307,IFERROR(VALUE(MID(F307,SEARCH("QTY",F307)+4,IFERROR(FIND(" ",F307,SEARCH("QTY",F307)+4)-(SEARCH("QTY",F307)+4),3))),""))</f>
        <v>0</v>
      </c>
      <c r="M307">
        <f>'Raw Data'!O307</f>
        <v>0</v>
      </c>
      <c r="N307">
        <f>'Raw Data'!P307</f>
        <v>0</v>
      </c>
      <c r="O307">
        <f>'Raw Data'!Q307</f>
        <v>0</v>
      </c>
      <c r="P307">
        <f>'Raw Data'!R307</f>
        <v>0</v>
      </c>
      <c r="Q307">
        <f>'Raw Data'!S307</f>
        <v>0</v>
      </c>
      <c r="R307">
        <f>'Raw Data'!T307</f>
        <v>0</v>
      </c>
      <c r="S307">
        <f>IFERROR(O307,0)+IFERROR(R307,0)</f>
        <v>0</v>
      </c>
      <c r="T307">
        <f>IF(A307="","",YEAR(A307))</f>
        <v>0</v>
      </c>
    </row>
    <row r="308" spans="1:20">
      <c r="A308">
        <f>'Raw Data'!B308</f>
        <v>0</v>
      </c>
      <c r="B308">
        <f>'Raw Data'!A308</f>
        <v>0</v>
      </c>
      <c r="C308">
        <f>'Raw Data'!C308</f>
        <v>0</v>
      </c>
      <c r="D308">
        <f>'Raw Data'!D308</f>
        <v>0</v>
      </c>
      <c r="E308">
        <f>IFERROR(VLOOKUP(D308,'Lookup Tables'!$A:$B,2,FALSE),"Unknown")</f>
        <v>0</v>
      </c>
      <c r="F308">
        <f>'Raw Data'!E308</f>
        <v>0</v>
      </c>
      <c r="G308">
        <f>IFERROR(VLOOKUP(D308,'Lookup Tables'!$A:$C,3,FALSE),IF(ISNUMBER(SEARCH("STEEL",F308)),"Steel","Others"))</f>
        <v>0</v>
      </c>
      <c r="H308">
        <f>IF(ISNUMBER(SEARCH("scrubber",F308)) , "Scrubber", IF(ISNUMBER(SEARCH("container",F308)),"Container", IF(ISNUMBER(SEARCH("basket",F308)),"Basket", IF(ISNUMBER(SEARCH("lunch",F308)),"Lunch Box", IF(ISNUMBER(SEARCH("cutlery",F308)),"Cutlery","Other")))))</f>
        <v>0</v>
      </c>
      <c r="I308">
        <f>IF('Raw Data'!G308&lt;&gt;'','Raw Data'!G308,IFERROR(MID(F308,SEARCH("MODEL",F308)+6,20),""))</f>
        <v>0</v>
      </c>
      <c r="J308">
        <f>'Raw Data'!H308</f>
        <v>0</v>
      </c>
      <c r="K308">
        <f>'Raw Data'!I308</f>
        <v>0</v>
      </c>
      <c r="L308">
        <f>IF('Raw Data'!N308&lt;&gt;0,'Raw Data'!N308,IFERROR(VALUE(MID(F308,SEARCH("QTY",F308)+4,IFERROR(FIND(" ",F308,SEARCH("QTY",F308)+4)-(SEARCH("QTY",F308)+4),3))),""))</f>
        <v>0</v>
      </c>
      <c r="M308">
        <f>'Raw Data'!O308</f>
        <v>0</v>
      </c>
      <c r="N308">
        <f>'Raw Data'!P308</f>
        <v>0</v>
      </c>
      <c r="O308">
        <f>'Raw Data'!Q308</f>
        <v>0</v>
      </c>
      <c r="P308">
        <f>'Raw Data'!R308</f>
        <v>0</v>
      </c>
      <c r="Q308">
        <f>'Raw Data'!S308</f>
        <v>0</v>
      </c>
      <c r="R308">
        <f>'Raw Data'!T308</f>
        <v>0</v>
      </c>
      <c r="S308">
        <f>IFERROR(O308,0)+IFERROR(R308,0)</f>
        <v>0</v>
      </c>
      <c r="T308">
        <f>IF(A308="","",YEAR(A308))</f>
        <v>0</v>
      </c>
    </row>
    <row r="309" spans="1:20">
      <c r="A309">
        <f>'Raw Data'!B309</f>
        <v>0</v>
      </c>
      <c r="B309">
        <f>'Raw Data'!A309</f>
        <v>0</v>
      </c>
      <c r="C309">
        <f>'Raw Data'!C309</f>
        <v>0</v>
      </c>
      <c r="D309">
        <f>'Raw Data'!D309</f>
        <v>0</v>
      </c>
      <c r="E309">
        <f>IFERROR(VLOOKUP(D309,'Lookup Tables'!$A:$B,2,FALSE),"Unknown")</f>
        <v>0</v>
      </c>
      <c r="F309">
        <f>'Raw Data'!E309</f>
        <v>0</v>
      </c>
      <c r="G309">
        <f>IFERROR(VLOOKUP(D309,'Lookup Tables'!$A:$C,3,FALSE),IF(ISNUMBER(SEARCH("STEEL",F309)),"Steel","Others"))</f>
        <v>0</v>
      </c>
      <c r="H309">
        <f>IF(ISNUMBER(SEARCH("scrubber",F309)) , "Scrubber", IF(ISNUMBER(SEARCH("container",F309)),"Container", IF(ISNUMBER(SEARCH("basket",F309)),"Basket", IF(ISNUMBER(SEARCH("lunch",F309)),"Lunch Box", IF(ISNUMBER(SEARCH("cutlery",F309)),"Cutlery","Other")))))</f>
        <v>0</v>
      </c>
      <c r="I309">
        <f>IF('Raw Data'!G309&lt;&gt;'','Raw Data'!G309,IFERROR(MID(F309,SEARCH("MODEL",F309)+6,20),""))</f>
        <v>0</v>
      </c>
      <c r="J309">
        <f>'Raw Data'!H309</f>
        <v>0</v>
      </c>
      <c r="K309">
        <f>'Raw Data'!I309</f>
        <v>0</v>
      </c>
      <c r="L309">
        <f>IF('Raw Data'!N309&lt;&gt;0,'Raw Data'!N309,IFERROR(VALUE(MID(F309,SEARCH("QTY",F309)+4,IFERROR(FIND(" ",F309,SEARCH("QTY",F309)+4)-(SEARCH("QTY",F309)+4),3))),""))</f>
        <v>0</v>
      </c>
      <c r="M309">
        <f>'Raw Data'!O309</f>
        <v>0</v>
      </c>
      <c r="N309">
        <f>'Raw Data'!P309</f>
        <v>0</v>
      </c>
      <c r="O309">
        <f>'Raw Data'!Q309</f>
        <v>0</v>
      </c>
      <c r="P309">
        <f>'Raw Data'!R309</f>
        <v>0</v>
      </c>
      <c r="Q309">
        <f>'Raw Data'!S309</f>
        <v>0</v>
      </c>
      <c r="R309">
        <f>'Raw Data'!T309</f>
        <v>0</v>
      </c>
      <c r="S309">
        <f>IFERROR(O309,0)+IFERROR(R309,0)</f>
        <v>0</v>
      </c>
      <c r="T309">
        <f>IF(A309="","",YEAR(A309))</f>
        <v>0</v>
      </c>
    </row>
    <row r="310" spans="1:20">
      <c r="A310">
        <f>'Raw Data'!B310</f>
        <v>0</v>
      </c>
      <c r="B310">
        <f>'Raw Data'!A310</f>
        <v>0</v>
      </c>
      <c r="C310">
        <f>'Raw Data'!C310</f>
        <v>0</v>
      </c>
      <c r="D310">
        <f>'Raw Data'!D310</f>
        <v>0</v>
      </c>
      <c r="E310">
        <f>IFERROR(VLOOKUP(D310,'Lookup Tables'!$A:$B,2,FALSE),"Unknown")</f>
        <v>0</v>
      </c>
      <c r="F310">
        <f>'Raw Data'!E310</f>
        <v>0</v>
      </c>
      <c r="G310">
        <f>IFERROR(VLOOKUP(D310,'Lookup Tables'!$A:$C,3,FALSE),IF(ISNUMBER(SEARCH("STEEL",F310)),"Steel","Others"))</f>
        <v>0</v>
      </c>
      <c r="H310">
        <f>IF(ISNUMBER(SEARCH("scrubber",F310)) , "Scrubber", IF(ISNUMBER(SEARCH("container",F310)),"Container", IF(ISNUMBER(SEARCH("basket",F310)),"Basket", IF(ISNUMBER(SEARCH("lunch",F310)),"Lunch Box", IF(ISNUMBER(SEARCH("cutlery",F310)),"Cutlery","Other")))))</f>
        <v>0</v>
      </c>
      <c r="I310">
        <f>IF('Raw Data'!G310&lt;&gt;'','Raw Data'!G310,IFERROR(MID(F310,SEARCH("MODEL",F310)+6,20),""))</f>
        <v>0</v>
      </c>
      <c r="J310">
        <f>'Raw Data'!H310</f>
        <v>0</v>
      </c>
      <c r="K310">
        <f>'Raw Data'!I310</f>
        <v>0</v>
      </c>
      <c r="L310">
        <f>IF('Raw Data'!N310&lt;&gt;0,'Raw Data'!N310,IFERROR(VALUE(MID(F310,SEARCH("QTY",F310)+4,IFERROR(FIND(" ",F310,SEARCH("QTY",F310)+4)-(SEARCH("QTY",F310)+4),3))),""))</f>
        <v>0</v>
      </c>
      <c r="M310">
        <f>'Raw Data'!O310</f>
        <v>0</v>
      </c>
      <c r="N310">
        <f>'Raw Data'!P310</f>
        <v>0</v>
      </c>
      <c r="O310">
        <f>'Raw Data'!Q310</f>
        <v>0</v>
      </c>
      <c r="P310">
        <f>'Raw Data'!R310</f>
        <v>0</v>
      </c>
      <c r="Q310">
        <f>'Raw Data'!S310</f>
        <v>0</v>
      </c>
      <c r="R310">
        <f>'Raw Data'!T310</f>
        <v>0</v>
      </c>
      <c r="S310">
        <f>IFERROR(O310,0)+IFERROR(R310,0)</f>
        <v>0</v>
      </c>
      <c r="T310">
        <f>IF(A310="","",YEAR(A310))</f>
        <v>0</v>
      </c>
    </row>
    <row r="311" spans="1:20">
      <c r="A311">
        <f>'Raw Data'!B311</f>
        <v>0</v>
      </c>
      <c r="B311">
        <f>'Raw Data'!A311</f>
        <v>0</v>
      </c>
      <c r="C311">
        <f>'Raw Data'!C311</f>
        <v>0</v>
      </c>
      <c r="D311">
        <f>'Raw Data'!D311</f>
        <v>0</v>
      </c>
      <c r="E311">
        <f>IFERROR(VLOOKUP(D311,'Lookup Tables'!$A:$B,2,FALSE),"Unknown")</f>
        <v>0</v>
      </c>
      <c r="F311">
        <f>'Raw Data'!E311</f>
        <v>0</v>
      </c>
      <c r="G311">
        <f>IFERROR(VLOOKUP(D311,'Lookup Tables'!$A:$C,3,FALSE),IF(ISNUMBER(SEARCH("STEEL",F311)),"Steel","Others"))</f>
        <v>0</v>
      </c>
      <c r="H311">
        <f>IF(ISNUMBER(SEARCH("scrubber",F311)) , "Scrubber", IF(ISNUMBER(SEARCH("container",F311)),"Container", IF(ISNUMBER(SEARCH("basket",F311)),"Basket", IF(ISNUMBER(SEARCH("lunch",F311)),"Lunch Box", IF(ISNUMBER(SEARCH("cutlery",F311)),"Cutlery","Other")))))</f>
        <v>0</v>
      </c>
      <c r="I311">
        <f>IF('Raw Data'!G311&lt;&gt;'','Raw Data'!G311,IFERROR(MID(F311,SEARCH("MODEL",F311)+6,20),""))</f>
        <v>0</v>
      </c>
      <c r="J311">
        <f>'Raw Data'!H311</f>
        <v>0</v>
      </c>
      <c r="K311">
        <f>'Raw Data'!I311</f>
        <v>0</v>
      </c>
      <c r="L311">
        <f>IF('Raw Data'!N311&lt;&gt;0,'Raw Data'!N311,IFERROR(VALUE(MID(F311,SEARCH("QTY",F311)+4,IFERROR(FIND(" ",F311,SEARCH("QTY",F311)+4)-(SEARCH("QTY",F311)+4),3))),""))</f>
        <v>0</v>
      </c>
      <c r="M311">
        <f>'Raw Data'!O311</f>
        <v>0</v>
      </c>
      <c r="N311">
        <f>'Raw Data'!P311</f>
        <v>0</v>
      </c>
      <c r="O311">
        <f>'Raw Data'!Q311</f>
        <v>0</v>
      </c>
      <c r="P311">
        <f>'Raw Data'!R311</f>
        <v>0</v>
      </c>
      <c r="Q311">
        <f>'Raw Data'!S311</f>
        <v>0</v>
      </c>
      <c r="R311">
        <f>'Raw Data'!T311</f>
        <v>0</v>
      </c>
      <c r="S311">
        <f>IFERROR(O311,0)+IFERROR(R311,0)</f>
        <v>0</v>
      </c>
      <c r="T311">
        <f>IF(A311="","",YEAR(A311))</f>
        <v>0</v>
      </c>
    </row>
    <row r="312" spans="1:20">
      <c r="A312">
        <f>'Raw Data'!B312</f>
        <v>0</v>
      </c>
      <c r="B312">
        <f>'Raw Data'!A312</f>
        <v>0</v>
      </c>
      <c r="C312">
        <f>'Raw Data'!C312</f>
        <v>0</v>
      </c>
      <c r="D312">
        <f>'Raw Data'!D312</f>
        <v>0</v>
      </c>
      <c r="E312">
        <f>IFERROR(VLOOKUP(D312,'Lookup Tables'!$A:$B,2,FALSE),"Unknown")</f>
        <v>0</v>
      </c>
      <c r="F312">
        <f>'Raw Data'!E312</f>
        <v>0</v>
      </c>
      <c r="G312">
        <f>IFERROR(VLOOKUP(D312,'Lookup Tables'!$A:$C,3,FALSE),IF(ISNUMBER(SEARCH("STEEL",F312)),"Steel","Others"))</f>
        <v>0</v>
      </c>
      <c r="H312">
        <f>IF(ISNUMBER(SEARCH("scrubber",F312)) , "Scrubber", IF(ISNUMBER(SEARCH("container",F312)),"Container", IF(ISNUMBER(SEARCH("basket",F312)),"Basket", IF(ISNUMBER(SEARCH("lunch",F312)),"Lunch Box", IF(ISNUMBER(SEARCH("cutlery",F312)),"Cutlery","Other")))))</f>
        <v>0</v>
      </c>
      <c r="I312">
        <f>IF('Raw Data'!G312&lt;&gt;'','Raw Data'!G312,IFERROR(MID(F312,SEARCH("MODEL",F312)+6,20),""))</f>
        <v>0</v>
      </c>
      <c r="J312">
        <f>'Raw Data'!H312</f>
        <v>0</v>
      </c>
      <c r="K312">
        <f>'Raw Data'!I312</f>
        <v>0</v>
      </c>
      <c r="L312">
        <f>IF('Raw Data'!N312&lt;&gt;0,'Raw Data'!N312,IFERROR(VALUE(MID(F312,SEARCH("QTY",F312)+4,IFERROR(FIND(" ",F312,SEARCH("QTY",F312)+4)-(SEARCH("QTY",F312)+4),3))),""))</f>
        <v>0</v>
      </c>
      <c r="M312">
        <f>'Raw Data'!O312</f>
        <v>0</v>
      </c>
      <c r="N312">
        <f>'Raw Data'!P312</f>
        <v>0</v>
      </c>
      <c r="O312">
        <f>'Raw Data'!Q312</f>
        <v>0</v>
      </c>
      <c r="P312">
        <f>'Raw Data'!R312</f>
        <v>0</v>
      </c>
      <c r="Q312">
        <f>'Raw Data'!S312</f>
        <v>0</v>
      </c>
      <c r="R312">
        <f>'Raw Data'!T312</f>
        <v>0</v>
      </c>
      <c r="S312">
        <f>IFERROR(O312,0)+IFERROR(R312,0)</f>
        <v>0</v>
      </c>
      <c r="T312">
        <f>IF(A312="","",YEAR(A312))</f>
        <v>0</v>
      </c>
    </row>
    <row r="313" spans="1:20">
      <c r="A313">
        <f>'Raw Data'!B313</f>
        <v>0</v>
      </c>
      <c r="B313">
        <f>'Raw Data'!A313</f>
        <v>0</v>
      </c>
      <c r="C313">
        <f>'Raw Data'!C313</f>
        <v>0</v>
      </c>
      <c r="D313">
        <f>'Raw Data'!D313</f>
        <v>0</v>
      </c>
      <c r="E313">
        <f>IFERROR(VLOOKUP(D313,'Lookup Tables'!$A:$B,2,FALSE),"Unknown")</f>
        <v>0</v>
      </c>
      <c r="F313">
        <f>'Raw Data'!E313</f>
        <v>0</v>
      </c>
      <c r="G313">
        <f>IFERROR(VLOOKUP(D313,'Lookup Tables'!$A:$C,3,FALSE),IF(ISNUMBER(SEARCH("STEEL",F313)),"Steel","Others"))</f>
        <v>0</v>
      </c>
      <c r="H313">
        <f>IF(ISNUMBER(SEARCH("scrubber",F313)) , "Scrubber", IF(ISNUMBER(SEARCH("container",F313)),"Container", IF(ISNUMBER(SEARCH("basket",F313)),"Basket", IF(ISNUMBER(SEARCH("lunch",F313)),"Lunch Box", IF(ISNUMBER(SEARCH("cutlery",F313)),"Cutlery","Other")))))</f>
        <v>0</v>
      </c>
      <c r="I313">
        <f>IF('Raw Data'!G313&lt;&gt;'','Raw Data'!G313,IFERROR(MID(F313,SEARCH("MODEL",F313)+6,20),""))</f>
        <v>0</v>
      </c>
      <c r="J313">
        <f>'Raw Data'!H313</f>
        <v>0</v>
      </c>
      <c r="K313">
        <f>'Raw Data'!I313</f>
        <v>0</v>
      </c>
      <c r="L313">
        <f>IF('Raw Data'!N313&lt;&gt;0,'Raw Data'!N313,IFERROR(VALUE(MID(F313,SEARCH("QTY",F313)+4,IFERROR(FIND(" ",F313,SEARCH("QTY",F313)+4)-(SEARCH("QTY",F313)+4),3))),""))</f>
        <v>0</v>
      </c>
      <c r="M313">
        <f>'Raw Data'!O313</f>
        <v>0</v>
      </c>
      <c r="N313">
        <f>'Raw Data'!P313</f>
        <v>0</v>
      </c>
      <c r="O313">
        <f>'Raw Data'!Q313</f>
        <v>0</v>
      </c>
      <c r="P313">
        <f>'Raw Data'!R313</f>
        <v>0</v>
      </c>
      <c r="Q313">
        <f>'Raw Data'!S313</f>
        <v>0</v>
      </c>
      <c r="R313">
        <f>'Raw Data'!T313</f>
        <v>0</v>
      </c>
      <c r="S313">
        <f>IFERROR(O313,0)+IFERROR(R313,0)</f>
        <v>0</v>
      </c>
      <c r="T313">
        <f>IF(A313="","",YEAR(A313))</f>
        <v>0</v>
      </c>
    </row>
    <row r="314" spans="1:20">
      <c r="A314">
        <f>'Raw Data'!B314</f>
        <v>0</v>
      </c>
      <c r="B314">
        <f>'Raw Data'!A314</f>
        <v>0</v>
      </c>
      <c r="C314">
        <f>'Raw Data'!C314</f>
        <v>0</v>
      </c>
      <c r="D314">
        <f>'Raw Data'!D314</f>
        <v>0</v>
      </c>
      <c r="E314">
        <f>IFERROR(VLOOKUP(D314,'Lookup Tables'!$A:$B,2,FALSE),"Unknown")</f>
        <v>0</v>
      </c>
      <c r="F314">
        <f>'Raw Data'!E314</f>
        <v>0</v>
      </c>
      <c r="G314">
        <f>IFERROR(VLOOKUP(D314,'Lookup Tables'!$A:$C,3,FALSE),IF(ISNUMBER(SEARCH("STEEL",F314)),"Steel","Others"))</f>
        <v>0</v>
      </c>
      <c r="H314">
        <f>IF(ISNUMBER(SEARCH("scrubber",F314)) , "Scrubber", IF(ISNUMBER(SEARCH("container",F314)),"Container", IF(ISNUMBER(SEARCH("basket",F314)),"Basket", IF(ISNUMBER(SEARCH("lunch",F314)),"Lunch Box", IF(ISNUMBER(SEARCH("cutlery",F314)),"Cutlery","Other")))))</f>
        <v>0</v>
      </c>
      <c r="I314">
        <f>IF('Raw Data'!G314&lt;&gt;'','Raw Data'!G314,IFERROR(MID(F314,SEARCH("MODEL",F314)+6,20),""))</f>
        <v>0</v>
      </c>
      <c r="J314">
        <f>'Raw Data'!H314</f>
        <v>0</v>
      </c>
      <c r="K314">
        <f>'Raw Data'!I314</f>
        <v>0</v>
      </c>
      <c r="L314">
        <f>IF('Raw Data'!N314&lt;&gt;0,'Raw Data'!N314,IFERROR(VALUE(MID(F314,SEARCH("QTY",F314)+4,IFERROR(FIND(" ",F314,SEARCH("QTY",F314)+4)-(SEARCH("QTY",F314)+4),3))),""))</f>
        <v>0</v>
      </c>
      <c r="M314">
        <f>'Raw Data'!O314</f>
        <v>0</v>
      </c>
      <c r="N314">
        <f>'Raw Data'!P314</f>
        <v>0</v>
      </c>
      <c r="O314">
        <f>'Raw Data'!Q314</f>
        <v>0</v>
      </c>
      <c r="P314">
        <f>'Raw Data'!R314</f>
        <v>0</v>
      </c>
      <c r="Q314">
        <f>'Raw Data'!S314</f>
        <v>0</v>
      </c>
      <c r="R314">
        <f>'Raw Data'!T314</f>
        <v>0</v>
      </c>
      <c r="S314">
        <f>IFERROR(O314,0)+IFERROR(R314,0)</f>
        <v>0</v>
      </c>
      <c r="T314">
        <f>IF(A314="","",YEAR(A314))</f>
        <v>0</v>
      </c>
    </row>
    <row r="315" spans="1:20">
      <c r="A315">
        <f>'Raw Data'!B315</f>
        <v>0</v>
      </c>
      <c r="B315">
        <f>'Raw Data'!A315</f>
        <v>0</v>
      </c>
      <c r="C315">
        <f>'Raw Data'!C315</f>
        <v>0</v>
      </c>
      <c r="D315">
        <f>'Raw Data'!D315</f>
        <v>0</v>
      </c>
      <c r="E315">
        <f>IFERROR(VLOOKUP(D315,'Lookup Tables'!$A:$B,2,FALSE),"Unknown")</f>
        <v>0</v>
      </c>
      <c r="F315">
        <f>'Raw Data'!E315</f>
        <v>0</v>
      </c>
      <c r="G315">
        <f>IFERROR(VLOOKUP(D315,'Lookup Tables'!$A:$C,3,FALSE),IF(ISNUMBER(SEARCH("STEEL",F315)),"Steel","Others"))</f>
        <v>0</v>
      </c>
      <c r="H315">
        <f>IF(ISNUMBER(SEARCH("scrubber",F315)) , "Scrubber", IF(ISNUMBER(SEARCH("container",F315)),"Container", IF(ISNUMBER(SEARCH("basket",F315)),"Basket", IF(ISNUMBER(SEARCH("lunch",F315)),"Lunch Box", IF(ISNUMBER(SEARCH("cutlery",F315)),"Cutlery","Other")))))</f>
        <v>0</v>
      </c>
      <c r="I315">
        <f>IF('Raw Data'!G315&lt;&gt;'','Raw Data'!G315,IFERROR(MID(F315,SEARCH("MODEL",F315)+6,20),""))</f>
        <v>0</v>
      </c>
      <c r="J315">
        <f>'Raw Data'!H315</f>
        <v>0</v>
      </c>
      <c r="K315">
        <f>'Raw Data'!I315</f>
        <v>0</v>
      </c>
      <c r="L315">
        <f>IF('Raw Data'!N315&lt;&gt;0,'Raw Data'!N315,IFERROR(VALUE(MID(F315,SEARCH("QTY",F315)+4,IFERROR(FIND(" ",F315,SEARCH("QTY",F315)+4)-(SEARCH("QTY",F315)+4),3))),""))</f>
        <v>0</v>
      </c>
      <c r="M315">
        <f>'Raw Data'!O315</f>
        <v>0</v>
      </c>
      <c r="N315">
        <f>'Raw Data'!P315</f>
        <v>0</v>
      </c>
      <c r="O315">
        <f>'Raw Data'!Q315</f>
        <v>0</v>
      </c>
      <c r="P315">
        <f>'Raw Data'!R315</f>
        <v>0</v>
      </c>
      <c r="Q315">
        <f>'Raw Data'!S315</f>
        <v>0</v>
      </c>
      <c r="R315">
        <f>'Raw Data'!T315</f>
        <v>0</v>
      </c>
      <c r="S315">
        <f>IFERROR(O315,0)+IFERROR(R315,0)</f>
        <v>0</v>
      </c>
      <c r="T315">
        <f>IF(A315="","",YEAR(A315))</f>
        <v>0</v>
      </c>
    </row>
    <row r="316" spans="1:20">
      <c r="A316">
        <f>'Raw Data'!B316</f>
        <v>0</v>
      </c>
      <c r="B316">
        <f>'Raw Data'!A316</f>
        <v>0</v>
      </c>
      <c r="C316">
        <f>'Raw Data'!C316</f>
        <v>0</v>
      </c>
      <c r="D316">
        <f>'Raw Data'!D316</f>
        <v>0</v>
      </c>
      <c r="E316">
        <f>IFERROR(VLOOKUP(D316,'Lookup Tables'!$A:$B,2,FALSE),"Unknown")</f>
        <v>0</v>
      </c>
      <c r="F316">
        <f>'Raw Data'!E316</f>
        <v>0</v>
      </c>
      <c r="G316">
        <f>IFERROR(VLOOKUP(D316,'Lookup Tables'!$A:$C,3,FALSE),IF(ISNUMBER(SEARCH("STEEL",F316)),"Steel","Others"))</f>
        <v>0</v>
      </c>
      <c r="H316">
        <f>IF(ISNUMBER(SEARCH("scrubber",F316)) , "Scrubber", IF(ISNUMBER(SEARCH("container",F316)),"Container", IF(ISNUMBER(SEARCH("basket",F316)),"Basket", IF(ISNUMBER(SEARCH("lunch",F316)),"Lunch Box", IF(ISNUMBER(SEARCH("cutlery",F316)),"Cutlery","Other")))))</f>
        <v>0</v>
      </c>
      <c r="I316">
        <f>IF('Raw Data'!G316&lt;&gt;'','Raw Data'!G316,IFERROR(MID(F316,SEARCH("MODEL",F316)+6,20),""))</f>
        <v>0</v>
      </c>
      <c r="J316">
        <f>'Raw Data'!H316</f>
        <v>0</v>
      </c>
      <c r="K316">
        <f>'Raw Data'!I316</f>
        <v>0</v>
      </c>
      <c r="L316">
        <f>IF('Raw Data'!N316&lt;&gt;0,'Raw Data'!N316,IFERROR(VALUE(MID(F316,SEARCH("QTY",F316)+4,IFERROR(FIND(" ",F316,SEARCH("QTY",F316)+4)-(SEARCH("QTY",F316)+4),3))),""))</f>
        <v>0</v>
      </c>
      <c r="M316">
        <f>'Raw Data'!O316</f>
        <v>0</v>
      </c>
      <c r="N316">
        <f>'Raw Data'!P316</f>
        <v>0</v>
      </c>
      <c r="O316">
        <f>'Raw Data'!Q316</f>
        <v>0</v>
      </c>
      <c r="P316">
        <f>'Raw Data'!R316</f>
        <v>0</v>
      </c>
      <c r="Q316">
        <f>'Raw Data'!S316</f>
        <v>0</v>
      </c>
      <c r="R316">
        <f>'Raw Data'!T316</f>
        <v>0</v>
      </c>
      <c r="S316">
        <f>IFERROR(O316,0)+IFERROR(R316,0)</f>
        <v>0</v>
      </c>
      <c r="T316">
        <f>IF(A316="","",YEAR(A316))</f>
        <v>0</v>
      </c>
    </row>
    <row r="317" spans="1:20">
      <c r="A317">
        <f>'Raw Data'!B317</f>
        <v>0</v>
      </c>
      <c r="B317">
        <f>'Raw Data'!A317</f>
        <v>0</v>
      </c>
      <c r="C317">
        <f>'Raw Data'!C317</f>
        <v>0</v>
      </c>
      <c r="D317">
        <f>'Raw Data'!D317</f>
        <v>0</v>
      </c>
      <c r="E317">
        <f>IFERROR(VLOOKUP(D317,'Lookup Tables'!$A:$B,2,FALSE),"Unknown")</f>
        <v>0</v>
      </c>
      <c r="F317">
        <f>'Raw Data'!E317</f>
        <v>0</v>
      </c>
      <c r="G317">
        <f>IFERROR(VLOOKUP(D317,'Lookup Tables'!$A:$C,3,FALSE),IF(ISNUMBER(SEARCH("STEEL",F317)),"Steel","Others"))</f>
        <v>0</v>
      </c>
      <c r="H317">
        <f>IF(ISNUMBER(SEARCH("scrubber",F317)) , "Scrubber", IF(ISNUMBER(SEARCH("container",F317)),"Container", IF(ISNUMBER(SEARCH("basket",F317)),"Basket", IF(ISNUMBER(SEARCH("lunch",F317)),"Lunch Box", IF(ISNUMBER(SEARCH("cutlery",F317)),"Cutlery","Other")))))</f>
        <v>0</v>
      </c>
      <c r="I317">
        <f>IF('Raw Data'!G317&lt;&gt;'','Raw Data'!G317,IFERROR(MID(F317,SEARCH("MODEL",F317)+6,20),""))</f>
        <v>0</v>
      </c>
      <c r="J317">
        <f>'Raw Data'!H317</f>
        <v>0</v>
      </c>
      <c r="K317">
        <f>'Raw Data'!I317</f>
        <v>0</v>
      </c>
      <c r="L317">
        <f>IF('Raw Data'!N317&lt;&gt;0,'Raw Data'!N317,IFERROR(VALUE(MID(F317,SEARCH("QTY",F317)+4,IFERROR(FIND(" ",F317,SEARCH("QTY",F317)+4)-(SEARCH("QTY",F317)+4),3))),""))</f>
        <v>0</v>
      </c>
      <c r="M317">
        <f>'Raw Data'!O317</f>
        <v>0</v>
      </c>
      <c r="N317">
        <f>'Raw Data'!P317</f>
        <v>0</v>
      </c>
      <c r="O317">
        <f>'Raw Data'!Q317</f>
        <v>0</v>
      </c>
      <c r="P317">
        <f>'Raw Data'!R317</f>
        <v>0</v>
      </c>
      <c r="Q317">
        <f>'Raw Data'!S317</f>
        <v>0</v>
      </c>
      <c r="R317">
        <f>'Raw Data'!T317</f>
        <v>0</v>
      </c>
      <c r="S317">
        <f>IFERROR(O317,0)+IFERROR(R317,0)</f>
        <v>0</v>
      </c>
      <c r="T317">
        <f>IF(A317="","",YEAR(A317))</f>
        <v>0</v>
      </c>
    </row>
    <row r="318" spans="1:20">
      <c r="A318">
        <f>'Raw Data'!B318</f>
        <v>0</v>
      </c>
      <c r="B318">
        <f>'Raw Data'!A318</f>
        <v>0</v>
      </c>
      <c r="C318">
        <f>'Raw Data'!C318</f>
        <v>0</v>
      </c>
      <c r="D318">
        <f>'Raw Data'!D318</f>
        <v>0</v>
      </c>
      <c r="E318">
        <f>IFERROR(VLOOKUP(D318,'Lookup Tables'!$A:$B,2,FALSE),"Unknown")</f>
        <v>0</v>
      </c>
      <c r="F318">
        <f>'Raw Data'!E318</f>
        <v>0</v>
      </c>
      <c r="G318">
        <f>IFERROR(VLOOKUP(D318,'Lookup Tables'!$A:$C,3,FALSE),IF(ISNUMBER(SEARCH("STEEL",F318)),"Steel","Others"))</f>
        <v>0</v>
      </c>
      <c r="H318">
        <f>IF(ISNUMBER(SEARCH("scrubber",F318)) , "Scrubber", IF(ISNUMBER(SEARCH("container",F318)),"Container", IF(ISNUMBER(SEARCH("basket",F318)),"Basket", IF(ISNUMBER(SEARCH("lunch",F318)),"Lunch Box", IF(ISNUMBER(SEARCH("cutlery",F318)),"Cutlery","Other")))))</f>
        <v>0</v>
      </c>
      <c r="I318">
        <f>IF('Raw Data'!G318&lt;&gt;'','Raw Data'!G318,IFERROR(MID(F318,SEARCH("MODEL",F318)+6,20),""))</f>
        <v>0</v>
      </c>
      <c r="J318">
        <f>'Raw Data'!H318</f>
        <v>0</v>
      </c>
      <c r="K318">
        <f>'Raw Data'!I318</f>
        <v>0</v>
      </c>
      <c r="L318">
        <f>IF('Raw Data'!N318&lt;&gt;0,'Raw Data'!N318,IFERROR(VALUE(MID(F318,SEARCH("QTY",F318)+4,IFERROR(FIND(" ",F318,SEARCH("QTY",F318)+4)-(SEARCH("QTY",F318)+4),3))),""))</f>
        <v>0</v>
      </c>
      <c r="M318">
        <f>'Raw Data'!O318</f>
        <v>0</v>
      </c>
      <c r="N318">
        <f>'Raw Data'!P318</f>
        <v>0</v>
      </c>
      <c r="O318">
        <f>'Raw Data'!Q318</f>
        <v>0</v>
      </c>
      <c r="P318">
        <f>'Raw Data'!R318</f>
        <v>0</v>
      </c>
      <c r="Q318">
        <f>'Raw Data'!S318</f>
        <v>0</v>
      </c>
      <c r="R318">
        <f>'Raw Data'!T318</f>
        <v>0</v>
      </c>
      <c r="S318">
        <f>IFERROR(O318,0)+IFERROR(R318,0)</f>
        <v>0</v>
      </c>
      <c r="T318">
        <f>IF(A318="","",YEAR(A318))</f>
        <v>0</v>
      </c>
    </row>
    <row r="319" spans="1:20">
      <c r="A319">
        <f>'Raw Data'!B319</f>
        <v>0</v>
      </c>
      <c r="B319">
        <f>'Raw Data'!A319</f>
        <v>0</v>
      </c>
      <c r="C319">
        <f>'Raw Data'!C319</f>
        <v>0</v>
      </c>
      <c r="D319">
        <f>'Raw Data'!D319</f>
        <v>0</v>
      </c>
      <c r="E319">
        <f>IFERROR(VLOOKUP(D319,'Lookup Tables'!$A:$B,2,FALSE),"Unknown")</f>
        <v>0</v>
      </c>
      <c r="F319">
        <f>'Raw Data'!E319</f>
        <v>0</v>
      </c>
      <c r="G319">
        <f>IFERROR(VLOOKUP(D319,'Lookup Tables'!$A:$C,3,FALSE),IF(ISNUMBER(SEARCH("STEEL",F319)),"Steel","Others"))</f>
        <v>0</v>
      </c>
      <c r="H319">
        <f>IF(ISNUMBER(SEARCH("scrubber",F319)) , "Scrubber", IF(ISNUMBER(SEARCH("container",F319)),"Container", IF(ISNUMBER(SEARCH("basket",F319)),"Basket", IF(ISNUMBER(SEARCH("lunch",F319)),"Lunch Box", IF(ISNUMBER(SEARCH("cutlery",F319)),"Cutlery","Other")))))</f>
        <v>0</v>
      </c>
      <c r="I319">
        <f>IF('Raw Data'!G319&lt;&gt;'','Raw Data'!G319,IFERROR(MID(F319,SEARCH("MODEL",F319)+6,20),""))</f>
        <v>0</v>
      </c>
      <c r="J319">
        <f>'Raw Data'!H319</f>
        <v>0</v>
      </c>
      <c r="K319">
        <f>'Raw Data'!I319</f>
        <v>0</v>
      </c>
      <c r="L319">
        <f>IF('Raw Data'!N319&lt;&gt;0,'Raw Data'!N319,IFERROR(VALUE(MID(F319,SEARCH("QTY",F319)+4,IFERROR(FIND(" ",F319,SEARCH("QTY",F319)+4)-(SEARCH("QTY",F319)+4),3))),""))</f>
        <v>0</v>
      </c>
      <c r="M319">
        <f>'Raw Data'!O319</f>
        <v>0</v>
      </c>
      <c r="N319">
        <f>'Raw Data'!P319</f>
        <v>0</v>
      </c>
      <c r="O319">
        <f>'Raw Data'!Q319</f>
        <v>0</v>
      </c>
      <c r="P319">
        <f>'Raw Data'!R319</f>
        <v>0</v>
      </c>
      <c r="Q319">
        <f>'Raw Data'!S319</f>
        <v>0</v>
      </c>
      <c r="R319">
        <f>'Raw Data'!T319</f>
        <v>0</v>
      </c>
      <c r="S319">
        <f>IFERROR(O319,0)+IFERROR(R319,0)</f>
        <v>0</v>
      </c>
      <c r="T319">
        <f>IF(A319="","",YEAR(A319))</f>
        <v>0</v>
      </c>
    </row>
    <row r="320" spans="1:20">
      <c r="A320">
        <f>'Raw Data'!B320</f>
        <v>0</v>
      </c>
      <c r="B320">
        <f>'Raw Data'!A320</f>
        <v>0</v>
      </c>
      <c r="C320">
        <f>'Raw Data'!C320</f>
        <v>0</v>
      </c>
      <c r="D320">
        <f>'Raw Data'!D320</f>
        <v>0</v>
      </c>
      <c r="E320">
        <f>IFERROR(VLOOKUP(D320,'Lookup Tables'!$A:$B,2,FALSE),"Unknown")</f>
        <v>0</v>
      </c>
      <c r="F320">
        <f>'Raw Data'!E320</f>
        <v>0</v>
      </c>
      <c r="G320">
        <f>IFERROR(VLOOKUP(D320,'Lookup Tables'!$A:$C,3,FALSE),IF(ISNUMBER(SEARCH("STEEL",F320)),"Steel","Others"))</f>
        <v>0</v>
      </c>
      <c r="H320">
        <f>IF(ISNUMBER(SEARCH("scrubber",F320)) , "Scrubber", IF(ISNUMBER(SEARCH("container",F320)),"Container", IF(ISNUMBER(SEARCH("basket",F320)),"Basket", IF(ISNUMBER(SEARCH("lunch",F320)),"Lunch Box", IF(ISNUMBER(SEARCH("cutlery",F320)),"Cutlery","Other")))))</f>
        <v>0</v>
      </c>
      <c r="I320">
        <f>IF('Raw Data'!G320&lt;&gt;'','Raw Data'!G320,IFERROR(MID(F320,SEARCH("MODEL",F320)+6,20),""))</f>
        <v>0</v>
      </c>
      <c r="J320">
        <f>'Raw Data'!H320</f>
        <v>0</v>
      </c>
      <c r="K320">
        <f>'Raw Data'!I320</f>
        <v>0</v>
      </c>
      <c r="L320">
        <f>IF('Raw Data'!N320&lt;&gt;0,'Raw Data'!N320,IFERROR(VALUE(MID(F320,SEARCH("QTY",F320)+4,IFERROR(FIND(" ",F320,SEARCH("QTY",F320)+4)-(SEARCH("QTY",F320)+4),3))),""))</f>
        <v>0</v>
      </c>
      <c r="M320">
        <f>'Raw Data'!O320</f>
        <v>0</v>
      </c>
      <c r="N320">
        <f>'Raw Data'!P320</f>
        <v>0</v>
      </c>
      <c r="O320">
        <f>'Raw Data'!Q320</f>
        <v>0</v>
      </c>
      <c r="P320">
        <f>'Raw Data'!R320</f>
        <v>0</v>
      </c>
      <c r="Q320">
        <f>'Raw Data'!S320</f>
        <v>0</v>
      </c>
      <c r="R320">
        <f>'Raw Data'!T320</f>
        <v>0</v>
      </c>
      <c r="S320">
        <f>IFERROR(O320,0)+IFERROR(R320,0)</f>
        <v>0</v>
      </c>
      <c r="T320">
        <f>IF(A320="","",YEAR(A320))</f>
        <v>0</v>
      </c>
    </row>
    <row r="321" spans="1:20">
      <c r="A321">
        <f>'Raw Data'!B321</f>
        <v>0</v>
      </c>
      <c r="B321">
        <f>'Raw Data'!A321</f>
        <v>0</v>
      </c>
      <c r="C321">
        <f>'Raw Data'!C321</f>
        <v>0</v>
      </c>
      <c r="D321">
        <f>'Raw Data'!D321</f>
        <v>0</v>
      </c>
      <c r="E321">
        <f>IFERROR(VLOOKUP(D321,'Lookup Tables'!$A:$B,2,FALSE),"Unknown")</f>
        <v>0</v>
      </c>
      <c r="F321">
        <f>'Raw Data'!E321</f>
        <v>0</v>
      </c>
      <c r="G321">
        <f>IFERROR(VLOOKUP(D321,'Lookup Tables'!$A:$C,3,FALSE),IF(ISNUMBER(SEARCH("STEEL",F321)),"Steel","Others"))</f>
        <v>0</v>
      </c>
      <c r="H321">
        <f>IF(ISNUMBER(SEARCH("scrubber",F321)) , "Scrubber", IF(ISNUMBER(SEARCH("container",F321)),"Container", IF(ISNUMBER(SEARCH("basket",F321)),"Basket", IF(ISNUMBER(SEARCH("lunch",F321)),"Lunch Box", IF(ISNUMBER(SEARCH("cutlery",F321)),"Cutlery","Other")))))</f>
        <v>0</v>
      </c>
      <c r="I321">
        <f>IF('Raw Data'!G321&lt;&gt;'','Raw Data'!G321,IFERROR(MID(F321,SEARCH("MODEL",F321)+6,20),""))</f>
        <v>0</v>
      </c>
      <c r="J321">
        <f>'Raw Data'!H321</f>
        <v>0</v>
      </c>
      <c r="K321">
        <f>'Raw Data'!I321</f>
        <v>0</v>
      </c>
      <c r="L321">
        <f>IF('Raw Data'!N321&lt;&gt;0,'Raw Data'!N321,IFERROR(VALUE(MID(F321,SEARCH("QTY",F321)+4,IFERROR(FIND(" ",F321,SEARCH("QTY",F321)+4)-(SEARCH("QTY",F321)+4),3))),""))</f>
        <v>0</v>
      </c>
      <c r="M321">
        <f>'Raw Data'!O321</f>
        <v>0</v>
      </c>
      <c r="N321">
        <f>'Raw Data'!P321</f>
        <v>0</v>
      </c>
      <c r="O321">
        <f>'Raw Data'!Q321</f>
        <v>0</v>
      </c>
      <c r="P321">
        <f>'Raw Data'!R321</f>
        <v>0</v>
      </c>
      <c r="Q321">
        <f>'Raw Data'!S321</f>
        <v>0</v>
      </c>
      <c r="R321">
        <f>'Raw Data'!T321</f>
        <v>0</v>
      </c>
      <c r="S321">
        <f>IFERROR(O321,0)+IFERROR(R321,0)</f>
        <v>0</v>
      </c>
      <c r="T321">
        <f>IF(A321="","",YEAR(A321))</f>
        <v>0</v>
      </c>
    </row>
    <row r="322" spans="1:20">
      <c r="A322">
        <f>'Raw Data'!B322</f>
        <v>0</v>
      </c>
      <c r="B322">
        <f>'Raw Data'!A322</f>
        <v>0</v>
      </c>
      <c r="C322">
        <f>'Raw Data'!C322</f>
        <v>0</v>
      </c>
      <c r="D322">
        <f>'Raw Data'!D322</f>
        <v>0</v>
      </c>
      <c r="E322">
        <f>IFERROR(VLOOKUP(D322,'Lookup Tables'!$A:$B,2,FALSE),"Unknown")</f>
        <v>0</v>
      </c>
      <c r="F322">
        <f>'Raw Data'!E322</f>
        <v>0</v>
      </c>
      <c r="G322">
        <f>IFERROR(VLOOKUP(D322,'Lookup Tables'!$A:$C,3,FALSE),IF(ISNUMBER(SEARCH("STEEL",F322)),"Steel","Others"))</f>
        <v>0</v>
      </c>
      <c r="H322">
        <f>IF(ISNUMBER(SEARCH("scrubber",F322)) , "Scrubber", IF(ISNUMBER(SEARCH("container",F322)),"Container", IF(ISNUMBER(SEARCH("basket",F322)),"Basket", IF(ISNUMBER(SEARCH("lunch",F322)),"Lunch Box", IF(ISNUMBER(SEARCH("cutlery",F322)),"Cutlery","Other")))))</f>
        <v>0</v>
      </c>
      <c r="I322">
        <f>IF('Raw Data'!G322&lt;&gt;'','Raw Data'!G322,IFERROR(MID(F322,SEARCH("MODEL",F322)+6,20),""))</f>
        <v>0</v>
      </c>
      <c r="J322">
        <f>'Raw Data'!H322</f>
        <v>0</v>
      </c>
      <c r="K322">
        <f>'Raw Data'!I322</f>
        <v>0</v>
      </c>
      <c r="L322">
        <f>IF('Raw Data'!N322&lt;&gt;0,'Raw Data'!N322,IFERROR(VALUE(MID(F322,SEARCH("QTY",F322)+4,IFERROR(FIND(" ",F322,SEARCH("QTY",F322)+4)-(SEARCH("QTY",F322)+4),3))),""))</f>
        <v>0</v>
      </c>
      <c r="M322">
        <f>'Raw Data'!O322</f>
        <v>0</v>
      </c>
      <c r="N322">
        <f>'Raw Data'!P322</f>
        <v>0</v>
      </c>
      <c r="O322">
        <f>'Raw Data'!Q322</f>
        <v>0</v>
      </c>
      <c r="P322">
        <f>'Raw Data'!R322</f>
        <v>0</v>
      </c>
      <c r="Q322">
        <f>'Raw Data'!S322</f>
        <v>0</v>
      </c>
      <c r="R322">
        <f>'Raw Data'!T322</f>
        <v>0</v>
      </c>
      <c r="S322">
        <f>IFERROR(O322,0)+IFERROR(R322,0)</f>
        <v>0</v>
      </c>
      <c r="T322">
        <f>IF(A322="","",YEAR(A322))</f>
        <v>0</v>
      </c>
    </row>
    <row r="323" spans="1:20">
      <c r="A323">
        <f>'Raw Data'!B323</f>
        <v>0</v>
      </c>
      <c r="B323">
        <f>'Raw Data'!A323</f>
        <v>0</v>
      </c>
      <c r="C323">
        <f>'Raw Data'!C323</f>
        <v>0</v>
      </c>
      <c r="D323">
        <f>'Raw Data'!D323</f>
        <v>0</v>
      </c>
      <c r="E323">
        <f>IFERROR(VLOOKUP(D323,'Lookup Tables'!$A:$B,2,FALSE),"Unknown")</f>
        <v>0</v>
      </c>
      <c r="F323">
        <f>'Raw Data'!E323</f>
        <v>0</v>
      </c>
      <c r="G323">
        <f>IFERROR(VLOOKUP(D323,'Lookup Tables'!$A:$C,3,FALSE),IF(ISNUMBER(SEARCH("STEEL",F323)),"Steel","Others"))</f>
        <v>0</v>
      </c>
      <c r="H323">
        <f>IF(ISNUMBER(SEARCH("scrubber",F323)) , "Scrubber", IF(ISNUMBER(SEARCH("container",F323)),"Container", IF(ISNUMBER(SEARCH("basket",F323)),"Basket", IF(ISNUMBER(SEARCH("lunch",F323)),"Lunch Box", IF(ISNUMBER(SEARCH("cutlery",F323)),"Cutlery","Other")))))</f>
        <v>0</v>
      </c>
      <c r="I323">
        <f>IF('Raw Data'!G323&lt;&gt;'','Raw Data'!G323,IFERROR(MID(F323,SEARCH("MODEL",F323)+6,20),""))</f>
        <v>0</v>
      </c>
      <c r="J323">
        <f>'Raw Data'!H323</f>
        <v>0</v>
      </c>
      <c r="K323">
        <f>'Raw Data'!I323</f>
        <v>0</v>
      </c>
      <c r="L323">
        <f>IF('Raw Data'!N323&lt;&gt;0,'Raw Data'!N323,IFERROR(VALUE(MID(F323,SEARCH("QTY",F323)+4,IFERROR(FIND(" ",F323,SEARCH("QTY",F323)+4)-(SEARCH("QTY",F323)+4),3))),""))</f>
        <v>0</v>
      </c>
      <c r="M323">
        <f>'Raw Data'!O323</f>
        <v>0</v>
      </c>
      <c r="N323">
        <f>'Raw Data'!P323</f>
        <v>0</v>
      </c>
      <c r="O323">
        <f>'Raw Data'!Q323</f>
        <v>0</v>
      </c>
      <c r="P323">
        <f>'Raw Data'!R323</f>
        <v>0</v>
      </c>
      <c r="Q323">
        <f>'Raw Data'!S323</f>
        <v>0</v>
      </c>
      <c r="R323">
        <f>'Raw Data'!T323</f>
        <v>0</v>
      </c>
      <c r="S323">
        <f>IFERROR(O323,0)+IFERROR(R323,0)</f>
        <v>0</v>
      </c>
      <c r="T323">
        <f>IF(A323="","",YEAR(A323))</f>
        <v>0</v>
      </c>
    </row>
    <row r="324" spans="1:20">
      <c r="A324">
        <f>'Raw Data'!B324</f>
        <v>0</v>
      </c>
      <c r="B324">
        <f>'Raw Data'!A324</f>
        <v>0</v>
      </c>
      <c r="C324">
        <f>'Raw Data'!C324</f>
        <v>0</v>
      </c>
      <c r="D324">
        <f>'Raw Data'!D324</f>
        <v>0</v>
      </c>
      <c r="E324">
        <f>IFERROR(VLOOKUP(D324,'Lookup Tables'!$A:$B,2,FALSE),"Unknown")</f>
        <v>0</v>
      </c>
      <c r="F324">
        <f>'Raw Data'!E324</f>
        <v>0</v>
      </c>
      <c r="G324">
        <f>IFERROR(VLOOKUP(D324,'Lookup Tables'!$A:$C,3,FALSE),IF(ISNUMBER(SEARCH("STEEL",F324)),"Steel","Others"))</f>
        <v>0</v>
      </c>
      <c r="H324">
        <f>IF(ISNUMBER(SEARCH("scrubber",F324)) , "Scrubber", IF(ISNUMBER(SEARCH("container",F324)),"Container", IF(ISNUMBER(SEARCH("basket",F324)),"Basket", IF(ISNUMBER(SEARCH("lunch",F324)),"Lunch Box", IF(ISNUMBER(SEARCH("cutlery",F324)),"Cutlery","Other")))))</f>
        <v>0</v>
      </c>
      <c r="I324">
        <f>IF('Raw Data'!G324&lt;&gt;'','Raw Data'!G324,IFERROR(MID(F324,SEARCH("MODEL",F324)+6,20),""))</f>
        <v>0</v>
      </c>
      <c r="J324">
        <f>'Raw Data'!H324</f>
        <v>0</v>
      </c>
      <c r="K324">
        <f>'Raw Data'!I324</f>
        <v>0</v>
      </c>
      <c r="L324">
        <f>IF('Raw Data'!N324&lt;&gt;0,'Raw Data'!N324,IFERROR(VALUE(MID(F324,SEARCH("QTY",F324)+4,IFERROR(FIND(" ",F324,SEARCH("QTY",F324)+4)-(SEARCH("QTY",F324)+4),3))),""))</f>
        <v>0</v>
      </c>
      <c r="M324">
        <f>'Raw Data'!O324</f>
        <v>0</v>
      </c>
      <c r="N324">
        <f>'Raw Data'!P324</f>
        <v>0</v>
      </c>
      <c r="O324">
        <f>'Raw Data'!Q324</f>
        <v>0</v>
      </c>
      <c r="P324">
        <f>'Raw Data'!R324</f>
        <v>0</v>
      </c>
      <c r="Q324">
        <f>'Raw Data'!S324</f>
        <v>0</v>
      </c>
      <c r="R324">
        <f>'Raw Data'!T324</f>
        <v>0</v>
      </c>
      <c r="S324">
        <f>IFERROR(O324,0)+IFERROR(R324,0)</f>
        <v>0</v>
      </c>
      <c r="T324">
        <f>IF(A324="","",YEAR(A324))</f>
        <v>0</v>
      </c>
    </row>
    <row r="325" spans="1:20">
      <c r="A325">
        <f>'Raw Data'!B325</f>
        <v>0</v>
      </c>
      <c r="B325">
        <f>'Raw Data'!A325</f>
        <v>0</v>
      </c>
      <c r="C325">
        <f>'Raw Data'!C325</f>
        <v>0</v>
      </c>
      <c r="D325">
        <f>'Raw Data'!D325</f>
        <v>0</v>
      </c>
      <c r="E325">
        <f>IFERROR(VLOOKUP(D325,'Lookup Tables'!$A:$B,2,FALSE),"Unknown")</f>
        <v>0</v>
      </c>
      <c r="F325">
        <f>'Raw Data'!E325</f>
        <v>0</v>
      </c>
      <c r="G325">
        <f>IFERROR(VLOOKUP(D325,'Lookup Tables'!$A:$C,3,FALSE),IF(ISNUMBER(SEARCH("STEEL",F325)),"Steel","Others"))</f>
        <v>0</v>
      </c>
      <c r="H325">
        <f>IF(ISNUMBER(SEARCH("scrubber",F325)) , "Scrubber", IF(ISNUMBER(SEARCH("container",F325)),"Container", IF(ISNUMBER(SEARCH("basket",F325)),"Basket", IF(ISNUMBER(SEARCH("lunch",F325)),"Lunch Box", IF(ISNUMBER(SEARCH("cutlery",F325)),"Cutlery","Other")))))</f>
        <v>0</v>
      </c>
      <c r="I325">
        <f>IF('Raw Data'!G325&lt;&gt;'','Raw Data'!G325,IFERROR(MID(F325,SEARCH("MODEL",F325)+6,20),""))</f>
        <v>0</v>
      </c>
      <c r="J325">
        <f>'Raw Data'!H325</f>
        <v>0</v>
      </c>
      <c r="K325">
        <f>'Raw Data'!I325</f>
        <v>0</v>
      </c>
      <c r="L325">
        <f>IF('Raw Data'!N325&lt;&gt;0,'Raw Data'!N325,IFERROR(VALUE(MID(F325,SEARCH("QTY",F325)+4,IFERROR(FIND(" ",F325,SEARCH("QTY",F325)+4)-(SEARCH("QTY",F325)+4),3))),""))</f>
        <v>0</v>
      </c>
      <c r="M325">
        <f>'Raw Data'!O325</f>
        <v>0</v>
      </c>
      <c r="N325">
        <f>'Raw Data'!P325</f>
        <v>0</v>
      </c>
      <c r="O325">
        <f>'Raw Data'!Q325</f>
        <v>0</v>
      </c>
      <c r="P325">
        <f>'Raw Data'!R325</f>
        <v>0</v>
      </c>
      <c r="Q325">
        <f>'Raw Data'!S325</f>
        <v>0</v>
      </c>
      <c r="R325">
        <f>'Raw Data'!T325</f>
        <v>0</v>
      </c>
      <c r="S325">
        <f>IFERROR(O325,0)+IFERROR(R325,0)</f>
        <v>0</v>
      </c>
      <c r="T325">
        <f>IF(A325="","",YEAR(A325))</f>
        <v>0</v>
      </c>
    </row>
    <row r="326" spans="1:20">
      <c r="A326">
        <f>'Raw Data'!B326</f>
        <v>0</v>
      </c>
      <c r="B326">
        <f>'Raw Data'!A326</f>
        <v>0</v>
      </c>
      <c r="C326">
        <f>'Raw Data'!C326</f>
        <v>0</v>
      </c>
      <c r="D326">
        <f>'Raw Data'!D326</f>
        <v>0</v>
      </c>
      <c r="E326">
        <f>IFERROR(VLOOKUP(D326,'Lookup Tables'!$A:$B,2,FALSE),"Unknown")</f>
        <v>0</v>
      </c>
      <c r="F326">
        <f>'Raw Data'!E326</f>
        <v>0</v>
      </c>
      <c r="G326">
        <f>IFERROR(VLOOKUP(D326,'Lookup Tables'!$A:$C,3,FALSE),IF(ISNUMBER(SEARCH("STEEL",F326)),"Steel","Others"))</f>
        <v>0</v>
      </c>
      <c r="H326">
        <f>IF(ISNUMBER(SEARCH("scrubber",F326)) , "Scrubber", IF(ISNUMBER(SEARCH("container",F326)),"Container", IF(ISNUMBER(SEARCH("basket",F326)),"Basket", IF(ISNUMBER(SEARCH("lunch",F326)),"Lunch Box", IF(ISNUMBER(SEARCH("cutlery",F326)),"Cutlery","Other")))))</f>
        <v>0</v>
      </c>
      <c r="I326">
        <f>IF('Raw Data'!G326&lt;&gt;'','Raw Data'!G326,IFERROR(MID(F326,SEARCH("MODEL",F326)+6,20),""))</f>
        <v>0</v>
      </c>
      <c r="J326">
        <f>'Raw Data'!H326</f>
        <v>0</v>
      </c>
      <c r="K326">
        <f>'Raw Data'!I326</f>
        <v>0</v>
      </c>
      <c r="L326">
        <f>IF('Raw Data'!N326&lt;&gt;0,'Raw Data'!N326,IFERROR(VALUE(MID(F326,SEARCH("QTY",F326)+4,IFERROR(FIND(" ",F326,SEARCH("QTY",F326)+4)-(SEARCH("QTY",F326)+4),3))),""))</f>
        <v>0</v>
      </c>
      <c r="M326">
        <f>'Raw Data'!O326</f>
        <v>0</v>
      </c>
      <c r="N326">
        <f>'Raw Data'!P326</f>
        <v>0</v>
      </c>
      <c r="O326">
        <f>'Raw Data'!Q326</f>
        <v>0</v>
      </c>
      <c r="P326">
        <f>'Raw Data'!R326</f>
        <v>0</v>
      </c>
      <c r="Q326">
        <f>'Raw Data'!S326</f>
        <v>0</v>
      </c>
      <c r="R326">
        <f>'Raw Data'!T326</f>
        <v>0</v>
      </c>
      <c r="S326">
        <f>IFERROR(O326,0)+IFERROR(R326,0)</f>
        <v>0</v>
      </c>
      <c r="T326">
        <f>IF(A326="","",YEAR(A326))</f>
        <v>0</v>
      </c>
    </row>
    <row r="327" spans="1:20">
      <c r="A327">
        <f>'Raw Data'!B327</f>
        <v>0</v>
      </c>
      <c r="B327">
        <f>'Raw Data'!A327</f>
        <v>0</v>
      </c>
      <c r="C327">
        <f>'Raw Data'!C327</f>
        <v>0</v>
      </c>
      <c r="D327">
        <f>'Raw Data'!D327</f>
        <v>0</v>
      </c>
      <c r="E327">
        <f>IFERROR(VLOOKUP(D327,'Lookup Tables'!$A:$B,2,FALSE),"Unknown")</f>
        <v>0</v>
      </c>
      <c r="F327">
        <f>'Raw Data'!E327</f>
        <v>0</v>
      </c>
      <c r="G327">
        <f>IFERROR(VLOOKUP(D327,'Lookup Tables'!$A:$C,3,FALSE),IF(ISNUMBER(SEARCH("STEEL",F327)),"Steel","Others"))</f>
        <v>0</v>
      </c>
      <c r="H327">
        <f>IF(ISNUMBER(SEARCH("scrubber",F327)) , "Scrubber", IF(ISNUMBER(SEARCH("container",F327)),"Container", IF(ISNUMBER(SEARCH("basket",F327)),"Basket", IF(ISNUMBER(SEARCH("lunch",F327)),"Lunch Box", IF(ISNUMBER(SEARCH("cutlery",F327)),"Cutlery","Other")))))</f>
        <v>0</v>
      </c>
      <c r="I327">
        <f>IF('Raw Data'!G327&lt;&gt;'','Raw Data'!G327,IFERROR(MID(F327,SEARCH("MODEL",F327)+6,20),""))</f>
        <v>0</v>
      </c>
      <c r="J327">
        <f>'Raw Data'!H327</f>
        <v>0</v>
      </c>
      <c r="K327">
        <f>'Raw Data'!I327</f>
        <v>0</v>
      </c>
      <c r="L327">
        <f>IF('Raw Data'!N327&lt;&gt;0,'Raw Data'!N327,IFERROR(VALUE(MID(F327,SEARCH("QTY",F327)+4,IFERROR(FIND(" ",F327,SEARCH("QTY",F327)+4)-(SEARCH("QTY",F327)+4),3))),""))</f>
        <v>0</v>
      </c>
      <c r="M327">
        <f>'Raw Data'!O327</f>
        <v>0</v>
      </c>
      <c r="N327">
        <f>'Raw Data'!P327</f>
        <v>0</v>
      </c>
      <c r="O327">
        <f>'Raw Data'!Q327</f>
        <v>0</v>
      </c>
      <c r="P327">
        <f>'Raw Data'!R327</f>
        <v>0</v>
      </c>
      <c r="Q327">
        <f>'Raw Data'!S327</f>
        <v>0</v>
      </c>
      <c r="R327">
        <f>'Raw Data'!T327</f>
        <v>0</v>
      </c>
      <c r="S327">
        <f>IFERROR(O327,0)+IFERROR(R327,0)</f>
        <v>0</v>
      </c>
      <c r="T327">
        <f>IF(A327="","",YEAR(A327))</f>
        <v>0</v>
      </c>
    </row>
    <row r="328" spans="1:20">
      <c r="A328">
        <f>'Raw Data'!B328</f>
        <v>0</v>
      </c>
      <c r="B328">
        <f>'Raw Data'!A328</f>
        <v>0</v>
      </c>
      <c r="C328">
        <f>'Raw Data'!C328</f>
        <v>0</v>
      </c>
      <c r="D328">
        <f>'Raw Data'!D328</f>
        <v>0</v>
      </c>
      <c r="E328">
        <f>IFERROR(VLOOKUP(D328,'Lookup Tables'!$A:$B,2,FALSE),"Unknown")</f>
        <v>0</v>
      </c>
      <c r="F328">
        <f>'Raw Data'!E328</f>
        <v>0</v>
      </c>
      <c r="G328">
        <f>IFERROR(VLOOKUP(D328,'Lookup Tables'!$A:$C,3,FALSE),IF(ISNUMBER(SEARCH("STEEL",F328)),"Steel","Others"))</f>
        <v>0</v>
      </c>
      <c r="H328">
        <f>IF(ISNUMBER(SEARCH("scrubber",F328)) , "Scrubber", IF(ISNUMBER(SEARCH("container",F328)),"Container", IF(ISNUMBER(SEARCH("basket",F328)),"Basket", IF(ISNUMBER(SEARCH("lunch",F328)),"Lunch Box", IF(ISNUMBER(SEARCH("cutlery",F328)),"Cutlery","Other")))))</f>
        <v>0</v>
      </c>
      <c r="I328">
        <f>IF('Raw Data'!G328&lt;&gt;'','Raw Data'!G328,IFERROR(MID(F328,SEARCH("MODEL",F328)+6,20),""))</f>
        <v>0</v>
      </c>
      <c r="J328">
        <f>'Raw Data'!H328</f>
        <v>0</v>
      </c>
      <c r="K328">
        <f>'Raw Data'!I328</f>
        <v>0</v>
      </c>
      <c r="L328">
        <f>IF('Raw Data'!N328&lt;&gt;0,'Raw Data'!N328,IFERROR(VALUE(MID(F328,SEARCH("QTY",F328)+4,IFERROR(FIND(" ",F328,SEARCH("QTY",F328)+4)-(SEARCH("QTY",F328)+4),3))),""))</f>
        <v>0</v>
      </c>
      <c r="M328">
        <f>'Raw Data'!O328</f>
        <v>0</v>
      </c>
      <c r="N328">
        <f>'Raw Data'!P328</f>
        <v>0</v>
      </c>
      <c r="O328">
        <f>'Raw Data'!Q328</f>
        <v>0</v>
      </c>
      <c r="P328">
        <f>'Raw Data'!R328</f>
        <v>0</v>
      </c>
      <c r="Q328">
        <f>'Raw Data'!S328</f>
        <v>0</v>
      </c>
      <c r="R328">
        <f>'Raw Data'!T328</f>
        <v>0</v>
      </c>
      <c r="S328">
        <f>IFERROR(O328,0)+IFERROR(R328,0)</f>
        <v>0</v>
      </c>
      <c r="T328">
        <f>IF(A328="","",YEAR(A328))</f>
        <v>0</v>
      </c>
    </row>
    <row r="329" spans="1:20">
      <c r="A329">
        <f>'Raw Data'!B329</f>
        <v>0</v>
      </c>
      <c r="B329">
        <f>'Raw Data'!A329</f>
        <v>0</v>
      </c>
      <c r="C329">
        <f>'Raw Data'!C329</f>
        <v>0</v>
      </c>
      <c r="D329">
        <f>'Raw Data'!D329</f>
        <v>0</v>
      </c>
      <c r="E329">
        <f>IFERROR(VLOOKUP(D329,'Lookup Tables'!$A:$B,2,FALSE),"Unknown")</f>
        <v>0</v>
      </c>
      <c r="F329">
        <f>'Raw Data'!E329</f>
        <v>0</v>
      </c>
      <c r="G329">
        <f>IFERROR(VLOOKUP(D329,'Lookup Tables'!$A:$C,3,FALSE),IF(ISNUMBER(SEARCH("STEEL",F329)),"Steel","Others"))</f>
        <v>0</v>
      </c>
      <c r="H329">
        <f>IF(ISNUMBER(SEARCH("scrubber",F329)) , "Scrubber", IF(ISNUMBER(SEARCH("container",F329)),"Container", IF(ISNUMBER(SEARCH("basket",F329)),"Basket", IF(ISNUMBER(SEARCH("lunch",F329)),"Lunch Box", IF(ISNUMBER(SEARCH("cutlery",F329)),"Cutlery","Other")))))</f>
        <v>0</v>
      </c>
      <c r="I329">
        <f>IF('Raw Data'!G329&lt;&gt;'','Raw Data'!G329,IFERROR(MID(F329,SEARCH("MODEL",F329)+6,20),""))</f>
        <v>0</v>
      </c>
      <c r="J329">
        <f>'Raw Data'!H329</f>
        <v>0</v>
      </c>
      <c r="K329">
        <f>'Raw Data'!I329</f>
        <v>0</v>
      </c>
      <c r="L329">
        <f>IF('Raw Data'!N329&lt;&gt;0,'Raw Data'!N329,IFERROR(VALUE(MID(F329,SEARCH("QTY",F329)+4,IFERROR(FIND(" ",F329,SEARCH("QTY",F329)+4)-(SEARCH("QTY",F329)+4),3))),""))</f>
        <v>0</v>
      </c>
      <c r="M329">
        <f>'Raw Data'!O329</f>
        <v>0</v>
      </c>
      <c r="N329">
        <f>'Raw Data'!P329</f>
        <v>0</v>
      </c>
      <c r="O329">
        <f>'Raw Data'!Q329</f>
        <v>0</v>
      </c>
      <c r="P329">
        <f>'Raw Data'!R329</f>
        <v>0</v>
      </c>
      <c r="Q329">
        <f>'Raw Data'!S329</f>
        <v>0</v>
      </c>
      <c r="R329">
        <f>'Raw Data'!T329</f>
        <v>0</v>
      </c>
      <c r="S329">
        <f>IFERROR(O329,0)+IFERROR(R329,0)</f>
        <v>0</v>
      </c>
      <c r="T329">
        <f>IF(A329="","",YEAR(A329))</f>
        <v>0</v>
      </c>
    </row>
    <row r="330" spans="1:20">
      <c r="A330">
        <f>'Raw Data'!B330</f>
        <v>0</v>
      </c>
      <c r="B330">
        <f>'Raw Data'!A330</f>
        <v>0</v>
      </c>
      <c r="C330">
        <f>'Raw Data'!C330</f>
        <v>0</v>
      </c>
      <c r="D330">
        <f>'Raw Data'!D330</f>
        <v>0</v>
      </c>
      <c r="E330">
        <f>IFERROR(VLOOKUP(D330,'Lookup Tables'!$A:$B,2,FALSE),"Unknown")</f>
        <v>0</v>
      </c>
      <c r="F330">
        <f>'Raw Data'!E330</f>
        <v>0</v>
      </c>
      <c r="G330">
        <f>IFERROR(VLOOKUP(D330,'Lookup Tables'!$A:$C,3,FALSE),IF(ISNUMBER(SEARCH("STEEL",F330)),"Steel","Others"))</f>
        <v>0</v>
      </c>
      <c r="H330">
        <f>IF(ISNUMBER(SEARCH("scrubber",F330)) , "Scrubber", IF(ISNUMBER(SEARCH("container",F330)),"Container", IF(ISNUMBER(SEARCH("basket",F330)),"Basket", IF(ISNUMBER(SEARCH("lunch",F330)),"Lunch Box", IF(ISNUMBER(SEARCH("cutlery",F330)),"Cutlery","Other")))))</f>
        <v>0</v>
      </c>
      <c r="I330">
        <f>IF('Raw Data'!G330&lt;&gt;'','Raw Data'!G330,IFERROR(MID(F330,SEARCH("MODEL",F330)+6,20),""))</f>
        <v>0</v>
      </c>
      <c r="J330">
        <f>'Raw Data'!H330</f>
        <v>0</v>
      </c>
      <c r="K330">
        <f>'Raw Data'!I330</f>
        <v>0</v>
      </c>
      <c r="L330">
        <f>IF('Raw Data'!N330&lt;&gt;0,'Raw Data'!N330,IFERROR(VALUE(MID(F330,SEARCH("QTY",F330)+4,IFERROR(FIND(" ",F330,SEARCH("QTY",F330)+4)-(SEARCH("QTY",F330)+4),3))),""))</f>
        <v>0</v>
      </c>
      <c r="M330">
        <f>'Raw Data'!O330</f>
        <v>0</v>
      </c>
      <c r="N330">
        <f>'Raw Data'!P330</f>
        <v>0</v>
      </c>
      <c r="O330">
        <f>'Raw Data'!Q330</f>
        <v>0</v>
      </c>
      <c r="P330">
        <f>'Raw Data'!R330</f>
        <v>0</v>
      </c>
      <c r="Q330">
        <f>'Raw Data'!S330</f>
        <v>0</v>
      </c>
      <c r="R330">
        <f>'Raw Data'!T330</f>
        <v>0</v>
      </c>
      <c r="S330">
        <f>IFERROR(O330,0)+IFERROR(R330,0)</f>
        <v>0</v>
      </c>
      <c r="T330">
        <f>IF(A330="","",YEAR(A330))</f>
        <v>0</v>
      </c>
    </row>
    <row r="331" spans="1:20">
      <c r="A331">
        <f>'Raw Data'!B331</f>
        <v>0</v>
      </c>
      <c r="B331">
        <f>'Raw Data'!A331</f>
        <v>0</v>
      </c>
      <c r="C331">
        <f>'Raw Data'!C331</f>
        <v>0</v>
      </c>
      <c r="D331">
        <f>'Raw Data'!D331</f>
        <v>0</v>
      </c>
      <c r="E331">
        <f>IFERROR(VLOOKUP(D331,'Lookup Tables'!$A:$B,2,FALSE),"Unknown")</f>
        <v>0</v>
      </c>
      <c r="F331">
        <f>'Raw Data'!E331</f>
        <v>0</v>
      </c>
      <c r="G331">
        <f>IFERROR(VLOOKUP(D331,'Lookup Tables'!$A:$C,3,FALSE),IF(ISNUMBER(SEARCH("STEEL",F331)),"Steel","Others"))</f>
        <v>0</v>
      </c>
      <c r="H331">
        <f>IF(ISNUMBER(SEARCH("scrubber",F331)) , "Scrubber", IF(ISNUMBER(SEARCH("container",F331)),"Container", IF(ISNUMBER(SEARCH("basket",F331)),"Basket", IF(ISNUMBER(SEARCH("lunch",F331)),"Lunch Box", IF(ISNUMBER(SEARCH("cutlery",F331)),"Cutlery","Other")))))</f>
        <v>0</v>
      </c>
      <c r="I331">
        <f>IF('Raw Data'!G331&lt;&gt;'','Raw Data'!G331,IFERROR(MID(F331,SEARCH("MODEL",F331)+6,20),""))</f>
        <v>0</v>
      </c>
      <c r="J331">
        <f>'Raw Data'!H331</f>
        <v>0</v>
      </c>
      <c r="K331">
        <f>'Raw Data'!I331</f>
        <v>0</v>
      </c>
      <c r="L331">
        <f>IF('Raw Data'!N331&lt;&gt;0,'Raw Data'!N331,IFERROR(VALUE(MID(F331,SEARCH("QTY",F331)+4,IFERROR(FIND(" ",F331,SEARCH("QTY",F331)+4)-(SEARCH("QTY",F331)+4),3))),""))</f>
        <v>0</v>
      </c>
      <c r="M331">
        <f>'Raw Data'!O331</f>
        <v>0</v>
      </c>
      <c r="N331">
        <f>'Raw Data'!P331</f>
        <v>0</v>
      </c>
      <c r="O331">
        <f>'Raw Data'!Q331</f>
        <v>0</v>
      </c>
      <c r="P331">
        <f>'Raw Data'!R331</f>
        <v>0</v>
      </c>
      <c r="Q331">
        <f>'Raw Data'!S331</f>
        <v>0</v>
      </c>
      <c r="R331">
        <f>'Raw Data'!T331</f>
        <v>0</v>
      </c>
      <c r="S331">
        <f>IFERROR(O331,0)+IFERROR(R331,0)</f>
        <v>0</v>
      </c>
      <c r="T331">
        <f>IF(A331="","",YEAR(A331))</f>
        <v>0</v>
      </c>
    </row>
    <row r="332" spans="1:20">
      <c r="A332">
        <f>'Raw Data'!B332</f>
        <v>0</v>
      </c>
      <c r="B332">
        <f>'Raw Data'!A332</f>
        <v>0</v>
      </c>
      <c r="C332">
        <f>'Raw Data'!C332</f>
        <v>0</v>
      </c>
      <c r="D332">
        <f>'Raw Data'!D332</f>
        <v>0</v>
      </c>
      <c r="E332">
        <f>IFERROR(VLOOKUP(D332,'Lookup Tables'!$A:$B,2,FALSE),"Unknown")</f>
        <v>0</v>
      </c>
      <c r="F332">
        <f>'Raw Data'!E332</f>
        <v>0</v>
      </c>
      <c r="G332">
        <f>IFERROR(VLOOKUP(D332,'Lookup Tables'!$A:$C,3,FALSE),IF(ISNUMBER(SEARCH("STEEL",F332)),"Steel","Others"))</f>
        <v>0</v>
      </c>
      <c r="H332">
        <f>IF(ISNUMBER(SEARCH("scrubber",F332)) , "Scrubber", IF(ISNUMBER(SEARCH("container",F332)),"Container", IF(ISNUMBER(SEARCH("basket",F332)),"Basket", IF(ISNUMBER(SEARCH("lunch",F332)),"Lunch Box", IF(ISNUMBER(SEARCH("cutlery",F332)),"Cutlery","Other")))))</f>
        <v>0</v>
      </c>
      <c r="I332">
        <f>IF('Raw Data'!G332&lt;&gt;'','Raw Data'!G332,IFERROR(MID(F332,SEARCH("MODEL",F332)+6,20),""))</f>
        <v>0</v>
      </c>
      <c r="J332">
        <f>'Raw Data'!H332</f>
        <v>0</v>
      </c>
      <c r="K332">
        <f>'Raw Data'!I332</f>
        <v>0</v>
      </c>
      <c r="L332">
        <f>IF('Raw Data'!N332&lt;&gt;0,'Raw Data'!N332,IFERROR(VALUE(MID(F332,SEARCH("QTY",F332)+4,IFERROR(FIND(" ",F332,SEARCH("QTY",F332)+4)-(SEARCH("QTY",F332)+4),3))),""))</f>
        <v>0</v>
      </c>
      <c r="M332">
        <f>'Raw Data'!O332</f>
        <v>0</v>
      </c>
      <c r="N332">
        <f>'Raw Data'!P332</f>
        <v>0</v>
      </c>
      <c r="O332">
        <f>'Raw Data'!Q332</f>
        <v>0</v>
      </c>
      <c r="P332">
        <f>'Raw Data'!R332</f>
        <v>0</v>
      </c>
      <c r="Q332">
        <f>'Raw Data'!S332</f>
        <v>0</v>
      </c>
      <c r="R332">
        <f>'Raw Data'!T332</f>
        <v>0</v>
      </c>
      <c r="S332">
        <f>IFERROR(O332,0)+IFERROR(R332,0)</f>
        <v>0</v>
      </c>
      <c r="T332">
        <f>IF(A332="","",YEAR(A332))</f>
        <v>0</v>
      </c>
    </row>
    <row r="333" spans="1:20">
      <c r="A333">
        <f>'Raw Data'!B333</f>
        <v>0</v>
      </c>
      <c r="B333">
        <f>'Raw Data'!A333</f>
        <v>0</v>
      </c>
      <c r="C333">
        <f>'Raw Data'!C333</f>
        <v>0</v>
      </c>
      <c r="D333">
        <f>'Raw Data'!D333</f>
        <v>0</v>
      </c>
      <c r="E333">
        <f>IFERROR(VLOOKUP(D333,'Lookup Tables'!$A:$B,2,FALSE),"Unknown")</f>
        <v>0</v>
      </c>
      <c r="F333">
        <f>'Raw Data'!E333</f>
        <v>0</v>
      </c>
      <c r="G333">
        <f>IFERROR(VLOOKUP(D333,'Lookup Tables'!$A:$C,3,FALSE),IF(ISNUMBER(SEARCH("STEEL",F333)),"Steel","Others"))</f>
        <v>0</v>
      </c>
      <c r="H333">
        <f>IF(ISNUMBER(SEARCH("scrubber",F333)) , "Scrubber", IF(ISNUMBER(SEARCH("container",F333)),"Container", IF(ISNUMBER(SEARCH("basket",F333)),"Basket", IF(ISNUMBER(SEARCH("lunch",F333)),"Lunch Box", IF(ISNUMBER(SEARCH("cutlery",F333)),"Cutlery","Other")))))</f>
        <v>0</v>
      </c>
      <c r="I333">
        <f>IF('Raw Data'!G333&lt;&gt;'','Raw Data'!G333,IFERROR(MID(F333,SEARCH("MODEL",F333)+6,20),""))</f>
        <v>0</v>
      </c>
      <c r="J333">
        <f>'Raw Data'!H333</f>
        <v>0</v>
      </c>
      <c r="K333">
        <f>'Raw Data'!I333</f>
        <v>0</v>
      </c>
      <c r="L333">
        <f>IF('Raw Data'!N333&lt;&gt;0,'Raw Data'!N333,IFERROR(VALUE(MID(F333,SEARCH("QTY",F333)+4,IFERROR(FIND(" ",F333,SEARCH("QTY",F333)+4)-(SEARCH("QTY",F333)+4),3))),""))</f>
        <v>0</v>
      </c>
      <c r="M333">
        <f>'Raw Data'!O333</f>
        <v>0</v>
      </c>
      <c r="N333">
        <f>'Raw Data'!P333</f>
        <v>0</v>
      </c>
      <c r="O333">
        <f>'Raw Data'!Q333</f>
        <v>0</v>
      </c>
      <c r="P333">
        <f>'Raw Data'!R333</f>
        <v>0</v>
      </c>
      <c r="Q333">
        <f>'Raw Data'!S333</f>
        <v>0</v>
      </c>
      <c r="R333">
        <f>'Raw Data'!T333</f>
        <v>0</v>
      </c>
      <c r="S333">
        <f>IFERROR(O333,0)+IFERROR(R333,0)</f>
        <v>0</v>
      </c>
      <c r="T333">
        <f>IF(A333="","",YEAR(A333))</f>
        <v>0</v>
      </c>
    </row>
    <row r="334" spans="1:20">
      <c r="A334">
        <f>'Raw Data'!B334</f>
        <v>0</v>
      </c>
      <c r="B334">
        <f>'Raw Data'!A334</f>
        <v>0</v>
      </c>
      <c r="C334">
        <f>'Raw Data'!C334</f>
        <v>0</v>
      </c>
      <c r="D334">
        <f>'Raw Data'!D334</f>
        <v>0</v>
      </c>
      <c r="E334">
        <f>IFERROR(VLOOKUP(D334,'Lookup Tables'!$A:$B,2,FALSE),"Unknown")</f>
        <v>0</v>
      </c>
      <c r="F334">
        <f>'Raw Data'!E334</f>
        <v>0</v>
      </c>
      <c r="G334">
        <f>IFERROR(VLOOKUP(D334,'Lookup Tables'!$A:$C,3,FALSE),IF(ISNUMBER(SEARCH("STEEL",F334)),"Steel","Others"))</f>
        <v>0</v>
      </c>
      <c r="H334">
        <f>IF(ISNUMBER(SEARCH("scrubber",F334)) , "Scrubber", IF(ISNUMBER(SEARCH("container",F334)),"Container", IF(ISNUMBER(SEARCH("basket",F334)),"Basket", IF(ISNUMBER(SEARCH("lunch",F334)),"Lunch Box", IF(ISNUMBER(SEARCH("cutlery",F334)),"Cutlery","Other")))))</f>
        <v>0</v>
      </c>
      <c r="I334">
        <f>IF('Raw Data'!G334&lt;&gt;'','Raw Data'!G334,IFERROR(MID(F334,SEARCH("MODEL",F334)+6,20),""))</f>
        <v>0</v>
      </c>
      <c r="J334">
        <f>'Raw Data'!H334</f>
        <v>0</v>
      </c>
      <c r="K334">
        <f>'Raw Data'!I334</f>
        <v>0</v>
      </c>
      <c r="L334">
        <f>IF('Raw Data'!N334&lt;&gt;0,'Raw Data'!N334,IFERROR(VALUE(MID(F334,SEARCH("QTY",F334)+4,IFERROR(FIND(" ",F334,SEARCH("QTY",F334)+4)-(SEARCH("QTY",F334)+4),3))),""))</f>
        <v>0</v>
      </c>
      <c r="M334">
        <f>'Raw Data'!O334</f>
        <v>0</v>
      </c>
      <c r="N334">
        <f>'Raw Data'!P334</f>
        <v>0</v>
      </c>
      <c r="O334">
        <f>'Raw Data'!Q334</f>
        <v>0</v>
      </c>
      <c r="P334">
        <f>'Raw Data'!R334</f>
        <v>0</v>
      </c>
      <c r="Q334">
        <f>'Raw Data'!S334</f>
        <v>0</v>
      </c>
      <c r="R334">
        <f>'Raw Data'!T334</f>
        <v>0</v>
      </c>
      <c r="S334">
        <f>IFERROR(O334,0)+IFERROR(R334,0)</f>
        <v>0</v>
      </c>
      <c r="T334">
        <f>IF(A334="","",YEAR(A334))</f>
        <v>0</v>
      </c>
    </row>
    <row r="335" spans="1:20">
      <c r="A335">
        <f>'Raw Data'!B335</f>
        <v>0</v>
      </c>
      <c r="B335">
        <f>'Raw Data'!A335</f>
        <v>0</v>
      </c>
      <c r="C335">
        <f>'Raw Data'!C335</f>
        <v>0</v>
      </c>
      <c r="D335">
        <f>'Raw Data'!D335</f>
        <v>0</v>
      </c>
      <c r="E335">
        <f>IFERROR(VLOOKUP(D335,'Lookup Tables'!$A:$B,2,FALSE),"Unknown")</f>
        <v>0</v>
      </c>
      <c r="F335">
        <f>'Raw Data'!E335</f>
        <v>0</v>
      </c>
      <c r="G335">
        <f>IFERROR(VLOOKUP(D335,'Lookup Tables'!$A:$C,3,FALSE),IF(ISNUMBER(SEARCH("STEEL",F335)),"Steel","Others"))</f>
        <v>0</v>
      </c>
      <c r="H335">
        <f>IF(ISNUMBER(SEARCH("scrubber",F335)) , "Scrubber", IF(ISNUMBER(SEARCH("container",F335)),"Container", IF(ISNUMBER(SEARCH("basket",F335)),"Basket", IF(ISNUMBER(SEARCH("lunch",F335)),"Lunch Box", IF(ISNUMBER(SEARCH("cutlery",F335)),"Cutlery","Other")))))</f>
        <v>0</v>
      </c>
      <c r="I335">
        <f>IF('Raw Data'!G335&lt;&gt;'','Raw Data'!G335,IFERROR(MID(F335,SEARCH("MODEL",F335)+6,20),""))</f>
        <v>0</v>
      </c>
      <c r="J335">
        <f>'Raw Data'!H335</f>
        <v>0</v>
      </c>
      <c r="K335">
        <f>'Raw Data'!I335</f>
        <v>0</v>
      </c>
      <c r="L335">
        <f>IF('Raw Data'!N335&lt;&gt;0,'Raw Data'!N335,IFERROR(VALUE(MID(F335,SEARCH("QTY",F335)+4,IFERROR(FIND(" ",F335,SEARCH("QTY",F335)+4)-(SEARCH("QTY",F335)+4),3))),""))</f>
        <v>0</v>
      </c>
      <c r="M335">
        <f>'Raw Data'!O335</f>
        <v>0</v>
      </c>
      <c r="N335">
        <f>'Raw Data'!P335</f>
        <v>0</v>
      </c>
      <c r="O335">
        <f>'Raw Data'!Q335</f>
        <v>0</v>
      </c>
      <c r="P335">
        <f>'Raw Data'!R335</f>
        <v>0</v>
      </c>
      <c r="Q335">
        <f>'Raw Data'!S335</f>
        <v>0</v>
      </c>
      <c r="R335">
        <f>'Raw Data'!T335</f>
        <v>0</v>
      </c>
      <c r="S335">
        <f>IFERROR(O335,0)+IFERROR(R335,0)</f>
        <v>0</v>
      </c>
      <c r="T335">
        <f>IF(A335="","",YEAR(A335))</f>
        <v>0</v>
      </c>
    </row>
    <row r="336" spans="1:20">
      <c r="A336">
        <f>'Raw Data'!B336</f>
        <v>0</v>
      </c>
      <c r="B336">
        <f>'Raw Data'!A336</f>
        <v>0</v>
      </c>
      <c r="C336">
        <f>'Raw Data'!C336</f>
        <v>0</v>
      </c>
      <c r="D336">
        <f>'Raw Data'!D336</f>
        <v>0</v>
      </c>
      <c r="E336">
        <f>IFERROR(VLOOKUP(D336,'Lookup Tables'!$A:$B,2,FALSE),"Unknown")</f>
        <v>0</v>
      </c>
      <c r="F336">
        <f>'Raw Data'!E336</f>
        <v>0</v>
      </c>
      <c r="G336">
        <f>IFERROR(VLOOKUP(D336,'Lookup Tables'!$A:$C,3,FALSE),IF(ISNUMBER(SEARCH("STEEL",F336)),"Steel","Others"))</f>
        <v>0</v>
      </c>
      <c r="H336">
        <f>IF(ISNUMBER(SEARCH("scrubber",F336)) , "Scrubber", IF(ISNUMBER(SEARCH("container",F336)),"Container", IF(ISNUMBER(SEARCH("basket",F336)),"Basket", IF(ISNUMBER(SEARCH("lunch",F336)),"Lunch Box", IF(ISNUMBER(SEARCH("cutlery",F336)),"Cutlery","Other")))))</f>
        <v>0</v>
      </c>
      <c r="I336">
        <f>IF('Raw Data'!G336&lt;&gt;'','Raw Data'!G336,IFERROR(MID(F336,SEARCH("MODEL",F336)+6,20),""))</f>
        <v>0</v>
      </c>
      <c r="J336">
        <f>'Raw Data'!H336</f>
        <v>0</v>
      </c>
      <c r="K336">
        <f>'Raw Data'!I336</f>
        <v>0</v>
      </c>
      <c r="L336">
        <f>IF('Raw Data'!N336&lt;&gt;0,'Raw Data'!N336,IFERROR(VALUE(MID(F336,SEARCH("QTY",F336)+4,IFERROR(FIND(" ",F336,SEARCH("QTY",F336)+4)-(SEARCH("QTY",F336)+4),3))),""))</f>
        <v>0</v>
      </c>
      <c r="M336">
        <f>'Raw Data'!O336</f>
        <v>0</v>
      </c>
      <c r="N336">
        <f>'Raw Data'!P336</f>
        <v>0</v>
      </c>
      <c r="O336">
        <f>'Raw Data'!Q336</f>
        <v>0</v>
      </c>
      <c r="P336">
        <f>'Raw Data'!R336</f>
        <v>0</v>
      </c>
      <c r="Q336">
        <f>'Raw Data'!S336</f>
        <v>0</v>
      </c>
      <c r="R336">
        <f>'Raw Data'!T336</f>
        <v>0</v>
      </c>
      <c r="S336">
        <f>IFERROR(O336,0)+IFERROR(R336,0)</f>
        <v>0</v>
      </c>
      <c r="T336">
        <f>IF(A336="","",YEAR(A336))</f>
        <v>0</v>
      </c>
    </row>
    <row r="337" spans="1:20">
      <c r="A337">
        <f>'Raw Data'!B337</f>
        <v>0</v>
      </c>
      <c r="B337">
        <f>'Raw Data'!A337</f>
        <v>0</v>
      </c>
      <c r="C337">
        <f>'Raw Data'!C337</f>
        <v>0</v>
      </c>
      <c r="D337">
        <f>'Raw Data'!D337</f>
        <v>0</v>
      </c>
      <c r="E337">
        <f>IFERROR(VLOOKUP(D337,'Lookup Tables'!$A:$B,2,FALSE),"Unknown")</f>
        <v>0</v>
      </c>
      <c r="F337">
        <f>'Raw Data'!E337</f>
        <v>0</v>
      </c>
      <c r="G337">
        <f>IFERROR(VLOOKUP(D337,'Lookup Tables'!$A:$C,3,FALSE),IF(ISNUMBER(SEARCH("STEEL",F337)),"Steel","Others"))</f>
        <v>0</v>
      </c>
      <c r="H337">
        <f>IF(ISNUMBER(SEARCH("scrubber",F337)) , "Scrubber", IF(ISNUMBER(SEARCH("container",F337)),"Container", IF(ISNUMBER(SEARCH("basket",F337)),"Basket", IF(ISNUMBER(SEARCH("lunch",F337)),"Lunch Box", IF(ISNUMBER(SEARCH("cutlery",F337)),"Cutlery","Other")))))</f>
        <v>0</v>
      </c>
      <c r="I337">
        <f>IF('Raw Data'!G337&lt;&gt;'','Raw Data'!G337,IFERROR(MID(F337,SEARCH("MODEL",F337)+6,20),""))</f>
        <v>0</v>
      </c>
      <c r="J337">
        <f>'Raw Data'!H337</f>
        <v>0</v>
      </c>
      <c r="K337">
        <f>'Raw Data'!I337</f>
        <v>0</v>
      </c>
      <c r="L337">
        <f>IF('Raw Data'!N337&lt;&gt;0,'Raw Data'!N337,IFERROR(VALUE(MID(F337,SEARCH("QTY",F337)+4,IFERROR(FIND(" ",F337,SEARCH("QTY",F337)+4)-(SEARCH("QTY",F337)+4),3))),""))</f>
        <v>0</v>
      </c>
      <c r="M337">
        <f>'Raw Data'!O337</f>
        <v>0</v>
      </c>
      <c r="N337">
        <f>'Raw Data'!P337</f>
        <v>0</v>
      </c>
      <c r="O337">
        <f>'Raw Data'!Q337</f>
        <v>0</v>
      </c>
      <c r="P337">
        <f>'Raw Data'!R337</f>
        <v>0</v>
      </c>
      <c r="Q337">
        <f>'Raw Data'!S337</f>
        <v>0</v>
      </c>
      <c r="R337">
        <f>'Raw Data'!T337</f>
        <v>0</v>
      </c>
      <c r="S337">
        <f>IFERROR(O337,0)+IFERROR(R337,0)</f>
        <v>0</v>
      </c>
      <c r="T337">
        <f>IF(A337="","",YEAR(A337))</f>
        <v>0</v>
      </c>
    </row>
    <row r="338" spans="1:20">
      <c r="A338">
        <f>'Raw Data'!B338</f>
        <v>0</v>
      </c>
      <c r="B338">
        <f>'Raw Data'!A338</f>
        <v>0</v>
      </c>
      <c r="C338">
        <f>'Raw Data'!C338</f>
        <v>0</v>
      </c>
      <c r="D338">
        <f>'Raw Data'!D338</f>
        <v>0</v>
      </c>
      <c r="E338">
        <f>IFERROR(VLOOKUP(D338,'Lookup Tables'!$A:$B,2,FALSE),"Unknown")</f>
        <v>0</v>
      </c>
      <c r="F338">
        <f>'Raw Data'!E338</f>
        <v>0</v>
      </c>
      <c r="G338">
        <f>IFERROR(VLOOKUP(D338,'Lookup Tables'!$A:$C,3,FALSE),IF(ISNUMBER(SEARCH("STEEL",F338)),"Steel","Others"))</f>
        <v>0</v>
      </c>
      <c r="H338">
        <f>IF(ISNUMBER(SEARCH("scrubber",F338)) , "Scrubber", IF(ISNUMBER(SEARCH("container",F338)),"Container", IF(ISNUMBER(SEARCH("basket",F338)),"Basket", IF(ISNUMBER(SEARCH("lunch",F338)),"Lunch Box", IF(ISNUMBER(SEARCH("cutlery",F338)),"Cutlery","Other")))))</f>
        <v>0</v>
      </c>
      <c r="I338">
        <f>IF('Raw Data'!G338&lt;&gt;'','Raw Data'!G338,IFERROR(MID(F338,SEARCH("MODEL",F338)+6,20),""))</f>
        <v>0</v>
      </c>
      <c r="J338">
        <f>'Raw Data'!H338</f>
        <v>0</v>
      </c>
      <c r="K338">
        <f>'Raw Data'!I338</f>
        <v>0</v>
      </c>
      <c r="L338">
        <f>IF('Raw Data'!N338&lt;&gt;0,'Raw Data'!N338,IFERROR(VALUE(MID(F338,SEARCH("QTY",F338)+4,IFERROR(FIND(" ",F338,SEARCH("QTY",F338)+4)-(SEARCH("QTY",F338)+4),3))),""))</f>
        <v>0</v>
      </c>
      <c r="M338">
        <f>'Raw Data'!O338</f>
        <v>0</v>
      </c>
      <c r="N338">
        <f>'Raw Data'!P338</f>
        <v>0</v>
      </c>
      <c r="O338">
        <f>'Raw Data'!Q338</f>
        <v>0</v>
      </c>
      <c r="P338">
        <f>'Raw Data'!R338</f>
        <v>0</v>
      </c>
      <c r="Q338">
        <f>'Raw Data'!S338</f>
        <v>0</v>
      </c>
      <c r="R338">
        <f>'Raw Data'!T338</f>
        <v>0</v>
      </c>
      <c r="S338">
        <f>IFERROR(O338,0)+IFERROR(R338,0)</f>
        <v>0</v>
      </c>
      <c r="T338">
        <f>IF(A338="","",YEAR(A338))</f>
        <v>0</v>
      </c>
    </row>
    <row r="339" spans="1:20">
      <c r="A339">
        <f>'Raw Data'!B339</f>
        <v>0</v>
      </c>
      <c r="B339">
        <f>'Raw Data'!A339</f>
        <v>0</v>
      </c>
      <c r="C339">
        <f>'Raw Data'!C339</f>
        <v>0</v>
      </c>
      <c r="D339">
        <f>'Raw Data'!D339</f>
        <v>0</v>
      </c>
      <c r="E339">
        <f>IFERROR(VLOOKUP(D339,'Lookup Tables'!$A:$B,2,FALSE),"Unknown")</f>
        <v>0</v>
      </c>
      <c r="F339">
        <f>'Raw Data'!E339</f>
        <v>0</v>
      </c>
      <c r="G339">
        <f>IFERROR(VLOOKUP(D339,'Lookup Tables'!$A:$C,3,FALSE),IF(ISNUMBER(SEARCH("STEEL",F339)),"Steel","Others"))</f>
        <v>0</v>
      </c>
      <c r="H339">
        <f>IF(ISNUMBER(SEARCH("scrubber",F339)) , "Scrubber", IF(ISNUMBER(SEARCH("container",F339)),"Container", IF(ISNUMBER(SEARCH("basket",F339)),"Basket", IF(ISNUMBER(SEARCH("lunch",F339)),"Lunch Box", IF(ISNUMBER(SEARCH("cutlery",F339)),"Cutlery","Other")))))</f>
        <v>0</v>
      </c>
      <c r="I339">
        <f>IF('Raw Data'!G339&lt;&gt;'','Raw Data'!G339,IFERROR(MID(F339,SEARCH("MODEL",F339)+6,20),""))</f>
        <v>0</v>
      </c>
      <c r="J339">
        <f>'Raw Data'!H339</f>
        <v>0</v>
      </c>
      <c r="K339">
        <f>'Raw Data'!I339</f>
        <v>0</v>
      </c>
      <c r="L339">
        <f>IF('Raw Data'!N339&lt;&gt;0,'Raw Data'!N339,IFERROR(VALUE(MID(F339,SEARCH("QTY",F339)+4,IFERROR(FIND(" ",F339,SEARCH("QTY",F339)+4)-(SEARCH("QTY",F339)+4),3))),""))</f>
        <v>0</v>
      </c>
      <c r="M339">
        <f>'Raw Data'!O339</f>
        <v>0</v>
      </c>
      <c r="N339">
        <f>'Raw Data'!P339</f>
        <v>0</v>
      </c>
      <c r="O339">
        <f>'Raw Data'!Q339</f>
        <v>0</v>
      </c>
      <c r="P339">
        <f>'Raw Data'!R339</f>
        <v>0</v>
      </c>
      <c r="Q339">
        <f>'Raw Data'!S339</f>
        <v>0</v>
      </c>
      <c r="R339">
        <f>'Raw Data'!T339</f>
        <v>0</v>
      </c>
      <c r="S339">
        <f>IFERROR(O339,0)+IFERROR(R339,0)</f>
        <v>0</v>
      </c>
      <c r="T339">
        <f>IF(A339="","",YEAR(A339))</f>
        <v>0</v>
      </c>
    </row>
    <row r="340" spans="1:20">
      <c r="A340">
        <f>'Raw Data'!B340</f>
        <v>0</v>
      </c>
      <c r="B340">
        <f>'Raw Data'!A340</f>
        <v>0</v>
      </c>
      <c r="C340">
        <f>'Raw Data'!C340</f>
        <v>0</v>
      </c>
      <c r="D340">
        <f>'Raw Data'!D340</f>
        <v>0</v>
      </c>
      <c r="E340">
        <f>IFERROR(VLOOKUP(D340,'Lookup Tables'!$A:$B,2,FALSE),"Unknown")</f>
        <v>0</v>
      </c>
      <c r="F340">
        <f>'Raw Data'!E340</f>
        <v>0</v>
      </c>
      <c r="G340">
        <f>IFERROR(VLOOKUP(D340,'Lookup Tables'!$A:$C,3,FALSE),IF(ISNUMBER(SEARCH("STEEL",F340)),"Steel","Others"))</f>
        <v>0</v>
      </c>
      <c r="H340">
        <f>IF(ISNUMBER(SEARCH("scrubber",F340)) , "Scrubber", IF(ISNUMBER(SEARCH("container",F340)),"Container", IF(ISNUMBER(SEARCH("basket",F340)),"Basket", IF(ISNUMBER(SEARCH("lunch",F340)),"Lunch Box", IF(ISNUMBER(SEARCH("cutlery",F340)),"Cutlery","Other")))))</f>
        <v>0</v>
      </c>
      <c r="I340">
        <f>IF('Raw Data'!G340&lt;&gt;'','Raw Data'!G340,IFERROR(MID(F340,SEARCH("MODEL",F340)+6,20),""))</f>
        <v>0</v>
      </c>
      <c r="J340">
        <f>'Raw Data'!H340</f>
        <v>0</v>
      </c>
      <c r="K340">
        <f>'Raw Data'!I340</f>
        <v>0</v>
      </c>
      <c r="L340">
        <f>IF('Raw Data'!N340&lt;&gt;0,'Raw Data'!N340,IFERROR(VALUE(MID(F340,SEARCH("QTY",F340)+4,IFERROR(FIND(" ",F340,SEARCH("QTY",F340)+4)-(SEARCH("QTY",F340)+4),3))),""))</f>
        <v>0</v>
      </c>
      <c r="M340">
        <f>'Raw Data'!O340</f>
        <v>0</v>
      </c>
      <c r="N340">
        <f>'Raw Data'!P340</f>
        <v>0</v>
      </c>
      <c r="O340">
        <f>'Raw Data'!Q340</f>
        <v>0</v>
      </c>
      <c r="P340">
        <f>'Raw Data'!R340</f>
        <v>0</v>
      </c>
      <c r="Q340">
        <f>'Raw Data'!S340</f>
        <v>0</v>
      </c>
      <c r="R340">
        <f>'Raw Data'!T340</f>
        <v>0</v>
      </c>
      <c r="S340">
        <f>IFERROR(O340,0)+IFERROR(R340,0)</f>
        <v>0</v>
      </c>
      <c r="T340">
        <f>IF(A340="","",YEAR(A340))</f>
        <v>0</v>
      </c>
    </row>
    <row r="341" spans="1:20">
      <c r="A341">
        <f>'Raw Data'!B341</f>
        <v>0</v>
      </c>
      <c r="B341">
        <f>'Raw Data'!A341</f>
        <v>0</v>
      </c>
      <c r="C341">
        <f>'Raw Data'!C341</f>
        <v>0</v>
      </c>
      <c r="D341">
        <f>'Raw Data'!D341</f>
        <v>0</v>
      </c>
      <c r="E341">
        <f>IFERROR(VLOOKUP(D341,'Lookup Tables'!$A:$B,2,FALSE),"Unknown")</f>
        <v>0</v>
      </c>
      <c r="F341">
        <f>'Raw Data'!E341</f>
        <v>0</v>
      </c>
      <c r="G341">
        <f>IFERROR(VLOOKUP(D341,'Lookup Tables'!$A:$C,3,FALSE),IF(ISNUMBER(SEARCH("STEEL",F341)),"Steel","Others"))</f>
        <v>0</v>
      </c>
      <c r="H341">
        <f>IF(ISNUMBER(SEARCH("scrubber",F341)) , "Scrubber", IF(ISNUMBER(SEARCH("container",F341)),"Container", IF(ISNUMBER(SEARCH("basket",F341)),"Basket", IF(ISNUMBER(SEARCH("lunch",F341)),"Lunch Box", IF(ISNUMBER(SEARCH("cutlery",F341)),"Cutlery","Other")))))</f>
        <v>0</v>
      </c>
      <c r="I341">
        <f>IF('Raw Data'!G341&lt;&gt;'','Raw Data'!G341,IFERROR(MID(F341,SEARCH("MODEL",F341)+6,20),""))</f>
        <v>0</v>
      </c>
      <c r="J341">
        <f>'Raw Data'!H341</f>
        <v>0</v>
      </c>
      <c r="K341">
        <f>'Raw Data'!I341</f>
        <v>0</v>
      </c>
      <c r="L341">
        <f>IF('Raw Data'!N341&lt;&gt;0,'Raw Data'!N341,IFERROR(VALUE(MID(F341,SEARCH("QTY",F341)+4,IFERROR(FIND(" ",F341,SEARCH("QTY",F341)+4)-(SEARCH("QTY",F341)+4),3))),""))</f>
        <v>0</v>
      </c>
      <c r="M341">
        <f>'Raw Data'!O341</f>
        <v>0</v>
      </c>
      <c r="N341">
        <f>'Raw Data'!P341</f>
        <v>0</v>
      </c>
      <c r="O341">
        <f>'Raw Data'!Q341</f>
        <v>0</v>
      </c>
      <c r="P341">
        <f>'Raw Data'!R341</f>
        <v>0</v>
      </c>
      <c r="Q341">
        <f>'Raw Data'!S341</f>
        <v>0</v>
      </c>
      <c r="R341">
        <f>'Raw Data'!T341</f>
        <v>0</v>
      </c>
      <c r="S341">
        <f>IFERROR(O341,0)+IFERROR(R341,0)</f>
        <v>0</v>
      </c>
      <c r="T341">
        <f>IF(A341="","",YEAR(A341))</f>
        <v>0</v>
      </c>
    </row>
    <row r="342" spans="1:20">
      <c r="A342">
        <f>'Raw Data'!B342</f>
        <v>0</v>
      </c>
      <c r="B342">
        <f>'Raw Data'!A342</f>
        <v>0</v>
      </c>
      <c r="C342">
        <f>'Raw Data'!C342</f>
        <v>0</v>
      </c>
      <c r="D342">
        <f>'Raw Data'!D342</f>
        <v>0</v>
      </c>
      <c r="E342">
        <f>IFERROR(VLOOKUP(D342,'Lookup Tables'!$A:$B,2,FALSE),"Unknown")</f>
        <v>0</v>
      </c>
      <c r="F342">
        <f>'Raw Data'!E342</f>
        <v>0</v>
      </c>
      <c r="G342">
        <f>IFERROR(VLOOKUP(D342,'Lookup Tables'!$A:$C,3,FALSE),IF(ISNUMBER(SEARCH("STEEL",F342)),"Steel","Others"))</f>
        <v>0</v>
      </c>
      <c r="H342">
        <f>IF(ISNUMBER(SEARCH("scrubber",F342)) , "Scrubber", IF(ISNUMBER(SEARCH("container",F342)),"Container", IF(ISNUMBER(SEARCH("basket",F342)),"Basket", IF(ISNUMBER(SEARCH("lunch",F342)),"Lunch Box", IF(ISNUMBER(SEARCH("cutlery",F342)),"Cutlery","Other")))))</f>
        <v>0</v>
      </c>
      <c r="I342">
        <f>IF('Raw Data'!G342&lt;&gt;'','Raw Data'!G342,IFERROR(MID(F342,SEARCH("MODEL",F342)+6,20),""))</f>
        <v>0</v>
      </c>
      <c r="J342">
        <f>'Raw Data'!H342</f>
        <v>0</v>
      </c>
      <c r="K342">
        <f>'Raw Data'!I342</f>
        <v>0</v>
      </c>
      <c r="L342">
        <f>IF('Raw Data'!N342&lt;&gt;0,'Raw Data'!N342,IFERROR(VALUE(MID(F342,SEARCH("QTY",F342)+4,IFERROR(FIND(" ",F342,SEARCH("QTY",F342)+4)-(SEARCH("QTY",F342)+4),3))),""))</f>
        <v>0</v>
      </c>
      <c r="M342">
        <f>'Raw Data'!O342</f>
        <v>0</v>
      </c>
      <c r="N342">
        <f>'Raw Data'!P342</f>
        <v>0</v>
      </c>
      <c r="O342">
        <f>'Raw Data'!Q342</f>
        <v>0</v>
      </c>
      <c r="P342">
        <f>'Raw Data'!R342</f>
        <v>0</v>
      </c>
      <c r="Q342">
        <f>'Raw Data'!S342</f>
        <v>0</v>
      </c>
      <c r="R342">
        <f>'Raw Data'!T342</f>
        <v>0</v>
      </c>
      <c r="S342">
        <f>IFERROR(O342,0)+IFERROR(R342,0)</f>
        <v>0</v>
      </c>
      <c r="T342">
        <f>IF(A342="","",YEAR(A342))</f>
        <v>0</v>
      </c>
    </row>
    <row r="343" spans="1:20">
      <c r="A343">
        <f>'Raw Data'!B343</f>
        <v>0</v>
      </c>
      <c r="B343">
        <f>'Raw Data'!A343</f>
        <v>0</v>
      </c>
      <c r="C343">
        <f>'Raw Data'!C343</f>
        <v>0</v>
      </c>
      <c r="D343">
        <f>'Raw Data'!D343</f>
        <v>0</v>
      </c>
      <c r="E343">
        <f>IFERROR(VLOOKUP(D343,'Lookup Tables'!$A:$B,2,FALSE),"Unknown")</f>
        <v>0</v>
      </c>
      <c r="F343">
        <f>'Raw Data'!E343</f>
        <v>0</v>
      </c>
      <c r="G343">
        <f>IFERROR(VLOOKUP(D343,'Lookup Tables'!$A:$C,3,FALSE),IF(ISNUMBER(SEARCH("STEEL",F343)),"Steel","Others"))</f>
        <v>0</v>
      </c>
      <c r="H343">
        <f>IF(ISNUMBER(SEARCH("scrubber",F343)) , "Scrubber", IF(ISNUMBER(SEARCH("container",F343)),"Container", IF(ISNUMBER(SEARCH("basket",F343)),"Basket", IF(ISNUMBER(SEARCH("lunch",F343)),"Lunch Box", IF(ISNUMBER(SEARCH("cutlery",F343)),"Cutlery","Other")))))</f>
        <v>0</v>
      </c>
      <c r="I343">
        <f>IF('Raw Data'!G343&lt;&gt;'','Raw Data'!G343,IFERROR(MID(F343,SEARCH("MODEL",F343)+6,20),""))</f>
        <v>0</v>
      </c>
      <c r="J343">
        <f>'Raw Data'!H343</f>
        <v>0</v>
      </c>
      <c r="K343">
        <f>'Raw Data'!I343</f>
        <v>0</v>
      </c>
      <c r="L343">
        <f>IF('Raw Data'!N343&lt;&gt;0,'Raw Data'!N343,IFERROR(VALUE(MID(F343,SEARCH("QTY",F343)+4,IFERROR(FIND(" ",F343,SEARCH("QTY",F343)+4)-(SEARCH("QTY",F343)+4),3))),""))</f>
        <v>0</v>
      </c>
      <c r="M343">
        <f>'Raw Data'!O343</f>
        <v>0</v>
      </c>
      <c r="N343">
        <f>'Raw Data'!P343</f>
        <v>0</v>
      </c>
      <c r="O343">
        <f>'Raw Data'!Q343</f>
        <v>0</v>
      </c>
      <c r="P343">
        <f>'Raw Data'!R343</f>
        <v>0</v>
      </c>
      <c r="Q343">
        <f>'Raw Data'!S343</f>
        <v>0</v>
      </c>
      <c r="R343">
        <f>'Raw Data'!T343</f>
        <v>0</v>
      </c>
      <c r="S343">
        <f>IFERROR(O343,0)+IFERROR(R343,0)</f>
        <v>0</v>
      </c>
      <c r="T343">
        <f>IF(A343="","",YEAR(A343))</f>
        <v>0</v>
      </c>
    </row>
    <row r="344" spans="1:20">
      <c r="A344">
        <f>'Raw Data'!B344</f>
        <v>0</v>
      </c>
      <c r="B344">
        <f>'Raw Data'!A344</f>
        <v>0</v>
      </c>
      <c r="C344">
        <f>'Raw Data'!C344</f>
        <v>0</v>
      </c>
      <c r="D344">
        <f>'Raw Data'!D344</f>
        <v>0</v>
      </c>
      <c r="E344">
        <f>IFERROR(VLOOKUP(D344,'Lookup Tables'!$A:$B,2,FALSE),"Unknown")</f>
        <v>0</v>
      </c>
      <c r="F344">
        <f>'Raw Data'!E344</f>
        <v>0</v>
      </c>
      <c r="G344">
        <f>IFERROR(VLOOKUP(D344,'Lookup Tables'!$A:$C,3,FALSE),IF(ISNUMBER(SEARCH("STEEL",F344)),"Steel","Others"))</f>
        <v>0</v>
      </c>
      <c r="H344">
        <f>IF(ISNUMBER(SEARCH("scrubber",F344)) , "Scrubber", IF(ISNUMBER(SEARCH("container",F344)),"Container", IF(ISNUMBER(SEARCH("basket",F344)),"Basket", IF(ISNUMBER(SEARCH("lunch",F344)),"Lunch Box", IF(ISNUMBER(SEARCH("cutlery",F344)),"Cutlery","Other")))))</f>
        <v>0</v>
      </c>
      <c r="I344">
        <f>IF('Raw Data'!G344&lt;&gt;'','Raw Data'!G344,IFERROR(MID(F344,SEARCH("MODEL",F344)+6,20),""))</f>
        <v>0</v>
      </c>
      <c r="J344">
        <f>'Raw Data'!H344</f>
        <v>0</v>
      </c>
      <c r="K344">
        <f>'Raw Data'!I344</f>
        <v>0</v>
      </c>
      <c r="L344">
        <f>IF('Raw Data'!N344&lt;&gt;0,'Raw Data'!N344,IFERROR(VALUE(MID(F344,SEARCH("QTY",F344)+4,IFERROR(FIND(" ",F344,SEARCH("QTY",F344)+4)-(SEARCH("QTY",F344)+4),3))),""))</f>
        <v>0</v>
      </c>
      <c r="M344">
        <f>'Raw Data'!O344</f>
        <v>0</v>
      </c>
      <c r="N344">
        <f>'Raw Data'!P344</f>
        <v>0</v>
      </c>
      <c r="O344">
        <f>'Raw Data'!Q344</f>
        <v>0</v>
      </c>
      <c r="P344">
        <f>'Raw Data'!R344</f>
        <v>0</v>
      </c>
      <c r="Q344">
        <f>'Raw Data'!S344</f>
        <v>0</v>
      </c>
      <c r="R344">
        <f>'Raw Data'!T344</f>
        <v>0</v>
      </c>
      <c r="S344">
        <f>IFERROR(O344,0)+IFERROR(R344,0)</f>
        <v>0</v>
      </c>
      <c r="T344">
        <f>IF(A344="","",YEAR(A344))</f>
        <v>0</v>
      </c>
    </row>
    <row r="345" spans="1:20">
      <c r="A345">
        <f>'Raw Data'!B345</f>
        <v>0</v>
      </c>
      <c r="B345">
        <f>'Raw Data'!A345</f>
        <v>0</v>
      </c>
      <c r="C345">
        <f>'Raw Data'!C345</f>
        <v>0</v>
      </c>
      <c r="D345">
        <f>'Raw Data'!D345</f>
        <v>0</v>
      </c>
      <c r="E345">
        <f>IFERROR(VLOOKUP(D345,'Lookup Tables'!$A:$B,2,FALSE),"Unknown")</f>
        <v>0</v>
      </c>
      <c r="F345">
        <f>'Raw Data'!E345</f>
        <v>0</v>
      </c>
      <c r="G345">
        <f>IFERROR(VLOOKUP(D345,'Lookup Tables'!$A:$C,3,FALSE),IF(ISNUMBER(SEARCH("STEEL",F345)),"Steel","Others"))</f>
        <v>0</v>
      </c>
      <c r="H345">
        <f>IF(ISNUMBER(SEARCH("scrubber",F345)) , "Scrubber", IF(ISNUMBER(SEARCH("container",F345)),"Container", IF(ISNUMBER(SEARCH("basket",F345)),"Basket", IF(ISNUMBER(SEARCH("lunch",F345)),"Lunch Box", IF(ISNUMBER(SEARCH("cutlery",F345)),"Cutlery","Other")))))</f>
        <v>0</v>
      </c>
      <c r="I345">
        <f>IF('Raw Data'!G345&lt;&gt;'','Raw Data'!G345,IFERROR(MID(F345,SEARCH("MODEL",F345)+6,20),""))</f>
        <v>0</v>
      </c>
      <c r="J345">
        <f>'Raw Data'!H345</f>
        <v>0</v>
      </c>
      <c r="K345">
        <f>'Raw Data'!I345</f>
        <v>0</v>
      </c>
      <c r="L345">
        <f>IF('Raw Data'!N345&lt;&gt;0,'Raw Data'!N345,IFERROR(VALUE(MID(F345,SEARCH("QTY",F345)+4,IFERROR(FIND(" ",F345,SEARCH("QTY",F345)+4)-(SEARCH("QTY",F345)+4),3))),""))</f>
        <v>0</v>
      </c>
      <c r="M345">
        <f>'Raw Data'!O345</f>
        <v>0</v>
      </c>
      <c r="N345">
        <f>'Raw Data'!P345</f>
        <v>0</v>
      </c>
      <c r="O345">
        <f>'Raw Data'!Q345</f>
        <v>0</v>
      </c>
      <c r="P345">
        <f>'Raw Data'!R345</f>
        <v>0</v>
      </c>
      <c r="Q345">
        <f>'Raw Data'!S345</f>
        <v>0</v>
      </c>
      <c r="R345">
        <f>'Raw Data'!T345</f>
        <v>0</v>
      </c>
      <c r="S345">
        <f>IFERROR(O345,0)+IFERROR(R345,0)</f>
        <v>0</v>
      </c>
      <c r="T345">
        <f>IF(A345="","",YEAR(A345))</f>
        <v>0</v>
      </c>
    </row>
    <row r="346" spans="1:20">
      <c r="A346">
        <f>'Raw Data'!B346</f>
        <v>0</v>
      </c>
      <c r="B346">
        <f>'Raw Data'!A346</f>
        <v>0</v>
      </c>
      <c r="C346">
        <f>'Raw Data'!C346</f>
        <v>0</v>
      </c>
      <c r="D346">
        <f>'Raw Data'!D346</f>
        <v>0</v>
      </c>
      <c r="E346">
        <f>IFERROR(VLOOKUP(D346,'Lookup Tables'!$A:$B,2,FALSE),"Unknown")</f>
        <v>0</v>
      </c>
      <c r="F346">
        <f>'Raw Data'!E346</f>
        <v>0</v>
      </c>
      <c r="G346">
        <f>IFERROR(VLOOKUP(D346,'Lookup Tables'!$A:$C,3,FALSE),IF(ISNUMBER(SEARCH("STEEL",F346)),"Steel","Others"))</f>
        <v>0</v>
      </c>
      <c r="H346">
        <f>IF(ISNUMBER(SEARCH("scrubber",F346)) , "Scrubber", IF(ISNUMBER(SEARCH("container",F346)),"Container", IF(ISNUMBER(SEARCH("basket",F346)),"Basket", IF(ISNUMBER(SEARCH("lunch",F346)),"Lunch Box", IF(ISNUMBER(SEARCH("cutlery",F346)),"Cutlery","Other")))))</f>
        <v>0</v>
      </c>
      <c r="I346">
        <f>IF('Raw Data'!G346&lt;&gt;'','Raw Data'!G346,IFERROR(MID(F346,SEARCH("MODEL",F346)+6,20),""))</f>
        <v>0</v>
      </c>
      <c r="J346">
        <f>'Raw Data'!H346</f>
        <v>0</v>
      </c>
      <c r="K346">
        <f>'Raw Data'!I346</f>
        <v>0</v>
      </c>
      <c r="L346">
        <f>IF('Raw Data'!N346&lt;&gt;0,'Raw Data'!N346,IFERROR(VALUE(MID(F346,SEARCH("QTY",F346)+4,IFERROR(FIND(" ",F346,SEARCH("QTY",F346)+4)-(SEARCH("QTY",F346)+4),3))),""))</f>
        <v>0</v>
      </c>
      <c r="M346">
        <f>'Raw Data'!O346</f>
        <v>0</v>
      </c>
      <c r="N346">
        <f>'Raw Data'!P346</f>
        <v>0</v>
      </c>
      <c r="O346">
        <f>'Raw Data'!Q346</f>
        <v>0</v>
      </c>
      <c r="P346">
        <f>'Raw Data'!R346</f>
        <v>0</v>
      </c>
      <c r="Q346">
        <f>'Raw Data'!S346</f>
        <v>0</v>
      </c>
      <c r="R346">
        <f>'Raw Data'!T346</f>
        <v>0</v>
      </c>
      <c r="S346">
        <f>IFERROR(O346,0)+IFERROR(R346,0)</f>
        <v>0</v>
      </c>
      <c r="T346">
        <f>IF(A346="","",YEAR(A346))</f>
        <v>0</v>
      </c>
    </row>
    <row r="347" spans="1:20">
      <c r="A347">
        <f>'Raw Data'!B347</f>
        <v>0</v>
      </c>
      <c r="B347">
        <f>'Raw Data'!A347</f>
        <v>0</v>
      </c>
      <c r="C347">
        <f>'Raw Data'!C347</f>
        <v>0</v>
      </c>
      <c r="D347">
        <f>'Raw Data'!D347</f>
        <v>0</v>
      </c>
      <c r="E347">
        <f>IFERROR(VLOOKUP(D347,'Lookup Tables'!$A:$B,2,FALSE),"Unknown")</f>
        <v>0</v>
      </c>
      <c r="F347">
        <f>'Raw Data'!E347</f>
        <v>0</v>
      </c>
      <c r="G347">
        <f>IFERROR(VLOOKUP(D347,'Lookup Tables'!$A:$C,3,FALSE),IF(ISNUMBER(SEARCH("STEEL",F347)),"Steel","Others"))</f>
        <v>0</v>
      </c>
      <c r="H347">
        <f>IF(ISNUMBER(SEARCH("scrubber",F347)) , "Scrubber", IF(ISNUMBER(SEARCH("container",F347)),"Container", IF(ISNUMBER(SEARCH("basket",F347)),"Basket", IF(ISNUMBER(SEARCH("lunch",F347)),"Lunch Box", IF(ISNUMBER(SEARCH("cutlery",F347)),"Cutlery","Other")))))</f>
        <v>0</v>
      </c>
      <c r="I347">
        <f>IF('Raw Data'!G347&lt;&gt;'','Raw Data'!G347,IFERROR(MID(F347,SEARCH("MODEL",F347)+6,20),""))</f>
        <v>0</v>
      </c>
      <c r="J347">
        <f>'Raw Data'!H347</f>
        <v>0</v>
      </c>
      <c r="K347">
        <f>'Raw Data'!I347</f>
        <v>0</v>
      </c>
      <c r="L347">
        <f>IF('Raw Data'!N347&lt;&gt;0,'Raw Data'!N347,IFERROR(VALUE(MID(F347,SEARCH("QTY",F347)+4,IFERROR(FIND(" ",F347,SEARCH("QTY",F347)+4)-(SEARCH("QTY",F347)+4),3))),""))</f>
        <v>0</v>
      </c>
      <c r="M347">
        <f>'Raw Data'!O347</f>
        <v>0</v>
      </c>
      <c r="N347">
        <f>'Raw Data'!P347</f>
        <v>0</v>
      </c>
      <c r="O347">
        <f>'Raw Data'!Q347</f>
        <v>0</v>
      </c>
      <c r="P347">
        <f>'Raw Data'!R347</f>
        <v>0</v>
      </c>
      <c r="Q347">
        <f>'Raw Data'!S347</f>
        <v>0</v>
      </c>
      <c r="R347">
        <f>'Raw Data'!T347</f>
        <v>0</v>
      </c>
      <c r="S347">
        <f>IFERROR(O347,0)+IFERROR(R347,0)</f>
        <v>0</v>
      </c>
      <c r="T347">
        <f>IF(A347="","",YEAR(A347))</f>
        <v>0</v>
      </c>
    </row>
    <row r="348" spans="1:20">
      <c r="A348">
        <f>'Raw Data'!B348</f>
        <v>0</v>
      </c>
      <c r="B348">
        <f>'Raw Data'!A348</f>
        <v>0</v>
      </c>
      <c r="C348">
        <f>'Raw Data'!C348</f>
        <v>0</v>
      </c>
      <c r="D348">
        <f>'Raw Data'!D348</f>
        <v>0</v>
      </c>
      <c r="E348">
        <f>IFERROR(VLOOKUP(D348,'Lookup Tables'!$A:$B,2,FALSE),"Unknown")</f>
        <v>0</v>
      </c>
      <c r="F348">
        <f>'Raw Data'!E348</f>
        <v>0</v>
      </c>
      <c r="G348">
        <f>IFERROR(VLOOKUP(D348,'Lookup Tables'!$A:$C,3,FALSE),IF(ISNUMBER(SEARCH("STEEL",F348)),"Steel","Others"))</f>
        <v>0</v>
      </c>
      <c r="H348">
        <f>IF(ISNUMBER(SEARCH("scrubber",F348)) , "Scrubber", IF(ISNUMBER(SEARCH("container",F348)),"Container", IF(ISNUMBER(SEARCH("basket",F348)),"Basket", IF(ISNUMBER(SEARCH("lunch",F348)),"Lunch Box", IF(ISNUMBER(SEARCH("cutlery",F348)),"Cutlery","Other")))))</f>
        <v>0</v>
      </c>
      <c r="I348">
        <f>IF('Raw Data'!G348&lt;&gt;'','Raw Data'!G348,IFERROR(MID(F348,SEARCH("MODEL",F348)+6,20),""))</f>
        <v>0</v>
      </c>
      <c r="J348">
        <f>'Raw Data'!H348</f>
        <v>0</v>
      </c>
      <c r="K348">
        <f>'Raw Data'!I348</f>
        <v>0</v>
      </c>
      <c r="L348">
        <f>IF('Raw Data'!N348&lt;&gt;0,'Raw Data'!N348,IFERROR(VALUE(MID(F348,SEARCH("QTY",F348)+4,IFERROR(FIND(" ",F348,SEARCH("QTY",F348)+4)-(SEARCH("QTY",F348)+4),3))),""))</f>
        <v>0</v>
      </c>
      <c r="M348">
        <f>'Raw Data'!O348</f>
        <v>0</v>
      </c>
      <c r="N348">
        <f>'Raw Data'!P348</f>
        <v>0</v>
      </c>
      <c r="O348">
        <f>'Raw Data'!Q348</f>
        <v>0</v>
      </c>
      <c r="P348">
        <f>'Raw Data'!R348</f>
        <v>0</v>
      </c>
      <c r="Q348">
        <f>'Raw Data'!S348</f>
        <v>0</v>
      </c>
      <c r="R348">
        <f>'Raw Data'!T348</f>
        <v>0</v>
      </c>
      <c r="S348">
        <f>IFERROR(O348,0)+IFERROR(R348,0)</f>
        <v>0</v>
      </c>
      <c r="T348">
        <f>IF(A348="","",YEAR(A348))</f>
        <v>0</v>
      </c>
    </row>
    <row r="349" spans="1:20">
      <c r="A349">
        <f>'Raw Data'!B349</f>
        <v>0</v>
      </c>
      <c r="B349">
        <f>'Raw Data'!A349</f>
        <v>0</v>
      </c>
      <c r="C349">
        <f>'Raw Data'!C349</f>
        <v>0</v>
      </c>
      <c r="D349">
        <f>'Raw Data'!D349</f>
        <v>0</v>
      </c>
      <c r="E349">
        <f>IFERROR(VLOOKUP(D349,'Lookup Tables'!$A:$B,2,FALSE),"Unknown")</f>
        <v>0</v>
      </c>
      <c r="F349">
        <f>'Raw Data'!E349</f>
        <v>0</v>
      </c>
      <c r="G349">
        <f>IFERROR(VLOOKUP(D349,'Lookup Tables'!$A:$C,3,FALSE),IF(ISNUMBER(SEARCH("STEEL",F349)),"Steel","Others"))</f>
        <v>0</v>
      </c>
      <c r="H349">
        <f>IF(ISNUMBER(SEARCH("scrubber",F349)) , "Scrubber", IF(ISNUMBER(SEARCH("container",F349)),"Container", IF(ISNUMBER(SEARCH("basket",F349)),"Basket", IF(ISNUMBER(SEARCH("lunch",F349)),"Lunch Box", IF(ISNUMBER(SEARCH("cutlery",F349)),"Cutlery","Other")))))</f>
        <v>0</v>
      </c>
      <c r="I349">
        <f>IF('Raw Data'!G349&lt;&gt;'','Raw Data'!G349,IFERROR(MID(F349,SEARCH("MODEL",F349)+6,20),""))</f>
        <v>0</v>
      </c>
      <c r="J349">
        <f>'Raw Data'!H349</f>
        <v>0</v>
      </c>
      <c r="K349">
        <f>'Raw Data'!I349</f>
        <v>0</v>
      </c>
      <c r="L349">
        <f>IF('Raw Data'!N349&lt;&gt;0,'Raw Data'!N349,IFERROR(VALUE(MID(F349,SEARCH("QTY",F349)+4,IFERROR(FIND(" ",F349,SEARCH("QTY",F349)+4)-(SEARCH("QTY",F349)+4),3))),""))</f>
        <v>0</v>
      </c>
      <c r="M349">
        <f>'Raw Data'!O349</f>
        <v>0</v>
      </c>
      <c r="N349">
        <f>'Raw Data'!P349</f>
        <v>0</v>
      </c>
      <c r="O349">
        <f>'Raw Data'!Q349</f>
        <v>0</v>
      </c>
      <c r="P349">
        <f>'Raw Data'!R349</f>
        <v>0</v>
      </c>
      <c r="Q349">
        <f>'Raw Data'!S349</f>
        <v>0</v>
      </c>
      <c r="R349">
        <f>'Raw Data'!T349</f>
        <v>0</v>
      </c>
      <c r="S349">
        <f>IFERROR(O349,0)+IFERROR(R349,0)</f>
        <v>0</v>
      </c>
      <c r="T349">
        <f>IF(A349="","",YEAR(A349))</f>
        <v>0</v>
      </c>
    </row>
    <row r="350" spans="1:20">
      <c r="A350">
        <f>'Raw Data'!B350</f>
        <v>0</v>
      </c>
      <c r="B350">
        <f>'Raw Data'!A350</f>
        <v>0</v>
      </c>
      <c r="C350">
        <f>'Raw Data'!C350</f>
        <v>0</v>
      </c>
      <c r="D350">
        <f>'Raw Data'!D350</f>
        <v>0</v>
      </c>
      <c r="E350">
        <f>IFERROR(VLOOKUP(D350,'Lookup Tables'!$A:$B,2,FALSE),"Unknown")</f>
        <v>0</v>
      </c>
      <c r="F350">
        <f>'Raw Data'!E350</f>
        <v>0</v>
      </c>
      <c r="G350">
        <f>IFERROR(VLOOKUP(D350,'Lookup Tables'!$A:$C,3,FALSE),IF(ISNUMBER(SEARCH("STEEL",F350)),"Steel","Others"))</f>
        <v>0</v>
      </c>
      <c r="H350">
        <f>IF(ISNUMBER(SEARCH("scrubber",F350)) , "Scrubber", IF(ISNUMBER(SEARCH("container",F350)),"Container", IF(ISNUMBER(SEARCH("basket",F350)),"Basket", IF(ISNUMBER(SEARCH("lunch",F350)),"Lunch Box", IF(ISNUMBER(SEARCH("cutlery",F350)),"Cutlery","Other")))))</f>
        <v>0</v>
      </c>
      <c r="I350">
        <f>IF('Raw Data'!G350&lt;&gt;'','Raw Data'!G350,IFERROR(MID(F350,SEARCH("MODEL",F350)+6,20),""))</f>
        <v>0</v>
      </c>
      <c r="J350">
        <f>'Raw Data'!H350</f>
        <v>0</v>
      </c>
      <c r="K350">
        <f>'Raw Data'!I350</f>
        <v>0</v>
      </c>
      <c r="L350">
        <f>IF('Raw Data'!N350&lt;&gt;0,'Raw Data'!N350,IFERROR(VALUE(MID(F350,SEARCH("QTY",F350)+4,IFERROR(FIND(" ",F350,SEARCH("QTY",F350)+4)-(SEARCH("QTY",F350)+4),3))),""))</f>
        <v>0</v>
      </c>
      <c r="M350">
        <f>'Raw Data'!O350</f>
        <v>0</v>
      </c>
      <c r="N350">
        <f>'Raw Data'!P350</f>
        <v>0</v>
      </c>
      <c r="O350">
        <f>'Raw Data'!Q350</f>
        <v>0</v>
      </c>
      <c r="P350">
        <f>'Raw Data'!R350</f>
        <v>0</v>
      </c>
      <c r="Q350">
        <f>'Raw Data'!S350</f>
        <v>0</v>
      </c>
      <c r="R350">
        <f>'Raw Data'!T350</f>
        <v>0</v>
      </c>
      <c r="S350">
        <f>IFERROR(O350,0)+IFERROR(R350,0)</f>
        <v>0</v>
      </c>
      <c r="T350">
        <f>IF(A350="","",YEAR(A350))</f>
        <v>0</v>
      </c>
    </row>
    <row r="351" spans="1:20">
      <c r="A351">
        <f>'Raw Data'!B351</f>
        <v>0</v>
      </c>
      <c r="B351">
        <f>'Raw Data'!A351</f>
        <v>0</v>
      </c>
      <c r="C351">
        <f>'Raw Data'!C351</f>
        <v>0</v>
      </c>
      <c r="D351">
        <f>'Raw Data'!D351</f>
        <v>0</v>
      </c>
      <c r="E351">
        <f>IFERROR(VLOOKUP(D351,'Lookup Tables'!$A:$B,2,FALSE),"Unknown")</f>
        <v>0</v>
      </c>
      <c r="F351">
        <f>'Raw Data'!E351</f>
        <v>0</v>
      </c>
      <c r="G351">
        <f>IFERROR(VLOOKUP(D351,'Lookup Tables'!$A:$C,3,FALSE),IF(ISNUMBER(SEARCH("STEEL",F351)),"Steel","Others"))</f>
        <v>0</v>
      </c>
      <c r="H351">
        <f>IF(ISNUMBER(SEARCH("scrubber",F351)) , "Scrubber", IF(ISNUMBER(SEARCH("container",F351)),"Container", IF(ISNUMBER(SEARCH("basket",F351)),"Basket", IF(ISNUMBER(SEARCH("lunch",F351)),"Lunch Box", IF(ISNUMBER(SEARCH("cutlery",F351)),"Cutlery","Other")))))</f>
        <v>0</v>
      </c>
      <c r="I351">
        <f>IF('Raw Data'!G351&lt;&gt;'','Raw Data'!G351,IFERROR(MID(F351,SEARCH("MODEL",F351)+6,20),""))</f>
        <v>0</v>
      </c>
      <c r="J351">
        <f>'Raw Data'!H351</f>
        <v>0</v>
      </c>
      <c r="K351">
        <f>'Raw Data'!I351</f>
        <v>0</v>
      </c>
      <c r="L351">
        <f>IF('Raw Data'!N351&lt;&gt;0,'Raw Data'!N351,IFERROR(VALUE(MID(F351,SEARCH("QTY",F351)+4,IFERROR(FIND(" ",F351,SEARCH("QTY",F351)+4)-(SEARCH("QTY",F351)+4),3))),""))</f>
        <v>0</v>
      </c>
      <c r="M351">
        <f>'Raw Data'!O351</f>
        <v>0</v>
      </c>
      <c r="N351">
        <f>'Raw Data'!P351</f>
        <v>0</v>
      </c>
      <c r="O351">
        <f>'Raw Data'!Q351</f>
        <v>0</v>
      </c>
      <c r="P351">
        <f>'Raw Data'!R351</f>
        <v>0</v>
      </c>
      <c r="Q351">
        <f>'Raw Data'!S351</f>
        <v>0</v>
      </c>
      <c r="R351">
        <f>'Raw Data'!T351</f>
        <v>0</v>
      </c>
      <c r="S351">
        <f>IFERROR(O351,0)+IFERROR(R351,0)</f>
        <v>0</v>
      </c>
      <c r="T351">
        <f>IF(A351="","",YEAR(A351))</f>
        <v>0</v>
      </c>
    </row>
    <row r="352" spans="1:20">
      <c r="A352">
        <f>'Raw Data'!B352</f>
        <v>0</v>
      </c>
      <c r="B352">
        <f>'Raw Data'!A352</f>
        <v>0</v>
      </c>
      <c r="C352">
        <f>'Raw Data'!C352</f>
        <v>0</v>
      </c>
      <c r="D352">
        <f>'Raw Data'!D352</f>
        <v>0</v>
      </c>
      <c r="E352">
        <f>IFERROR(VLOOKUP(D352,'Lookup Tables'!$A:$B,2,FALSE),"Unknown")</f>
        <v>0</v>
      </c>
      <c r="F352">
        <f>'Raw Data'!E352</f>
        <v>0</v>
      </c>
      <c r="G352">
        <f>IFERROR(VLOOKUP(D352,'Lookup Tables'!$A:$C,3,FALSE),IF(ISNUMBER(SEARCH("STEEL",F352)),"Steel","Others"))</f>
        <v>0</v>
      </c>
      <c r="H352">
        <f>IF(ISNUMBER(SEARCH("scrubber",F352)) , "Scrubber", IF(ISNUMBER(SEARCH("container",F352)),"Container", IF(ISNUMBER(SEARCH("basket",F352)),"Basket", IF(ISNUMBER(SEARCH("lunch",F352)),"Lunch Box", IF(ISNUMBER(SEARCH("cutlery",F352)),"Cutlery","Other")))))</f>
        <v>0</v>
      </c>
      <c r="I352">
        <f>IF('Raw Data'!G352&lt;&gt;'','Raw Data'!G352,IFERROR(MID(F352,SEARCH("MODEL",F352)+6,20),""))</f>
        <v>0</v>
      </c>
      <c r="J352">
        <f>'Raw Data'!H352</f>
        <v>0</v>
      </c>
      <c r="K352">
        <f>'Raw Data'!I352</f>
        <v>0</v>
      </c>
      <c r="L352">
        <f>IF('Raw Data'!N352&lt;&gt;0,'Raw Data'!N352,IFERROR(VALUE(MID(F352,SEARCH("QTY",F352)+4,IFERROR(FIND(" ",F352,SEARCH("QTY",F352)+4)-(SEARCH("QTY",F352)+4),3))),""))</f>
        <v>0</v>
      </c>
      <c r="M352">
        <f>'Raw Data'!O352</f>
        <v>0</v>
      </c>
      <c r="N352">
        <f>'Raw Data'!P352</f>
        <v>0</v>
      </c>
      <c r="O352">
        <f>'Raw Data'!Q352</f>
        <v>0</v>
      </c>
      <c r="P352">
        <f>'Raw Data'!R352</f>
        <v>0</v>
      </c>
      <c r="Q352">
        <f>'Raw Data'!S352</f>
        <v>0</v>
      </c>
      <c r="R352">
        <f>'Raw Data'!T352</f>
        <v>0</v>
      </c>
      <c r="S352">
        <f>IFERROR(O352,0)+IFERROR(R352,0)</f>
        <v>0</v>
      </c>
      <c r="T352">
        <f>IF(A352="","",YEAR(A352))</f>
        <v>0</v>
      </c>
    </row>
    <row r="353" spans="1:20">
      <c r="A353">
        <f>'Raw Data'!B353</f>
        <v>0</v>
      </c>
      <c r="B353">
        <f>'Raw Data'!A353</f>
        <v>0</v>
      </c>
      <c r="C353">
        <f>'Raw Data'!C353</f>
        <v>0</v>
      </c>
      <c r="D353">
        <f>'Raw Data'!D353</f>
        <v>0</v>
      </c>
      <c r="E353">
        <f>IFERROR(VLOOKUP(D353,'Lookup Tables'!$A:$B,2,FALSE),"Unknown")</f>
        <v>0</v>
      </c>
      <c r="F353">
        <f>'Raw Data'!E353</f>
        <v>0</v>
      </c>
      <c r="G353">
        <f>IFERROR(VLOOKUP(D353,'Lookup Tables'!$A:$C,3,FALSE),IF(ISNUMBER(SEARCH("STEEL",F353)),"Steel","Others"))</f>
        <v>0</v>
      </c>
      <c r="H353">
        <f>IF(ISNUMBER(SEARCH("scrubber",F353)) , "Scrubber", IF(ISNUMBER(SEARCH("container",F353)),"Container", IF(ISNUMBER(SEARCH("basket",F353)),"Basket", IF(ISNUMBER(SEARCH("lunch",F353)),"Lunch Box", IF(ISNUMBER(SEARCH("cutlery",F353)),"Cutlery","Other")))))</f>
        <v>0</v>
      </c>
      <c r="I353">
        <f>IF('Raw Data'!G353&lt;&gt;'','Raw Data'!G353,IFERROR(MID(F353,SEARCH("MODEL",F353)+6,20),""))</f>
        <v>0</v>
      </c>
      <c r="J353">
        <f>'Raw Data'!H353</f>
        <v>0</v>
      </c>
      <c r="K353">
        <f>'Raw Data'!I353</f>
        <v>0</v>
      </c>
      <c r="L353">
        <f>IF('Raw Data'!N353&lt;&gt;0,'Raw Data'!N353,IFERROR(VALUE(MID(F353,SEARCH("QTY",F353)+4,IFERROR(FIND(" ",F353,SEARCH("QTY",F353)+4)-(SEARCH("QTY",F353)+4),3))),""))</f>
        <v>0</v>
      </c>
      <c r="M353">
        <f>'Raw Data'!O353</f>
        <v>0</v>
      </c>
      <c r="N353">
        <f>'Raw Data'!P353</f>
        <v>0</v>
      </c>
      <c r="O353">
        <f>'Raw Data'!Q353</f>
        <v>0</v>
      </c>
      <c r="P353">
        <f>'Raw Data'!R353</f>
        <v>0</v>
      </c>
      <c r="Q353">
        <f>'Raw Data'!S353</f>
        <v>0</v>
      </c>
      <c r="R353">
        <f>'Raw Data'!T353</f>
        <v>0</v>
      </c>
      <c r="S353">
        <f>IFERROR(O353,0)+IFERROR(R353,0)</f>
        <v>0</v>
      </c>
      <c r="T353">
        <f>IF(A353="","",YEAR(A353))</f>
        <v>0</v>
      </c>
    </row>
    <row r="354" spans="1:20">
      <c r="A354">
        <f>'Raw Data'!B354</f>
        <v>0</v>
      </c>
      <c r="B354">
        <f>'Raw Data'!A354</f>
        <v>0</v>
      </c>
      <c r="C354">
        <f>'Raw Data'!C354</f>
        <v>0</v>
      </c>
      <c r="D354">
        <f>'Raw Data'!D354</f>
        <v>0</v>
      </c>
      <c r="E354">
        <f>IFERROR(VLOOKUP(D354,'Lookup Tables'!$A:$B,2,FALSE),"Unknown")</f>
        <v>0</v>
      </c>
      <c r="F354">
        <f>'Raw Data'!E354</f>
        <v>0</v>
      </c>
      <c r="G354">
        <f>IFERROR(VLOOKUP(D354,'Lookup Tables'!$A:$C,3,FALSE),IF(ISNUMBER(SEARCH("STEEL",F354)),"Steel","Others"))</f>
        <v>0</v>
      </c>
      <c r="H354">
        <f>IF(ISNUMBER(SEARCH("scrubber",F354)) , "Scrubber", IF(ISNUMBER(SEARCH("container",F354)),"Container", IF(ISNUMBER(SEARCH("basket",F354)),"Basket", IF(ISNUMBER(SEARCH("lunch",F354)),"Lunch Box", IF(ISNUMBER(SEARCH("cutlery",F354)),"Cutlery","Other")))))</f>
        <v>0</v>
      </c>
      <c r="I354">
        <f>IF('Raw Data'!G354&lt;&gt;'','Raw Data'!G354,IFERROR(MID(F354,SEARCH("MODEL",F354)+6,20),""))</f>
        <v>0</v>
      </c>
      <c r="J354">
        <f>'Raw Data'!H354</f>
        <v>0</v>
      </c>
      <c r="K354">
        <f>'Raw Data'!I354</f>
        <v>0</v>
      </c>
      <c r="L354">
        <f>IF('Raw Data'!N354&lt;&gt;0,'Raw Data'!N354,IFERROR(VALUE(MID(F354,SEARCH("QTY",F354)+4,IFERROR(FIND(" ",F354,SEARCH("QTY",F354)+4)-(SEARCH("QTY",F354)+4),3))),""))</f>
        <v>0</v>
      </c>
      <c r="M354">
        <f>'Raw Data'!O354</f>
        <v>0</v>
      </c>
      <c r="N354">
        <f>'Raw Data'!P354</f>
        <v>0</v>
      </c>
      <c r="O354">
        <f>'Raw Data'!Q354</f>
        <v>0</v>
      </c>
      <c r="P354">
        <f>'Raw Data'!R354</f>
        <v>0</v>
      </c>
      <c r="Q354">
        <f>'Raw Data'!S354</f>
        <v>0</v>
      </c>
      <c r="R354">
        <f>'Raw Data'!T354</f>
        <v>0</v>
      </c>
      <c r="S354">
        <f>IFERROR(O354,0)+IFERROR(R354,0)</f>
        <v>0</v>
      </c>
      <c r="T354">
        <f>IF(A354="","",YEAR(A354))</f>
        <v>0</v>
      </c>
    </row>
    <row r="355" spans="1:20">
      <c r="A355">
        <f>'Raw Data'!B355</f>
        <v>0</v>
      </c>
      <c r="B355">
        <f>'Raw Data'!A355</f>
        <v>0</v>
      </c>
      <c r="C355">
        <f>'Raw Data'!C355</f>
        <v>0</v>
      </c>
      <c r="D355">
        <f>'Raw Data'!D355</f>
        <v>0</v>
      </c>
      <c r="E355">
        <f>IFERROR(VLOOKUP(D355,'Lookup Tables'!$A:$B,2,FALSE),"Unknown")</f>
        <v>0</v>
      </c>
      <c r="F355">
        <f>'Raw Data'!E355</f>
        <v>0</v>
      </c>
      <c r="G355">
        <f>IFERROR(VLOOKUP(D355,'Lookup Tables'!$A:$C,3,FALSE),IF(ISNUMBER(SEARCH("STEEL",F355)),"Steel","Others"))</f>
        <v>0</v>
      </c>
      <c r="H355">
        <f>IF(ISNUMBER(SEARCH("scrubber",F355)) , "Scrubber", IF(ISNUMBER(SEARCH("container",F355)),"Container", IF(ISNUMBER(SEARCH("basket",F355)),"Basket", IF(ISNUMBER(SEARCH("lunch",F355)),"Lunch Box", IF(ISNUMBER(SEARCH("cutlery",F355)),"Cutlery","Other")))))</f>
        <v>0</v>
      </c>
      <c r="I355">
        <f>IF('Raw Data'!G355&lt;&gt;'','Raw Data'!G355,IFERROR(MID(F355,SEARCH("MODEL",F355)+6,20),""))</f>
        <v>0</v>
      </c>
      <c r="J355">
        <f>'Raw Data'!H355</f>
        <v>0</v>
      </c>
      <c r="K355">
        <f>'Raw Data'!I355</f>
        <v>0</v>
      </c>
      <c r="L355">
        <f>IF('Raw Data'!N355&lt;&gt;0,'Raw Data'!N355,IFERROR(VALUE(MID(F355,SEARCH("QTY",F355)+4,IFERROR(FIND(" ",F355,SEARCH("QTY",F355)+4)-(SEARCH("QTY",F355)+4),3))),""))</f>
        <v>0</v>
      </c>
      <c r="M355">
        <f>'Raw Data'!O355</f>
        <v>0</v>
      </c>
      <c r="N355">
        <f>'Raw Data'!P355</f>
        <v>0</v>
      </c>
      <c r="O355">
        <f>'Raw Data'!Q355</f>
        <v>0</v>
      </c>
      <c r="P355">
        <f>'Raw Data'!R355</f>
        <v>0</v>
      </c>
      <c r="Q355">
        <f>'Raw Data'!S355</f>
        <v>0</v>
      </c>
      <c r="R355">
        <f>'Raw Data'!T355</f>
        <v>0</v>
      </c>
      <c r="S355">
        <f>IFERROR(O355,0)+IFERROR(R355,0)</f>
        <v>0</v>
      </c>
      <c r="T355">
        <f>IF(A355="","",YEAR(A355))</f>
        <v>0</v>
      </c>
    </row>
    <row r="356" spans="1:20">
      <c r="A356">
        <f>'Raw Data'!B356</f>
        <v>0</v>
      </c>
      <c r="B356">
        <f>'Raw Data'!A356</f>
        <v>0</v>
      </c>
      <c r="C356">
        <f>'Raw Data'!C356</f>
        <v>0</v>
      </c>
      <c r="D356">
        <f>'Raw Data'!D356</f>
        <v>0</v>
      </c>
      <c r="E356">
        <f>IFERROR(VLOOKUP(D356,'Lookup Tables'!$A:$B,2,FALSE),"Unknown")</f>
        <v>0</v>
      </c>
      <c r="F356">
        <f>'Raw Data'!E356</f>
        <v>0</v>
      </c>
      <c r="G356">
        <f>IFERROR(VLOOKUP(D356,'Lookup Tables'!$A:$C,3,FALSE),IF(ISNUMBER(SEARCH("STEEL",F356)),"Steel","Others"))</f>
        <v>0</v>
      </c>
      <c r="H356">
        <f>IF(ISNUMBER(SEARCH("scrubber",F356)) , "Scrubber", IF(ISNUMBER(SEARCH("container",F356)),"Container", IF(ISNUMBER(SEARCH("basket",F356)),"Basket", IF(ISNUMBER(SEARCH("lunch",F356)),"Lunch Box", IF(ISNUMBER(SEARCH("cutlery",F356)),"Cutlery","Other")))))</f>
        <v>0</v>
      </c>
      <c r="I356">
        <f>IF('Raw Data'!G356&lt;&gt;'','Raw Data'!G356,IFERROR(MID(F356,SEARCH("MODEL",F356)+6,20),""))</f>
        <v>0</v>
      </c>
      <c r="J356">
        <f>'Raw Data'!H356</f>
        <v>0</v>
      </c>
      <c r="K356">
        <f>'Raw Data'!I356</f>
        <v>0</v>
      </c>
      <c r="L356">
        <f>IF('Raw Data'!N356&lt;&gt;0,'Raw Data'!N356,IFERROR(VALUE(MID(F356,SEARCH("QTY",F356)+4,IFERROR(FIND(" ",F356,SEARCH("QTY",F356)+4)-(SEARCH("QTY",F356)+4),3))),""))</f>
        <v>0</v>
      </c>
      <c r="M356">
        <f>'Raw Data'!O356</f>
        <v>0</v>
      </c>
      <c r="N356">
        <f>'Raw Data'!P356</f>
        <v>0</v>
      </c>
      <c r="O356">
        <f>'Raw Data'!Q356</f>
        <v>0</v>
      </c>
      <c r="P356">
        <f>'Raw Data'!R356</f>
        <v>0</v>
      </c>
      <c r="Q356">
        <f>'Raw Data'!S356</f>
        <v>0</v>
      </c>
      <c r="R356">
        <f>'Raw Data'!T356</f>
        <v>0</v>
      </c>
      <c r="S356">
        <f>IFERROR(O356,0)+IFERROR(R356,0)</f>
        <v>0</v>
      </c>
      <c r="T356">
        <f>IF(A356="","",YEAR(A356))</f>
        <v>0</v>
      </c>
    </row>
    <row r="357" spans="1:20">
      <c r="A357">
        <f>'Raw Data'!B357</f>
        <v>0</v>
      </c>
      <c r="B357">
        <f>'Raw Data'!A357</f>
        <v>0</v>
      </c>
      <c r="C357">
        <f>'Raw Data'!C357</f>
        <v>0</v>
      </c>
      <c r="D357">
        <f>'Raw Data'!D357</f>
        <v>0</v>
      </c>
      <c r="E357">
        <f>IFERROR(VLOOKUP(D357,'Lookup Tables'!$A:$B,2,FALSE),"Unknown")</f>
        <v>0</v>
      </c>
      <c r="F357">
        <f>'Raw Data'!E357</f>
        <v>0</v>
      </c>
      <c r="G357">
        <f>IFERROR(VLOOKUP(D357,'Lookup Tables'!$A:$C,3,FALSE),IF(ISNUMBER(SEARCH("STEEL",F357)),"Steel","Others"))</f>
        <v>0</v>
      </c>
      <c r="H357">
        <f>IF(ISNUMBER(SEARCH("scrubber",F357)) , "Scrubber", IF(ISNUMBER(SEARCH("container",F357)),"Container", IF(ISNUMBER(SEARCH("basket",F357)),"Basket", IF(ISNUMBER(SEARCH("lunch",F357)),"Lunch Box", IF(ISNUMBER(SEARCH("cutlery",F357)),"Cutlery","Other")))))</f>
        <v>0</v>
      </c>
      <c r="I357">
        <f>IF('Raw Data'!G357&lt;&gt;'','Raw Data'!G357,IFERROR(MID(F357,SEARCH("MODEL",F357)+6,20),""))</f>
        <v>0</v>
      </c>
      <c r="J357">
        <f>'Raw Data'!H357</f>
        <v>0</v>
      </c>
      <c r="K357">
        <f>'Raw Data'!I357</f>
        <v>0</v>
      </c>
      <c r="L357">
        <f>IF('Raw Data'!N357&lt;&gt;0,'Raw Data'!N357,IFERROR(VALUE(MID(F357,SEARCH("QTY",F357)+4,IFERROR(FIND(" ",F357,SEARCH("QTY",F357)+4)-(SEARCH("QTY",F357)+4),3))),""))</f>
        <v>0</v>
      </c>
      <c r="M357">
        <f>'Raw Data'!O357</f>
        <v>0</v>
      </c>
      <c r="N357">
        <f>'Raw Data'!P357</f>
        <v>0</v>
      </c>
      <c r="O357">
        <f>'Raw Data'!Q357</f>
        <v>0</v>
      </c>
      <c r="P357">
        <f>'Raw Data'!R357</f>
        <v>0</v>
      </c>
      <c r="Q357">
        <f>'Raw Data'!S357</f>
        <v>0</v>
      </c>
      <c r="R357">
        <f>'Raw Data'!T357</f>
        <v>0</v>
      </c>
      <c r="S357">
        <f>IFERROR(O357,0)+IFERROR(R357,0)</f>
        <v>0</v>
      </c>
      <c r="T357">
        <f>IF(A357="","",YEAR(A357))</f>
        <v>0</v>
      </c>
    </row>
    <row r="358" spans="1:20">
      <c r="A358">
        <f>'Raw Data'!B358</f>
        <v>0</v>
      </c>
      <c r="B358">
        <f>'Raw Data'!A358</f>
        <v>0</v>
      </c>
      <c r="C358">
        <f>'Raw Data'!C358</f>
        <v>0</v>
      </c>
      <c r="D358">
        <f>'Raw Data'!D358</f>
        <v>0</v>
      </c>
      <c r="E358">
        <f>IFERROR(VLOOKUP(D358,'Lookup Tables'!$A:$B,2,FALSE),"Unknown")</f>
        <v>0</v>
      </c>
      <c r="F358">
        <f>'Raw Data'!E358</f>
        <v>0</v>
      </c>
      <c r="G358">
        <f>IFERROR(VLOOKUP(D358,'Lookup Tables'!$A:$C,3,FALSE),IF(ISNUMBER(SEARCH("STEEL",F358)),"Steel","Others"))</f>
        <v>0</v>
      </c>
      <c r="H358">
        <f>IF(ISNUMBER(SEARCH("scrubber",F358)) , "Scrubber", IF(ISNUMBER(SEARCH("container",F358)),"Container", IF(ISNUMBER(SEARCH("basket",F358)),"Basket", IF(ISNUMBER(SEARCH("lunch",F358)),"Lunch Box", IF(ISNUMBER(SEARCH("cutlery",F358)),"Cutlery","Other")))))</f>
        <v>0</v>
      </c>
      <c r="I358">
        <f>IF('Raw Data'!G358&lt;&gt;'','Raw Data'!G358,IFERROR(MID(F358,SEARCH("MODEL",F358)+6,20),""))</f>
        <v>0</v>
      </c>
      <c r="J358">
        <f>'Raw Data'!H358</f>
        <v>0</v>
      </c>
      <c r="K358">
        <f>'Raw Data'!I358</f>
        <v>0</v>
      </c>
      <c r="L358">
        <f>IF('Raw Data'!N358&lt;&gt;0,'Raw Data'!N358,IFERROR(VALUE(MID(F358,SEARCH("QTY",F358)+4,IFERROR(FIND(" ",F358,SEARCH("QTY",F358)+4)-(SEARCH("QTY",F358)+4),3))),""))</f>
        <v>0</v>
      </c>
      <c r="M358">
        <f>'Raw Data'!O358</f>
        <v>0</v>
      </c>
      <c r="N358">
        <f>'Raw Data'!P358</f>
        <v>0</v>
      </c>
      <c r="O358">
        <f>'Raw Data'!Q358</f>
        <v>0</v>
      </c>
      <c r="P358">
        <f>'Raw Data'!R358</f>
        <v>0</v>
      </c>
      <c r="Q358">
        <f>'Raw Data'!S358</f>
        <v>0</v>
      </c>
      <c r="R358">
        <f>'Raw Data'!T358</f>
        <v>0</v>
      </c>
      <c r="S358">
        <f>IFERROR(O358,0)+IFERROR(R358,0)</f>
        <v>0</v>
      </c>
      <c r="T358">
        <f>IF(A358="","",YEAR(A358))</f>
        <v>0</v>
      </c>
    </row>
    <row r="359" spans="1:20">
      <c r="A359">
        <f>'Raw Data'!B359</f>
        <v>0</v>
      </c>
      <c r="B359">
        <f>'Raw Data'!A359</f>
        <v>0</v>
      </c>
      <c r="C359">
        <f>'Raw Data'!C359</f>
        <v>0</v>
      </c>
      <c r="D359">
        <f>'Raw Data'!D359</f>
        <v>0</v>
      </c>
      <c r="E359">
        <f>IFERROR(VLOOKUP(D359,'Lookup Tables'!$A:$B,2,FALSE),"Unknown")</f>
        <v>0</v>
      </c>
      <c r="F359">
        <f>'Raw Data'!E359</f>
        <v>0</v>
      </c>
      <c r="G359">
        <f>IFERROR(VLOOKUP(D359,'Lookup Tables'!$A:$C,3,FALSE),IF(ISNUMBER(SEARCH("STEEL",F359)),"Steel","Others"))</f>
        <v>0</v>
      </c>
      <c r="H359">
        <f>IF(ISNUMBER(SEARCH("scrubber",F359)) , "Scrubber", IF(ISNUMBER(SEARCH("container",F359)),"Container", IF(ISNUMBER(SEARCH("basket",F359)),"Basket", IF(ISNUMBER(SEARCH("lunch",F359)),"Lunch Box", IF(ISNUMBER(SEARCH("cutlery",F359)),"Cutlery","Other")))))</f>
        <v>0</v>
      </c>
      <c r="I359">
        <f>IF('Raw Data'!G359&lt;&gt;'','Raw Data'!G359,IFERROR(MID(F359,SEARCH("MODEL",F359)+6,20),""))</f>
        <v>0</v>
      </c>
      <c r="J359">
        <f>'Raw Data'!H359</f>
        <v>0</v>
      </c>
      <c r="K359">
        <f>'Raw Data'!I359</f>
        <v>0</v>
      </c>
      <c r="L359">
        <f>IF('Raw Data'!N359&lt;&gt;0,'Raw Data'!N359,IFERROR(VALUE(MID(F359,SEARCH("QTY",F359)+4,IFERROR(FIND(" ",F359,SEARCH("QTY",F359)+4)-(SEARCH("QTY",F359)+4),3))),""))</f>
        <v>0</v>
      </c>
      <c r="M359">
        <f>'Raw Data'!O359</f>
        <v>0</v>
      </c>
      <c r="N359">
        <f>'Raw Data'!P359</f>
        <v>0</v>
      </c>
      <c r="O359">
        <f>'Raw Data'!Q359</f>
        <v>0</v>
      </c>
      <c r="P359">
        <f>'Raw Data'!R359</f>
        <v>0</v>
      </c>
      <c r="Q359">
        <f>'Raw Data'!S359</f>
        <v>0</v>
      </c>
      <c r="R359">
        <f>'Raw Data'!T359</f>
        <v>0</v>
      </c>
      <c r="S359">
        <f>IFERROR(O359,0)+IFERROR(R359,0)</f>
        <v>0</v>
      </c>
      <c r="T359">
        <f>IF(A359="","",YEAR(A359))</f>
        <v>0</v>
      </c>
    </row>
    <row r="360" spans="1:20">
      <c r="A360">
        <f>'Raw Data'!B360</f>
        <v>0</v>
      </c>
      <c r="B360">
        <f>'Raw Data'!A360</f>
        <v>0</v>
      </c>
      <c r="C360">
        <f>'Raw Data'!C360</f>
        <v>0</v>
      </c>
      <c r="D360">
        <f>'Raw Data'!D360</f>
        <v>0</v>
      </c>
      <c r="E360">
        <f>IFERROR(VLOOKUP(D360,'Lookup Tables'!$A:$B,2,FALSE),"Unknown")</f>
        <v>0</v>
      </c>
      <c r="F360">
        <f>'Raw Data'!E360</f>
        <v>0</v>
      </c>
      <c r="G360">
        <f>IFERROR(VLOOKUP(D360,'Lookup Tables'!$A:$C,3,FALSE),IF(ISNUMBER(SEARCH("STEEL",F360)),"Steel","Others"))</f>
        <v>0</v>
      </c>
      <c r="H360">
        <f>IF(ISNUMBER(SEARCH("scrubber",F360)) , "Scrubber", IF(ISNUMBER(SEARCH("container",F360)),"Container", IF(ISNUMBER(SEARCH("basket",F360)),"Basket", IF(ISNUMBER(SEARCH("lunch",F360)),"Lunch Box", IF(ISNUMBER(SEARCH("cutlery",F360)),"Cutlery","Other")))))</f>
        <v>0</v>
      </c>
      <c r="I360">
        <f>IF('Raw Data'!G360&lt;&gt;'','Raw Data'!G360,IFERROR(MID(F360,SEARCH("MODEL",F360)+6,20),""))</f>
        <v>0</v>
      </c>
      <c r="J360">
        <f>'Raw Data'!H360</f>
        <v>0</v>
      </c>
      <c r="K360">
        <f>'Raw Data'!I360</f>
        <v>0</v>
      </c>
      <c r="L360">
        <f>IF('Raw Data'!N360&lt;&gt;0,'Raw Data'!N360,IFERROR(VALUE(MID(F360,SEARCH("QTY",F360)+4,IFERROR(FIND(" ",F360,SEARCH("QTY",F360)+4)-(SEARCH("QTY",F360)+4),3))),""))</f>
        <v>0</v>
      </c>
      <c r="M360">
        <f>'Raw Data'!O360</f>
        <v>0</v>
      </c>
      <c r="N360">
        <f>'Raw Data'!P360</f>
        <v>0</v>
      </c>
      <c r="O360">
        <f>'Raw Data'!Q360</f>
        <v>0</v>
      </c>
      <c r="P360">
        <f>'Raw Data'!R360</f>
        <v>0</v>
      </c>
      <c r="Q360">
        <f>'Raw Data'!S360</f>
        <v>0</v>
      </c>
      <c r="R360">
        <f>'Raw Data'!T360</f>
        <v>0</v>
      </c>
      <c r="S360">
        <f>IFERROR(O360,0)+IFERROR(R360,0)</f>
        <v>0</v>
      </c>
      <c r="T360">
        <f>IF(A360="","",YEAR(A360))</f>
        <v>0</v>
      </c>
    </row>
    <row r="361" spans="1:20">
      <c r="A361">
        <f>'Raw Data'!B361</f>
        <v>0</v>
      </c>
      <c r="B361">
        <f>'Raw Data'!A361</f>
        <v>0</v>
      </c>
      <c r="C361">
        <f>'Raw Data'!C361</f>
        <v>0</v>
      </c>
      <c r="D361">
        <f>'Raw Data'!D361</f>
        <v>0</v>
      </c>
      <c r="E361">
        <f>IFERROR(VLOOKUP(D361,'Lookup Tables'!$A:$B,2,FALSE),"Unknown")</f>
        <v>0</v>
      </c>
      <c r="F361">
        <f>'Raw Data'!E361</f>
        <v>0</v>
      </c>
      <c r="G361">
        <f>IFERROR(VLOOKUP(D361,'Lookup Tables'!$A:$C,3,FALSE),IF(ISNUMBER(SEARCH("STEEL",F361)),"Steel","Others"))</f>
        <v>0</v>
      </c>
      <c r="H361">
        <f>IF(ISNUMBER(SEARCH("scrubber",F361)) , "Scrubber", IF(ISNUMBER(SEARCH("container",F361)),"Container", IF(ISNUMBER(SEARCH("basket",F361)),"Basket", IF(ISNUMBER(SEARCH("lunch",F361)),"Lunch Box", IF(ISNUMBER(SEARCH("cutlery",F361)),"Cutlery","Other")))))</f>
        <v>0</v>
      </c>
      <c r="I361">
        <f>IF('Raw Data'!G361&lt;&gt;'','Raw Data'!G361,IFERROR(MID(F361,SEARCH("MODEL",F361)+6,20),""))</f>
        <v>0</v>
      </c>
      <c r="J361">
        <f>'Raw Data'!H361</f>
        <v>0</v>
      </c>
      <c r="K361">
        <f>'Raw Data'!I361</f>
        <v>0</v>
      </c>
      <c r="L361">
        <f>IF('Raw Data'!N361&lt;&gt;0,'Raw Data'!N361,IFERROR(VALUE(MID(F361,SEARCH("QTY",F361)+4,IFERROR(FIND(" ",F361,SEARCH("QTY",F361)+4)-(SEARCH("QTY",F361)+4),3))),""))</f>
        <v>0</v>
      </c>
      <c r="M361">
        <f>'Raw Data'!O361</f>
        <v>0</v>
      </c>
      <c r="N361">
        <f>'Raw Data'!P361</f>
        <v>0</v>
      </c>
      <c r="O361">
        <f>'Raw Data'!Q361</f>
        <v>0</v>
      </c>
      <c r="P361">
        <f>'Raw Data'!R361</f>
        <v>0</v>
      </c>
      <c r="Q361">
        <f>'Raw Data'!S361</f>
        <v>0</v>
      </c>
      <c r="R361">
        <f>'Raw Data'!T361</f>
        <v>0</v>
      </c>
      <c r="S361">
        <f>IFERROR(O361,0)+IFERROR(R361,0)</f>
        <v>0</v>
      </c>
      <c r="T361">
        <f>IF(A361="","",YEAR(A361))</f>
        <v>0</v>
      </c>
    </row>
    <row r="362" spans="1:20">
      <c r="A362">
        <f>'Raw Data'!B362</f>
        <v>0</v>
      </c>
      <c r="B362">
        <f>'Raw Data'!A362</f>
        <v>0</v>
      </c>
      <c r="C362">
        <f>'Raw Data'!C362</f>
        <v>0</v>
      </c>
      <c r="D362">
        <f>'Raw Data'!D362</f>
        <v>0</v>
      </c>
      <c r="E362">
        <f>IFERROR(VLOOKUP(D362,'Lookup Tables'!$A:$B,2,FALSE),"Unknown")</f>
        <v>0</v>
      </c>
      <c r="F362">
        <f>'Raw Data'!E362</f>
        <v>0</v>
      </c>
      <c r="G362">
        <f>IFERROR(VLOOKUP(D362,'Lookup Tables'!$A:$C,3,FALSE),IF(ISNUMBER(SEARCH("STEEL",F362)),"Steel","Others"))</f>
        <v>0</v>
      </c>
      <c r="H362">
        <f>IF(ISNUMBER(SEARCH("scrubber",F362)) , "Scrubber", IF(ISNUMBER(SEARCH("container",F362)),"Container", IF(ISNUMBER(SEARCH("basket",F362)),"Basket", IF(ISNUMBER(SEARCH("lunch",F362)),"Lunch Box", IF(ISNUMBER(SEARCH("cutlery",F362)),"Cutlery","Other")))))</f>
        <v>0</v>
      </c>
      <c r="I362">
        <f>IF('Raw Data'!G362&lt;&gt;'','Raw Data'!G362,IFERROR(MID(F362,SEARCH("MODEL",F362)+6,20),""))</f>
        <v>0</v>
      </c>
      <c r="J362">
        <f>'Raw Data'!H362</f>
        <v>0</v>
      </c>
      <c r="K362">
        <f>'Raw Data'!I362</f>
        <v>0</v>
      </c>
      <c r="L362">
        <f>IF('Raw Data'!N362&lt;&gt;0,'Raw Data'!N362,IFERROR(VALUE(MID(F362,SEARCH("QTY",F362)+4,IFERROR(FIND(" ",F362,SEARCH("QTY",F362)+4)-(SEARCH("QTY",F362)+4),3))),""))</f>
        <v>0</v>
      </c>
      <c r="M362">
        <f>'Raw Data'!O362</f>
        <v>0</v>
      </c>
      <c r="N362">
        <f>'Raw Data'!P362</f>
        <v>0</v>
      </c>
      <c r="O362">
        <f>'Raw Data'!Q362</f>
        <v>0</v>
      </c>
      <c r="P362">
        <f>'Raw Data'!R362</f>
        <v>0</v>
      </c>
      <c r="Q362">
        <f>'Raw Data'!S362</f>
        <v>0</v>
      </c>
      <c r="R362">
        <f>'Raw Data'!T362</f>
        <v>0</v>
      </c>
      <c r="S362">
        <f>IFERROR(O362,0)+IFERROR(R362,0)</f>
        <v>0</v>
      </c>
      <c r="T362">
        <f>IF(A362="","",YEAR(A362))</f>
        <v>0</v>
      </c>
    </row>
    <row r="363" spans="1:20">
      <c r="A363">
        <f>'Raw Data'!B363</f>
        <v>0</v>
      </c>
      <c r="B363">
        <f>'Raw Data'!A363</f>
        <v>0</v>
      </c>
      <c r="C363">
        <f>'Raw Data'!C363</f>
        <v>0</v>
      </c>
      <c r="D363">
        <f>'Raw Data'!D363</f>
        <v>0</v>
      </c>
      <c r="E363">
        <f>IFERROR(VLOOKUP(D363,'Lookup Tables'!$A:$B,2,FALSE),"Unknown")</f>
        <v>0</v>
      </c>
      <c r="F363">
        <f>'Raw Data'!E363</f>
        <v>0</v>
      </c>
      <c r="G363">
        <f>IFERROR(VLOOKUP(D363,'Lookup Tables'!$A:$C,3,FALSE),IF(ISNUMBER(SEARCH("STEEL",F363)),"Steel","Others"))</f>
        <v>0</v>
      </c>
      <c r="H363">
        <f>IF(ISNUMBER(SEARCH("scrubber",F363)) , "Scrubber", IF(ISNUMBER(SEARCH("container",F363)),"Container", IF(ISNUMBER(SEARCH("basket",F363)),"Basket", IF(ISNUMBER(SEARCH("lunch",F363)),"Lunch Box", IF(ISNUMBER(SEARCH("cutlery",F363)),"Cutlery","Other")))))</f>
        <v>0</v>
      </c>
      <c r="I363">
        <f>IF('Raw Data'!G363&lt;&gt;'','Raw Data'!G363,IFERROR(MID(F363,SEARCH("MODEL",F363)+6,20),""))</f>
        <v>0</v>
      </c>
      <c r="J363">
        <f>'Raw Data'!H363</f>
        <v>0</v>
      </c>
      <c r="K363">
        <f>'Raw Data'!I363</f>
        <v>0</v>
      </c>
      <c r="L363">
        <f>IF('Raw Data'!N363&lt;&gt;0,'Raw Data'!N363,IFERROR(VALUE(MID(F363,SEARCH("QTY",F363)+4,IFERROR(FIND(" ",F363,SEARCH("QTY",F363)+4)-(SEARCH("QTY",F363)+4),3))),""))</f>
        <v>0</v>
      </c>
      <c r="M363">
        <f>'Raw Data'!O363</f>
        <v>0</v>
      </c>
      <c r="N363">
        <f>'Raw Data'!P363</f>
        <v>0</v>
      </c>
      <c r="O363">
        <f>'Raw Data'!Q363</f>
        <v>0</v>
      </c>
      <c r="P363">
        <f>'Raw Data'!R363</f>
        <v>0</v>
      </c>
      <c r="Q363">
        <f>'Raw Data'!S363</f>
        <v>0</v>
      </c>
      <c r="R363">
        <f>'Raw Data'!T363</f>
        <v>0</v>
      </c>
      <c r="S363">
        <f>IFERROR(O363,0)+IFERROR(R363,0)</f>
        <v>0</v>
      </c>
      <c r="T363">
        <f>IF(A363="","",YEAR(A363))</f>
        <v>0</v>
      </c>
    </row>
    <row r="364" spans="1:20">
      <c r="A364">
        <f>'Raw Data'!B364</f>
        <v>0</v>
      </c>
      <c r="B364">
        <f>'Raw Data'!A364</f>
        <v>0</v>
      </c>
      <c r="C364">
        <f>'Raw Data'!C364</f>
        <v>0</v>
      </c>
      <c r="D364">
        <f>'Raw Data'!D364</f>
        <v>0</v>
      </c>
      <c r="E364">
        <f>IFERROR(VLOOKUP(D364,'Lookup Tables'!$A:$B,2,FALSE),"Unknown")</f>
        <v>0</v>
      </c>
      <c r="F364">
        <f>'Raw Data'!E364</f>
        <v>0</v>
      </c>
      <c r="G364">
        <f>IFERROR(VLOOKUP(D364,'Lookup Tables'!$A:$C,3,FALSE),IF(ISNUMBER(SEARCH("STEEL",F364)),"Steel","Others"))</f>
        <v>0</v>
      </c>
      <c r="H364">
        <f>IF(ISNUMBER(SEARCH("scrubber",F364)) , "Scrubber", IF(ISNUMBER(SEARCH("container",F364)),"Container", IF(ISNUMBER(SEARCH("basket",F364)),"Basket", IF(ISNUMBER(SEARCH("lunch",F364)),"Lunch Box", IF(ISNUMBER(SEARCH("cutlery",F364)),"Cutlery","Other")))))</f>
        <v>0</v>
      </c>
      <c r="I364">
        <f>IF('Raw Data'!G364&lt;&gt;'','Raw Data'!G364,IFERROR(MID(F364,SEARCH("MODEL",F364)+6,20),""))</f>
        <v>0</v>
      </c>
      <c r="J364">
        <f>'Raw Data'!H364</f>
        <v>0</v>
      </c>
      <c r="K364">
        <f>'Raw Data'!I364</f>
        <v>0</v>
      </c>
      <c r="L364">
        <f>IF('Raw Data'!N364&lt;&gt;0,'Raw Data'!N364,IFERROR(VALUE(MID(F364,SEARCH("QTY",F364)+4,IFERROR(FIND(" ",F364,SEARCH("QTY",F364)+4)-(SEARCH("QTY",F364)+4),3))),""))</f>
        <v>0</v>
      </c>
      <c r="M364">
        <f>'Raw Data'!O364</f>
        <v>0</v>
      </c>
      <c r="N364">
        <f>'Raw Data'!P364</f>
        <v>0</v>
      </c>
      <c r="O364">
        <f>'Raw Data'!Q364</f>
        <v>0</v>
      </c>
      <c r="P364">
        <f>'Raw Data'!R364</f>
        <v>0</v>
      </c>
      <c r="Q364">
        <f>'Raw Data'!S364</f>
        <v>0</v>
      </c>
      <c r="R364">
        <f>'Raw Data'!T364</f>
        <v>0</v>
      </c>
      <c r="S364">
        <f>IFERROR(O364,0)+IFERROR(R364,0)</f>
        <v>0</v>
      </c>
      <c r="T364">
        <f>IF(A364="","",YEAR(A364))</f>
        <v>0</v>
      </c>
    </row>
    <row r="365" spans="1:20">
      <c r="A365">
        <f>'Raw Data'!B365</f>
        <v>0</v>
      </c>
      <c r="B365">
        <f>'Raw Data'!A365</f>
        <v>0</v>
      </c>
      <c r="C365">
        <f>'Raw Data'!C365</f>
        <v>0</v>
      </c>
      <c r="D365">
        <f>'Raw Data'!D365</f>
        <v>0</v>
      </c>
      <c r="E365">
        <f>IFERROR(VLOOKUP(D365,'Lookup Tables'!$A:$B,2,FALSE),"Unknown")</f>
        <v>0</v>
      </c>
      <c r="F365">
        <f>'Raw Data'!E365</f>
        <v>0</v>
      </c>
      <c r="G365">
        <f>IFERROR(VLOOKUP(D365,'Lookup Tables'!$A:$C,3,FALSE),IF(ISNUMBER(SEARCH("STEEL",F365)),"Steel","Others"))</f>
        <v>0</v>
      </c>
      <c r="H365">
        <f>IF(ISNUMBER(SEARCH("scrubber",F365)) , "Scrubber", IF(ISNUMBER(SEARCH("container",F365)),"Container", IF(ISNUMBER(SEARCH("basket",F365)),"Basket", IF(ISNUMBER(SEARCH("lunch",F365)),"Lunch Box", IF(ISNUMBER(SEARCH("cutlery",F365)),"Cutlery","Other")))))</f>
        <v>0</v>
      </c>
      <c r="I365">
        <f>IF('Raw Data'!G365&lt;&gt;'','Raw Data'!G365,IFERROR(MID(F365,SEARCH("MODEL",F365)+6,20),""))</f>
        <v>0</v>
      </c>
      <c r="J365">
        <f>'Raw Data'!H365</f>
        <v>0</v>
      </c>
      <c r="K365">
        <f>'Raw Data'!I365</f>
        <v>0</v>
      </c>
      <c r="L365">
        <f>IF('Raw Data'!N365&lt;&gt;0,'Raw Data'!N365,IFERROR(VALUE(MID(F365,SEARCH("QTY",F365)+4,IFERROR(FIND(" ",F365,SEARCH("QTY",F365)+4)-(SEARCH("QTY",F365)+4),3))),""))</f>
        <v>0</v>
      </c>
      <c r="M365">
        <f>'Raw Data'!O365</f>
        <v>0</v>
      </c>
      <c r="N365">
        <f>'Raw Data'!P365</f>
        <v>0</v>
      </c>
      <c r="O365">
        <f>'Raw Data'!Q365</f>
        <v>0</v>
      </c>
      <c r="P365">
        <f>'Raw Data'!R365</f>
        <v>0</v>
      </c>
      <c r="Q365">
        <f>'Raw Data'!S365</f>
        <v>0</v>
      </c>
      <c r="R365">
        <f>'Raw Data'!T365</f>
        <v>0</v>
      </c>
      <c r="S365">
        <f>IFERROR(O365,0)+IFERROR(R365,0)</f>
        <v>0</v>
      </c>
      <c r="T365">
        <f>IF(A365="","",YEAR(A365))</f>
        <v>0</v>
      </c>
    </row>
    <row r="366" spans="1:20">
      <c r="A366">
        <f>'Raw Data'!B366</f>
        <v>0</v>
      </c>
      <c r="B366">
        <f>'Raw Data'!A366</f>
        <v>0</v>
      </c>
      <c r="C366">
        <f>'Raw Data'!C366</f>
        <v>0</v>
      </c>
      <c r="D366">
        <f>'Raw Data'!D366</f>
        <v>0</v>
      </c>
      <c r="E366">
        <f>IFERROR(VLOOKUP(D366,'Lookup Tables'!$A:$B,2,FALSE),"Unknown")</f>
        <v>0</v>
      </c>
      <c r="F366">
        <f>'Raw Data'!E366</f>
        <v>0</v>
      </c>
      <c r="G366">
        <f>IFERROR(VLOOKUP(D366,'Lookup Tables'!$A:$C,3,FALSE),IF(ISNUMBER(SEARCH("STEEL",F366)),"Steel","Others"))</f>
        <v>0</v>
      </c>
      <c r="H366">
        <f>IF(ISNUMBER(SEARCH("scrubber",F366)) , "Scrubber", IF(ISNUMBER(SEARCH("container",F366)),"Container", IF(ISNUMBER(SEARCH("basket",F366)),"Basket", IF(ISNUMBER(SEARCH("lunch",F366)),"Lunch Box", IF(ISNUMBER(SEARCH("cutlery",F366)),"Cutlery","Other")))))</f>
        <v>0</v>
      </c>
      <c r="I366">
        <f>IF('Raw Data'!G366&lt;&gt;'','Raw Data'!G366,IFERROR(MID(F366,SEARCH("MODEL",F366)+6,20),""))</f>
        <v>0</v>
      </c>
      <c r="J366">
        <f>'Raw Data'!H366</f>
        <v>0</v>
      </c>
      <c r="K366">
        <f>'Raw Data'!I366</f>
        <v>0</v>
      </c>
      <c r="L366">
        <f>IF('Raw Data'!N366&lt;&gt;0,'Raw Data'!N366,IFERROR(VALUE(MID(F366,SEARCH("QTY",F366)+4,IFERROR(FIND(" ",F366,SEARCH("QTY",F366)+4)-(SEARCH("QTY",F366)+4),3))),""))</f>
        <v>0</v>
      </c>
      <c r="M366">
        <f>'Raw Data'!O366</f>
        <v>0</v>
      </c>
      <c r="N366">
        <f>'Raw Data'!P366</f>
        <v>0</v>
      </c>
      <c r="O366">
        <f>'Raw Data'!Q366</f>
        <v>0</v>
      </c>
      <c r="P366">
        <f>'Raw Data'!R366</f>
        <v>0</v>
      </c>
      <c r="Q366">
        <f>'Raw Data'!S366</f>
        <v>0</v>
      </c>
      <c r="R366">
        <f>'Raw Data'!T366</f>
        <v>0</v>
      </c>
      <c r="S366">
        <f>IFERROR(O366,0)+IFERROR(R366,0)</f>
        <v>0</v>
      </c>
      <c r="T366">
        <f>IF(A366="","",YEAR(A366))</f>
        <v>0</v>
      </c>
    </row>
    <row r="367" spans="1:20">
      <c r="A367">
        <f>'Raw Data'!B367</f>
        <v>0</v>
      </c>
      <c r="B367">
        <f>'Raw Data'!A367</f>
        <v>0</v>
      </c>
      <c r="C367">
        <f>'Raw Data'!C367</f>
        <v>0</v>
      </c>
      <c r="D367">
        <f>'Raw Data'!D367</f>
        <v>0</v>
      </c>
      <c r="E367">
        <f>IFERROR(VLOOKUP(D367,'Lookup Tables'!$A:$B,2,FALSE),"Unknown")</f>
        <v>0</v>
      </c>
      <c r="F367">
        <f>'Raw Data'!E367</f>
        <v>0</v>
      </c>
      <c r="G367">
        <f>IFERROR(VLOOKUP(D367,'Lookup Tables'!$A:$C,3,FALSE),IF(ISNUMBER(SEARCH("STEEL",F367)),"Steel","Others"))</f>
        <v>0</v>
      </c>
      <c r="H367">
        <f>IF(ISNUMBER(SEARCH("scrubber",F367)) , "Scrubber", IF(ISNUMBER(SEARCH("container",F367)),"Container", IF(ISNUMBER(SEARCH("basket",F367)),"Basket", IF(ISNUMBER(SEARCH("lunch",F367)),"Lunch Box", IF(ISNUMBER(SEARCH("cutlery",F367)),"Cutlery","Other")))))</f>
        <v>0</v>
      </c>
      <c r="I367">
        <f>IF('Raw Data'!G367&lt;&gt;'','Raw Data'!G367,IFERROR(MID(F367,SEARCH("MODEL",F367)+6,20),""))</f>
        <v>0</v>
      </c>
      <c r="J367">
        <f>'Raw Data'!H367</f>
        <v>0</v>
      </c>
      <c r="K367">
        <f>'Raw Data'!I367</f>
        <v>0</v>
      </c>
      <c r="L367">
        <f>IF('Raw Data'!N367&lt;&gt;0,'Raw Data'!N367,IFERROR(VALUE(MID(F367,SEARCH("QTY",F367)+4,IFERROR(FIND(" ",F367,SEARCH("QTY",F367)+4)-(SEARCH("QTY",F367)+4),3))),""))</f>
        <v>0</v>
      </c>
      <c r="M367">
        <f>'Raw Data'!O367</f>
        <v>0</v>
      </c>
      <c r="N367">
        <f>'Raw Data'!P367</f>
        <v>0</v>
      </c>
      <c r="O367">
        <f>'Raw Data'!Q367</f>
        <v>0</v>
      </c>
      <c r="P367">
        <f>'Raw Data'!R367</f>
        <v>0</v>
      </c>
      <c r="Q367">
        <f>'Raw Data'!S367</f>
        <v>0</v>
      </c>
      <c r="R367">
        <f>'Raw Data'!T367</f>
        <v>0</v>
      </c>
      <c r="S367">
        <f>IFERROR(O367,0)+IFERROR(R367,0)</f>
        <v>0</v>
      </c>
      <c r="T367">
        <f>IF(A367="","",YEAR(A367))</f>
        <v>0</v>
      </c>
    </row>
    <row r="368" spans="1:20">
      <c r="A368">
        <f>'Raw Data'!B368</f>
        <v>0</v>
      </c>
      <c r="B368">
        <f>'Raw Data'!A368</f>
        <v>0</v>
      </c>
      <c r="C368">
        <f>'Raw Data'!C368</f>
        <v>0</v>
      </c>
      <c r="D368">
        <f>'Raw Data'!D368</f>
        <v>0</v>
      </c>
      <c r="E368">
        <f>IFERROR(VLOOKUP(D368,'Lookup Tables'!$A:$B,2,FALSE),"Unknown")</f>
        <v>0</v>
      </c>
      <c r="F368">
        <f>'Raw Data'!E368</f>
        <v>0</v>
      </c>
      <c r="G368">
        <f>IFERROR(VLOOKUP(D368,'Lookup Tables'!$A:$C,3,FALSE),IF(ISNUMBER(SEARCH("STEEL",F368)),"Steel","Others"))</f>
        <v>0</v>
      </c>
      <c r="H368">
        <f>IF(ISNUMBER(SEARCH("scrubber",F368)) , "Scrubber", IF(ISNUMBER(SEARCH("container",F368)),"Container", IF(ISNUMBER(SEARCH("basket",F368)),"Basket", IF(ISNUMBER(SEARCH("lunch",F368)),"Lunch Box", IF(ISNUMBER(SEARCH("cutlery",F368)),"Cutlery","Other")))))</f>
        <v>0</v>
      </c>
      <c r="I368">
        <f>IF('Raw Data'!G368&lt;&gt;'','Raw Data'!G368,IFERROR(MID(F368,SEARCH("MODEL",F368)+6,20),""))</f>
        <v>0</v>
      </c>
      <c r="J368">
        <f>'Raw Data'!H368</f>
        <v>0</v>
      </c>
      <c r="K368">
        <f>'Raw Data'!I368</f>
        <v>0</v>
      </c>
      <c r="L368">
        <f>IF('Raw Data'!N368&lt;&gt;0,'Raw Data'!N368,IFERROR(VALUE(MID(F368,SEARCH("QTY",F368)+4,IFERROR(FIND(" ",F368,SEARCH("QTY",F368)+4)-(SEARCH("QTY",F368)+4),3))),""))</f>
        <v>0</v>
      </c>
      <c r="M368">
        <f>'Raw Data'!O368</f>
        <v>0</v>
      </c>
      <c r="N368">
        <f>'Raw Data'!P368</f>
        <v>0</v>
      </c>
      <c r="O368">
        <f>'Raw Data'!Q368</f>
        <v>0</v>
      </c>
      <c r="P368">
        <f>'Raw Data'!R368</f>
        <v>0</v>
      </c>
      <c r="Q368">
        <f>'Raw Data'!S368</f>
        <v>0</v>
      </c>
      <c r="R368">
        <f>'Raw Data'!T368</f>
        <v>0</v>
      </c>
      <c r="S368">
        <f>IFERROR(O368,0)+IFERROR(R368,0)</f>
        <v>0</v>
      </c>
      <c r="T368">
        <f>IF(A368="","",YEAR(A368))</f>
        <v>0</v>
      </c>
    </row>
    <row r="369" spans="1:20">
      <c r="A369">
        <f>'Raw Data'!B369</f>
        <v>0</v>
      </c>
      <c r="B369">
        <f>'Raw Data'!A369</f>
        <v>0</v>
      </c>
      <c r="C369">
        <f>'Raw Data'!C369</f>
        <v>0</v>
      </c>
      <c r="D369">
        <f>'Raw Data'!D369</f>
        <v>0</v>
      </c>
      <c r="E369">
        <f>IFERROR(VLOOKUP(D369,'Lookup Tables'!$A:$B,2,FALSE),"Unknown")</f>
        <v>0</v>
      </c>
      <c r="F369">
        <f>'Raw Data'!E369</f>
        <v>0</v>
      </c>
      <c r="G369">
        <f>IFERROR(VLOOKUP(D369,'Lookup Tables'!$A:$C,3,FALSE),IF(ISNUMBER(SEARCH("STEEL",F369)),"Steel","Others"))</f>
        <v>0</v>
      </c>
      <c r="H369">
        <f>IF(ISNUMBER(SEARCH("scrubber",F369)) , "Scrubber", IF(ISNUMBER(SEARCH("container",F369)),"Container", IF(ISNUMBER(SEARCH("basket",F369)),"Basket", IF(ISNUMBER(SEARCH("lunch",F369)),"Lunch Box", IF(ISNUMBER(SEARCH("cutlery",F369)),"Cutlery","Other")))))</f>
        <v>0</v>
      </c>
      <c r="I369">
        <f>IF('Raw Data'!G369&lt;&gt;'','Raw Data'!G369,IFERROR(MID(F369,SEARCH("MODEL",F369)+6,20),""))</f>
        <v>0</v>
      </c>
      <c r="J369">
        <f>'Raw Data'!H369</f>
        <v>0</v>
      </c>
      <c r="K369">
        <f>'Raw Data'!I369</f>
        <v>0</v>
      </c>
      <c r="L369">
        <f>IF('Raw Data'!N369&lt;&gt;0,'Raw Data'!N369,IFERROR(VALUE(MID(F369,SEARCH("QTY",F369)+4,IFERROR(FIND(" ",F369,SEARCH("QTY",F369)+4)-(SEARCH("QTY",F369)+4),3))),""))</f>
        <v>0</v>
      </c>
      <c r="M369">
        <f>'Raw Data'!O369</f>
        <v>0</v>
      </c>
      <c r="N369">
        <f>'Raw Data'!P369</f>
        <v>0</v>
      </c>
      <c r="O369">
        <f>'Raw Data'!Q369</f>
        <v>0</v>
      </c>
      <c r="P369">
        <f>'Raw Data'!R369</f>
        <v>0</v>
      </c>
      <c r="Q369">
        <f>'Raw Data'!S369</f>
        <v>0</v>
      </c>
      <c r="R369">
        <f>'Raw Data'!T369</f>
        <v>0</v>
      </c>
      <c r="S369">
        <f>IFERROR(O369,0)+IFERROR(R369,0)</f>
        <v>0</v>
      </c>
      <c r="T369">
        <f>IF(A369="","",YEAR(A369))</f>
        <v>0</v>
      </c>
    </row>
    <row r="370" spans="1:20">
      <c r="A370">
        <f>'Raw Data'!B370</f>
        <v>0</v>
      </c>
      <c r="B370">
        <f>'Raw Data'!A370</f>
        <v>0</v>
      </c>
      <c r="C370">
        <f>'Raw Data'!C370</f>
        <v>0</v>
      </c>
      <c r="D370">
        <f>'Raw Data'!D370</f>
        <v>0</v>
      </c>
      <c r="E370">
        <f>IFERROR(VLOOKUP(D370,'Lookup Tables'!$A:$B,2,FALSE),"Unknown")</f>
        <v>0</v>
      </c>
      <c r="F370">
        <f>'Raw Data'!E370</f>
        <v>0</v>
      </c>
      <c r="G370">
        <f>IFERROR(VLOOKUP(D370,'Lookup Tables'!$A:$C,3,FALSE),IF(ISNUMBER(SEARCH("STEEL",F370)),"Steel","Others"))</f>
        <v>0</v>
      </c>
      <c r="H370">
        <f>IF(ISNUMBER(SEARCH("scrubber",F370)) , "Scrubber", IF(ISNUMBER(SEARCH("container",F370)),"Container", IF(ISNUMBER(SEARCH("basket",F370)),"Basket", IF(ISNUMBER(SEARCH("lunch",F370)),"Lunch Box", IF(ISNUMBER(SEARCH("cutlery",F370)),"Cutlery","Other")))))</f>
        <v>0</v>
      </c>
      <c r="I370">
        <f>IF('Raw Data'!G370&lt;&gt;'','Raw Data'!G370,IFERROR(MID(F370,SEARCH("MODEL",F370)+6,20),""))</f>
        <v>0</v>
      </c>
      <c r="J370">
        <f>'Raw Data'!H370</f>
        <v>0</v>
      </c>
      <c r="K370">
        <f>'Raw Data'!I370</f>
        <v>0</v>
      </c>
      <c r="L370">
        <f>IF('Raw Data'!N370&lt;&gt;0,'Raw Data'!N370,IFERROR(VALUE(MID(F370,SEARCH("QTY",F370)+4,IFERROR(FIND(" ",F370,SEARCH("QTY",F370)+4)-(SEARCH("QTY",F370)+4),3))),""))</f>
        <v>0</v>
      </c>
      <c r="M370">
        <f>'Raw Data'!O370</f>
        <v>0</v>
      </c>
      <c r="N370">
        <f>'Raw Data'!P370</f>
        <v>0</v>
      </c>
      <c r="O370">
        <f>'Raw Data'!Q370</f>
        <v>0</v>
      </c>
      <c r="P370">
        <f>'Raw Data'!R370</f>
        <v>0</v>
      </c>
      <c r="Q370">
        <f>'Raw Data'!S370</f>
        <v>0</v>
      </c>
      <c r="R370">
        <f>'Raw Data'!T370</f>
        <v>0</v>
      </c>
      <c r="S370">
        <f>IFERROR(O370,0)+IFERROR(R370,0)</f>
        <v>0</v>
      </c>
      <c r="T370">
        <f>IF(A370="","",YEAR(A370))</f>
        <v>0</v>
      </c>
    </row>
    <row r="371" spans="1:20">
      <c r="A371">
        <f>'Raw Data'!B371</f>
        <v>0</v>
      </c>
      <c r="B371">
        <f>'Raw Data'!A371</f>
        <v>0</v>
      </c>
      <c r="C371">
        <f>'Raw Data'!C371</f>
        <v>0</v>
      </c>
      <c r="D371">
        <f>'Raw Data'!D371</f>
        <v>0</v>
      </c>
      <c r="E371">
        <f>IFERROR(VLOOKUP(D371,'Lookup Tables'!$A:$B,2,FALSE),"Unknown")</f>
        <v>0</v>
      </c>
      <c r="F371">
        <f>'Raw Data'!E371</f>
        <v>0</v>
      </c>
      <c r="G371">
        <f>IFERROR(VLOOKUP(D371,'Lookup Tables'!$A:$C,3,FALSE),IF(ISNUMBER(SEARCH("STEEL",F371)),"Steel","Others"))</f>
        <v>0</v>
      </c>
      <c r="H371">
        <f>IF(ISNUMBER(SEARCH("scrubber",F371)) , "Scrubber", IF(ISNUMBER(SEARCH("container",F371)),"Container", IF(ISNUMBER(SEARCH("basket",F371)),"Basket", IF(ISNUMBER(SEARCH("lunch",F371)),"Lunch Box", IF(ISNUMBER(SEARCH("cutlery",F371)),"Cutlery","Other")))))</f>
        <v>0</v>
      </c>
      <c r="I371">
        <f>IF('Raw Data'!G371&lt;&gt;'','Raw Data'!G371,IFERROR(MID(F371,SEARCH("MODEL",F371)+6,20),""))</f>
        <v>0</v>
      </c>
      <c r="J371">
        <f>'Raw Data'!H371</f>
        <v>0</v>
      </c>
      <c r="K371">
        <f>'Raw Data'!I371</f>
        <v>0</v>
      </c>
      <c r="L371">
        <f>IF('Raw Data'!N371&lt;&gt;0,'Raw Data'!N371,IFERROR(VALUE(MID(F371,SEARCH("QTY",F371)+4,IFERROR(FIND(" ",F371,SEARCH("QTY",F371)+4)-(SEARCH("QTY",F371)+4),3))),""))</f>
        <v>0</v>
      </c>
      <c r="M371">
        <f>'Raw Data'!O371</f>
        <v>0</v>
      </c>
      <c r="N371">
        <f>'Raw Data'!P371</f>
        <v>0</v>
      </c>
      <c r="O371">
        <f>'Raw Data'!Q371</f>
        <v>0</v>
      </c>
      <c r="P371">
        <f>'Raw Data'!R371</f>
        <v>0</v>
      </c>
      <c r="Q371">
        <f>'Raw Data'!S371</f>
        <v>0</v>
      </c>
      <c r="R371">
        <f>'Raw Data'!T371</f>
        <v>0</v>
      </c>
      <c r="S371">
        <f>IFERROR(O371,0)+IFERROR(R371,0)</f>
        <v>0</v>
      </c>
      <c r="T371">
        <f>IF(A371="","",YEAR(A371))</f>
        <v>0</v>
      </c>
    </row>
    <row r="372" spans="1:20">
      <c r="A372">
        <f>'Raw Data'!B372</f>
        <v>0</v>
      </c>
      <c r="B372">
        <f>'Raw Data'!A372</f>
        <v>0</v>
      </c>
      <c r="C372">
        <f>'Raw Data'!C372</f>
        <v>0</v>
      </c>
      <c r="D372">
        <f>'Raw Data'!D372</f>
        <v>0</v>
      </c>
      <c r="E372">
        <f>IFERROR(VLOOKUP(D372,'Lookup Tables'!$A:$B,2,FALSE),"Unknown")</f>
        <v>0</v>
      </c>
      <c r="F372">
        <f>'Raw Data'!E372</f>
        <v>0</v>
      </c>
      <c r="G372">
        <f>IFERROR(VLOOKUP(D372,'Lookup Tables'!$A:$C,3,FALSE),IF(ISNUMBER(SEARCH("STEEL",F372)),"Steel","Others"))</f>
        <v>0</v>
      </c>
      <c r="H372">
        <f>IF(ISNUMBER(SEARCH("scrubber",F372)) , "Scrubber", IF(ISNUMBER(SEARCH("container",F372)),"Container", IF(ISNUMBER(SEARCH("basket",F372)),"Basket", IF(ISNUMBER(SEARCH("lunch",F372)),"Lunch Box", IF(ISNUMBER(SEARCH("cutlery",F372)),"Cutlery","Other")))))</f>
        <v>0</v>
      </c>
      <c r="I372">
        <f>IF('Raw Data'!G372&lt;&gt;'','Raw Data'!G372,IFERROR(MID(F372,SEARCH("MODEL",F372)+6,20),""))</f>
        <v>0</v>
      </c>
      <c r="J372">
        <f>'Raw Data'!H372</f>
        <v>0</v>
      </c>
      <c r="K372">
        <f>'Raw Data'!I372</f>
        <v>0</v>
      </c>
      <c r="L372">
        <f>IF('Raw Data'!N372&lt;&gt;0,'Raw Data'!N372,IFERROR(VALUE(MID(F372,SEARCH("QTY",F372)+4,IFERROR(FIND(" ",F372,SEARCH("QTY",F372)+4)-(SEARCH("QTY",F372)+4),3))),""))</f>
        <v>0</v>
      </c>
      <c r="M372">
        <f>'Raw Data'!O372</f>
        <v>0</v>
      </c>
      <c r="N372">
        <f>'Raw Data'!P372</f>
        <v>0</v>
      </c>
      <c r="O372">
        <f>'Raw Data'!Q372</f>
        <v>0</v>
      </c>
      <c r="P372">
        <f>'Raw Data'!R372</f>
        <v>0</v>
      </c>
      <c r="Q372">
        <f>'Raw Data'!S372</f>
        <v>0</v>
      </c>
      <c r="R372">
        <f>'Raw Data'!T372</f>
        <v>0</v>
      </c>
      <c r="S372">
        <f>IFERROR(O372,0)+IFERROR(R372,0)</f>
        <v>0</v>
      </c>
      <c r="T372">
        <f>IF(A372="","",YEAR(A372))</f>
        <v>0</v>
      </c>
    </row>
    <row r="373" spans="1:20">
      <c r="A373">
        <f>'Raw Data'!B373</f>
        <v>0</v>
      </c>
      <c r="B373">
        <f>'Raw Data'!A373</f>
        <v>0</v>
      </c>
      <c r="C373">
        <f>'Raw Data'!C373</f>
        <v>0</v>
      </c>
      <c r="D373">
        <f>'Raw Data'!D373</f>
        <v>0</v>
      </c>
      <c r="E373">
        <f>IFERROR(VLOOKUP(D373,'Lookup Tables'!$A:$B,2,FALSE),"Unknown")</f>
        <v>0</v>
      </c>
      <c r="F373">
        <f>'Raw Data'!E373</f>
        <v>0</v>
      </c>
      <c r="G373">
        <f>IFERROR(VLOOKUP(D373,'Lookup Tables'!$A:$C,3,FALSE),IF(ISNUMBER(SEARCH("STEEL",F373)),"Steel","Others"))</f>
        <v>0</v>
      </c>
      <c r="H373">
        <f>IF(ISNUMBER(SEARCH("scrubber",F373)) , "Scrubber", IF(ISNUMBER(SEARCH("container",F373)),"Container", IF(ISNUMBER(SEARCH("basket",F373)),"Basket", IF(ISNUMBER(SEARCH("lunch",F373)),"Lunch Box", IF(ISNUMBER(SEARCH("cutlery",F373)),"Cutlery","Other")))))</f>
        <v>0</v>
      </c>
      <c r="I373">
        <f>IF('Raw Data'!G373&lt;&gt;'','Raw Data'!G373,IFERROR(MID(F373,SEARCH("MODEL",F373)+6,20),""))</f>
        <v>0</v>
      </c>
      <c r="J373">
        <f>'Raw Data'!H373</f>
        <v>0</v>
      </c>
      <c r="K373">
        <f>'Raw Data'!I373</f>
        <v>0</v>
      </c>
      <c r="L373">
        <f>IF('Raw Data'!N373&lt;&gt;0,'Raw Data'!N373,IFERROR(VALUE(MID(F373,SEARCH("QTY",F373)+4,IFERROR(FIND(" ",F373,SEARCH("QTY",F373)+4)-(SEARCH("QTY",F373)+4),3))),""))</f>
        <v>0</v>
      </c>
      <c r="M373">
        <f>'Raw Data'!O373</f>
        <v>0</v>
      </c>
      <c r="N373">
        <f>'Raw Data'!P373</f>
        <v>0</v>
      </c>
      <c r="O373">
        <f>'Raw Data'!Q373</f>
        <v>0</v>
      </c>
      <c r="P373">
        <f>'Raw Data'!R373</f>
        <v>0</v>
      </c>
      <c r="Q373">
        <f>'Raw Data'!S373</f>
        <v>0</v>
      </c>
      <c r="R373">
        <f>'Raw Data'!T373</f>
        <v>0</v>
      </c>
      <c r="S373">
        <f>IFERROR(O373,0)+IFERROR(R373,0)</f>
        <v>0</v>
      </c>
      <c r="T373">
        <f>IF(A373="","",YEAR(A373))</f>
        <v>0</v>
      </c>
    </row>
    <row r="374" spans="1:20">
      <c r="A374">
        <f>'Raw Data'!B374</f>
        <v>0</v>
      </c>
      <c r="B374">
        <f>'Raw Data'!A374</f>
        <v>0</v>
      </c>
      <c r="C374">
        <f>'Raw Data'!C374</f>
        <v>0</v>
      </c>
      <c r="D374">
        <f>'Raw Data'!D374</f>
        <v>0</v>
      </c>
      <c r="E374">
        <f>IFERROR(VLOOKUP(D374,'Lookup Tables'!$A:$B,2,FALSE),"Unknown")</f>
        <v>0</v>
      </c>
      <c r="F374">
        <f>'Raw Data'!E374</f>
        <v>0</v>
      </c>
      <c r="G374">
        <f>IFERROR(VLOOKUP(D374,'Lookup Tables'!$A:$C,3,FALSE),IF(ISNUMBER(SEARCH("STEEL",F374)),"Steel","Others"))</f>
        <v>0</v>
      </c>
      <c r="H374">
        <f>IF(ISNUMBER(SEARCH("scrubber",F374)) , "Scrubber", IF(ISNUMBER(SEARCH("container",F374)),"Container", IF(ISNUMBER(SEARCH("basket",F374)),"Basket", IF(ISNUMBER(SEARCH("lunch",F374)),"Lunch Box", IF(ISNUMBER(SEARCH("cutlery",F374)),"Cutlery","Other")))))</f>
        <v>0</v>
      </c>
      <c r="I374">
        <f>IF('Raw Data'!G374&lt;&gt;'','Raw Data'!G374,IFERROR(MID(F374,SEARCH("MODEL",F374)+6,20),""))</f>
        <v>0</v>
      </c>
      <c r="J374">
        <f>'Raw Data'!H374</f>
        <v>0</v>
      </c>
      <c r="K374">
        <f>'Raw Data'!I374</f>
        <v>0</v>
      </c>
      <c r="L374">
        <f>IF('Raw Data'!N374&lt;&gt;0,'Raw Data'!N374,IFERROR(VALUE(MID(F374,SEARCH("QTY",F374)+4,IFERROR(FIND(" ",F374,SEARCH("QTY",F374)+4)-(SEARCH("QTY",F374)+4),3))),""))</f>
        <v>0</v>
      </c>
      <c r="M374">
        <f>'Raw Data'!O374</f>
        <v>0</v>
      </c>
      <c r="N374">
        <f>'Raw Data'!P374</f>
        <v>0</v>
      </c>
      <c r="O374">
        <f>'Raw Data'!Q374</f>
        <v>0</v>
      </c>
      <c r="P374">
        <f>'Raw Data'!R374</f>
        <v>0</v>
      </c>
      <c r="Q374">
        <f>'Raw Data'!S374</f>
        <v>0</v>
      </c>
      <c r="R374">
        <f>'Raw Data'!T374</f>
        <v>0</v>
      </c>
      <c r="S374">
        <f>IFERROR(O374,0)+IFERROR(R374,0)</f>
        <v>0</v>
      </c>
      <c r="T374">
        <f>IF(A374="","",YEAR(A374))</f>
        <v>0</v>
      </c>
    </row>
    <row r="375" spans="1:20">
      <c r="A375">
        <f>'Raw Data'!B375</f>
        <v>0</v>
      </c>
      <c r="B375">
        <f>'Raw Data'!A375</f>
        <v>0</v>
      </c>
      <c r="C375">
        <f>'Raw Data'!C375</f>
        <v>0</v>
      </c>
      <c r="D375">
        <f>'Raw Data'!D375</f>
        <v>0</v>
      </c>
      <c r="E375">
        <f>IFERROR(VLOOKUP(D375,'Lookup Tables'!$A:$B,2,FALSE),"Unknown")</f>
        <v>0</v>
      </c>
      <c r="F375">
        <f>'Raw Data'!E375</f>
        <v>0</v>
      </c>
      <c r="G375">
        <f>IFERROR(VLOOKUP(D375,'Lookup Tables'!$A:$C,3,FALSE),IF(ISNUMBER(SEARCH("STEEL",F375)),"Steel","Others"))</f>
        <v>0</v>
      </c>
      <c r="H375">
        <f>IF(ISNUMBER(SEARCH("scrubber",F375)) , "Scrubber", IF(ISNUMBER(SEARCH("container",F375)),"Container", IF(ISNUMBER(SEARCH("basket",F375)),"Basket", IF(ISNUMBER(SEARCH("lunch",F375)),"Lunch Box", IF(ISNUMBER(SEARCH("cutlery",F375)),"Cutlery","Other")))))</f>
        <v>0</v>
      </c>
      <c r="I375">
        <f>IF('Raw Data'!G375&lt;&gt;'','Raw Data'!G375,IFERROR(MID(F375,SEARCH("MODEL",F375)+6,20),""))</f>
        <v>0</v>
      </c>
      <c r="J375">
        <f>'Raw Data'!H375</f>
        <v>0</v>
      </c>
      <c r="K375">
        <f>'Raw Data'!I375</f>
        <v>0</v>
      </c>
      <c r="L375">
        <f>IF('Raw Data'!N375&lt;&gt;0,'Raw Data'!N375,IFERROR(VALUE(MID(F375,SEARCH("QTY",F375)+4,IFERROR(FIND(" ",F375,SEARCH("QTY",F375)+4)-(SEARCH("QTY",F375)+4),3))),""))</f>
        <v>0</v>
      </c>
      <c r="M375">
        <f>'Raw Data'!O375</f>
        <v>0</v>
      </c>
      <c r="N375">
        <f>'Raw Data'!P375</f>
        <v>0</v>
      </c>
      <c r="O375">
        <f>'Raw Data'!Q375</f>
        <v>0</v>
      </c>
      <c r="P375">
        <f>'Raw Data'!R375</f>
        <v>0</v>
      </c>
      <c r="Q375">
        <f>'Raw Data'!S375</f>
        <v>0</v>
      </c>
      <c r="R375">
        <f>'Raw Data'!T375</f>
        <v>0</v>
      </c>
      <c r="S375">
        <f>IFERROR(O375,0)+IFERROR(R375,0)</f>
        <v>0</v>
      </c>
      <c r="T375">
        <f>IF(A375="","",YEAR(A375))</f>
        <v>0</v>
      </c>
    </row>
    <row r="376" spans="1:20">
      <c r="A376">
        <f>'Raw Data'!B376</f>
        <v>0</v>
      </c>
      <c r="B376">
        <f>'Raw Data'!A376</f>
        <v>0</v>
      </c>
      <c r="C376">
        <f>'Raw Data'!C376</f>
        <v>0</v>
      </c>
      <c r="D376">
        <f>'Raw Data'!D376</f>
        <v>0</v>
      </c>
      <c r="E376">
        <f>IFERROR(VLOOKUP(D376,'Lookup Tables'!$A:$B,2,FALSE),"Unknown")</f>
        <v>0</v>
      </c>
      <c r="F376">
        <f>'Raw Data'!E376</f>
        <v>0</v>
      </c>
      <c r="G376">
        <f>IFERROR(VLOOKUP(D376,'Lookup Tables'!$A:$C,3,FALSE),IF(ISNUMBER(SEARCH("STEEL",F376)),"Steel","Others"))</f>
        <v>0</v>
      </c>
      <c r="H376">
        <f>IF(ISNUMBER(SEARCH("scrubber",F376)) , "Scrubber", IF(ISNUMBER(SEARCH("container",F376)),"Container", IF(ISNUMBER(SEARCH("basket",F376)),"Basket", IF(ISNUMBER(SEARCH("lunch",F376)),"Lunch Box", IF(ISNUMBER(SEARCH("cutlery",F376)),"Cutlery","Other")))))</f>
        <v>0</v>
      </c>
      <c r="I376">
        <f>IF('Raw Data'!G376&lt;&gt;'','Raw Data'!G376,IFERROR(MID(F376,SEARCH("MODEL",F376)+6,20),""))</f>
        <v>0</v>
      </c>
      <c r="J376">
        <f>'Raw Data'!H376</f>
        <v>0</v>
      </c>
      <c r="K376">
        <f>'Raw Data'!I376</f>
        <v>0</v>
      </c>
      <c r="L376">
        <f>IF('Raw Data'!N376&lt;&gt;0,'Raw Data'!N376,IFERROR(VALUE(MID(F376,SEARCH("QTY",F376)+4,IFERROR(FIND(" ",F376,SEARCH("QTY",F376)+4)-(SEARCH("QTY",F376)+4),3))),""))</f>
        <v>0</v>
      </c>
      <c r="M376">
        <f>'Raw Data'!O376</f>
        <v>0</v>
      </c>
      <c r="N376">
        <f>'Raw Data'!P376</f>
        <v>0</v>
      </c>
      <c r="O376">
        <f>'Raw Data'!Q376</f>
        <v>0</v>
      </c>
      <c r="P376">
        <f>'Raw Data'!R376</f>
        <v>0</v>
      </c>
      <c r="Q376">
        <f>'Raw Data'!S376</f>
        <v>0</v>
      </c>
      <c r="R376">
        <f>'Raw Data'!T376</f>
        <v>0</v>
      </c>
      <c r="S376">
        <f>IFERROR(O376,0)+IFERROR(R376,0)</f>
        <v>0</v>
      </c>
      <c r="T376">
        <f>IF(A376="","",YEAR(A376))</f>
        <v>0</v>
      </c>
    </row>
    <row r="377" spans="1:20">
      <c r="A377">
        <f>'Raw Data'!B377</f>
        <v>0</v>
      </c>
      <c r="B377">
        <f>'Raw Data'!A377</f>
        <v>0</v>
      </c>
      <c r="C377">
        <f>'Raw Data'!C377</f>
        <v>0</v>
      </c>
      <c r="D377">
        <f>'Raw Data'!D377</f>
        <v>0</v>
      </c>
      <c r="E377">
        <f>IFERROR(VLOOKUP(D377,'Lookup Tables'!$A:$B,2,FALSE),"Unknown")</f>
        <v>0</v>
      </c>
      <c r="F377">
        <f>'Raw Data'!E377</f>
        <v>0</v>
      </c>
      <c r="G377">
        <f>IFERROR(VLOOKUP(D377,'Lookup Tables'!$A:$C,3,FALSE),IF(ISNUMBER(SEARCH("STEEL",F377)),"Steel","Others"))</f>
        <v>0</v>
      </c>
      <c r="H377">
        <f>IF(ISNUMBER(SEARCH("scrubber",F377)) , "Scrubber", IF(ISNUMBER(SEARCH("container",F377)),"Container", IF(ISNUMBER(SEARCH("basket",F377)),"Basket", IF(ISNUMBER(SEARCH("lunch",F377)),"Lunch Box", IF(ISNUMBER(SEARCH("cutlery",F377)),"Cutlery","Other")))))</f>
        <v>0</v>
      </c>
      <c r="I377">
        <f>IF('Raw Data'!G377&lt;&gt;'','Raw Data'!G377,IFERROR(MID(F377,SEARCH("MODEL",F377)+6,20),""))</f>
        <v>0</v>
      </c>
      <c r="J377">
        <f>'Raw Data'!H377</f>
        <v>0</v>
      </c>
      <c r="K377">
        <f>'Raw Data'!I377</f>
        <v>0</v>
      </c>
      <c r="L377">
        <f>IF('Raw Data'!N377&lt;&gt;0,'Raw Data'!N377,IFERROR(VALUE(MID(F377,SEARCH("QTY",F377)+4,IFERROR(FIND(" ",F377,SEARCH("QTY",F377)+4)-(SEARCH("QTY",F377)+4),3))),""))</f>
        <v>0</v>
      </c>
      <c r="M377">
        <f>'Raw Data'!O377</f>
        <v>0</v>
      </c>
      <c r="N377">
        <f>'Raw Data'!P377</f>
        <v>0</v>
      </c>
      <c r="O377">
        <f>'Raw Data'!Q377</f>
        <v>0</v>
      </c>
      <c r="P377">
        <f>'Raw Data'!R377</f>
        <v>0</v>
      </c>
      <c r="Q377">
        <f>'Raw Data'!S377</f>
        <v>0</v>
      </c>
      <c r="R377">
        <f>'Raw Data'!T377</f>
        <v>0</v>
      </c>
      <c r="S377">
        <f>IFERROR(O377,0)+IFERROR(R377,0)</f>
        <v>0</v>
      </c>
      <c r="T377">
        <f>IF(A377="","",YEAR(A377))</f>
        <v>0</v>
      </c>
    </row>
    <row r="378" spans="1:20">
      <c r="A378">
        <f>'Raw Data'!B378</f>
        <v>0</v>
      </c>
      <c r="B378">
        <f>'Raw Data'!A378</f>
        <v>0</v>
      </c>
      <c r="C378">
        <f>'Raw Data'!C378</f>
        <v>0</v>
      </c>
      <c r="D378">
        <f>'Raw Data'!D378</f>
        <v>0</v>
      </c>
      <c r="E378">
        <f>IFERROR(VLOOKUP(D378,'Lookup Tables'!$A:$B,2,FALSE),"Unknown")</f>
        <v>0</v>
      </c>
      <c r="F378">
        <f>'Raw Data'!E378</f>
        <v>0</v>
      </c>
      <c r="G378">
        <f>IFERROR(VLOOKUP(D378,'Lookup Tables'!$A:$C,3,FALSE),IF(ISNUMBER(SEARCH("STEEL",F378)),"Steel","Others"))</f>
        <v>0</v>
      </c>
      <c r="H378">
        <f>IF(ISNUMBER(SEARCH("scrubber",F378)) , "Scrubber", IF(ISNUMBER(SEARCH("container",F378)),"Container", IF(ISNUMBER(SEARCH("basket",F378)),"Basket", IF(ISNUMBER(SEARCH("lunch",F378)),"Lunch Box", IF(ISNUMBER(SEARCH("cutlery",F378)),"Cutlery","Other")))))</f>
        <v>0</v>
      </c>
      <c r="I378">
        <f>IF('Raw Data'!G378&lt;&gt;'','Raw Data'!G378,IFERROR(MID(F378,SEARCH("MODEL",F378)+6,20),""))</f>
        <v>0</v>
      </c>
      <c r="J378">
        <f>'Raw Data'!H378</f>
        <v>0</v>
      </c>
      <c r="K378">
        <f>'Raw Data'!I378</f>
        <v>0</v>
      </c>
      <c r="L378">
        <f>IF('Raw Data'!N378&lt;&gt;0,'Raw Data'!N378,IFERROR(VALUE(MID(F378,SEARCH("QTY",F378)+4,IFERROR(FIND(" ",F378,SEARCH("QTY",F378)+4)-(SEARCH("QTY",F378)+4),3))),""))</f>
        <v>0</v>
      </c>
      <c r="M378">
        <f>'Raw Data'!O378</f>
        <v>0</v>
      </c>
      <c r="N378">
        <f>'Raw Data'!P378</f>
        <v>0</v>
      </c>
      <c r="O378">
        <f>'Raw Data'!Q378</f>
        <v>0</v>
      </c>
      <c r="P378">
        <f>'Raw Data'!R378</f>
        <v>0</v>
      </c>
      <c r="Q378">
        <f>'Raw Data'!S378</f>
        <v>0</v>
      </c>
      <c r="R378">
        <f>'Raw Data'!T378</f>
        <v>0</v>
      </c>
      <c r="S378">
        <f>IFERROR(O378,0)+IFERROR(R378,0)</f>
        <v>0</v>
      </c>
      <c r="T378">
        <f>IF(A378="","",YEAR(A378))</f>
        <v>0</v>
      </c>
    </row>
    <row r="379" spans="1:20">
      <c r="A379">
        <f>'Raw Data'!B379</f>
        <v>0</v>
      </c>
      <c r="B379">
        <f>'Raw Data'!A379</f>
        <v>0</v>
      </c>
      <c r="C379">
        <f>'Raw Data'!C379</f>
        <v>0</v>
      </c>
      <c r="D379">
        <f>'Raw Data'!D379</f>
        <v>0</v>
      </c>
      <c r="E379">
        <f>IFERROR(VLOOKUP(D379,'Lookup Tables'!$A:$B,2,FALSE),"Unknown")</f>
        <v>0</v>
      </c>
      <c r="F379">
        <f>'Raw Data'!E379</f>
        <v>0</v>
      </c>
      <c r="G379">
        <f>IFERROR(VLOOKUP(D379,'Lookup Tables'!$A:$C,3,FALSE),IF(ISNUMBER(SEARCH("STEEL",F379)),"Steel","Others"))</f>
        <v>0</v>
      </c>
      <c r="H379">
        <f>IF(ISNUMBER(SEARCH("scrubber",F379)) , "Scrubber", IF(ISNUMBER(SEARCH("container",F379)),"Container", IF(ISNUMBER(SEARCH("basket",F379)),"Basket", IF(ISNUMBER(SEARCH("lunch",F379)),"Lunch Box", IF(ISNUMBER(SEARCH("cutlery",F379)),"Cutlery","Other")))))</f>
        <v>0</v>
      </c>
      <c r="I379">
        <f>IF('Raw Data'!G379&lt;&gt;'','Raw Data'!G379,IFERROR(MID(F379,SEARCH("MODEL",F379)+6,20),""))</f>
        <v>0</v>
      </c>
      <c r="J379">
        <f>'Raw Data'!H379</f>
        <v>0</v>
      </c>
      <c r="K379">
        <f>'Raw Data'!I379</f>
        <v>0</v>
      </c>
      <c r="L379">
        <f>IF('Raw Data'!N379&lt;&gt;0,'Raw Data'!N379,IFERROR(VALUE(MID(F379,SEARCH("QTY",F379)+4,IFERROR(FIND(" ",F379,SEARCH("QTY",F379)+4)-(SEARCH("QTY",F379)+4),3))),""))</f>
        <v>0</v>
      </c>
      <c r="M379">
        <f>'Raw Data'!O379</f>
        <v>0</v>
      </c>
      <c r="N379">
        <f>'Raw Data'!P379</f>
        <v>0</v>
      </c>
      <c r="O379">
        <f>'Raw Data'!Q379</f>
        <v>0</v>
      </c>
      <c r="P379">
        <f>'Raw Data'!R379</f>
        <v>0</v>
      </c>
      <c r="Q379">
        <f>'Raw Data'!S379</f>
        <v>0</v>
      </c>
      <c r="R379">
        <f>'Raw Data'!T379</f>
        <v>0</v>
      </c>
      <c r="S379">
        <f>IFERROR(O379,0)+IFERROR(R379,0)</f>
        <v>0</v>
      </c>
      <c r="T379">
        <f>IF(A379="","",YEAR(A379))</f>
        <v>0</v>
      </c>
    </row>
    <row r="380" spans="1:20">
      <c r="A380">
        <f>'Raw Data'!B380</f>
        <v>0</v>
      </c>
      <c r="B380">
        <f>'Raw Data'!A380</f>
        <v>0</v>
      </c>
      <c r="C380">
        <f>'Raw Data'!C380</f>
        <v>0</v>
      </c>
      <c r="D380">
        <f>'Raw Data'!D380</f>
        <v>0</v>
      </c>
      <c r="E380">
        <f>IFERROR(VLOOKUP(D380,'Lookup Tables'!$A:$B,2,FALSE),"Unknown")</f>
        <v>0</v>
      </c>
      <c r="F380">
        <f>'Raw Data'!E380</f>
        <v>0</v>
      </c>
      <c r="G380">
        <f>IFERROR(VLOOKUP(D380,'Lookup Tables'!$A:$C,3,FALSE),IF(ISNUMBER(SEARCH("STEEL",F380)),"Steel","Others"))</f>
        <v>0</v>
      </c>
      <c r="H380">
        <f>IF(ISNUMBER(SEARCH("scrubber",F380)) , "Scrubber", IF(ISNUMBER(SEARCH("container",F380)),"Container", IF(ISNUMBER(SEARCH("basket",F380)),"Basket", IF(ISNUMBER(SEARCH("lunch",F380)),"Lunch Box", IF(ISNUMBER(SEARCH("cutlery",F380)),"Cutlery","Other")))))</f>
        <v>0</v>
      </c>
      <c r="I380">
        <f>IF('Raw Data'!G380&lt;&gt;'','Raw Data'!G380,IFERROR(MID(F380,SEARCH("MODEL",F380)+6,20),""))</f>
        <v>0</v>
      </c>
      <c r="J380">
        <f>'Raw Data'!H380</f>
        <v>0</v>
      </c>
      <c r="K380">
        <f>'Raw Data'!I380</f>
        <v>0</v>
      </c>
      <c r="L380">
        <f>IF('Raw Data'!N380&lt;&gt;0,'Raw Data'!N380,IFERROR(VALUE(MID(F380,SEARCH("QTY",F380)+4,IFERROR(FIND(" ",F380,SEARCH("QTY",F380)+4)-(SEARCH("QTY",F380)+4),3))),""))</f>
        <v>0</v>
      </c>
      <c r="M380">
        <f>'Raw Data'!O380</f>
        <v>0</v>
      </c>
      <c r="N380">
        <f>'Raw Data'!P380</f>
        <v>0</v>
      </c>
      <c r="O380">
        <f>'Raw Data'!Q380</f>
        <v>0</v>
      </c>
      <c r="P380">
        <f>'Raw Data'!R380</f>
        <v>0</v>
      </c>
      <c r="Q380">
        <f>'Raw Data'!S380</f>
        <v>0</v>
      </c>
      <c r="R380">
        <f>'Raw Data'!T380</f>
        <v>0</v>
      </c>
      <c r="S380">
        <f>IFERROR(O380,0)+IFERROR(R380,0)</f>
        <v>0</v>
      </c>
      <c r="T380">
        <f>IF(A380="","",YEAR(A380))</f>
        <v>0</v>
      </c>
    </row>
    <row r="381" spans="1:20">
      <c r="A381">
        <f>'Raw Data'!B381</f>
        <v>0</v>
      </c>
      <c r="B381">
        <f>'Raw Data'!A381</f>
        <v>0</v>
      </c>
      <c r="C381">
        <f>'Raw Data'!C381</f>
        <v>0</v>
      </c>
      <c r="D381">
        <f>'Raw Data'!D381</f>
        <v>0</v>
      </c>
      <c r="E381">
        <f>IFERROR(VLOOKUP(D381,'Lookup Tables'!$A:$B,2,FALSE),"Unknown")</f>
        <v>0</v>
      </c>
      <c r="F381">
        <f>'Raw Data'!E381</f>
        <v>0</v>
      </c>
      <c r="G381">
        <f>IFERROR(VLOOKUP(D381,'Lookup Tables'!$A:$C,3,FALSE),IF(ISNUMBER(SEARCH("STEEL",F381)),"Steel","Others"))</f>
        <v>0</v>
      </c>
      <c r="H381">
        <f>IF(ISNUMBER(SEARCH("scrubber",F381)) , "Scrubber", IF(ISNUMBER(SEARCH("container",F381)),"Container", IF(ISNUMBER(SEARCH("basket",F381)),"Basket", IF(ISNUMBER(SEARCH("lunch",F381)),"Lunch Box", IF(ISNUMBER(SEARCH("cutlery",F381)),"Cutlery","Other")))))</f>
        <v>0</v>
      </c>
      <c r="I381">
        <f>IF('Raw Data'!G381&lt;&gt;'','Raw Data'!G381,IFERROR(MID(F381,SEARCH("MODEL",F381)+6,20),""))</f>
        <v>0</v>
      </c>
      <c r="J381">
        <f>'Raw Data'!H381</f>
        <v>0</v>
      </c>
      <c r="K381">
        <f>'Raw Data'!I381</f>
        <v>0</v>
      </c>
      <c r="L381">
        <f>IF('Raw Data'!N381&lt;&gt;0,'Raw Data'!N381,IFERROR(VALUE(MID(F381,SEARCH("QTY",F381)+4,IFERROR(FIND(" ",F381,SEARCH("QTY",F381)+4)-(SEARCH("QTY",F381)+4),3))),""))</f>
        <v>0</v>
      </c>
      <c r="M381">
        <f>'Raw Data'!O381</f>
        <v>0</v>
      </c>
      <c r="N381">
        <f>'Raw Data'!P381</f>
        <v>0</v>
      </c>
      <c r="O381">
        <f>'Raw Data'!Q381</f>
        <v>0</v>
      </c>
      <c r="P381">
        <f>'Raw Data'!R381</f>
        <v>0</v>
      </c>
      <c r="Q381">
        <f>'Raw Data'!S381</f>
        <v>0</v>
      </c>
      <c r="R381">
        <f>'Raw Data'!T381</f>
        <v>0</v>
      </c>
      <c r="S381">
        <f>IFERROR(O381,0)+IFERROR(R381,0)</f>
        <v>0</v>
      </c>
      <c r="T381">
        <f>IF(A381="","",YEAR(A381))</f>
        <v>0</v>
      </c>
    </row>
    <row r="382" spans="1:20">
      <c r="A382">
        <f>'Raw Data'!B382</f>
        <v>0</v>
      </c>
      <c r="B382">
        <f>'Raw Data'!A382</f>
        <v>0</v>
      </c>
      <c r="C382">
        <f>'Raw Data'!C382</f>
        <v>0</v>
      </c>
      <c r="D382">
        <f>'Raw Data'!D382</f>
        <v>0</v>
      </c>
      <c r="E382">
        <f>IFERROR(VLOOKUP(D382,'Lookup Tables'!$A:$B,2,FALSE),"Unknown")</f>
        <v>0</v>
      </c>
      <c r="F382">
        <f>'Raw Data'!E382</f>
        <v>0</v>
      </c>
      <c r="G382">
        <f>IFERROR(VLOOKUP(D382,'Lookup Tables'!$A:$C,3,FALSE),IF(ISNUMBER(SEARCH("STEEL",F382)),"Steel","Others"))</f>
        <v>0</v>
      </c>
      <c r="H382">
        <f>IF(ISNUMBER(SEARCH("scrubber",F382)) , "Scrubber", IF(ISNUMBER(SEARCH("container",F382)),"Container", IF(ISNUMBER(SEARCH("basket",F382)),"Basket", IF(ISNUMBER(SEARCH("lunch",F382)),"Lunch Box", IF(ISNUMBER(SEARCH("cutlery",F382)),"Cutlery","Other")))))</f>
        <v>0</v>
      </c>
      <c r="I382">
        <f>IF('Raw Data'!G382&lt;&gt;'','Raw Data'!G382,IFERROR(MID(F382,SEARCH("MODEL",F382)+6,20),""))</f>
        <v>0</v>
      </c>
      <c r="J382">
        <f>'Raw Data'!H382</f>
        <v>0</v>
      </c>
      <c r="K382">
        <f>'Raw Data'!I382</f>
        <v>0</v>
      </c>
      <c r="L382">
        <f>IF('Raw Data'!N382&lt;&gt;0,'Raw Data'!N382,IFERROR(VALUE(MID(F382,SEARCH("QTY",F382)+4,IFERROR(FIND(" ",F382,SEARCH("QTY",F382)+4)-(SEARCH("QTY",F382)+4),3))),""))</f>
        <v>0</v>
      </c>
      <c r="M382">
        <f>'Raw Data'!O382</f>
        <v>0</v>
      </c>
      <c r="N382">
        <f>'Raw Data'!P382</f>
        <v>0</v>
      </c>
      <c r="O382">
        <f>'Raw Data'!Q382</f>
        <v>0</v>
      </c>
      <c r="P382">
        <f>'Raw Data'!R382</f>
        <v>0</v>
      </c>
      <c r="Q382">
        <f>'Raw Data'!S382</f>
        <v>0</v>
      </c>
      <c r="R382">
        <f>'Raw Data'!T382</f>
        <v>0</v>
      </c>
      <c r="S382">
        <f>IFERROR(O382,0)+IFERROR(R382,0)</f>
        <v>0</v>
      </c>
      <c r="T382">
        <f>IF(A382="","",YEAR(A382))</f>
        <v>0</v>
      </c>
    </row>
    <row r="383" spans="1:20">
      <c r="A383">
        <f>'Raw Data'!B383</f>
        <v>0</v>
      </c>
      <c r="B383">
        <f>'Raw Data'!A383</f>
        <v>0</v>
      </c>
      <c r="C383">
        <f>'Raw Data'!C383</f>
        <v>0</v>
      </c>
      <c r="D383">
        <f>'Raw Data'!D383</f>
        <v>0</v>
      </c>
      <c r="E383">
        <f>IFERROR(VLOOKUP(D383,'Lookup Tables'!$A:$B,2,FALSE),"Unknown")</f>
        <v>0</v>
      </c>
      <c r="F383">
        <f>'Raw Data'!E383</f>
        <v>0</v>
      </c>
      <c r="G383">
        <f>IFERROR(VLOOKUP(D383,'Lookup Tables'!$A:$C,3,FALSE),IF(ISNUMBER(SEARCH("STEEL",F383)),"Steel","Others"))</f>
        <v>0</v>
      </c>
      <c r="H383">
        <f>IF(ISNUMBER(SEARCH("scrubber",F383)) , "Scrubber", IF(ISNUMBER(SEARCH("container",F383)),"Container", IF(ISNUMBER(SEARCH("basket",F383)),"Basket", IF(ISNUMBER(SEARCH("lunch",F383)),"Lunch Box", IF(ISNUMBER(SEARCH("cutlery",F383)),"Cutlery","Other")))))</f>
        <v>0</v>
      </c>
      <c r="I383">
        <f>IF('Raw Data'!G383&lt;&gt;'','Raw Data'!G383,IFERROR(MID(F383,SEARCH("MODEL",F383)+6,20),""))</f>
        <v>0</v>
      </c>
      <c r="J383">
        <f>'Raw Data'!H383</f>
        <v>0</v>
      </c>
      <c r="K383">
        <f>'Raw Data'!I383</f>
        <v>0</v>
      </c>
      <c r="L383">
        <f>IF('Raw Data'!N383&lt;&gt;0,'Raw Data'!N383,IFERROR(VALUE(MID(F383,SEARCH("QTY",F383)+4,IFERROR(FIND(" ",F383,SEARCH("QTY",F383)+4)-(SEARCH("QTY",F383)+4),3))),""))</f>
        <v>0</v>
      </c>
      <c r="M383">
        <f>'Raw Data'!O383</f>
        <v>0</v>
      </c>
      <c r="N383">
        <f>'Raw Data'!P383</f>
        <v>0</v>
      </c>
      <c r="O383">
        <f>'Raw Data'!Q383</f>
        <v>0</v>
      </c>
      <c r="P383">
        <f>'Raw Data'!R383</f>
        <v>0</v>
      </c>
      <c r="Q383">
        <f>'Raw Data'!S383</f>
        <v>0</v>
      </c>
      <c r="R383">
        <f>'Raw Data'!T383</f>
        <v>0</v>
      </c>
      <c r="S383">
        <f>IFERROR(O383,0)+IFERROR(R383,0)</f>
        <v>0</v>
      </c>
      <c r="T383">
        <f>IF(A383="","",YEAR(A383))</f>
        <v>0</v>
      </c>
    </row>
    <row r="384" spans="1:20">
      <c r="A384">
        <f>'Raw Data'!B384</f>
        <v>0</v>
      </c>
      <c r="B384">
        <f>'Raw Data'!A384</f>
        <v>0</v>
      </c>
      <c r="C384">
        <f>'Raw Data'!C384</f>
        <v>0</v>
      </c>
      <c r="D384">
        <f>'Raw Data'!D384</f>
        <v>0</v>
      </c>
      <c r="E384">
        <f>IFERROR(VLOOKUP(D384,'Lookup Tables'!$A:$B,2,FALSE),"Unknown")</f>
        <v>0</v>
      </c>
      <c r="F384">
        <f>'Raw Data'!E384</f>
        <v>0</v>
      </c>
      <c r="G384">
        <f>IFERROR(VLOOKUP(D384,'Lookup Tables'!$A:$C,3,FALSE),IF(ISNUMBER(SEARCH("STEEL",F384)),"Steel","Others"))</f>
        <v>0</v>
      </c>
      <c r="H384">
        <f>IF(ISNUMBER(SEARCH("scrubber",F384)) , "Scrubber", IF(ISNUMBER(SEARCH("container",F384)),"Container", IF(ISNUMBER(SEARCH("basket",F384)),"Basket", IF(ISNUMBER(SEARCH("lunch",F384)),"Lunch Box", IF(ISNUMBER(SEARCH("cutlery",F384)),"Cutlery","Other")))))</f>
        <v>0</v>
      </c>
      <c r="I384">
        <f>IF('Raw Data'!G384&lt;&gt;'','Raw Data'!G384,IFERROR(MID(F384,SEARCH("MODEL",F384)+6,20),""))</f>
        <v>0</v>
      </c>
      <c r="J384">
        <f>'Raw Data'!H384</f>
        <v>0</v>
      </c>
      <c r="K384">
        <f>'Raw Data'!I384</f>
        <v>0</v>
      </c>
      <c r="L384">
        <f>IF('Raw Data'!N384&lt;&gt;0,'Raw Data'!N384,IFERROR(VALUE(MID(F384,SEARCH("QTY",F384)+4,IFERROR(FIND(" ",F384,SEARCH("QTY",F384)+4)-(SEARCH("QTY",F384)+4),3))),""))</f>
        <v>0</v>
      </c>
      <c r="M384">
        <f>'Raw Data'!O384</f>
        <v>0</v>
      </c>
      <c r="N384">
        <f>'Raw Data'!P384</f>
        <v>0</v>
      </c>
      <c r="O384">
        <f>'Raw Data'!Q384</f>
        <v>0</v>
      </c>
      <c r="P384">
        <f>'Raw Data'!R384</f>
        <v>0</v>
      </c>
      <c r="Q384">
        <f>'Raw Data'!S384</f>
        <v>0</v>
      </c>
      <c r="R384">
        <f>'Raw Data'!T384</f>
        <v>0</v>
      </c>
      <c r="S384">
        <f>IFERROR(O384,0)+IFERROR(R384,0)</f>
        <v>0</v>
      </c>
      <c r="T384">
        <f>IF(A384="","",YEAR(A384))</f>
        <v>0</v>
      </c>
    </row>
    <row r="385" spans="1:20">
      <c r="A385">
        <f>'Raw Data'!B385</f>
        <v>0</v>
      </c>
      <c r="B385">
        <f>'Raw Data'!A385</f>
        <v>0</v>
      </c>
      <c r="C385">
        <f>'Raw Data'!C385</f>
        <v>0</v>
      </c>
      <c r="D385">
        <f>'Raw Data'!D385</f>
        <v>0</v>
      </c>
      <c r="E385">
        <f>IFERROR(VLOOKUP(D385,'Lookup Tables'!$A:$B,2,FALSE),"Unknown")</f>
        <v>0</v>
      </c>
      <c r="F385">
        <f>'Raw Data'!E385</f>
        <v>0</v>
      </c>
      <c r="G385">
        <f>IFERROR(VLOOKUP(D385,'Lookup Tables'!$A:$C,3,FALSE),IF(ISNUMBER(SEARCH("STEEL",F385)),"Steel","Others"))</f>
        <v>0</v>
      </c>
      <c r="H385">
        <f>IF(ISNUMBER(SEARCH("scrubber",F385)) , "Scrubber", IF(ISNUMBER(SEARCH("container",F385)),"Container", IF(ISNUMBER(SEARCH("basket",F385)),"Basket", IF(ISNUMBER(SEARCH("lunch",F385)),"Lunch Box", IF(ISNUMBER(SEARCH("cutlery",F385)),"Cutlery","Other")))))</f>
        <v>0</v>
      </c>
      <c r="I385">
        <f>IF('Raw Data'!G385&lt;&gt;'','Raw Data'!G385,IFERROR(MID(F385,SEARCH("MODEL",F385)+6,20),""))</f>
        <v>0</v>
      </c>
      <c r="J385">
        <f>'Raw Data'!H385</f>
        <v>0</v>
      </c>
      <c r="K385">
        <f>'Raw Data'!I385</f>
        <v>0</v>
      </c>
      <c r="L385">
        <f>IF('Raw Data'!N385&lt;&gt;0,'Raw Data'!N385,IFERROR(VALUE(MID(F385,SEARCH("QTY",F385)+4,IFERROR(FIND(" ",F385,SEARCH("QTY",F385)+4)-(SEARCH("QTY",F385)+4),3))),""))</f>
        <v>0</v>
      </c>
      <c r="M385">
        <f>'Raw Data'!O385</f>
        <v>0</v>
      </c>
      <c r="N385">
        <f>'Raw Data'!P385</f>
        <v>0</v>
      </c>
      <c r="O385">
        <f>'Raw Data'!Q385</f>
        <v>0</v>
      </c>
      <c r="P385">
        <f>'Raw Data'!R385</f>
        <v>0</v>
      </c>
      <c r="Q385">
        <f>'Raw Data'!S385</f>
        <v>0</v>
      </c>
      <c r="R385">
        <f>'Raw Data'!T385</f>
        <v>0</v>
      </c>
      <c r="S385">
        <f>IFERROR(O385,0)+IFERROR(R385,0)</f>
        <v>0</v>
      </c>
      <c r="T385">
        <f>IF(A385="","",YEAR(A385))</f>
        <v>0</v>
      </c>
    </row>
    <row r="386" spans="1:20">
      <c r="A386">
        <f>'Raw Data'!B386</f>
        <v>0</v>
      </c>
      <c r="B386">
        <f>'Raw Data'!A386</f>
        <v>0</v>
      </c>
      <c r="C386">
        <f>'Raw Data'!C386</f>
        <v>0</v>
      </c>
      <c r="D386">
        <f>'Raw Data'!D386</f>
        <v>0</v>
      </c>
      <c r="E386">
        <f>IFERROR(VLOOKUP(D386,'Lookup Tables'!$A:$B,2,FALSE),"Unknown")</f>
        <v>0</v>
      </c>
      <c r="F386">
        <f>'Raw Data'!E386</f>
        <v>0</v>
      </c>
      <c r="G386">
        <f>IFERROR(VLOOKUP(D386,'Lookup Tables'!$A:$C,3,FALSE),IF(ISNUMBER(SEARCH("STEEL",F386)),"Steel","Others"))</f>
        <v>0</v>
      </c>
      <c r="H386">
        <f>IF(ISNUMBER(SEARCH("scrubber",F386)) , "Scrubber", IF(ISNUMBER(SEARCH("container",F386)),"Container", IF(ISNUMBER(SEARCH("basket",F386)),"Basket", IF(ISNUMBER(SEARCH("lunch",F386)),"Lunch Box", IF(ISNUMBER(SEARCH("cutlery",F386)),"Cutlery","Other")))))</f>
        <v>0</v>
      </c>
      <c r="I386">
        <f>IF('Raw Data'!G386&lt;&gt;'','Raw Data'!G386,IFERROR(MID(F386,SEARCH("MODEL",F386)+6,20),""))</f>
        <v>0</v>
      </c>
      <c r="J386">
        <f>'Raw Data'!H386</f>
        <v>0</v>
      </c>
      <c r="K386">
        <f>'Raw Data'!I386</f>
        <v>0</v>
      </c>
      <c r="L386">
        <f>IF('Raw Data'!N386&lt;&gt;0,'Raw Data'!N386,IFERROR(VALUE(MID(F386,SEARCH("QTY",F386)+4,IFERROR(FIND(" ",F386,SEARCH("QTY",F386)+4)-(SEARCH("QTY",F386)+4),3))),""))</f>
        <v>0</v>
      </c>
      <c r="M386">
        <f>'Raw Data'!O386</f>
        <v>0</v>
      </c>
      <c r="N386">
        <f>'Raw Data'!P386</f>
        <v>0</v>
      </c>
      <c r="O386">
        <f>'Raw Data'!Q386</f>
        <v>0</v>
      </c>
      <c r="P386">
        <f>'Raw Data'!R386</f>
        <v>0</v>
      </c>
      <c r="Q386">
        <f>'Raw Data'!S386</f>
        <v>0</v>
      </c>
      <c r="R386">
        <f>'Raw Data'!T386</f>
        <v>0</v>
      </c>
      <c r="S386">
        <f>IFERROR(O386,0)+IFERROR(R386,0)</f>
        <v>0</v>
      </c>
      <c r="T386">
        <f>IF(A386="","",YEAR(A386))</f>
        <v>0</v>
      </c>
    </row>
    <row r="387" spans="1:20">
      <c r="A387">
        <f>'Raw Data'!B387</f>
        <v>0</v>
      </c>
      <c r="B387">
        <f>'Raw Data'!A387</f>
        <v>0</v>
      </c>
      <c r="C387">
        <f>'Raw Data'!C387</f>
        <v>0</v>
      </c>
      <c r="D387">
        <f>'Raw Data'!D387</f>
        <v>0</v>
      </c>
      <c r="E387">
        <f>IFERROR(VLOOKUP(D387,'Lookup Tables'!$A:$B,2,FALSE),"Unknown")</f>
        <v>0</v>
      </c>
      <c r="F387">
        <f>'Raw Data'!E387</f>
        <v>0</v>
      </c>
      <c r="G387">
        <f>IFERROR(VLOOKUP(D387,'Lookup Tables'!$A:$C,3,FALSE),IF(ISNUMBER(SEARCH("STEEL",F387)),"Steel","Others"))</f>
        <v>0</v>
      </c>
      <c r="H387">
        <f>IF(ISNUMBER(SEARCH("scrubber",F387)) , "Scrubber", IF(ISNUMBER(SEARCH("container",F387)),"Container", IF(ISNUMBER(SEARCH("basket",F387)),"Basket", IF(ISNUMBER(SEARCH("lunch",F387)),"Lunch Box", IF(ISNUMBER(SEARCH("cutlery",F387)),"Cutlery","Other")))))</f>
        <v>0</v>
      </c>
      <c r="I387">
        <f>IF('Raw Data'!G387&lt;&gt;'','Raw Data'!G387,IFERROR(MID(F387,SEARCH("MODEL",F387)+6,20),""))</f>
        <v>0</v>
      </c>
      <c r="J387">
        <f>'Raw Data'!H387</f>
        <v>0</v>
      </c>
      <c r="K387">
        <f>'Raw Data'!I387</f>
        <v>0</v>
      </c>
      <c r="L387">
        <f>IF('Raw Data'!N387&lt;&gt;0,'Raw Data'!N387,IFERROR(VALUE(MID(F387,SEARCH("QTY",F387)+4,IFERROR(FIND(" ",F387,SEARCH("QTY",F387)+4)-(SEARCH("QTY",F387)+4),3))),""))</f>
        <v>0</v>
      </c>
      <c r="M387">
        <f>'Raw Data'!O387</f>
        <v>0</v>
      </c>
      <c r="N387">
        <f>'Raw Data'!P387</f>
        <v>0</v>
      </c>
      <c r="O387">
        <f>'Raw Data'!Q387</f>
        <v>0</v>
      </c>
      <c r="P387">
        <f>'Raw Data'!R387</f>
        <v>0</v>
      </c>
      <c r="Q387">
        <f>'Raw Data'!S387</f>
        <v>0</v>
      </c>
      <c r="R387">
        <f>'Raw Data'!T387</f>
        <v>0</v>
      </c>
      <c r="S387">
        <f>IFERROR(O387,0)+IFERROR(R387,0)</f>
        <v>0</v>
      </c>
      <c r="T387">
        <f>IF(A387="","",YEAR(A387))</f>
        <v>0</v>
      </c>
    </row>
    <row r="388" spans="1:20">
      <c r="A388">
        <f>'Raw Data'!B388</f>
        <v>0</v>
      </c>
      <c r="B388">
        <f>'Raw Data'!A388</f>
        <v>0</v>
      </c>
      <c r="C388">
        <f>'Raw Data'!C388</f>
        <v>0</v>
      </c>
      <c r="D388">
        <f>'Raw Data'!D388</f>
        <v>0</v>
      </c>
      <c r="E388">
        <f>IFERROR(VLOOKUP(D388,'Lookup Tables'!$A:$B,2,FALSE),"Unknown")</f>
        <v>0</v>
      </c>
      <c r="F388">
        <f>'Raw Data'!E388</f>
        <v>0</v>
      </c>
      <c r="G388">
        <f>IFERROR(VLOOKUP(D388,'Lookup Tables'!$A:$C,3,FALSE),IF(ISNUMBER(SEARCH("STEEL",F388)),"Steel","Others"))</f>
        <v>0</v>
      </c>
      <c r="H388">
        <f>IF(ISNUMBER(SEARCH("scrubber",F388)) , "Scrubber", IF(ISNUMBER(SEARCH("container",F388)),"Container", IF(ISNUMBER(SEARCH("basket",F388)),"Basket", IF(ISNUMBER(SEARCH("lunch",F388)),"Lunch Box", IF(ISNUMBER(SEARCH("cutlery",F388)),"Cutlery","Other")))))</f>
        <v>0</v>
      </c>
      <c r="I388">
        <f>IF('Raw Data'!G388&lt;&gt;'','Raw Data'!G388,IFERROR(MID(F388,SEARCH("MODEL",F388)+6,20),""))</f>
        <v>0</v>
      </c>
      <c r="J388">
        <f>'Raw Data'!H388</f>
        <v>0</v>
      </c>
      <c r="K388">
        <f>'Raw Data'!I388</f>
        <v>0</v>
      </c>
      <c r="L388">
        <f>IF('Raw Data'!N388&lt;&gt;0,'Raw Data'!N388,IFERROR(VALUE(MID(F388,SEARCH("QTY",F388)+4,IFERROR(FIND(" ",F388,SEARCH("QTY",F388)+4)-(SEARCH("QTY",F388)+4),3))),""))</f>
        <v>0</v>
      </c>
      <c r="M388">
        <f>'Raw Data'!O388</f>
        <v>0</v>
      </c>
      <c r="N388">
        <f>'Raw Data'!P388</f>
        <v>0</v>
      </c>
      <c r="O388">
        <f>'Raw Data'!Q388</f>
        <v>0</v>
      </c>
      <c r="P388">
        <f>'Raw Data'!R388</f>
        <v>0</v>
      </c>
      <c r="Q388">
        <f>'Raw Data'!S388</f>
        <v>0</v>
      </c>
      <c r="R388">
        <f>'Raw Data'!T388</f>
        <v>0</v>
      </c>
      <c r="S388">
        <f>IFERROR(O388,0)+IFERROR(R388,0)</f>
        <v>0</v>
      </c>
      <c r="T388">
        <f>IF(A388="","",YEAR(A388))</f>
        <v>0</v>
      </c>
    </row>
    <row r="389" spans="1:20">
      <c r="A389">
        <f>'Raw Data'!B389</f>
        <v>0</v>
      </c>
      <c r="B389">
        <f>'Raw Data'!A389</f>
        <v>0</v>
      </c>
      <c r="C389">
        <f>'Raw Data'!C389</f>
        <v>0</v>
      </c>
      <c r="D389">
        <f>'Raw Data'!D389</f>
        <v>0</v>
      </c>
      <c r="E389">
        <f>IFERROR(VLOOKUP(D389,'Lookup Tables'!$A:$B,2,FALSE),"Unknown")</f>
        <v>0</v>
      </c>
      <c r="F389">
        <f>'Raw Data'!E389</f>
        <v>0</v>
      </c>
      <c r="G389">
        <f>IFERROR(VLOOKUP(D389,'Lookup Tables'!$A:$C,3,FALSE),IF(ISNUMBER(SEARCH("STEEL",F389)),"Steel","Others"))</f>
        <v>0</v>
      </c>
      <c r="H389">
        <f>IF(ISNUMBER(SEARCH("scrubber",F389)) , "Scrubber", IF(ISNUMBER(SEARCH("container",F389)),"Container", IF(ISNUMBER(SEARCH("basket",F389)),"Basket", IF(ISNUMBER(SEARCH("lunch",F389)),"Lunch Box", IF(ISNUMBER(SEARCH("cutlery",F389)),"Cutlery","Other")))))</f>
        <v>0</v>
      </c>
      <c r="I389">
        <f>IF('Raw Data'!G389&lt;&gt;'','Raw Data'!G389,IFERROR(MID(F389,SEARCH("MODEL",F389)+6,20),""))</f>
        <v>0</v>
      </c>
      <c r="J389">
        <f>'Raw Data'!H389</f>
        <v>0</v>
      </c>
      <c r="K389">
        <f>'Raw Data'!I389</f>
        <v>0</v>
      </c>
      <c r="L389">
        <f>IF('Raw Data'!N389&lt;&gt;0,'Raw Data'!N389,IFERROR(VALUE(MID(F389,SEARCH("QTY",F389)+4,IFERROR(FIND(" ",F389,SEARCH("QTY",F389)+4)-(SEARCH("QTY",F389)+4),3))),""))</f>
        <v>0</v>
      </c>
      <c r="M389">
        <f>'Raw Data'!O389</f>
        <v>0</v>
      </c>
      <c r="N389">
        <f>'Raw Data'!P389</f>
        <v>0</v>
      </c>
      <c r="O389">
        <f>'Raw Data'!Q389</f>
        <v>0</v>
      </c>
      <c r="P389">
        <f>'Raw Data'!R389</f>
        <v>0</v>
      </c>
      <c r="Q389">
        <f>'Raw Data'!S389</f>
        <v>0</v>
      </c>
      <c r="R389">
        <f>'Raw Data'!T389</f>
        <v>0</v>
      </c>
      <c r="S389">
        <f>IFERROR(O389,0)+IFERROR(R389,0)</f>
        <v>0</v>
      </c>
      <c r="T389">
        <f>IF(A389="","",YEAR(A389))</f>
        <v>0</v>
      </c>
    </row>
    <row r="390" spans="1:20">
      <c r="A390">
        <f>'Raw Data'!B390</f>
        <v>0</v>
      </c>
      <c r="B390">
        <f>'Raw Data'!A390</f>
        <v>0</v>
      </c>
      <c r="C390">
        <f>'Raw Data'!C390</f>
        <v>0</v>
      </c>
      <c r="D390">
        <f>'Raw Data'!D390</f>
        <v>0</v>
      </c>
      <c r="E390">
        <f>IFERROR(VLOOKUP(D390,'Lookup Tables'!$A:$B,2,FALSE),"Unknown")</f>
        <v>0</v>
      </c>
      <c r="F390">
        <f>'Raw Data'!E390</f>
        <v>0</v>
      </c>
      <c r="G390">
        <f>IFERROR(VLOOKUP(D390,'Lookup Tables'!$A:$C,3,FALSE),IF(ISNUMBER(SEARCH("STEEL",F390)),"Steel","Others"))</f>
        <v>0</v>
      </c>
      <c r="H390">
        <f>IF(ISNUMBER(SEARCH("scrubber",F390)) , "Scrubber", IF(ISNUMBER(SEARCH("container",F390)),"Container", IF(ISNUMBER(SEARCH("basket",F390)),"Basket", IF(ISNUMBER(SEARCH("lunch",F390)),"Lunch Box", IF(ISNUMBER(SEARCH("cutlery",F390)),"Cutlery","Other")))))</f>
        <v>0</v>
      </c>
      <c r="I390">
        <f>IF('Raw Data'!G390&lt;&gt;'','Raw Data'!G390,IFERROR(MID(F390,SEARCH("MODEL",F390)+6,20),""))</f>
        <v>0</v>
      </c>
      <c r="J390">
        <f>'Raw Data'!H390</f>
        <v>0</v>
      </c>
      <c r="K390">
        <f>'Raw Data'!I390</f>
        <v>0</v>
      </c>
      <c r="L390">
        <f>IF('Raw Data'!N390&lt;&gt;0,'Raw Data'!N390,IFERROR(VALUE(MID(F390,SEARCH("QTY",F390)+4,IFERROR(FIND(" ",F390,SEARCH("QTY",F390)+4)-(SEARCH("QTY",F390)+4),3))),""))</f>
        <v>0</v>
      </c>
      <c r="M390">
        <f>'Raw Data'!O390</f>
        <v>0</v>
      </c>
      <c r="N390">
        <f>'Raw Data'!P390</f>
        <v>0</v>
      </c>
      <c r="O390">
        <f>'Raw Data'!Q390</f>
        <v>0</v>
      </c>
      <c r="P390">
        <f>'Raw Data'!R390</f>
        <v>0</v>
      </c>
      <c r="Q390">
        <f>'Raw Data'!S390</f>
        <v>0</v>
      </c>
      <c r="R390">
        <f>'Raw Data'!T390</f>
        <v>0</v>
      </c>
      <c r="S390">
        <f>IFERROR(O390,0)+IFERROR(R390,0)</f>
        <v>0</v>
      </c>
      <c r="T390">
        <f>IF(A390="","",YEAR(A390))</f>
        <v>0</v>
      </c>
    </row>
    <row r="391" spans="1:20">
      <c r="A391">
        <f>'Raw Data'!B391</f>
        <v>0</v>
      </c>
      <c r="B391">
        <f>'Raw Data'!A391</f>
        <v>0</v>
      </c>
      <c r="C391">
        <f>'Raw Data'!C391</f>
        <v>0</v>
      </c>
      <c r="D391">
        <f>'Raw Data'!D391</f>
        <v>0</v>
      </c>
      <c r="E391">
        <f>IFERROR(VLOOKUP(D391,'Lookup Tables'!$A:$B,2,FALSE),"Unknown")</f>
        <v>0</v>
      </c>
      <c r="F391">
        <f>'Raw Data'!E391</f>
        <v>0</v>
      </c>
      <c r="G391">
        <f>IFERROR(VLOOKUP(D391,'Lookup Tables'!$A:$C,3,FALSE),IF(ISNUMBER(SEARCH("STEEL",F391)),"Steel","Others"))</f>
        <v>0</v>
      </c>
      <c r="H391">
        <f>IF(ISNUMBER(SEARCH("scrubber",F391)) , "Scrubber", IF(ISNUMBER(SEARCH("container",F391)),"Container", IF(ISNUMBER(SEARCH("basket",F391)),"Basket", IF(ISNUMBER(SEARCH("lunch",F391)),"Lunch Box", IF(ISNUMBER(SEARCH("cutlery",F391)),"Cutlery","Other")))))</f>
        <v>0</v>
      </c>
      <c r="I391">
        <f>IF('Raw Data'!G391&lt;&gt;'','Raw Data'!G391,IFERROR(MID(F391,SEARCH("MODEL",F391)+6,20),""))</f>
        <v>0</v>
      </c>
      <c r="J391">
        <f>'Raw Data'!H391</f>
        <v>0</v>
      </c>
      <c r="K391">
        <f>'Raw Data'!I391</f>
        <v>0</v>
      </c>
      <c r="L391">
        <f>IF('Raw Data'!N391&lt;&gt;0,'Raw Data'!N391,IFERROR(VALUE(MID(F391,SEARCH("QTY",F391)+4,IFERROR(FIND(" ",F391,SEARCH("QTY",F391)+4)-(SEARCH("QTY",F391)+4),3))),""))</f>
        <v>0</v>
      </c>
      <c r="M391">
        <f>'Raw Data'!O391</f>
        <v>0</v>
      </c>
      <c r="N391">
        <f>'Raw Data'!P391</f>
        <v>0</v>
      </c>
      <c r="O391">
        <f>'Raw Data'!Q391</f>
        <v>0</v>
      </c>
      <c r="P391">
        <f>'Raw Data'!R391</f>
        <v>0</v>
      </c>
      <c r="Q391">
        <f>'Raw Data'!S391</f>
        <v>0</v>
      </c>
      <c r="R391">
        <f>'Raw Data'!T391</f>
        <v>0</v>
      </c>
      <c r="S391">
        <f>IFERROR(O391,0)+IFERROR(R391,0)</f>
        <v>0</v>
      </c>
      <c r="T391">
        <f>IF(A391="","",YEAR(A391))</f>
        <v>0</v>
      </c>
    </row>
    <row r="392" spans="1:20">
      <c r="A392">
        <f>'Raw Data'!B392</f>
        <v>0</v>
      </c>
      <c r="B392">
        <f>'Raw Data'!A392</f>
        <v>0</v>
      </c>
      <c r="C392">
        <f>'Raw Data'!C392</f>
        <v>0</v>
      </c>
      <c r="D392">
        <f>'Raw Data'!D392</f>
        <v>0</v>
      </c>
      <c r="E392">
        <f>IFERROR(VLOOKUP(D392,'Lookup Tables'!$A:$B,2,FALSE),"Unknown")</f>
        <v>0</v>
      </c>
      <c r="F392">
        <f>'Raw Data'!E392</f>
        <v>0</v>
      </c>
      <c r="G392">
        <f>IFERROR(VLOOKUP(D392,'Lookup Tables'!$A:$C,3,FALSE),IF(ISNUMBER(SEARCH("STEEL",F392)),"Steel","Others"))</f>
        <v>0</v>
      </c>
      <c r="H392">
        <f>IF(ISNUMBER(SEARCH("scrubber",F392)) , "Scrubber", IF(ISNUMBER(SEARCH("container",F392)),"Container", IF(ISNUMBER(SEARCH("basket",F392)),"Basket", IF(ISNUMBER(SEARCH("lunch",F392)),"Lunch Box", IF(ISNUMBER(SEARCH("cutlery",F392)),"Cutlery","Other")))))</f>
        <v>0</v>
      </c>
      <c r="I392">
        <f>IF('Raw Data'!G392&lt;&gt;'','Raw Data'!G392,IFERROR(MID(F392,SEARCH("MODEL",F392)+6,20),""))</f>
        <v>0</v>
      </c>
      <c r="J392">
        <f>'Raw Data'!H392</f>
        <v>0</v>
      </c>
      <c r="K392">
        <f>'Raw Data'!I392</f>
        <v>0</v>
      </c>
      <c r="L392">
        <f>IF('Raw Data'!N392&lt;&gt;0,'Raw Data'!N392,IFERROR(VALUE(MID(F392,SEARCH("QTY",F392)+4,IFERROR(FIND(" ",F392,SEARCH("QTY",F392)+4)-(SEARCH("QTY",F392)+4),3))),""))</f>
        <v>0</v>
      </c>
      <c r="M392">
        <f>'Raw Data'!O392</f>
        <v>0</v>
      </c>
      <c r="N392">
        <f>'Raw Data'!P392</f>
        <v>0</v>
      </c>
      <c r="O392">
        <f>'Raw Data'!Q392</f>
        <v>0</v>
      </c>
      <c r="P392">
        <f>'Raw Data'!R392</f>
        <v>0</v>
      </c>
      <c r="Q392">
        <f>'Raw Data'!S392</f>
        <v>0</v>
      </c>
      <c r="R392">
        <f>'Raw Data'!T392</f>
        <v>0</v>
      </c>
      <c r="S392">
        <f>IFERROR(O392,0)+IFERROR(R392,0)</f>
        <v>0</v>
      </c>
      <c r="T392">
        <f>IF(A392="","",YEAR(A392))</f>
        <v>0</v>
      </c>
    </row>
    <row r="393" spans="1:20">
      <c r="A393">
        <f>'Raw Data'!B393</f>
        <v>0</v>
      </c>
      <c r="B393">
        <f>'Raw Data'!A393</f>
        <v>0</v>
      </c>
      <c r="C393">
        <f>'Raw Data'!C393</f>
        <v>0</v>
      </c>
      <c r="D393">
        <f>'Raw Data'!D393</f>
        <v>0</v>
      </c>
      <c r="E393">
        <f>IFERROR(VLOOKUP(D393,'Lookup Tables'!$A:$B,2,FALSE),"Unknown")</f>
        <v>0</v>
      </c>
      <c r="F393">
        <f>'Raw Data'!E393</f>
        <v>0</v>
      </c>
      <c r="G393">
        <f>IFERROR(VLOOKUP(D393,'Lookup Tables'!$A:$C,3,FALSE),IF(ISNUMBER(SEARCH("STEEL",F393)),"Steel","Others"))</f>
        <v>0</v>
      </c>
      <c r="H393">
        <f>IF(ISNUMBER(SEARCH("scrubber",F393)) , "Scrubber", IF(ISNUMBER(SEARCH("container",F393)),"Container", IF(ISNUMBER(SEARCH("basket",F393)),"Basket", IF(ISNUMBER(SEARCH("lunch",F393)),"Lunch Box", IF(ISNUMBER(SEARCH("cutlery",F393)),"Cutlery","Other")))))</f>
        <v>0</v>
      </c>
      <c r="I393">
        <f>IF('Raw Data'!G393&lt;&gt;'','Raw Data'!G393,IFERROR(MID(F393,SEARCH("MODEL",F393)+6,20),""))</f>
        <v>0</v>
      </c>
      <c r="J393">
        <f>'Raw Data'!H393</f>
        <v>0</v>
      </c>
      <c r="K393">
        <f>'Raw Data'!I393</f>
        <v>0</v>
      </c>
      <c r="L393">
        <f>IF('Raw Data'!N393&lt;&gt;0,'Raw Data'!N393,IFERROR(VALUE(MID(F393,SEARCH("QTY",F393)+4,IFERROR(FIND(" ",F393,SEARCH("QTY",F393)+4)-(SEARCH("QTY",F393)+4),3))),""))</f>
        <v>0</v>
      </c>
      <c r="M393">
        <f>'Raw Data'!O393</f>
        <v>0</v>
      </c>
      <c r="N393">
        <f>'Raw Data'!P393</f>
        <v>0</v>
      </c>
      <c r="O393">
        <f>'Raw Data'!Q393</f>
        <v>0</v>
      </c>
      <c r="P393">
        <f>'Raw Data'!R393</f>
        <v>0</v>
      </c>
      <c r="Q393">
        <f>'Raw Data'!S393</f>
        <v>0</v>
      </c>
      <c r="R393">
        <f>'Raw Data'!T393</f>
        <v>0</v>
      </c>
      <c r="S393">
        <f>IFERROR(O393,0)+IFERROR(R393,0)</f>
        <v>0</v>
      </c>
      <c r="T393">
        <f>IF(A393="","",YEAR(A393))</f>
        <v>0</v>
      </c>
    </row>
    <row r="394" spans="1:20">
      <c r="A394">
        <f>'Raw Data'!B394</f>
        <v>0</v>
      </c>
      <c r="B394">
        <f>'Raw Data'!A394</f>
        <v>0</v>
      </c>
      <c r="C394">
        <f>'Raw Data'!C394</f>
        <v>0</v>
      </c>
      <c r="D394">
        <f>'Raw Data'!D394</f>
        <v>0</v>
      </c>
      <c r="E394">
        <f>IFERROR(VLOOKUP(D394,'Lookup Tables'!$A:$B,2,FALSE),"Unknown")</f>
        <v>0</v>
      </c>
      <c r="F394">
        <f>'Raw Data'!E394</f>
        <v>0</v>
      </c>
      <c r="G394">
        <f>IFERROR(VLOOKUP(D394,'Lookup Tables'!$A:$C,3,FALSE),IF(ISNUMBER(SEARCH("STEEL",F394)),"Steel","Others"))</f>
        <v>0</v>
      </c>
      <c r="H394">
        <f>IF(ISNUMBER(SEARCH("scrubber",F394)) , "Scrubber", IF(ISNUMBER(SEARCH("container",F394)),"Container", IF(ISNUMBER(SEARCH("basket",F394)),"Basket", IF(ISNUMBER(SEARCH("lunch",F394)),"Lunch Box", IF(ISNUMBER(SEARCH("cutlery",F394)),"Cutlery","Other")))))</f>
        <v>0</v>
      </c>
      <c r="I394">
        <f>IF('Raw Data'!G394&lt;&gt;'','Raw Data'!G394,IFERROR(MID(F394,SEARCH("MODEL",F394)+6,20),""))</f>
        <v>0</v>
      </c>
      <c r="J394">
        <f>'Raw Data'!H394</f>
        <v>0</v>
      </c>
      <c r="K394">
        <f>'Raw Data'!I394</f>
        <v>0</v>
      </c>
      <c r="L394">
        <f>IF('Raw Data'!N394&lt;&gt;0,'Raw Data'!N394,IFERROR(VALUE(MID(F394,SEARCH("QTY",F394)+4,IFERROR(FIND(" ",F394,SEARCH("QTY",F394)+4)-(SEARCH("QTY",F394)+4),3))),""))</f>
        <v>0</v>
      </c>
      <c r="M394">
        <f>'Raw Data'!O394</f>
        <v>0</v>
      </c>
      <c r="N394">
        <f>'Raw Data'!P394</f>
        <v>0</v>
      </c>
      <c r="O394">
        <f>'Raw Data'!Q394</f>
        <v>0</v>
      </c>
      <c r="P394">
        <f>'Raw Data'!R394</f>
        <v>0</v>
      </c>
      <c r="Q394">
        <f>'Raw Data'!S394</f>
        <v>0</v>
      </c>
      <c r="R394">
        <f>'Raw Data'!T394</f>
        <v>0</v>
      </c>
      <c r="S394">
        <f>IFERROR(O394,0)+IFERROR(R394,0)</f>
        <v>0</v>
      </c>
      <c r="T394">
        <f>IF(A394="","",YEAR(A394))</f>
        <v>0</v>
      </c>
    </row>
    <row r="395" spans="1:20">
      <c r="A395">
        <f>'Raw Data'!B395</f>
        <v>0</v>
      </c>
      <c r="B395">
        <f>'Raw Data'!A395</f>
        <v>0</v>
      </c>
      <c r="C395">
        <f>'Raw Data'!C395</f>
        <v>0</v>
      </c>
      <c r="D395">
        <f>'Raw Data'!D395</f>
        <v>0</v>
      </c>
      <c r="E395">
        <f>IFERROR(VLOOKUP(D395,'Lookup Tables'!$A:$B,2,FALSE),"Unknown")</f>
        <v>0</v>
      </c>
      <c r="F395">
        <f>'Raw Data'!E395</f>
        <v>0</v>
      </c>
      <c r="G395">
        <f>IFERROR(VLOOKUP(D395,'Lookup Tables'!$A:$C,3,FALSE),IF(ISNUMBER(SEARCH("STEEL",F395)),"Steel","Others"))</f>
        <v>0</v>
      </c>
      <c r="H395">
        <f>IF(ISNUMBER(SEARCH("scrubber",F395)) , "Scrubber", IF(ISNUMBER(SEARCH("container",F395)),"Container", IF(ISNUMBER(SEARCH("basket",F395)),"Basket", IF(ISNUMBER(SEARCH("lunch",F395)),"Lunch Box", IF(ISNUMBER(SEARCH("cutlery",F395)),"Cutlery","Other")))))</f>
        <v>0</v>
      </c>
      <c r="I395">
        <f>IF('Raw Data'!G395&lt;&gt;'','Raw Data'!G395,IFERROR(MID(F395,SEARCH("MODEL",F395)+6,20),""))</f>
        <v>0</v>
      </c>
      <c r="J395">
        <f>'Raw Data'!H395</f>
        <v>0</v>
      </c>
      <c r="K395">
        <f>'Raw Data'!I395</f>
        <v>0</v>
      </c>
      <c r="L395">
        <f>IF('Raw Data'!N395&lt;&gt;0,'Raw Data'!N395,IFERROR(VALUE(MID(F395,SEARCH("QTY",F395)+4,IFERROR(FIND(" ",F395,SEARCH("QTY",F395)+4)-(SEARCH("QTY",F395)+4),3))),""))</f>
        <v>0</v>
      </c>
      <c r="M395">
        <f>'Raw Data'!O395</f>
        <v>0</v>
      </c>
      <c r="N395">
        <f>'Raw Data'!P395</f>
        <v>0</v>
      </c>
      <c r="O395">
        <f>'Raw Data'!Q395</f>
        <v>0</v>
      </c>
      <c r="P395">
        <f>'Raw Data'!R395</f>
        <v>0</v>
      </c>
      <c r="Q395">
        <f>'Raw Data'!S395</f>
        <v>0</v>
      </c>
      <c r="R395">
        <f>'Raw Data'!T395</f>
        <v>0</v>
      </c>
      <c r="S395">
        <f>IFERROR(O395,0)+IFERROR(R395,0)</f>
        <v>0</v>
      </c>
      <c r="T395">
        <f>IF(A395="","",YEAR(A395))</f>
        <v>0</v>
      </c>
    </row>
    <row r="396" spans="1:20">
      <c r="A396">
        <f>'Raw Data'!B396</f>
        <v>0</v>
      </c>
      <c r="B396">
        <f>'Raw Data'!A396</f>
        <v>0</v>
      </c>
      <c r="C396">
        <f>'Raw Data'!C396</f>
        <v>0</v>
      </c>
      <c r="D396">
        <f>'Raw Data'!D396</f>
        <v>0</v>
      </c>
      <c r="E396">
        <f>IFERROR(VLOOKUP(D396,'Lookup Tables'!$A:$B,2,FALSE),"Unknown")</f>
        <v>0</v>
      </c>
      <c r="F396">
        <f>'Raw Data'!E396</f>
        <v>0</v>
      </c>
      <c r="G396">
        <f>IFERROR(VLOOKUP(D396,'Lookup Tables'!$A:$C,3,FALSE),IF(ISNUMBER(SEARCH("STEEL",F396)),"Steel","Others"))</f>
        <v>0</v>
      </c>
      <c r="H396">
        <f>IF(ISNUMBER(SEARCH("scrubber",F396)) , "Scrubber", IF(ISNUMBER(SEARCH("container",F396)),"Container", IF(ISNUMBER(SEARCH("basket",F396)),"Basket", IF(ISNUMBER(SEARCH("lunch",F396)),"Lunch Box", IF(ISNUMBER(SEARCH("cutlery",F396)),"Cutlery","Other")))))</f>
        <v>0</v>
      </c>
      <c r="I396">
        <f>IF('Raw Data'!G396&lt;&gt;'','Raw Data'!G396,IFERROR(MID(F396,SEARCH("MODEL",F396)+6,20),""))</f>
        <v>0</v>
      </c>
      <c r="J396">
        <f>'Raw Data'!H396</f>
        <v>0</v>
      </c>
      <c r="K396">
        <f>'Raw Data'!I396</f>
        <v>0</v>
      </c>
      <c r="L396">
        <f>IF('Raw Data'!N396&lt;&gt;0,'Raw Data'!N396,IFERROR(VALUE(MID(F396,SEARCH("QTY",F396)+4,IFERROR(FIND(" ",F396,SEARCH("QTY",F396)+4)-(SEARCH("QTY",F396)+4),3))),""))</f>
        <v>0</v>
      </c>
      <c r="M396">
        <f>'Raw Data'!O396</f>
        <v>0</v>
      </c>
      <c r="N396">
        <f>'Raw Data'!P396</f>
        <v>0</v>
      </c>
      <c r="O396">
        <f>'Raw Data'!Q396</f>
        <v>0</v>
      </c>
      <c r="P396">
        <f>'Raw Data'!R396</f>
        <v>0</v>
      </c>
      <c r="Q396">
        <f>'Raw Data'!S396</f>
        <v>0</v>
      </c>
      <c r="R396">
        <f>'Raw Data'!T396</f>
        <v>0</v>
      </c>
      <c r="S396">
        <f>IFERROR(O396,0)+IFERROR(R396,0)</f>
        <v>0</v>
      </c>
      <c r="T396">
        <f>IF(A396="","",YEAR(A396))</f>
        <v>0</v>
      </c>
    </row>
    <row r="397" spans="1:20">
      <c r="A397">
        <f>'Raw Data'!B397</f>
        <v>0</v>
      </c>
      <c r="B397">
        <f>'Raw Data'!A397</f>
        <v>0</v>
      </c>
      <c r="C397">
        <f>'Raw Data'!C397</f>
        <v>0</v>
      </c>
      <c r="D397">
        <f>'Raw Data'!D397</f>
        <v>0</v>
      </c>
      <c r="E397">
        <f>IFERROR(VLOOKUP(D397,'Lookup Tables'!$A:$B,2,FALSE),"Unknown")</f>
        <v>0</v>
      </c>
      <c r="F397">
        <f>'Raw Data'!E397</f>
        <v>0</v>
      </c>
      <c r="G397">
        <f>IFERROR(VLOOKUP(D397,'Lookup Tables'!$A:$C,3,FALSE),IF(ISNUMBER(SEARCH("STEEL",F397)),"Steel","Others"))</f>
        <v>0</v>
      </c>
      <c r="H397">
        <f>IF(ISNUMBER(SEARCH("scrubber",F397)) , "Scrubber", IF(ISNUMBER(SEARCH("container",F397)),"Container", IF(ISNUMBER(SEARCH("basket",F397)),"Basket", IF(ISNUMBER(SEARCH("lunch",F397)),"Lunch Box", IF(ISNUMBER(SEARCH("cutlery",F397)),"Cutlery","Other")))))</f>
        <v>0</v>
      </c>
      <c r="I397">
        <f>IF('Raw Data'!G397&lt;&gt;'','Raw Data'!G397,IFERROR(MID(F397,SEARCH("MODEL",F397)+6,20),""))</f>
        <v>0</v>
      </c>
      <c r="J397">
        <f>'Raw Data'!H397</f>
        <v>0</v>
      </c>
      <c r="K397">
        <f>'Raw Data'!I397</f>
        <v>0</v>
      </c>
      <c r="L397">
        <f>IF('Raw Data'!N397&lt;&gt;0,'Raw Data'!N397,IFERROR(VALUE(MID(F397,SEARCH("QTY",F397)+4,IFERROR(FIND(" ",F397,SEARCH("QTY",F397)+4)-(SEARCH("QTY",F397)+4),3))),""))</f>
        <v>0</v>
      </c>
      <c r="M397">
        <f>'Raw Data'!O397</f>
        <v>0</v>
      </c>
      <c r="N397">
        <f>'Raw Data'!P397</f>
        <v>0</v>
      </c>
      <c r="O397">
        <f>'Raw Data'!Q397</f>
        <v>0</v>
      </c>
      <c r="P397">
        <f>'Raw Data'!R397</f>
        <v>0</v>
      </c>
      <c r="Q397">
        <f>'Raw Data'!S397</f>
        <v>0</v>
      </c>
      <c r="R397">
        <f>'Raw Data'!T397</f>
        <v>0</v>
      </c>
      <c r="S397">
        <f>IFERROR(O397,0)+IFERROR(R397,0)</f>
        <v>0</v>
      </c>
      <c r="T397">
        <f>IF(A397="","",YEAR(A397))</f>
        <v>0</v>
      </c>
    </row>
    <row r="398" spans="1:20">
      <c r="A398">
        <f>'Raw Data'!B398</f>
        <v>0</v>
      </c>
      <c r="B398">
        <f>'Raw Data'!A398</f>
        <v>0</v>
      </c>
      <c r="C398">
        <f>'Raw Data'!C398</f>
        <v>0</v>
      </c>
      <c r="D398">
        <f>'Raw Data'!D398</f>
        <v>0</v>
      </c>
      <c r="E398">
        <f>IFERROR(VLOOKUP(D398,'Lookup Tables'!$A:$B,2,FALSE),"Unknown")</f>
        <v>0</v>
      </c>
      <c r="F398">
        <f>'Raw Data'!E398</f>
        <v>0</v>
      </c>
      <c r="G398">
        <f>IFERROR(VLOOKUP(D398,'Lookup Tables'!$A:$C,3,FALSE),IF(ISNUMBER(SEARCH("STEEL",F398)),"Steel","Others"))</f>
        <v>0</v>
      </c>
      <c r="H398">
        <f>IF(ISNUMBER(SEARCH("scrubber",F398)) , "Scrubber", IF(ISNUMBER(SEARCH("container",F398)),"Container", IF(ISNUMBER(SEARCH("basket",F398)),"Basket", IF(ISNUMBER(SEARCH("lunch",F398)),"Lunch Box", IF(ISNUMBER(SEARCH("cutlery",F398)),"Cutlery","Other")))))</f>
        <v>0</v>
      </c>
      <c r="I398">
        <f>IF('Raw Data'!G398&lt;&gt;'','Raw Data'!G398,IFERROR(MID(F398,SEARCH("MODEL",F398)+6,20),""))</f>
        <v>0</v>
      </c>
      <c r="J398">
        <f>'Raw Data'!H398</f>
        <v>0</v>
      </c>
      <c r="K398">
        <f>'Raw Data'!I398</f>
        <v>0</v>
      </c>
      <c r="L398">
        <f>IF('Raw Data'!N398&lt;&gt;0,'Raw Data'!N398,IFERROR(VALUE(MID(F398,SEARCH("QTY",F398)+4,IFERROR(FIND(" ",F398,SEARCH("QTY",F398)+4)-(SEARCH("QTY",F398)+4),3))),""))</f>
        <v>0</v>
      </c>
      <c r="M398">
        <f>'Raw Data'!O398</f>
        <v>0</v>
      </c>
      <c r="N398">
        <f>'Raw Data'!P398</f>
        <v>0</v>
      </c>
      <c r="O398">
        <f>'Raw Data'!Q398</f>
        <v>0</v>
      </c>
      <c r="P398">
        <f>'Raw Data'!R398</f>
        <v>0</v>
      </c>
      <c r="Q398">
        <f>'Raw Data'!S398</f>
        <v>0</v>
      </c>
      <c r="R398">
        <f>'Raw Data'!T398</f>
        <v>0</v>
      </c>
      <c r="S398">
        <f>IFERROR(O398,0)+IFERROR(R398,0)</f>
        <v>0</v>
      </c>
      <c r="T398">
        <f>IF(A398="","",YEAR(A398))</f>
        <v>0</v>
      </c>
    </row>
    <row r="399" spans="1:20">
      <c r="A399">
        <f>'Raw Data'!B399</f>
        <v>0</v>
      </c>
      <c r="B399">
        <f>'Raw Data'!A399</f>
        <v>0</v>
      </c>
      <c r="C399">
        <f>'Raw Data'!C399</f>
        <v>0</v>
      </c>
      <c r="D399">
        <f>'Raw Data'!D399</f>
        <v>0</v>
      </c>
      <c r="E399">
        <f>IFERROR(VLOOKUP(D399,'Lookup Tables'!$A:$B,2,FALSE),"Unknown")</f>
        <v>0</v>
      </c>
      <c r="F399">
        <f>'Raw Data'!E399</f>
        <v>0</v>
      </c>
      <c r="G399">
        <f>IFERROR(VLOOKUP(D399,'Lookup Tables'!$A:$C,3,FALSE),IF(ISNUMBER(SEARCH("STEEL",F399)),"Steel","Others"))</f>
        <v>0</v>
      </c>
      <c r="H399">
        <f>IF(ISNUMBER(SEARCH("scrubber",F399)) , "Scrubber", IF(ISNUMBER(SEARCH("container",F399)),"Container", IF(ISNUMBER(SEARCH("basket",F399)),"Basket", IF(ISNUMBER(SEARCH("lunch",F399)),"Lunch Box", IF(ISNUMBER(SEARCH("cutlery",F399)),"Cutlery","Other")))))</f>
        <v>0</v>
      </c>
      <c r="I399">
        <f>IF('Raw Data'!G399&lt;&gt;'','Raw Data'!G399,IFERROR(MID(F399,SEARCH("MODEL",F399)+6,20),""))</f>
        <v>0</v>
      </c>
      <c r="J399">
        <f>'Raw Data'!H399</f>
        <v>0</v>
      </c>
      <c r="K399">
        <f>'Raw Data'!I399</f>
        <v>0</v>
      </c>
      <c r="L399">
        <f>IF('Raw Data'!N399&lt;&gt;0,'Raw Data'!N399,IFERROR(VALUE(MID(F399,SEARCH("QTY",F399)+4,IFERROR(FIND(" ",F399,SEARCH("QTY",F399)+4)-(SEARCH("QTY",F399)+4),3))),""))</f>
        <v>0</v>
      </c>
      <c r="M399">
        <f>'Raw Data'!O399</f>
        <v>0</v>
      </c>
      <c r="N399">
        <f>'Raw Data'!P399</f>
        <v>0</v>
      </c>
      <c r="O399">
        <f>'Raw Data'!Q399</f>
        <v>0</v>
      </c>
      <c r="P399">
        <f>'Raw Data'!R399</f>
        <v>0</v>
      </c>
      <c r="Q399">
        <f>'Raw Data'!S399</f>
        <v>0</v>
      </c>
      <c r="R399">
        <f>'Raw Data'!T399</f>
        <v>0</v>
      </c>
      <c r="S399">
        <f>IFERROR(O399,0)+IFERROR(R399,0)</f>
        <v>0</v>
      </c>
      <c r="T399">
        <f>IF(A399="","",YEAR(A399))</f>
        <v>0</v>
      </c>
    </row>
    <row r="400" spans="1:20">
      <c r="A400">
        <f>'Raw Data'!B400</f>
        <v>0</v>
      </c>
      <c r="B400">
        <f>'Raw Data'!A400</f>
        <v>0</v>
      </c>
      <c r="C400">
        <f>'Raw Data'!C400</f>
        <v>0</v>
      </c>
      <c r="D400">
        <f>'Raw Data'!D400</f>
        <v>0</v>
      </c>
      <c r="E400">
        <f>IFERROR(VLOOKUP(D400,'Lookup Tables'!$A:$B,2,FALSE),"Unknown")</f>
        <v>0</v>
      </c>
      <c r="F400">
        <f>'Raw Data'!E400</f>
        <v>0</v>
      </c>
      <c r="G400">
        <f>IFERROR(VLOOKUP(D400,'Lookup Tables'!$A:$C,3,FALSE),IF(ISNUMBER(SEARCH("STEEL",F400)),"Steel","Others"))</f>
        <v>0</v>
      </c>
      <c r="H400">
        <f>IF(ISNUMBER(SEARCH("scrubber",F400)) , "Scrubber", IF(ISNUMBER(SEARCH("container",F400)),"Container", IF(ISNUMBER(SEARCH("basket",F400)),"Basket", IF(ISNUMBER(SEARCH("lunch",F400)),"Lunch Box", IF(ISNUMBER(SEARCH("cutlery",F400)),"Cutlery","Other")))))</f>
        <v>0</v>
      </c>
      <c r="I400">
        <f>IF('Raw Data'!G400&lt;&gt;'','Raw Data'!G400,IFERROR(MID(F400,SEARCH("MODEL",F400)+6,20),""))</f>
        <v>0</v>
      </c>
      <c r="J400">
        <f>'Raw Data'!H400</f>
        <v>0</v>
      </c>
      <c r="K400">
        <f>'Raw Data'!I400</f>
        <v>0</v>
      </c>
      <c r="L400">
        <f>IF('Raw Data'!N400&lt;&gt;0,'Raw Data'!N400,IFERROR(VALUE(MID(F400,SEARCH("QTY",F400)+4,IFERROR(FIND(" ",F400,SEARCH("QTY",F400)+4)-(SEARCH("QTY",F400)+4),3))),""))</f>
        <v>0</v>
      </c>
      <c r="M400">
        <f>'Raw Data'!O400</f>
        <v>0</v>
      </c>
      <c r="N400">
        <f>'Raw Data'!P400</f>
        <v>0</v>
      </c>
      <c r="O400">
        <f>'Raw Data'!Q400</f>
        <v>0</v>
      </c>
      <c r="P400">
        <f>'Raw Data'!R400</f>
        <v>0</v>
      </c>
      <c r="Q400">
        <f>'Raw Data'!S400</f>
        <v>0</v>
      </c>
      <c r="R400">
        <f>'Raw Data'!T400</f>
        <v>0</v>
      </c>
      <c r="S400">
        <f>IFERROR(O400,0)+IFERROR(R400,0)</f>
        <v>0</v>
      </c>
      <c r="T400">
        <f>IF(A400="","",YEAR(A400))</f>
        <v>0</v>
      </c>
    </row>
    <row r="401" spans="1:20">
      <c r="A401">
        <f>'Raw Data'!B401</f>
        <v>0</v>
      </c>
      <c r="B401">
        <f>'Raw Data'!A401</f>
        <v>0</v>
      </c>
      <c r="C401">
        <f>'Raw Data'!C401</f>
        <v>0</v>
      </c>
      <c r="D401">
        <f>'Raw Data'!D401</f>
        <v>0</v>
      </c>
      <c r="E401">
        <f>IFERROR(VLOOKUP(D401,'Lookup Tables'!$A:$B,2,FALSE),"Unknown")</f>
        <v>0</v>
      </c>
      <c r="F401">
        <f>'Raw Data'!E401</f>
        <v>0</v>
      </c>
      <c r="G401">
        <f>IFERROR(VLOOKUP(D401,'Lookup Tables'!$A:$C,3,FALSE),IF(ISNUMBER(SEARCH("STEEL",F401)),"Steel","Others"))</f>
        <v>0</v>
      </c>
      <c r="H401">
        <f>IF(ISNUMBER(SEARCH("scrubber",F401)) , "Scrubber", IF(ISNUMBER(SEARCH("container",F401)),"Container", IF(ISNUMBER(SEARCH("basket",F401)),"Basket", IF(ISNUMBER(SEARCH("lunch",F401)),"Lunch Box", IF(ISNUMBER(SEARCH("cutlery",F401)),"Cutlery","Other")))))</f>
        <v>0</v>
      </c>
      <c r="I401">
        <f>IF('Raw Data'!G401&lt;&gt;'','Raw Data'!G401,IFERROR(MID(F401,SEARCH("MODEL",F401)+6,20),""))</f>
        <v>0</v>
      </c>
      <c r="J401">
        <f>'Raw Data'!H401</f>
        <v>0</v>
      </c>
      <c r="K401">
        <f>'Raw Data'!I401</f>
        <v>0</v>
      </c>
      <c r="L401">
        <f>IF('Raw Data'!N401&lt;&gt;0,'Raw Data'!N401,IFERROR(VALUE(MID(F401,SEARCH("QTY",F401)+4,IFERROR(FIND(" ",F401,SEARCH("QTY",F401)+4)-(SEARCH("QTY",F401)+4),3))),""))</f>
        <v>0</v>
      </c>
      <c r="M401">
        <f>'Raw Data'!O401</f>
        <v>0</v>
      </c>
      <c r="N401">
        <f>'Raw Data'!P401</f>
        <v>0</v>
      </c>
      <c r="O401">
        <f>'Raw Data'!Q401</f>
        <v>0</v>
      </c>
      <c r="P401">
        <f>'Raw Data'!R401</f>
        <v>0</v>
      </c>
      <c r="Q401">
        <f>'Raw Data'!S401</f>
        <v>0</v>
      </c>
      <c r="R401">
        <f>'Raw Data'!T401</f>
        <v>0</v>
      </c>
      <c r="S401">
        <f>IFERROR(O401,0)+IFERROR(R401,0)</f>
        <v>0</v>
      </c>
      <c r="T401">
        <f>IF(A401="","",YEAR(A401))</f>
        <v>0</v>
      </c>
    </row>
    <row r="402" spans="1:20">
      <c r="A402">
        <f>'Raw Data'!B402</f>
        <v>0</v>
      </c>
      <c r="B402">
        <f>'Raw Data'!A402</f>
        <v>0</v>
      </c>
      <c r="C402">
        <f>'Raw Data'!C402</f>
        <v>0</v>
      </c>
      <c r="D402">
        <f>'Raw Data'!D402</f>
        <v>0</v>
      </c>
      <c r="E402">
        <f>IFERROR(VLOOKUP(D402,'Lookup Tables'!$A:$B,2,FALSE),"Unknown")</f>
        <v>0</v>
      </c>
      <c r="F402">
        <f>'Raw Data'!E402</f>
        <v>0</v>
      </c>
      <c r="G402">
        <f>IFERROR(VLOOKUP(D402,'Lookup Tables'!$A:$C,3,FALSE),IF(ISNUMBER(SEARCH("STEEL",F402)),"Steel","Others"))</f>
        <v>0</v>
      </c>
      <c r="H402">
        <f>IF(ISNUMBER(SEARCH("scrubber",F402)) , "Scrubber", IF(ISNUMBER(SEARCH("container",F402)),"Container", IF(ISNUMBER(SEARCH("basket",F402)),"Basket", IF(ISNUMBER(SEARCH("lunch",F402)),"Lunch Box", IF(ISNUMBER(SEARCH("cutlery",F402)),"Cutlery","Other")))))</f>
        <v>0</v>
      </c>
      <c r="I402">
        <f>IF('Raw Data'!G402&lt;&gt;'','Raw Data'!G402,IFERROR(MID(F402,SEARCH("MODEL",F402)+6,20),""))</f>
        <v>0</v>
      </c>
      <c r="J402">
        <f>'Raw Data'!H402</f>
        <v>0</v>
      </c>
      <c r="K402">
        <f>'Raw Data'!I402</f>
        <v>0</v>
      </c>
      <c r="L402">
        <f>IF('Raw Data'!N402&lt;&gt;0,'Raw Data'!N402,IFERROR(VALUE(MID(F402,SEARCH("QTY",F402)+4,IFERROR(FIND(" ",F402,SEARCH("QTY",F402)+4)-(SEARCH("QTY",F402)+4),3))),""))</f>
        <v>0</v>
      </c>
      <c r="M402">
        <f>'Raw Data'!O402</f>
        <v>0</v>
      </c>
      <c r="N402">
        <f>'Raw Data'!P402</f>
        <v>0</v>
      </c>
      <c r="O402">
        <f>'Raw Data'!Q402</f>
        <v>0</v>
      </c>
      <c r="P402">
        <f>'Raw Data'!R402</f>
        <v>0</v>
      </c>
      <c r="Q402">
        <f>'Raw Data'!S402</f>
        <v>0</v>
      </c>
      <c r="R402">
        <f>'Raw Data'!T402</f>
        <v>0</v>
      </c>
      <c r="S402">
        <f>IFERROR(O402,0)+IFERROR(R402,0)</f>
        <v>0</v>
      </c>
      <c r="T402">
        <f>IF(A402="","",YEAR(A402))</f>
        <v>0</v>
      </c>
    </row>
    <row r="403" spans="1:20">
      <c r="A403">
        <f>'Raw Data'!B403</f>
        <v>0</v>
      </c>
      <c r="B403">
        <f>'Raw Data'!A403</f>
        <v>0</v>
      </c>
      <c r="C403">
        <f>'Raw Data'!C403</f>
        <v>0</v>
      </c>
      <c r="D403">
        <f>'Raw Data'!D403</f>
        <v>0</v>
      </c>
      <c r="E403">
        <f>IFERROR(VLOOKUP(D403,'Lookup Tables'!$A:$B,2,FALSE),"Unknown")</f>
        <v>0</v>
      </c>
      <c r="F403">
        <f>'Raw Data'!E403</f>
        <v>0</v>
      </c>
      <c r="G403">
        <f>IFERROR(VLOOKUP(D403,'Lookup Tables'!$A:$C,3,FALSE),IF(ISNUMBER(SEARCH("STEEL",F403)),"Steel","Others"))</f>
        <v>0</v>
      </c>
      <c r="H403">
        <f>IF(ISNUMBER(SEARCH("scrubber",F403)) , "Scrubber", IF(ISNUMBER(SEARCH("container",F403)),"Container", IF(ISNUMBER(SEARCH("basket",F403)),"Basket", IF(ISNUMBER(SEARCH("lunch",F403)),"Lunch Box", IF(ISNUMBER(SEARCH("cutlery",F403)),"Cutlery","Other")))))</f>
        <v>0</v>
      </c>
      <c r="I403">
        <f>IF('Raw Data'!G403&lt;&gt;'','Raw Data'!G403,IFERROR(MID(F403,SEARCH("MODEL",F403)+6,20),""))</f>
        <v>0</v>
      </c>
      <c r="J403">
        <f>'Raw Data'!H403</f>
        <v>0</v>
      </c>
      <c r="K403">
        <f>'Raw Data'!I403</f>
        <v>0</v>
      </c>
      <c r="L403">
        <f>IF('Raw Data'!N403&lt;&gt;0,'Raw Data'!N403,IFERROR(VALUE(MID(F403,SEARCH("QTY",F403)+4,IFERROR(FIND(" ",F403,SEARCH("QTY",F403)+4)-(SEARCH("QTY",F403)+4),3))),""))</f>
        <v>0</v>
      </c>
      <c r="M403">
        <f>'Raw Data'!O403</f>
        <v>0</v>
      </c>
      <c r="N403">
        <f>'Raw Data'!P403</f>
        <v>0</v>
      </c>
      <c r="O403">
        <f>'Raw Data'!Q403</f>
        <v>0</v>
      </c>
      <c r="P403">
        <f>'Raw Data'!R403</f>
        <v>0</v>
      </c>
      <c r="Q403">
        <f>'Raw Data'!S403</f>
        <v>0</v>
      </c>
      <c r="R403">
        <f>'Raw Data'!T403</f>
        <v>0</v>
      </c>
      <c r="S403">
        <f>IFERROR(O403,0)+IFERROR(R403,0)</f>
        <v>0</v>
      </c>
      <c r="T403">
        <f>IF(A403="","",YEAR(A403))</f>
        <v>0</v>
      </c>
    </row>
    <row r="404" spans="1:20">
      <c r="A404">
        <f>'Raw Data'!B404</f>
        <v>0</v>
      </c>
      <c r="B404">
        <f>'Raw Data'!A404</f>
        <v>0</v>
      </c>
      <c r="C404">
        <f>'Raw Data'!C404</f>
        <v>0</v>
      </c>
      <c r="D404">
        <f>'Raw Data'!D404</f>
        <v>0</v>
      </c>
      <c r="E404">
        <f>IFERROR(VLOOKUP(D404,'Lookup Tables'!$A:$B,2,FALSE),"Unknown")</f>
        <v>0</v>
      </c>
      <c r="F404">
        <f>'Raw Data'!E404</f>
        <v>0</v>
      </c>
      <c r="G404">
        <f>IFERROR(VLOOKUP(D404,'Lookup Tables'!$A:$C,3,FALSE),IF(ISNUMBER(SEARCH("STEEL",F404)),"Steel","Others"))</f>
        <v>0</v>
      </c>
      <c r="H404">
        <f>IF(ISNUMBER(SEARCH("scrubber",F404)) , "Scrubber", IF(ISNUMBER(SEARCH("container",F404)),"Container", IF(ISNUMBER(SEARCH("basket",F404)),"Basket", IF(ISNUMBER(SEARCH("lunch",F404)),"Lunch Box", IF(ISNUMBER(SEARCH("cutlery",F404)),"Cutlery","Other")))))</f>
        <v>0</v>
      </c>
      <c r="I404">
        <f>IF('Raw Data'!G404&lt;&gt;'','Raw Data'!G404,IFERROR(MID(F404,SEARCH("MODEL",F404)+6,20),""))</f>
        <v>0</v>
      </c>
      <c r="J404">
        <f>'Raw Data'!H404</f>
        <v>0</v>
      </c>
      <c r="K404">
        <f>'Raw Data'!I404</f>
        <v>0</v>
      </c>
      <c r="L404">
        <f>IF('Raw Data'!N404&lt;&gt;0,'Raw Data'!N404,IFERROR(VALUE(MID(F404,SEARCH("QTY",F404)+4,IFERROR(FIND(" ",F404,SEARCH("QTY",F404)+4)-(SEARCH("QTY",F404)+4),3))),""))</f>
        <v>0</v>
      </c>
      <c r="M404">
        <f>'Raw Data'!O404</f>
        <v>0</v>
      </c>
      <c r="N404">
        <f>'Raw Data'!P404</f>
        <v>0</v>
      </c>
      <c r="O404">
        <f>'Raw Data'!Q404</f>
        <v>0</v>
      </c>
      <c r="P404">
        <f>'Raw Data'!R404</f>
        <v>0</v>
      </c>
      <c r="Q404">
        <f>'Raw Data'!S404</f>
        <v>0</v>
      </c>
      <c r="R404">
        <f>'Raw Data'!T404</f>
        <v>0</v>
      </c>
      <c r="S404">
        <f>IFERROR(O404,0)+IFERROR(R404,0)</f>
        <v>0</v>
      </c>
      <c r="T404">
        <f>IF(A404="","",YEAR(A404))</f>
        <v>0</v>
      </c>
    </row>
    <row r="405" spans="1:20">
      <c r="A405">
        <f>'Raw Data'!B405</f>
        <v>0</v>
      </c>
      <c r="B405">
        <f>'Raw Data'!A405</f>
        <v>0</v>
      </c>
      <c r="C405">
        <f>'Raw Data'!C405</f>
        <v>0</v>
      </c>
      <c r="D405">
        <f>'Raw Data'!D405</f>
        <v>0</v>
      </c>
      <c r="E405">
        <f>IFERROR(VLOOKUP(D405,'Lookup Tables'!$A:$B,2,FALSE),"Unknown")</f>
        <v>0</v>
      </c>
      <c r="F405">
        <f>'Raw Data'!E405</f>
        <v>0</v>
      </c>
      <c r="G405">
        <f>IFERROR(VLOOKUP(D405,'Lookup Tables'!$A:$C,3,FALSE),IF(ISNUMBER(SEARCH("STEEL",F405)),"Steel","Others"))</f>
        <v>0</v>
      </c>
      <c r="H405">
        <f>IF(ISNUMBER(SEARCH("scrubber",F405)) , "Scrubber", IF(ISNUMBER(SEARCH("container",F405)),"Container", IF(ISNUMBER(SEARCH("basket",F405)),"Basket", IF(ISNUMBER(SEARCH("lunch",F405)),"Lunch Box", IF(ISNUMBER(SEARCH("cutlery",F405)),"Cutlery","Other")))))</f>
        <v>0</v>
      </c>
      <c r="I405">
        <f>IF('Raw Data'!G405&lt;&gt;'','Raw Data'!G405,IFERROR(MID(F405,SEARCH("MODEL",F405)+6,20),""))</f>
        <v>0</v>
      </c>
      <c r="J405">
        <f>'Raw Data'!H405</f>
        <v>0</v>
      </c>
      <c r="K405">
        <f>'Raw Data'!I405</f>
        <v>0</v>
      </c>
      <c r="L405">
        <f>IF('Raw Data'!N405&lt;&gt;0,'Raw Data'!N405,IFERROR(VALUE(MID(F405,SEARCH("QTY",F405)+4,IFERROR(FIND(" ",F405,SEARCH("QTY",F405)+4)-(SEARCH("QTY",F405)+4),3))),""))</f>
        <v>0</v>
      </c>
      <c r="M405">
        <f>'Raw Data'!O405</f>
        <v>0</v>
      </c>
      <c r="N405">
        <f>'Raw Data'!P405</f>
        <v>0</v>
      </c>
      <c r="O405">
        <f>'Raw Data'!Q405</f>
        <v>0</v>
      </c>
      <c r="P405">
        <f>'Raw Data'!R405</f>
        <v>0</v>
      </c>
      <c r="Q405">
        <f>'Raw Data'!S405</f>
        <v>0</v>
      </c>
      <c r="R405">
        <f>'Raw Data'!T405</f>
        <v>0</v>
      </c>
      <c r="S405">
        <f>IFERROR(O405,0)+IFERROR(R405,0)</f>
        <v>0</v>
      </c>
      <c r="T405">
        <f>IF(A405="","",YEAR(A405))</f>
        <v>0</v>
      </c>
    </row>
    <row r="406" spans="1:20">
      <c r="A406">
        <f>'Raw Data'!B406</f>
        <v>0</v>
      </c>
      <c r="B406">
        <f>'Raw Data'!A406</f>
        <v>0</v>
      </c>
      <c r="C406">
        <f>'Raw Data'!C406</f>
        <v>0</v>
      </c>
      <c r="D406">
        <f>'Raw Data'!D406</f>
        <v>0</v>
      </c>
      <c r="E406">
        <f>IFERROR(VLOOKUP(D406,'Lookup Tables'!$A:$B,2,FALSE),"Unknown")</f>
        <v>0</v>
      </c>
      <c r="F406">
        <f>'Raw Data'!E406</f>
        <v>0</v>
      </c>
      <c r="G406">
        <f>IFERROR(VLOOKUP(D406,'Lookup Tables'!$A:$C,3,FALSE),IF(ISNUMBER(SEARCH("STEEL",F406)),"Steel","Others"))</f>
        <v>0</v>
      </c>
      <c r="H406">
        <f>IF(ISNUMBER(SEARCH("scrubber",F406)) , "Scrubber", IF(ISNUMBER(SEARCH("container",F406)),"Container", IF(ISNUMBER(SEARCH("basket",F406)),"Basket", IF(ISNUMBER(SEARCH("lunch",F406)),"Lunch Box", IF(ISNUMBER(SEARCH("cutlery",F406)),"Cutlery","Other")))))</f>
        <v>0</v>
      </c>
      <c r="I406">
        <f>IF('Raw Data'!G406&lt;&gt;'','Raw Data'!G406,IFERROR(MID(F406,SEARCH("MODEL",F406)+6,20),""))</f>
        <v>0</v>
      </c>
      <c r="J406">
        <f>'Raw Data'!H406</f>
        <v>0</v>
      </c>
      <c r="K406">
        <f>'Raw Data'!I406</f>
        <v>0</v>
      </c>
      <c r="L406">
        <f>IF('Raw Data'!N406&lt;&gt;0,'Raw Data'!N406,IFERROR(VALUE(MID(F406,SEARCH("QTY",F406)+4,IFERROR(FIND(" ",F406,SEARCH("QTY",F406)+4)-(SEARCH("QTY",F406)+4),3))),""))</f>
        <v>0</v>
      </c>
      <c r="M406">
        <f>'Raw Data'!O406</f>
        <v>0</v>
      </c>
      <c r="N406">
        <f>'Raw Data'!P406</f>
        <v>0</v>
      </c>
      <c r="O406">
        <f>'Raw Data'!Q406</f>
        <v>0</v>
      </c>
      <c r="P406">
        <f>'Raw Data'!R406</f>
        <v>0</v>
      </c>
      <c r="Q406">
        <f>'Raw Data'!S406</f>
        <v>0</v>
      </c>
      <c r="R406">
        <f>'Raw Data'!T406</f>
        <v>0</v>
      </c>
      <c r="S406">
        <f>IFERROR(O406,0)+IFERROR(R406,0)</f>
        <v>0</v>
      </c>
      <c r="T406">
        <f>IF(A406="","",YEAR(A406))</f>
        <v>0</v>
      </c>
    </row>
    <row r="407" spans="1:20">
      <c r="A407">
        <f>'Raw Data'!B407</f>
        <v>0</v>
      </c>
      <c r="B407">
        <f>'Raw Data'!A407</f>
        <v>0</v>
      </c>
      <c r="C407">
        <f>'Raw Data'!C407</f>
        <v>0</v>
      </c>
      <c r="D407">
        <f>'Raw Data'!D407</f>
        <v>0</v>
      </c>
      <c r="E407">
        <f>IFERROR(VLOOKUP(D407,'Lookup Tables'!$A:$B,2,FALSE),"Unknown")</f>
        <v>0</v>
      </c>
      <c r="F407">
        <f>'Raw Data'!E407</f>
        <v>0</v>
      </c>
      <c r="G407">
        <f>IFERROR(VLOOKUP(D407,'Lookup Tables'!$A:$C,3,FALSE),IF(ISNUMBER(SEARCH("STEEL",F407)),"Steel","Others"))</f>
        <v>0</v>
      </c>
      <c r="H407">
        <f>IF(ISNUMBER(SEARCH("scrubber",F407)) , "Scrubber", IF(ISNUMBER(SEARCH("container",F407)),"Container", IF(ISNUMBER(SEARCH("basket",F407)),"Basket", IF(ISNUMBER(SEARCH("lunch",F407)),"Lunch Box", IF(ISNUMBER(SEARCH("cutlery",F407)),"Cutlery","Other")))))</f>
        <v>0</v>
      </c>
      <c r="I407">
        <f>IF('Raw Data'!G407&lt;&gt;'','Raw Data'!G407,IFERROR(MID(F407,SEARCH("MODEL",F407)+6,20),""))</f>
        <v>0</v>
      </c>
      <c r="J407">
        <f>'Raw Data'!H407</f>
        <v>0</v>
      </c>
      <c r="K407">
        <f>'Raw Data'!I407</f>
        <v>0</v>
      </c>
      <c r="L407">
        <f>IF('Raw Data'!N407&lt;&gt;0,'Raw Data'!N407,IFERROR(VALUE(MID(F407,SEARCH("QTY",F407)+4,IFERROR(FIND(" ",F407,SEARCH("QTY",F407)+4)-(SEARCH("QTY",F407)+4),3))),""))</f>
        <v>0</v>
      </c>
      <c r="M407">
        <f>'Raw Data'!O407</f>
        <v>0</v>
      </c>
      <c r="N407">
        <f>'Raw Data'!P407</f>
        <v>0</v>
      </c>
      <c r="O407">
        <f>'Raw Data'!Q407</f>
        <v>0</v>
      </c>
      <c r="P407">
        <f>'Raw Data'!R407</f>
        <v>0</v>
      </c>
      <c r="Q407">
        <f>'Raw Data'!S407</f>
        <v>0</v>
      </c>
      <c r="R407">
        <f>'Raw Data'!T407</f>
        <v>0</v>
      </c>
      <c r="S407">
        <f>IFERROR(O407,0)+IFERROR(R407,0)</f>
        <v>0</v>
      </c>
      <c r="T407">
        <f>IF(A407="","",YEAR(A407))</f>
        <v>0</v>
      </c>
    </row>
    <row r="408" spans="1:20">
      <c r="A408">
        <f>'Raw Data'!B408</f>
        <v>0</v>
      </c>
      <c r="B408">
        <f>'Raw Data'!A408</f>
        <v>0</v>
      </c>
      <c r="C408">
        <f>'Raw Data'!C408</f>
        <v>0</v>
      </c>
      <c r="D408">
        <f>'Raw Data'!D408</f>
        <v>0</v>
      </c>
      <c r="E408">
        <f>IFERROR(VLOOKUP(D408,'Lookup Tables'!$A:$B,2,FALSE),"Unknown")</f>
        <v>0</v>
      </c>
      <c r="F408">
        <f>'Raw Data'!E408</f>
        <v>0</v>
      </c>
      <c r="G408">
        <f>IFERROR(VLOOKUP(D408,'Lookup Tables'!$A:$C,3,FALSE),IF(ISNUMBER(SEARCH("STEEL",F408)),"Steel","Others"))</f>
        <v>0</v>
      </c>
      <c r="H408">
        <f>IF(ISNUMBER(SEARCH("scrubber",F408)) , "Scrubber", IF(ISNUMBER(SEARCH("container",F408)),"Container", IF(ISNUMBER(SEARCH("basket",F408)),"Basket", IF(ISNUMBER(SEARCH("lunch",F408)),"Lunch Box", IF(ISNUMBER(SEARCH("cutlery",F408)),"Cutlery","Other")))))</f>
        <v>0</v>
      </c>
      <c r="I408">
        <f>IF('Raw Data'!G408&lt;&gt;'','Raw Data'!G408,IFERROR(MID(F408,SEARCH("MODEL",F408)+6,20),""))</f>
        <v>0</v>
      </c>
      <c r="J408">
        <f>'Raw Data'!H408</f>
        <v>0</v>
      </c>
      <c r="K408">
        <f>'Raw Data'!I408</f>
        <v>0</v>
      </c>
      <c r="L408">
        <f>IF('Raw Data'!N408&lt;&gt;0,'Raw Data'!N408,IFERROR(VALUE(MID(F408,SEARCH("QTY",F408)+4,IFERROR(FIND(" ",F408,SEARCH("QTY",F408)+4)-(SEARCH("QTY",F408)+4),3))),""))</f>
        <v>0</v>
      </c>
      <c r="M408">
        <f>'Raw Data'!O408</f>
        <v>0</v>
      </c>
      <c r="N408">
        <f>'Raw Data'!P408</f>
        <v>0</v>
      </c>
      <c r="O408">
        <f>'Raw Data'!Q408</f>
        <v>0</v>
      </c>
      <c r="P408">
        <f>'Raw Data'!R408</f>
        <v>0</v>
      </c>
      <c r="Q408">
        <f>'Raw Data'!S408</f>
        <v>0</v>
      </c>
      <c r="R408">
        <f>'Raw Data'!T408</f>
        <v>0</v>
      </c>
      <c r="S408">
        <f>IFERROR(O408,0)+IFERROR(R408,0)</f>
        <v>0</v>
      </c>
      <c r="T408">
        <f>IF(A408="","",YEAR(A408))</f>
        <v>0</v>
      </c>
    </row>
    <row r="409" spans="1:20">
      <c r="A409">
        <f>'Raw Data'!B409</f>
        <v>0</v>
      </c>
      <c r="B409">
        <f>'Raw Data'!A409</f>
        <v>0</v>
      </c>
      <c r="C409">
        <f>'Raw Data'!C409</f>
        <v>0</v>
      </c>
      <c r="D409">
        <f>'Raw Data'!D409</f>
        <v>0</v>
      </c>
      <c r="E409">
        <f>IFERROR(VLOOKUP(D409,'Lookup Tables'!$A:$B,2,FALSE),"Unknown")</f>
        <v>0</v>
      </c>
      <c r="F409">
        <f>'Raw Data'!E409</f>
        <v>0</v>
      </c>
      <c r="G409">
        <f>IFERROR(VLOOKUP(D409,'Lookup Tables'!$A:$C,3,FALSE),IF(ISNUMBER(SEARCH("STEEL",F409)),"Steel","Others"))</f>
        <v>0</v>
      </c>
      <c r="H409">
        <f>IF(ISNUMBER(SEARCH("scrubber",F409)) , "Scrubber", IF(ISNUMBER(SEARCH("container",F409)),"Container", IF(ISNUMBER(SEARCH("basket",F409)),"Basket", IF(ISNUMBER(SEARCH("lunch",F409)),"Lunch Box", IF(ISNUMBER(SEARCH("cutlery",F409)),"Cutlery","Other")))))</f>
        <v>0</v>
      </c>
      <c r="I409">
        <f>IF('Raw Data'!G409&lt;&gt;'','Raw Data'!G409,IFERROR(MID(F409,SEARCH("MODEL",F409)+6,20),""))</f>
        <v>0</v>
      </c>
      <c r="J409">
        <f>'Raw Data'!H409</f>
        <v>0</v>
      </c>
      <c r="K409">
        <f>'Raw Data'!I409</f>
        <v>0</v>
      </c>
      <c r="L409">
        <f>IF('Raw Data'!N409&lt;&gt;0,'Raw Data'!N409,IFERROR(VALUE(MID(F409,SEARCH("QTY",F409)+4,IFERROR(FIND(" ",F409,SEARCH("QTY",F409)+4)-(SEARCH("QTY",F409)+4),3))),""))</f>
        <v>0</v>
      </c>
      <c r="M409">
        <f>'Raw Data'!O409</f>
        <v>0</v>
      </c>
      <c r="N409">
        <f>'Raw Data'!P409</f>
        <v>0</v>
      </c>
      <c r="O409">
        <f>'Raw Data'!Q409</f>
        <v>0</v>
      </c>
      <c r="P409">
        <f>'Raw Data'!R409</f>
        <v>0</v>
      </c>
      <c r="Q409">
        <f>'Raw Data'!S409</f>
        <v>0</v>
      </c>
      <c r="R409">
        <f>'Raw Data'!T409</f>
        <v>0</v>
      </c>
      <c r="S409">
        <f>IFERROR(O409,0)+IFERROR(R409,0)</f>
        <v>0</v>
      </c>
      <c r="T409">
        <f>IF(A409="","",YEAR(A409))</f>
        <v>0</v>
      </c>
    </row>
    <row r="410" spans="1:20">
      <c r="A410">
        <f>'Raw Data'!B410</f>
        <v>0</v>
      </c>
      <c r="B410">
        <f>'Raw Data'!A410</f>
        <v>0</v>
      </c>
      <c r="C410">
        <f>'Raw Data'!C410</f>
        <v>0</v>
      </c>
      <c r="D410">
        <f>'Raw Data'!D410</f>
        <v>0</v>
      </c>
      <c r="E410">
        <f>IFERROR(VLOOKUP(D410,'Lookup Tables'!$A:$B,2,FALSE),"Unknown")</f>
        <v>0</v>
      </c>
      <c r="F410">
        <f>'Raw Data'!E410</f>
        <v>0</v>
      </c>
      <c r="G410">
        <f>IFERROR(VLOOKUP(D410,'Lookup Tables'!$A:$C,3,FALSE),IF(ISNUMBER(SEARCH("STEEL",F410)),"Steel","Others"))</f>
        <v>0</v>
      </c>
      <c r="H410">
        <f>IF(ISNUMBER(SEARCH("scrubber",F410)) , "Scrubber", IF(ISNUMBER(SEARCH("container",F410)),"Container", IF(ISNUMBER(SEARCH("basket",F410)),"Basket", IF(ISNUMBER(SEARCH("lunch",F410)),"Lunch Box", IF(ISNUMBER(SEARCH("cutlery",F410)),"Cutlery","Other")))))</f>
        <v>0</v>
      </c>
      <c r="I410">
        <f>IF('Raw Data'!G410&lt;&gt;'','Raw Data'!G410,IFERROR(MID(F410,SEARCH("MODEL",F410)+6,20),""))</f>
        <v>0</v>
      </c>
      <c r="J410">
        <f>'Raw Data'!H410</f>
        <v>0</v>
      </c>
      <c r="K410">
        <f>'Raw Data'!I410</f>
        <v>0</v>
      </c>
      <c r="L410">
        <f>IF('Raw Data'!N410&lt;&gt;0,'Raw Data'!N410,IFERROR(VALUE(MID(F410,SEARCH("QTY",F410)+4,IFERROR(FIND(" ",F410,SEARCH("QTY",F410)+4)-(SEARCH("QTY",F410)+4),3))),""))</f>
        <v>0</v>
      </c>
      <c r="M410">
        <f>'Raw Data'!O410</f>
        <v>0</v>
      </c>
      <c r="N410">
        <f>'Raw Data'!P410</f>
        <v>0</v>
      </c>
      <c r="O410">
        <f>'Raw Data'!Q410</f>
        <v>0</v>
      </c>
      <c r="P410">
        <f>'Raw Data'!R410</f>
        <v>0</v>
      </c>
      <c r="Q410">
        <f>'Raw Data'!S410</f>
        <v>0</v>
      </c>
      <c r="R410">
        <f>'Raw Data'!T410</f>
        <v>0</v>
      </c>
      <c r="S410">
        <f>IFERROR(O410,0)+IFERROR(R410,0)</f>
        <v>0</v>
      </c>
      <c r="T410">
        <f>IF(A410="","",YEAR(A410))</f>
        <v>0</v>
      </c>
    </row>
    <row r="411" spans="1:20">
      <c r="A411">
        <f>'Raw Data'!B411</f>
        <v>0</v>
      </c>
      <c r="B411">
        <f>'Raw Data'!A411</f>
        <v>0</v>
      </c>
      <c r="C411">
        <f>'Raw Data'!C411</f>
        <v>0</v>
      </c>
      <c r="D411">
        <f>'Raw Data'!D411</f>
        <v>0</v>
      </c>
      <c r="E411">
        <f>IFERROR(VLOOKUP(D411,'Lookup Tables'!$A:$B,2,FALSE),"Unknown")</f>
        <v>0</v>
      </c>
      <c r="F411">
        <f>'Raw Data'!E411</f>
        <v>0</v>
      </c>
      <c r="G411">
        <f>IFERROR(VLOOKUP(D411,'Lookup Tables'!$A:$C,3,FALSE),IF(ISNUMBER(SEARCH("STEEL",F411)),"Steel","Others"))</f>
        <v>0</v>
      </c>
      <c r="H411">
        <f>IF(ISNUMBER(SEARCH("scrubber",F411)) , "Scrubber", IF(ISNUMBER(SEARCH("container",F411)),"Container", IF(ISNUMBER(SEARCH("basket",F411)),"Basket", IF(ISNUMBER(SEARCH("lunch",F411)),"Lunch Box", IF(ISNUMBER(SEARCH("cutlery",F411)),"Cutlery","Other")))))</f>
        <v>0</v>
      </c>
      <c r="I411">
        <f>IF('Raw Data'!G411&lt;&gt;'','Raw Data'!G411,IFERROR(MID(F411,SEARCH("MODEL",F411)+6,20),""))</f>
        <v>0</v>
      </c>
      <c r="J411">
        <f>'Raw Data'!H411</f>
        <v>0</v>
      </c>
      <c r="K411">
        <f>'Raw Data'!I411</f>
        <v>0</v>
      </c>
      <c r="L411">
        <f>IF('Raw Data'!N411&lt;&gt;0,'Raw Data'!N411,IFERROR(VALUE(MID(F411,SEARCH("QTY",F411)+4,IFERROR(FIND(" ",F411,SEARCH("QTY",F411)+4)-(SEARCH("QTY",F411)+4),3))),""))</f>
        <v>0</v>
      </c>
      <c r="M411">
        <f>'Raw Data'!O411</f>
        <v>0</v>
      </c>
      <c r="N411">
        <f>'Raw Data'!P411</f>
        <v>0</v>
      </c>
      <c r="O411">
        <f>'Raw Data'!Q411</f>
        <v>0</v>
      </c>
      <c r="P411">
        <f>'Raw Data'!R411</f>
        <v>0</v>
      </c>
      <c r="Q411">
        <f>'Raw Data'!S411</f>
        <v>0</v>
      </c>
      <c r="R411">
        <f>'Raw Data'!T411</f>
        <v>0</v>
      </c>
      <c r="S411">
        <f>IFERROR(O411,0)+IFERROR(R411,0)</f>
        <v>0</v>
      </c>
      <c r="T411">
        <f>IF(A411="","",YEAR(A411))</f>
        <v>0</v>
      </c>
    </row>
    <row r="412" spans="1:20">
      <c r="A412">
        <f>'Raw Data'!B412</f>
        <v>0</v>
      </c>
      <c r="B412">
        <f>'Raw Data'!A412</f>
        <v>0</v>
      </c>
      <c r="C412">
        <f>'Raw Data'!C412</f>
        <v>0</v>
      </c>
      <c r="D412">
        <f>'Raw Data'!D412</f>
        <v>0</v>
      </c>
      <c r="E412">
        <f>IFERROR(VLOOKUP(D412,'Lookup Tables'!$A:$B,2,FALSE),"Unknown")</f>
        <v>0</v>
      </c>
      <c r="F412">
        <f>'Raw Data'!E412</f>
        <v>0</v>
      </c>
      <c r="G412">
        <f>IFERROR(VLOOKUP(D412,'Lookup Tables'!$A:$C,3,FALSE),IF(ISNUMBER(SEARCH("STEEL",F412)),"Steel","Others"))</f>
        <v>0</v>
      </c>
      <c r="H412">
        <f>IF(ISNUMBER(SEARCH("scrubber",F412)) , "Scrubber", IF(ISNUMBER(SEARCH("container",F412)),"Container", IF(ISNUMBER(SEARCH("basket",F412)),"Basket", IF(ISNUMBER(SEARCH("lunch",F412)),"Lunch Box", IF(ISNUMBER(SEARCH("cutlery",F412)),"Cutlery","Other")))))</f>
        <v>0</v>
      </c>
      <c r="I412">
        <f>IF('Raw Data'!G412&lt;&gt;'','Raw Data'!G412,IFERROR(MID(F412,SEARCH("MODEL",F412)+6,20),""))</f>
        <v>0</v>
      </c>
      <c r="J412">
        <f>'Raw Data'!H412</f>
        <v>0</v>
      </c>
      <c r="K412">
        <f>'Raw Data'!I412</f>
        <v>0</v>
      </c>
      <c r="L412">
        <f>IF('Raw Data'!N412&lt;&gt;0,'Raw Data'!N412,IFERROR(VALUE(MID(F412,SEARCH("QTY",F412)+4,IFERROR(FIND(" ",F412,SEARCH("QTY",F412)+4)-(SEARCH("QTY",F412)+4),3))),""))</f>
        <v>0</v>
      </c>
      <c r="M412">
        <f>'Raw Data'!O412</f>
        <v>0</v>
      </c>
      <c r="N412">
        <f>'Raw Data'!P412</f>
        <v>0</v>
      </c>
      <c r="O412">
        <f>'Raw Data'!Q412</f>
        <v>0</v>
      </c>
      <c r="P412">
        <f>'Raw Data'!R412</f>
        <v>0</v>
      </c>
      <c r="Q412">
        <f>'Raw Data'!S412</f>
        <v>0</v>
      </c>
      <c r="R412">
        <f>'Raw Data'!T412</f>
        <v>0</v>
      </c>
      <c r="S412">
        <f>IFERROR(O412,0)+IFERROR(R412,0)</f>
        <v>0</v>
      </c>
      <c r="T412">
        <f>IF(A412="","",YEAR(A412))</f>
        <v>0</v>
      </c>
    </row>
    <row r="413" spans="1:20">
      <c r="A413">
        <f>'Raw Data'!B413</f>
        <v>0</v>
      </c>
      <c r="B413">
        <f>'Raw Data'!A413</f>
        <v>0</v>
      </c>
      <c r="C413">
        <f>'Raw Data'!C413</f>
        <v>0</v>
      </c>
      <c r="D413">
        <f>'Raw Data'!D413</f>
        <v>0</v>
      </c>
      <c r="E413">
        <f>IFERROR(VLOOKUP(D413,'Lookup Tables'!$A:$B,2,FALSE),"Unknown")</f>
        <v>0</v>
      </c>
      <c r="F413">
        <f>'Raw Data'!E413</f>
        <v>0</v>
      </c>
      <c r="G413">
        <f>IFERROR(VLOOKUP(D413,'Lookup Tables'!$A:$C,3,FALSE),IF(ISNUMBER(SEARCH("STEEL",F413)),"Steel","Others"))</f>
        <v>0</v>
      </c>
      <c r="H413">
        <f>IF(ISNUMBER(SEARCH("scrubber",F413)) , "Scrubber", IF(ISNUMBER(SEARCH("container",F413)),"Container", IF(ISNUMBER(SEARCH("basket",F413)),"Basket", IF(ISNUMBER(SEARCH("lunch",F413)),"Lunch Box", IF(ISNUMBER(SEARCH("cutlery",F413)),"Cutlery","Other")))))</f>
        <v>0</v>
      </c>
      <c r="I413">
        <f>IF('Raw Data'!G413&lt;&gt;'','Raw Data'!G413,IFERROR(MID(F413,SEARCH("MODEL",F413)+6,20),""))</f>
        <v>0</v>
      </c>
      <c r="J413">
        <f>'Raw Data'!H413</f>
        <v>0</v>
      </c>
      <c r="K413">
        <f>'Raw Data'!I413</f>
        <v>0</v>
      </c>
      <c r="L413">
        <f>IF('Raw Data'!N413&lt;&gt;0,'Raw Data'!N413,IFERROR(VALUE(MID(F413,SEARCH("QTY",F413)+4,IFERROR(FIND(" ",F413,SEARCH("QTY",F413)+4)-(SEARCH("QTY",F413)+4),3))),""))</f>
        <v>0</v>
      </c>
      <c r="M413">
        <f>'Raw Data'!O413</f>
        <v>0</v>
      </c>
      <c r="N413">
        <f>'Raw Data'!P413</f>
        <v>0</v>
      </c>
      <c r="O413">
        <f>'Raw Data'!Q413</f>
        <v>0</v>
      </c>
      <c r="P413">
        <f>'Raw Data'!R413</f>
        <v>0</v>
      </c>
      <c r="Q413">
        <f>'Raw Data'!S413</f>
        <v>0</v>
      </c>
      <c r="R413">
        <f>'Raw Data'!T413</f>
        <v>0</v>
      </c>
      <c r="S413">
        <f>IFERROR(O413,0)+IFERROR(R413,0)</f>
        <v>0</v>
      </c>
      <c r="T413">
        <f>IF(A413="","",YEAR(A413))</f>
        <v>0</v>
      </c>
    </row>
    <row r="414" spans="1:20">
      <c r="A414">
        <f>'Raw Data'!B414</f>
        <v>0</v>
      </c>
      <c r="B414">
        <f>'Raw Data'!A414</f>
        <v>0</v>
      </c>
      <c r="C414">
        <f>'Raw Data'!C414</f>
        <v>0</v>
      </c>
      <c r="D414">
        <f>'Raw Data'!D414</f>
        <v>0</v>
      </c>
      <c r="E414">
        <f>IFERROR(VLOOKUP(D414,'Lookup Tables'!$A:$B,2,FALSE),"Unknown")</f>
        <v>0</v>
      </c>
      <c r="F414">
        <f>'Raw Data'!E414</f>
        <v>0</v>
      </c>
      <c r="G414">
        <f>IFERROR(VLOOKUP(D414,'Lookup Tables'!$A:$C,3,FALSE),IF(ISNUMBER(SEARCH("STEEL",F414)),"Steel","Others"))</f>
        <v>0</v>
      </c>
      <c r="H414">
        <f>IF(ISNUMBER(SEARCH("scrubber",F414)) , "Scrubber", IF(ISNUMBER(SEARCH("container",F414)),"Container", IF(ISNUMBER(SEARCH("basket",F414)),"Basket", IF(ISNUMBER(SEARCH("lunch",F414)),"Lunch Box", IF(ISNUMBER(SEARCH("cutlery",F414)),"Cutlery","Other")))))</f>
        <v>0</v>
      </c>
      <c r="I414">
        <f>IF('Raw Data'!G414&lt;&gt;'','Raw Data'!G414,IFERROR(MID(F414,SEARCH("MODEL",F414)+6,20),""))</f>
        <v>0</v>
      </c>
      <c r="J414">
        <f>'Raw Data'!H414</f>
        <v>0</v>
      </c>
      <c r="K414">
        <f>'Raw Data'!I414</f>
        <v>0</v>
      </c>
      <c r="L414">
        <f>IF('Raw Data'!N414&lt;&gt;0,'Raw Data'!N414,IFERROR(VALUE(MID(F414,SEARCH("QTY",F414)+4,IFERROR(FIND(" ",F414,SEARCH("QTY",F414)+4)-(SEARCH("QTY",F414)+4),3))),""))</f>
        <v>0</v>
      </c>
      <c r="M414">
        <f>'Raw Data'!O414</f>
        <v>0</v>
      </c>
      <c r="N414">
        <f>'Raw Data'!P414</f>
        <v>0</v>
      </c>
      <c r="O414">
        <f>'Raw Data'!Q414</f>
        <v>0</v>
      </c>
      <c r="P414">
        <f>'Raw Data'!R414</f>
        <v>0</v>
      </c>
      <c r="Q414">
        <f>'Raw Data'!S414</f>
        <v>0</v>
      </c>
      <c r="R414">
        <f>'Raw Data'!T414</f>
        <v>0</v>
      </c>
      <c r="S414">
        <f>IFERROR(O414,0)+IFERROR(R414,0)</f>
        <v>0</v>
      </c>
      <c r="T414">
        <f>IF(A414="","",YEAR(A414))</f>
        <v>0</v>
      </c>
    </row>
    <row r="415" spans="1:20">
      <c r="A415">
        <f>'Raw Data'!B415</f>
        <v>0</v>
      </c>
      <c r="B415">
        <f>'Raw Data'!A415</f>
        <v>0</v>
      </c>
      <c r="C415">
        <f>'Raw Data'!C415</f>
        <v>0</v>
      </c>
      <c r="D415">
        <f>'Raw Data'!D415</f>
        <v>0</v>
      </c>
      <c r="E415">
        <f>IFERROR(VLOOKUP(D415,'Lookup Tables'!$A:$B,2,FALSE),"Unknown")</f>
        <v>0</v>
      </c>
      <c r="F415">
        <f>'Raw Data'!E415</f>
        <v>0</v>
      </c>
      <c r="G415">
        <f>IFERROR(VLOOKUP(D415,'Lookup Tables'!$A:$C,3,FALSE),IF(ISNUMBER(SEARCH("STEEL",F415)),"Steel","Others"))</f>
        <v>0</v>
      </c>
      <c r="H415">
        <f>IF(ISNUMBER(SEARCH("scrubber",F415)) , "Scrubber", IF(ISNUMBER(SEARCH("container",F415)),"Container", IF(ISNUMBER(SEARCH("basket",F415)),"Basket", IF(ISNUMBER(SEARCH("lunch",F415)),"Lunch Box", IF(ISNUMBER(SEARCH("cutlery",F415)),"Cutlery","Other")))))</f>
        <v>0</v>
      </c>
      <c r="I415">
        <f>IF('Raw Data'!G415&lt;&gt;'','Raw Data'!G415,IFERROR(MID(F415,SEARCH("MODEL",F415)+6,20),""))</f>
        <v>0</v>
      </c>
      <c r="J415">
        <f>'Raw Data'!H415</f>
        <v>0</v>
      </c>
      <c r="K415">
        <f>'Raw Data'!I415</f>
        <v>0</v>
      </c>
      <c r="L415">
        <f>IF('Raw Data'!N415&lt;&gt;0,'Raw Data'!N415,IFERROR(VALUE(MID(F415,SEARCH("QTY",F415)+4,IFERROR(FIND(" ",F415,SEARCH("QTY",F415)+4)-(SEARCH("QTY",F415)+4),3))),""))</f>
        <v>0</v>
      </c>
      <c r="M415">
        <f>'Raw Data'!O415</f>
        <v>0</v>
      </c>
      <c r="N415">
        <f>'Raw Data'!P415</f>
        <v>0</v>
      </c>
      <c r="O415">
        <f>'Raw Data'!Q415</f>
        <v>0</v>
      </c>
      <c r="P415">
        <f>'Raw Data'!R415</f>
        <v>0</v>
      </c>
      <c r="Q415">
        <f>'Raw Data'!S415</f>
        <v>0</v>
      </c>
      <c r="R415">
        <f>'Raw Data'!T415</f>
        <v>0</v>
      </c>
      <c r="S415">
        <f>IFERROR(O415,0)+IFERROR(R415,0)</f>
        <v>0</v>
      </c>
      <c r="T415">
        <f>IF(A415="","",YEAR(A415))</f>
        <v>0</v>
      </c>
    </row>
    <row r="416" spans="1:20">
      <c r="A416">
        <f>'Raw Data'!B416</f>
        <v>0</v>
      </c>
      <c r="B416">
        <f>'Raw Data'!A416</f>
        <v>0</v>
      </c>
      <c r="C416">
        <f>'Raw Data'!C416</f>
        <v>0</v>
      </c>
      <c r="D416">
        <f>'Raw Data'!D416</f>
        <v>0</v>
      </c>
      <c r="E416">
        <f>IFERROR(VLOOKUP(D416,'Lookup Tables'!$A:$B,2,FALSE),"Unknown")</f>
        <v>0</v>
      </c>
      <c r="F416">
        <f>'Raw Data'!E416</f>
        <v>0</v>
      </c>
      <c r="G416">
        <f>IFERROR(VLOOKUP(D416,'Lookup Tables'!$A:$C,3,FALSE),IF(ISNUMBER(SEARCH("STEEL",F416)),"Steel","Others"))</f>
        <v>0</v>
      </c>
      <c r="H416">
        <f>IF(ISNUMBER(SEARCH("scrubber",F416)) , "Scrubber", IF(ISNUMBER(SEARCH("container",F416)),"Container", IF(ISNUMBER(SEARCH("basket",F416)),"Basket", IF(ISNUMBER(SEARCH("lunch",F416)),"Lunch Box", IF(ISNUMBER(SEARCH("cutlery",F416)),"Cutlery","Other")))))</f>
        <v>0</v>
      </c>
      <c r="I416">
        <f>IF('Raw Data'!G416&lt;&gt;'','Raw Data'!G416,IFERROR(MID(F416,SEARCH("MODEL",F416)+6,20),""))</f>
        <v>0</v>
      </c>
      <c r="J416">
        <f>'Raw Data'!H416</f>
        <v>0</v>
      </c>
      <c r="K416">
        <f>'Raw Data'!I416</f>
        <v>0</v>
      </c>
      <c r="L416">
        <f>IF('Raw Data'!N416&lt;&gt;0,'Raw Data'!N416,IFERROR(VALUE(MID(F416,SEARCH("QTY",F416)+4,IFERROR(FIND(" ",F416,SEARCH("QTY",F416)+4)-(SEARCH("QTY",F416)+4),3))),""))</f>
        <v>0</v>
      </c>
      <c r="M416">
        <f>'Raw Data'!O416</f>
        <v>0</v>
      </c>
      <c r="N416">
        <f>'Raw Data'!P416</f>
        <v>0</v>
      </c>
      <c r="O416">
        <f>'Raw Data'!Q416</f>
        <v>0</v>
      </c>
      <c r="P416">
        <f>'Raw Data'!R416</f>
        <v>0</v>
      </c>
      <c r="Q416">
        <f>'Raw Data'!S416</f>
        <v>0</v>
      </c>
      <c r="R416">
        <f>'Raw Data'!T416</f>
        <v>0</v>
      </c>
      <c r="S416">
        <f>IFERROR(O416,0)+IFERROR(R416,0)</f>
        <v>0</v>
      </c>
      <c r="T416">
        <f>IF(A416="","",YEAR(A416))</f>
        <v>0</v>
      </c>
    </row>
    <row r="417" spans="1:20">
      <c r="A417">
        <f>'Raw Data'!B417</f>
        <v>0</v>
      </c>
      <c r="B417">
        <f>'Raw Data'!A417</f>
        <v>0</v>
      </c>
      <c r="C417">
        <f>'Raw Data'!C417</f>
        <v>0</v>
      </c>
      <c r="D417">
        <f>'Raw Data'!D417</f>
        <v>0</v>
      </c>
      <c r="E417">
        <f>IFERROR(VLOOKUP(D417,'Lookup Tables'!$A:$B,2,FALSE),"Unknown")</f>
        <v>0</v>
      </c>
      <c r="F417">
        <f>'Raw Data'!E417</f>
        <v>0</v>
      </c>
      <c r="G417">
        <f>IFERROR(VLOOKUP(D417,'Lookup Tables'!$A:$C,3,FALSE),IF(ISNUMBER(SEARCH("STEEL",F417)),"Steel","Others"))</f>
        <v>0</v>
      </c>
      <c r="H417">
        <f>IF(ISNUMBER(SEARCH("scrubber",F417)) , "Scrubber", IF(ISNUMBER(SEARCH("container",F417)),"Container", IF(ISNUMBER(SEARCH("basket",F417)),"Basket", IF(ISNUMBER(SEARCH("lunch",F417)),"Lunch Box", IF(ISNUMBER(SEARCH("cutlery",F417)),"Cutlery","Other")))))</f>
        <v>0</v>
      </c>
      <c r="I417">
        <f>IF('Raw Data'!G417&lt;&gt;'','Raw Data'!G417,IFERROR(MID(F417,SEARCH("MODEL",F417)+6,20),""))</f>
        <v>0</v>
      </c>
      <c r="J417">
        <f>'Raw Data'!H417</f>
        <v>0</v>
      </c>
      <c r="K417">
        <f>'Raw Data'!I417</f>
        <v>0</v>
      </c>
      <c r="L417">
        <f>IF('Raw Data'!N417&lt;&gt;0,'Raw Data'!N417,IFERROR(VALUE(MID(F417,SEARCH("QTY",F417)+4,IFERROR(FIND(" ",F417,SEARCH("QTY",F417)+4)-(SEARCH("QTY",F417)+4),3))),""))</f>
        <v>0</v>
      </c>
      <c r="M417">
        <f>'Raw Data'!O417</f>
        <v>0</v>
      </c>
      <c r="N417">
        <f>'Raw Data'!P417</f>
        <v>0</v>
      </c>
      <c r="O417">
        <f>'Raw Data'!Q417</f>
        <v>0</v>
      </c>
      <c r="P417">
        <f>'Raw Data'!R417</f>
        <v>0</v>
      </c>
      <c r="Q417">
        <f>'Raw Data'!S417</f>
        <v>0</v>
      </c>
      <c r="R417">
        <f>'Raw Data'!T417</f>
        <v>0</v>
      </c>
      <c r="S417">
        <f>IFERROR(O417,0)+IFERROR(R417,0)</f>
        <v>0</v>
      </c>
      <c r="T417">
        <f>IF(A417="","",YEAR(A417))</f>
        <v>0</v>
      </c>
    </row>
    <row r="418" spans="1:20">
      <c r="A418">
        <f>'Raw Data'!B418</f>
        <v>0</v>
      </c>
      <c r="B418">
        <f>'Raw Data'!A418</f>
        <v>0</v>
      </c>
      <c r="C418">
        <f>'Raw Data'!C418</f>
        <v>0</v>
      </c>
      <c r="D418">
        <f>'Raw Data'!D418</f>
        <v>0</v>
      </c>
      <c r="E418">
        <f>IFERROR(VLOOKUP(D418,'Lookup Tables'!$A:$B,2,FALSE),"Unknown")</f>
        <v>0</v>
      </c>
      <c r="F418">
        <f>'Raw Data'!E418</f>
        <v>0</v>
      </c>
      <c r="G418">
        <f>IFERROR(VLOOKUP(D418,'Lookup Tables'!$A:$C,3,FALSE),IF(ISNUMBER(SEARCH("STEEL",F418)),"Steel","Others"))</f>
        <v>0</v>
      </c>
      <c r="H418">
        <f>IF(ISNUMBER(SEARCH("scrubber",F418)) , "Scrubber", IF(ISNUMBER(SEARCH("container",F418)),"Container", IF(ISNUMBER(SEARCH("basket",F418)),"Basket", IF(ISNUMBER(SEARCH("lunch",F418)),"Lunch Box", IF(ISNUMBER(SEARCH("cutlery",F418)),"Cutlery","Other")))))</f>
        <v>0</v>
      </c>
      <c r="I418">
        <f>IF('Raw Data'!G418&lt;&gt;'','Raw Data'!G418,IFERROR(MID(F418,SEARCH("MODEL",F418)+6,20),""))</f>
        <v>0</v>
      </c>
      <c r="J418">
        <f>'Raw Data'!H418</f>
        <v>0</v>
      </c>
      <c r="K418">
        <f>'Raw Data'!I418</f>
        <v>0</v>
      </c>
      <c r="L418">
        <f>IF('Raw Data'!N418&lt;&gt;0,'Raw Data'!N418,IFERROR(VALUE(MID(F418,SEARCH("QTY",F418)+4,IFERROR(FIND(" ",F418,SEARCH("QTY",F418)+4)-(SEARCH("QTY",F418)+4),3))),""))</f>
        <v>0</v>
      </c>
      <c r="M418">
        <f>'Raw Data'!O418</f>
        <v>0</v>
      </c>
      <c r="N418">
        <f>'Raw Data'!P418</f>
        <v>0</v>
      </c>
      <c r="O418">
        <f>'Raw Data'!Q418</f>
        <v>0</v>
      </c>
      <c r="P418">
        <f>'Raw Data'!R418</f>
        <v>0</v>
      </c>
      <c r="Q418">
        <f>'Raw Data'!S418</f>
        <v>0</v>
      </c>
      <c r="R418">
        <f>'Raw Data'!T418</f>
        <v>0</v>
      </c>
      <c r="S418">
        <f>IFERROR(O418,0)+IFERROR(R418,0)</f>
        <v>0</v>
      </c>
      <c r="T418">
        <f>IF(A418="","",YEAR(A418))</f>
        <v>0</v>
      </c>
    </row>
    <row r="419" spans="1:20">
      <c r="A419">
        <f>'Raw Data'!B419</f>
        <v>0</v>
      </c>
      <c r="B419">
        <f>'Raw Data'!A419</f>
        <v>0</v>
      </c>
      <c r="C419">
        <f>'Raw Data'!C419</f>
        <v>0</v>
      </c>
      <c r="D419">
        <f>'Raw Data'!D419</f>
        <v>0</v>
      </c>
      <c r="E419">
        <f>IFERROR(VLOOKUP(D419,'Lookup Tables'!$A:$B,2,FALSE),"Unknown")</f>
        <v>0</v>
      </c>
      <c r="F419">
        <f>'Raw Data'!E419</f>
        <v>0</v>
      </c>
      <c r="G419">
        <f>IFERROR(VLOOKUP(D419,'Lookup Tables'!$A:$C,3,FALSE),IF(ISNUMBER(SEARCH("STEEL",F419)),"Steel","Others"))</f>
        <v>0</v>
      </c>
      <c r="H419">
        <f>IF(ISNUMBER(SEARCH("scrubber",F419)) , "Scrubber", IF(ISNUMBER(SEARCH("container",F419)),"Container", IF(ISNUMBER(SEARCH("basket",F419)),"Basket", IF(ISNUMBER(SEARCH("lunch",F419)),"Lunch Box", IF(ISNUMBER(SEARCH("cutlery",F419)),"Cutlery","Other")))))</f>
        <v>0</v>
      </c>
      <c r="I419">
        <f>IF('Raw Data'!G419&lt;&gt;'','Raw Data'!G419,IFERROR(MID(F419,SEARCH("MODEL",F419)+6,20),""))</f>
        <v>0</v>
      </c>
      <c r="J419">
        <f>'Raw Data'!H419</f>
        <v>0</v>
      </c>
      <c r="K419">
        <f>'Raw Data'!I419</f>
        <v>0</v>
      </c>
      <c r="L419">
        <f>IF('Raw Data'!N419&lt;&gt;0,'Raw Data'!N419,IFERROR(VALUE(MID(F419,SEARCH("QTY",F419)+4,IFERROR(FIND(" ",F419,SEARCH("QTY",F419)+4)-(SEARCH("QTY",F419)+4),3))),""))</f>
        <v>0</v>
      </c>
      <c r="M419">
        <f>'Raw Data'!O419</f>
        <v>0</v>
      </c>
      <c r="N419">
        <f>'Raw Data'!P419</f>
        <v>0</v>
      </c>
      <c r="O419">
        <f>'Raw Data'!Q419</f>
        <v>0</v>
      </c>
      <c r="P419">
        <f>'Raw Data'!R419</f>
        <v>0</v>
      </c>
      <c r="Q419">
        <f>'Raw Data'!S419</f>
        <v>0</v>
      </c>
      <c r="R419">
        <f>'Raw Data'!T419</f>
        <v>0</v>
      </c>
      <c r="S419">
        <f>IFERROR(O419,0)+IFERROR(R419,0)</f>
        <v>0</v>
      </c>
      <c r="T419">
        <f>IF(A419="","",YEAR(A419))</f>
        <v>0</v>
      </c>
    </row>
    <row r="420" spans="1:20">
      <c r="A420">
        <f>'Raw Data'!B420</f>
        <v>0</v>
      </c>
      <c r="B420">
        <f>'Raw Data'!A420</f>
        <v>0</v>
      </c>
      <c r="C420">
        <f>'Raw Data'!C420</f>
        <v>0</v>
      </c>
      <c r="D420">
        <f>'Raw Data'!D420</f>
        <v>0</v>
      </c>
      <c r="E420">
        <f>IFERROR(VLOOKUP(D420,'Lookup Tables'!$A:$B,2,FALSE),"Unknown")</f>
        <v>0</v>
      </c>
      <c r="F420">
        <f>'Raw Data'!E420</f>
        <v>0</v>
      </c>
      <c r="G420">
        <f>IFERROR(VLOOKUP(D420,'Lookup Tables'!$A:$C,3,FALSE),IF(ISNUMBER(SEARCH("STEEL",F420)),"Steel","Others"))</f>
        <v>0</v>
      </c>
      <c r="H420">
        <f>IF(ISNUMBER(SEARCH("scrubber",F420)) , "Scrubber", IF(ISNUMBER(SEARCH("container",F420)),"Container", IF(ISNUMBER(SEARCH("basket",F420)),"Basket", IF(ISNUMBER(SEARCH("lunch",F420)),"Lunch Box", IF(ISNUMBER(SEARCH("cutlery",F420)),"Cutlery","Other")))))</f>
        <v>0</v>
      </c>
      <c r="I420">
        <f>IF('Raw Data'!G420&lt;&gt;'','Raw Data'!G420,IFERROR(MID(F420,SEARCH("MODEL",F420)+6,20),""))</f>
        <v>0</v>
      </c>
      <c r="J420">
        <f>'Raw Data'!H420</f>
        <v>0</v>
      </c>
      <c r="K420">
        <f>'Raw Data'!I420</f>
        <v>0</v>
      </c>
      <c r="L420">
        <f>IF('Raw Data'!N420&lt;&gt;0,'Raw Data'!N420,IFERROR(VALUE(MID(F420,SEARCH("QTY",F420)+4,IFERROR(FIND(" ",F420,SEARCH("QTY",F420)+4)-(SEARCH("QTY",F420)+4),3))),""))</f>
        <v>0</v>
      </c>
      <c r="M420">
        <f>'Raw Data'!O420</f>
        <v>0</v>
      </c>
      <c r="N420">
        <f>'Raw Data'!P420</f>
        <v>0</v>
      </c>
      <c r="O420">
        <f>'Raw Data'!Q420</f>
        <v>0</v>
      </c>
      <c r="P420">
        <f>'Raw Data'!R420</f>
        <v>0</v>
      </c>
      <c r="Q420">
        <f>'Raw Data'!S420</f>
        <v>0</v>
      </c>
      <c r="R420">
        <f>'Raw Data'!T420</f>
        <v>0</v>
      </c>
      <c r="S420">
        <f>IFERROR(O420,0)+IFERROR(R420,0)</f>
        <v>0</v>
      </c>
      <c r="T420">
        <f>IF(A420="","",YEAR(A420))</f>
        <v>0</v>
      </c>
    </row>
    <row r="421" spans="1:20">
      <c r="A421">
        <f>'Raw Data'!B421</f>
        <v>0</v>
      </c>
      <c r="B421">
        <f>'Raw Data'!A421</f>
        <v>0</v>
      </c>
      <c r="C421">
        <f>'Raw Data'!C421</f>
        <v>0</v>
      </c>
      <c r="D421">
        <f>'Raw Data'!D421</f>
        <v>0</v>
      </c>
      <c r="E421">
        <f>IFERROR(VLOOKUP(D421,'Lookup Tables'!$A:$B,2,FALSE),"Unknown")</f>
        <v>0</v>
      </c>
      <c r="F421">
        <f>'Raw Data'!E421</f>
        <v>0</v>
      </c>
      <c r="G421">
        <f>IFERROR(VLOOKUP(D421,'Lookup Tables'!$A:$C,3,FALSE),IF(ISNUMBER(SEARCH("STEEL",F421)),"Steel","Others"))</f>
        <v>0</v>
      </c>
      <c r="H421">
        <f>IF(ISNUMBER(SEARCH("scrubber",F421)) , "Scrubber", IF(ISNUMBER(SEARCH("container",F421)),"Container", IF(ISNUMBER(SEARCH("basket",F421)),"Basket", IF(ISNUMBER(SEARCH("lunch",F421)),"Lunch Box", IF(ISNUMBER(SEARCH("cutlery",F421)),"Cutlery","Other")))))</f>
        <v>0</v>
      </c>
      <c r="I421">
        <f>IF('Raw Data'!G421&lt;&gt;'','Raw Data'!G421,IFERROR(MID(F421,SEARCH("MODEL",F421)+6,20),""))</f>
        <v>0</v>
      </c>
      <c r="J421">
        <f>'Raw Data'!H421</f>
        <v>0</v>
      </c>
      <c r="K421">
        <f>'Raw Data'!I421</f>
        <v>0</v>
      </c>
      <c r="L421">
        <f>IF('Raw Data'!N421&lt;&gt;0,'Raw Data'!N421,IFERROR(VALUE(MID(F421,SEARCH("QTY",F421)+4,IFERROR(FIND(" ",F421,SEARCH("QTY",F421)+4)-(SEARCH("QTY",F421)+4),3))),""))</f>
        <v>0</v>
      </c>
      <c r="M421">
        <f>'Raw Data'!O421</f>
        <v>0</v>
      </c>
      <c r="N421">
        <f>'Raw Data'!P421</f>
        <v>0</v>
      </c>
      <c r="O421">
        <f>'Raw Data'!Q421</f>
        <v>0</v>
      </c>
      <c r="P421">
        <f>'Raw Data'!R421</f>
        <v>0</v>
      </c>
      <c r="Q421">
        <f>'Raw Data'!S421</f>
        <v>0</v>
      </c>
      <c r="R421">
        <f>'Raw Data'!T421</f>
        <v>0</v>
      </c>
      <c r="S421">
        <f>IFERROR(O421,0)+IFERROR(R421,0)</f>
        <v>0</v>
      </c>
      <c r="T421">
        <f>IF(A421="","",YEAR(A421))</f>
        <v>0</v>
      </c>
    </row>
    <row r="422" spans="1:20">
      <c r="A422">
        <f>'Raw Data'!B422</f>
        <v>0</v>
      </c>
      <c r="B422">
        <f>'Raw Data'!A422</f>
        <v>0</v>
      </c>
      <c r="C422">
        <f>'Raw Data'!C422</f>
        <v>0</v>
      </c>
      <c r="D422">
        <f>'Raw Data'!D422</f>
        <v>0</v>
      </c>
      <c r="E422">
        <f>IFERROR(VLOOKUP(D422,'Lookup Tables'!$A:$B,2,FALSE),"Unknown")</f>
        <v>0</v>
      </c>
      <c r="F422">
        <f>'Raw Data'!E422</f>
        <v>0</v>
      </c>
      <c r="G422">
        <f>IFERROR(VLOOKUP(D422,'Lookup Tables'!$A:$C,3,FALSE),IF(ISNUMBER(SEARCH("STEEL",F422)),"Steel","Others"))</f>
        <v>0</v>
      </c>
      <c r="H422">
        <f>IF(ISNUMBER(SEARCH("scrubber",F422)) , "Scrubber", IF(ISNUMBER(SEARCH("container",F422)),"Container", IF(ISNUMBER(SEARCH("basket",F422)),"Basket", IF(ISNUMBER(SEARCH("lunch",F422)),"Lunch Box", IF(ISNUMBER(SEARCH("cutlery",F422)),"Cutlery","Other")))))</f>
        <v>0</v>
      </c>
      <c r="I422">
        <f>IF('Raw Data'!G422&lt;&gt;'','Raw Data'!G422,IFERROR(MID(F422,SEARCH("MODEL",F422)+6,20),""))</f>
        <v>0</v>
      </c>
      <c r="J422">
        <f>'Raw Data'!H422</f>
        <v>0</v>
      </c>
      <c r="K422">
        <f>'Raw Data'!I422</f>
        <v>0</v>
      </c>
      <c r="L422">
        <f>IF('Raw Data'!N422&lt;&gt;0,'Raw Data'!N422,IFERROR(VALUE(MID(F422,SEARCH("QTY",F422)+4,IFERROR(FIND(" ",F422,SEARCH("QTY",F422)+4)-(SEARCH("QTY",F422)+4),3))),""))</f>
        <v>0</v>
      </c>
      <c r="M422">
        <f>'Raw Data'!O422</f>
        <v>0</v>
      </c>
      <c r="N422">
        <f>'Raw Data'!P422</f>
        <v>0</v>
      </c>
      <c r="O422">
        <f>'Raw Data'!Q422</f>
        <v>0</v>
      </c>
      <c r="P422">
        <f>'Raw Data'!R422</f>
        <v>0</v>
      </c>
      <c r="Q422">
        <f>'Raw Data'!S422</f>
        <v>0</v>
      </c>
      <c r="R422">
        <f>'Raw Data'!T422</f>
        <v>0</v>
      </c>
      <c r="S422">
        <f>IFERROR(O422,0)+IFERROR(R422,0)</f>
        <v>0</v>
      </c>
      <c r="T422">
        <f>IF(A422="","",YEAR(A422))</f>
        <v>0</v>
      </c>
    </row>
    <row r="423" spans="1:20">
      <c r="A423">
        <f>'Raw Data'!B423</f>
        <v>0</v>
      </c>
      <c r="B423">
        <f>'Raw Data'!A423</f>
        <v>0</v>
      </c>
      <c r="C423">
        <f>'Raw Data'!C423</f>
        <v>0</v>
      </c>
      <c r="D423">
        <f>'Raw Data'!D423</f>
        <v>0</v>
      </c>
      <c r="E423">
        <f>IFERROR(VLOOKUP(D423,'Lookup Tables'!$A:$B,2,FALSE),"Unknown")</f>
        <v>0</v>
      </c>
      <c r="F423">
        <f>'Raw Data'!E423</f>
        <v>0</v>
      </c>
      <c r="G423">
        <f>IFERROR(VLOOKUP(D423,'Lookup Tables'!$A:$C,3,FALSE),IF(ISNUMBER(SEARCH("STEEL",F423)),"Steel","Others"))</f>
        <v>0</v>
      </c>
      <c r="H423">
        <f>IF(ISNUMBER(SEARCH("scrubber",F423)) , "Scrubber", IF(ISNUMBER(SEARCH("container",F423)),"Container", IF(ISNUMBER(SEARCH("basket",F423)),"Basket", IF(ISNUMBER(SEARCH("lunch",F423)),"Lunch Box", IF(ISNUMBER(SEARCH("cutlery",F423)),"Cutlery","Other")))))</f>
        <v>0</v>
      </c>
      <c r="I423">
        <f>IF('Raw Data'!G423&lt;&gt;'','Raw Data'!G423,IFERROR(MID(F423,SEARCH("MODEL",F423)+6,20),""))</f>
        <v>0</v>
      </c>
      <c r="J423">
        <f>'Raw Data'!H423</f>
        <v>0</v>
      </c>
      <c r="K423">
        <f>'Raw Data'!I423</f>
        <v>0</v>
      </c>
      <c r="L423">
        <f>IF('Raw Data'!N423&lt;&gt;0,'Raw Data'!N423,IFERROR(VALUE(MID(F423,SEARCH("QTY",F423)+4,IFERROR(FIND(" ",F423,SEARCH("QTY",F423)+4)-(SEARCH("QTY",F423)+4),3))),""))</f>
        <v>0</v>
      </c>
      <c r="M423">
        <f>'Raw Data'!O423</f>
        <v>0</v>
      </c>
      <c r="N423">
        <f>'Raw Data'!P423</f>
        <v>0</v>
      </c>
      <c r="O423">
        <f>'Raw Data'!Q423</f>
        <v>0</v>
      </c>
      <c r="P423">
        <f>'Raw Data'!R423</f>
        <v>0</v>
      </c>
      <c r="Q423">
        <f>'Raw Data'!S423</f>
        <v>0</v>
      </c>
      <c r="R423">
        <f>'Raw Data'!T423</f>
        <v>0</v>
      </c>
      <c r="S423">
        <f>IFERROR(O423,0)+IFERROR(R423,0)</f>
        <v>0</v>
      </c>
      <c r="T423">
        <f>IF(A423="","",YEAR(A423))</f>
        <v>0</v>
      </c>
    </row>
    <row r="424" spans="1:20">
      <c r="A424">
        <f>'Raw Data'!B424</f>
        <v>0</v>
      </c>
      <c r="B424">
        <f>'Raw Data'!A424</f>
        <v>0</v>
      </c>
      <c r="C424">
        <f>'Raw Data'!C424</f>
        <v>0</v>
      </c>
      <c r="D424">
        <f>'Raw Data'!D424</f>
        <v>0</v>
      </c>
      <c r="E424">
        <f>IFERROR(VLOOKUP(D424,'Lookup Tables'!$A:$B,2,FALSE),"Unknown")</f>
        <v>0</v>
      </c>
      <c r="F424">
        <f>'Raw Data'!E424</f>
        <v>0</v>
      </c>
      <c r="G424">
        <f>IFERROR(VLOOKUP(D424,'Lookup Tables'!$A:$C,3,FALSE),IF(ISNUMBER(SEARCH("STEEL",F424)),"Steel","Others"))</f>
        <v>0</v>
      </c>
      <c r="H424">
        <f>IF(ISNUMBER(SEARCH("scrubber",F424)) , "Scrubber", IF(ISNUMBER(SEARCH("container",F424)),"Container", IF(ISNUMBER(SEARCH("basket",F424)),"Basket", IF(ISNUMBER(SEARCH("lunch",F424)),"Lunch Box", IF(ISNUMBER(SEARCH("cutlery",F424)),"Cutlery","Other")))))</f>
        <v>0</v>
      </c>
      <c r="I424">
        <f>IF('Raw Data'!G424&lt;&gt;'','Raw Data'!G424,IFERROR(MID(F424,SEARCH("MODEL",F424)+6,20),""))</f>
        <v>0</v>
      </c>
      <c r="J424">
        <f>'Raw Data'!H424</f>
        <v>0</v>
      </c>
      <c r="K424">
        <f>'Raw Data'!I424</f>
        <v>0</v>
      </c>
      <c r="L424">
        <f>IF('Raw Data'!N424&lt;&gt;0,'Raw Data'!N424,IFERROR(VALUE(MID(F424,SEARCH("QTY",F424)+4,IFERROR(FIND(" ",F424,SEARCH("QTY",F424)+4)-(SEARCH("QTY",F424)+4),3))),""))</f>
        <v>0</v>
      </c>
      <c r="M424">
        <f>'Raw Data'!O424</f>
        <v>0</v>
      </c>
      <c r="N424">
        <f>'Raw Data'!P424</f>
        <v>0</v>
      </c>
      <c r="O424">
        <f>'Raw Data'!Q424</f>
        <v>0</v>
      </c>
      <c r="P424">
        <f>'Raw Data'!R424</f>
        <v>0</v>
      </c>
      <c r="Q424">
        <f>'Raw Data'!S424</f>
        <v>0</v>
      </c>
      <c r="R424">
        <f>'Raw Data'!T424</f>
        <v>0</v>
      </c>
      <c r="S424">
        <f>IFERROR(O424,0)+IFERROR(R424,0)</f>
        <v>0</v>
      </c>
      <c r="T424">
        <f>IF(A424="","",YEAR(A424))</f>
        <v>0</v>
      </c>
    </row>
    <row r="425" spans="1:20">
      <c r="A425">
        <f>'Raw Data'!B425</f>
        <v>0</v>
      </c>
      <c r="B425">
        <f>'Raw Data'!A425</f>
        <v>0</v>
      </c>
      <c r="C425">
        <f>'Raw Data'!C425</f>
        <v>0</v>
      </c>
      <c r="D425">
        <f>'Raw Data'!D425</f>
        <v>0</v>
      </c>
      <c r="E425">
        <f>IFERROR(VLOOKUP(D425,'Lookup Tables'!$A:$B,2,FALSE),"Unknown")</f>
        <v>0</v>
      </c>
      <c r="F425">
        <f>'Raw Data'!E425</f>
        <v>0</v>
      </c>
      <c r="G425">
        <f>IFERROR(VLOOKUP(D425,'Lookup Tables'!$A:$C,3,FALSE),IF(ISNUMBER(SEARCH("STEEL",F425)),"Steel","Others"))</f>
        <v>0</v>
      </c>
      <c r="H425">
        <f>IF(ISNUMBER(SEARCH("scrubber",F425)) , "Scrubber", IF(ISNUMBER(SEARCH("container",F425)),"Container", IF(ISNUMBER(SEARCH("basket",F425)),"Basket", IF(ISNUMBER(SEARCH("lunch",F425)),"Lunch Box", IF(ISNUMBER(SEARCH("cutlery",F425)),"Cutlery","Other")))))</f>
        <v>0</v>
      </c>
      <c r="I425">
        <f>IF('Raw Data'!G425&lt;&gt;'','Raw Data'!G425,IFERROR(MID(F425,SEARCH("MODEL",F425)+6,20),""))</f>
        <v>0</v>
      </c>
      <c r="J425">
        <f>'Raw Data'!H425</f>
        <v>0</v>
      </c>
      <c r="K425">
        <f>'Raw Data'!I425</f>
        <v>0</v>
      </c>
      <c r="L425">
        <f>IF('Raw Data'!N425&lt;&gt;0,'Raw Data'!N425,IFERROR(VALUE(MID(F425,SEARCH("QTY",F425)+4,IFERROR(FIND(" ",F425,SEARCH("QTY",F425)+4)-(SEARCH("QTY",F425)+4),3))),""))</f>
        <v>0</v>
      </c>
      <c r="M425">
        <f>'Raw Data'!O425</f>
        <v>0</v>
      </c>
      <c r="N425">
        <f>'Raw Data'!P425</f>
        <v>0</v>
      </c>
      <c r="O425">
        <f>'Raw Data'!Q425</f>
        <v>0</v>
      </c>
      <c r="P425">
        <f>'Raw Data'!R425</f>
        <v>0</v>
      </c>
      <c r="Q425">
        <f>'Raw Data'!S425</f>
        <v>0</v>
      </c>
      <c r="R425">
        <f>'Raw Data'!T425</f>
        <v>0</v>
      </c>
      <c r="S425">
        <f>IFERROR(O425,0)+IFERROR(R425,0)</f>
        <v>0</v>
      </c>
      <c r="T425">
        <f>IF(A425="","",YEAR(A425))</f>
        <v>0</v>
      </c>
    </row>
    <row r="426" spans="1:20">
      <c r="A426">
        <f>'Raw Data'!B426</f>
        <v>0</v>
      </c>
      <c r="B426">
        <f>'Raw Data'!A426</f>
        <v>0</v>
      </c>
      <c r="C426">
        <f>'Raw Data'!C426</f>
        <v>0</v>
      </c>
      <c r="D426">
        <f>'Raw Data'!D426</f>
        <v>0</v>
      </c>
      <c r="E426">
        <f>IFERROR(VLOOKUP(D426,'Lookup Tables'!$A:$B,2,FALSE),"Unknown")</f>
        <v>0</v>
      </c>
      <c r="F426">
        <f>'Raw Data'!E426</f>
        <v>0</v>
      </c>
      <c r="G426">
        <f>IFERROR(VLOOKUP(D426,'Lookup Tables'!$A:$C,3,FALSE),IF(ISNUMBER(SEARCH("STEEL",F426)),"Steel","Others"))</f>
        <v>0</v>
      </c>
      <c r="H426">
        <f>IF(ISNUMBER(SEARCH("scrubber",F426)) , "Scrubber", IF(ISNUMBER(SEARCH("container",F426)),"Container", IF(ISNUMBER(SEARCH("basket",F426)),"Basket", IF(ISNUMBER(SEARCH("lunch",F426)),"Lunch Box", IF(ISNUMBER(SEARCH("cutlery",F426)),"Cutlery","Other")))))</f>
        <v>0</v>
      </c>
      <c r="I426">
        <f>IF('Raw Data'!G426&lt;&gt;'','Raw Data'!G426,IFERROR(MID(F426,SEARCH("MODEL",F426)+6,20),""))</f>
        <v>0</v>
      </c>
      <c r="J426">
        <f>'Raw Data'!H426</f>
        <v>0</v>
      </c>
      <c r="K426">
        <f>'Raw Data'!I426</f>
        <v>0</v>
      </c>
      <c r="L426">
        <f>IF('Raw Data'!N426&lt;&gt;0,'Raw Data'!N426,IFERROR(VALUE(MID(F426,SEARCH("QTY",F426)+4,IFERROR(FIND(" ",F426,SEARCH("QTY",F426)+4)-(SEARCH("QTY",F426)+4),3))),""))</f>
        <v>0</v>
      </c>
      <c r="M426">
        <f>'Raw Data'!O426</f>
        <v>0</v>
      </c>
      <c r="N426">
        <f>'Raw Data'!P426</f>
        <v>0</v>
      </c>
      <c r="O426">
        <f>'Raw Data'!Q426</f>
        <v>0</v>
      </c>
      <c r="P426">
        <f>'Raw Data'!R426</f>
        <v>0</v>
      </c>
      <c r="Q426">
        <f>'Raw Data'!S426</f>
        <v>0</v>
      </c>
      <c r="R426">
        <f>'Raw Data'!T426</f>
        <v>0</v>
      </c>
      <c r="S426">
        <f>IFERROR(O426,0)+IFERROR(R426,0)</f>
        <v>0</v>
      </c>
      <c r="T426">
        <f>IF(A426="","",YEAR(A426))</f>
        <v>0</v>
      </c>
    </row>
    <row r="427" spans="1:20">
      <c r="A427">
        <f>'Raw Data'!B427</f>
        <v>0</v>
      </c>
      <c r="B427">
        <f>'Raw Data'!A427</f>
        <v>0</v>
      </c>
      <c r="C427">
        <f>'Raw Data'!C427</f>
        <v>0</v>
      </c>
      <c r="D427">
        <f>'Raw Data'!D427</f>
        <v>0</v>
      </c>
      <c r="E427">
        <f>IFERROR(VLOOKUP(D427,'Lookup Tables'!$A:$B,2,FALSE),"Unknown")</f>
        <v>0</v>
      </c>
      <c r="F427">
        <f>'Raw Data'!E427</f>
        <v>0</v>
      </c>
      <c r="G427">
        <f>IFERROR(VLOOKUP(D427,'Lookup Tables'!$A:$C,3,FALSE),IF(ISNUMBER(SEARCH("STEEL",F427)),"Steel","Others"))</f>
        <v>0</v>
      </c>
      <c r="H427">
        <f>IF(ISNUMBER(SEARCH("scrubber",F427)) , "Scrubber", IF(ISNUMBER(SEARCH("container",F427)),"Container", IF(ISNUMBER(SEARCH("basket",F427)),"Basket", IF(ISNUMBER(SEARCH("lunch",F427)),"Lunch Box", IF(ISNUMBER(SEARCH("cutlery",F427)),"Cutlery","Other")))))</f>
        <v>0</v>
      </c>
      <c r="I427">
        <f>IF('Raw Data'!G427&lt;&gt;'','Raw Data'!G427,IFERROR(MID(F427,SEARCH("MODEL",F427)+6,20),""))</f>
        <v>0</v>
      </c>
      <c r="J427">
        <f>'Raw Data'!H427</f>
        <v>0</v>
      </c>
      <c r="K427">
        <f>'Raw Data'!I427</f>
        <v>0</v>
      </c>
      <c r="L427">
        <f>IF('Raw Data'!N427&lt;&gt;0,'Raw Data'!N427,IFERROR(VALUE(MID(F427,SEARCH("QTY",F427)+4,IFERROR(FIND(" ",F427,SEARCH("QTY",F427)+4)-(SEARCH("QTY",F427)+4),3))),""))</f>
        <v>0</v>
      </c>
      <c r="M427">
        <f>'Raw Data'!O427</f>
        <v>0</v>
      </c>
      <c r="N427">
        <f>'Raw Data'!P427</f>
        <v>0</v>
      </c>
      <c r="O427">
        <f>'Raw Data'!Q427</f>
        <v>0</v>
      </c>
      <c r="P427">
        <f>'Raw Data'!R427</f>
        <v>0</v>
      </c>
      <c r="Q427">
        <f>'Raw Data'!S427</f>
        <v>0</v>
      </c>
      <c r="R427">
        <f>'Raw Data'!T427</f>
        <v>0</v>
      </c>
      <c r="S427">
        <f>IFERROR(O427,0)+IFERROR(R427,0)</f>
        <v>0</v>
      </c>
      <c r="T427">
        <f>IF(A427="","",YEAR(A427))</f>
        <v>0</v>
      </c>
    </row>
    <row r="428" spans="1:20">
      <c r="A428">
        <f>'Raw Data'!B428</f>
        <v>0</v>
      </c>
      <c r="B428">
        <f>'Raw Data'!A428</f>
        <v>0</v>
      </c>
      <c r="C428">
        <f>'Raw Data'!C428</f>
        <v>0</v>
      </c>
      <c r="D428">
        <f>'Raw Data'!D428</f>
        <v>0</v>
      </c>
      <c r="E428">
        <f>IFERROR(VLOOKUP(D428,'Lookup Tables'!$A:$B,2,FALSE),"Unknown")</f>
        <v>0</v>
      </c>
      <c r="F428">
        <f>'Raw Data'!E428</f>
        <v>0</v>
      </c>
      <c r="G428">
        <f>IFERROR(VLOOKUP(D428,'Lookup Tables'!$A:$C,3,FALSE),IF(ISNUMBER(SEARCH("STEEL",F428)),"Steel","Others"))</f>
        <v>0</v>
      </c>
      <c r="H428">
        <f>IF(ISNUMBER(SEARCH("scrubber",F428)) , "Scrubber", IF(ISNUMBER(SEARCH("container",F428)),"Container", IF(ISNUMBER(SEARCH("basket",F428)),"Basket", IF(ISNUMBER(SEARCH("lunch",F428)),"Lunch Box", IF(ISNUMBER(SEARCH("cutlery",F428)),"Cutlery","Other")))))</f>
        <v>0</v>
      </c>
      <c r="I428">
        <f>IF('Raw Data'!G428&lt;&gt;'','Raw Data'!G428,IFERROR(MID(F428,SEARCH("MODEL",F428)+6,20),""))</f>
        <v>0</v>
      </c>
      <c r="J428">
        <f>'Raw Data'!H428</f>
        <v>0</v>
      </c>
      <c r="K428">
        <f>'Raw Data'!I428</f>
        <v>0</v>
      </c>
      <c r="L428">
        <f>IF('Raw Data'!N428&lt;&gt;0,'Raw Data'!N428,IFERROR(VALUE(MID(F428,SEARCH("QTY",F428)+4,IFERROR(FIND(" ",F428,SEARCH("QTY",F428)+4)-(SEARCH("QTY",F428)+4),3))),""))</f>
        <v>0</v>
      </c>
      <c r="M428">
        <f>'Raw Data'!O428</f>
        <v>0</v>
      </c>
      <c r="N428">
        <f>'Raw Data'!P428</f>
        <v>0</v>
      </c>
      <c r="O428">
        <f>'Raw Data'!Q428</f>
        <v>0</v>
      </c>
      <c r="P428">
        <f>'Raw Data'!R428</f>
        <v>0</v>
      </c>
      <c r="Q428">
        <f>'Raw Data'!S428</f>
        <v>0</v>
      </c>
      <c r="R428">
        <f>'Raw Data'!T428</f>
        <v>0</v>
      </c>
      <c r="S428">
        <f>IFERROR(O428,0)+IFERROR(R428,0)</f>
        <v>0</v>
      </c>
      <c r="T428">
        <f>IF(A428="","",YEAR(A428))</f>
        <v>0</v>
      </c>
    </row>
    <row r="429" spans="1:20">
      <c r="A429">
        <f>'Raw Data'!B429</f>
        <v>0</v>
      </c>
      <c r="B429">
        <f>'Raw Data'!A429</f>
        <v>0</v>
      </c>
      <c r="C429">
        <f>'Raw Data'!C429</f>
        <v>0</v>
      </c>
      <c r="D429">
        <f>'Raw Data'!D429</f>
        <v>0</v>
      </c>
      <c r="E429">
        <f>IFERROR(VLOOKUP(D429,'Lookup Tables'!$A:$B,2,FALSE),"Unknown")</f>
        <v>0</v>
      </c>
      <c r="F429">
        <f>'Raw Data'!E429</f>
        <v>0</v>
      </c>
      <c r="G429">
        <f>IFERROR(VLOOKUP(D429,'Lookup Tables'!$A:$C,3,FALSE),IF(ISNUMBER(SEARCH("STEEL",F429)),"Steel","Others"))</f>
        <v>0</v>
      </c>
      <c r="H429">
        <f>IF(ISNUMBER(SEARCH("scrubber",F429)) , "Scrubber", IF(ISNUMBER(SEARCH("container",F429)),"Container", IF(ISNUMBER(SEARCH("basket",F429)),"Basket", IF(ISNUMBER(SEARCH("lunch",F429)),"Lunch Box", IF(ISNUMBER(SEARCH("cutlery",F429)),"Cutlery","Other")))))</f>
        <v>0</v>
      </c>
      <c r="I429">
        <f>IF('Raw Data'!G429&lt;&gt;'','Raw Data'!G429,IFERROR(MID(F429,SEARCH("MODEL",F429)+6,20),""))</f>
        <v>0</v>
      </c>
      <c r="J429">
        <f>'Raw Data'!H429</f>
        <v>0</v>
      </c>
      <c r="K429">
        <f>'Raw Data'!I429</f>
        <v>0</v>
      </c>
      <c r="L429">
        <f>IF('Raw Data'!N429&lt;&gt;0,'Raw Data'!N429,IFERROR(VALUE(MID(F429,SEARCH("QTY",F429)+4,IFERROR(FIND(" ",F429,SEARCH("QTY",F429)+4)-(SEARCH("QTY",F429)+4),3))),""))</f>
        <v>0</v>
      </c>
      <c r="M429">
        <f>'Raw Data'!O429</f>
        <v>0</v>
      </c>
      <c r="N429">
        <f>'Raw Data'!P429</f>
        <v>0</v>
      </c>
      <c r="O429">
        <f>'Raw Data'!Q429</f>
        <v>0</v>
      </c>
      <c r="P429">
        <f>'Raw Data'!R429</f>
        <v>0</v>
      </c>
      <c r="Q429">
        <f>'Raw Data'!S429</f>
        <v>0</v>
      </c>
      <c r="R429">
        <f>'Raw Data'!T429</f>
        <v>0</v>
      </c>
      <c r="S429">
        <f>IFERROR(O429,0)+IFERROR(R429,0)</f>
        <v>0</v>
      </c>
      <c r="T429">
        <f>IF(A429="","",YEAR(A429))</f>
        <v>0</v>
      </c>
    </row>
    <row r="430" spans="1:20">
      <c r="A430">
        <f>'Raw Data'!B430</f>
        <v>0</v>
      </c>
      <c r="B430">
        <f>'Raw Data'!A430</f>
        <v>0</v>
      </c>
      <c r="C430">
        <f>'Raw Data'!C430</f>
        <v>0</v>
      </c>
      <c r="D430">
        <f>'Raw Data'!D430</f>
        <v>0</v>
      </c>
      <c r="E430">
        <f>IFERROR(VLOOKUP(D430,'Lookup Tables'!$A:$B,2,FALSE),"Unknown")</f>
        <v>0</v>
      </c>
      <c r="F430">
        <f>'Raw Data'!E430</f>
        <v>0</v>
      </c>
      <c r="G430">
        <f>IFERROR(VLOOKUP(D430,'Lookup Tables'!$A:$C,3,FALSE),IF(ISNUMBER(SEARCH("STEEL",F430)),"Steel","Others"))</f>
        <v>0</v>
      </c>
      <c r="H430">
        <f>IF(ISNUMBER(SEARCH("scrubber",F430)) , "Scrubber", IF(ISNUMBER(SEARCH("container",F430)),"Container", IF(ISNUMBER(SEARCH("basket",F430)),"Basket", IF(ISNUMBER(SEARCH("lunch",F430)),"Lunch Box", IF(ISNUMBER(SEARCH("cutlery",F430)),"Cutlery","Other")))))</f>
        <v>0</v>
      </c>
      <c r="I430">
        <f>IF('Raw Data'!G430&lt;&gt;'','Raw Data'!G430,IFERROR(MID(F430,SEARCH("MODEL",F430)+6,20),""))</f>
        <v>0</v>
      </c>
      <c r="J430">
        <f>'Raw Data'!H430</f>
        <v>0</v>
      </c>
      <c r="K430">
        <f>'Raw Data'!I430</f>
        <v>0</v>
      </c>
      <c r="L430">
        <f>IF('Raw Data'!N430&lt;&gt;0,'Raw Data'!N430,IFERROR(VALUE(MID(F430,SEARCH("QTY",F430)+4,IFERROR(FIND(" ",F430,SEARCH("QTY",F430)+4)-(SEARCH("QTY",F430)+4),3))),""))</f>
        <v>0</v>
      </c>
      <c r="M430">
        <f>'Raw Data'!O430</f>
        <v>0</v>
      </c>
      <c r="N430">
        <f>'Raw Data'!P430</f>
        <v>0</v>
      </c>
      <c r="O430">
        <f>'Raw Data'!Q430</f>
        <v>0</v>
      </c>
      <c r="P430">
        <f>'Raw Data'!R430</f>
        <v>0</v>
      </c>
      <c r="Q430">
        <f>'Raw Data'!S430</f>
        <v>0</v>
      </c>
      <c r="R430">
        <f>'Raw Data'!T430</f>
        <v>0</v>
      </c>
      <c r="S430">
        <f>IFERROR(O430,0)+IFERROR(R430,0)</f>
        <v>0</v>
      </c>
      <c r="T430">
        <f>IF(A430="","",YEAR(A430))</f>
        <v>0</v>
      </c>
    </row>
    <row r="431" spans="1:20">
      <c r="A431">
        <f>'Raw Data'!B431</f>
        <v>0</v>
      </c>
      <c r="B431">
        <f>'Raw Data'!A431</f>
        <v>0</v>
      </c>
      <c r="C431">
        <f>'Raw Data'!C431</f>
        <v>0</v>
      </c>
      <c r="D431">
        <f>'Raw Data'!D431</f>
        <v>0</v>
      </c>
      <c r="E431">
        <f>IFERROR(VLOOKUP(D431,'Lookup Tables'!$A:$B,2,FALSE),"Unknown")</f>
        <v>0</v>
      </c>
      <c r="F431">
        <f>'Raw Data'!E431</f>
        <v>0</v>
      </c>
      <c r="G431">
        <f>IFERROR(VLOOKUP(D431,'Lookup Tables'!$A:$C,3,FALSE),IF(ISNUMBER(SEARCH("STEEL",F431)),"Steel","Others"))</f>
        <v>0</v>
      </c>
      <c r="H431">
        <f>IF(ISNUMBER(SEARCH("scrubber",F431)) , "Scrubber", IF(ISNUMBER(SEARCH("container",F431)),"Container", IF(ISNUMBER(SEARCH("basket",F431)),"Basket", IF(ISNUMBER(SEARCH("lunch",F431)),"Lunch Box", IF(ISNUMBER(SEARCH("cutlery",F431)),"Cutlery","Other")))))</f>
        <v>0</v>
      </c>
      <c r="I431">
        <f>IF('Raw Data'!G431&lt;&gt;'','Raw Data'!G431,IFERROR(MID(F431,SEARCH("MODEL",F431)+6,20),""))</f>
        <v>0</v>
      </c>
      <c r="J431">
        <f>'Raw Data'!H431</f>
        <v>0</v>
      </c>
      <c r="K431">
        <f>'Raw Data'!I431</f>
        <v>0</v>
      </c>
      <c r="L431">
        <f>IF('Raw Data'!N431&lt;&gt;0,'Raw Data'!N431,IFERROR(VALUE(MID(F431,SEARCH("QTY",F431)+4,IFERROR(FIND(" ",F431,SEARCH("QTY",F431)+4)-(SEARCH("QTY",F431)+4),3))),""))</f>
        <v>0</v>
      </c>
      <c r="M431">
        <f>'Raw Data'!O431</f>
        <v>0</v>
      </c>
      <c r="N431">
        <f>'Raw Data'!P431</f>
        <v>0</v>
      </c>
      <c r="O431">
        <f>'Raw Data'!Q431</f>
        <v>0</v>
      </c>
      <c r="P431">
        <f>'Raw Data'!R431</f>
        <v>0</v>
      </c>
      <c r="Q431">
        <f>'Raw Data'!S431</f>
        <v>0</v>
      </c>
      <c r="R431">
        <f>'Raw Data'!T431</f>
        <v>0</v>
      </c>
      <c r="S431">
        <f>IFERROR(O431,0)+IFERROR(R431,0)</f>
        <v>0</v>
      </c>
      <c r="T431">
        <f>IF(A431="","",YEAR(A431))</f>
        <v>0</v>
      </c>
    </row>
    <row r="432" spans="1:20">
      <c r="A432">
        <f>'Raw Data'!B432</f>
        <v>0</v>
      </c>
      <c r="B432">
        <f>'Raw Data'!A432</f>
        <v>0</v>
      </c>
      <c r="C432">
        <f>'Raw Data'!C432</f>
        <v>0</v>
      </c>
      <c r="D432">
        <f>'Raw Data'!D432</f>
        <v>0</v>
      </c>
      <c r="E432">
        <f>IFERROR(VLOOKUP(D432,'Lookup Tables'!$A:$B,2,FALSE),"Unknown")</f>
        <v>0</v>
      </c>
      <c r="F432">
        <f>'Raw Data'!E432</f>
        <v>0</v>
      </c>
      <c r="G432">
        <f>IFERROR(VLOOKUP(D432,'Lookup Tables'!$A:$C,3,FALSE),IF(ISNUMBER(SEARCH("STEEL",F432)),"Steel","Others"))</f>
        <v>0</v>
      </c>
      <c r="H432">
        <f>IF(ISNUMBER(SEARCH("scrubber",F432)) , "Scrubber", IF(ISNUMBER(SEARCH("container",F432)),"Container", IF(ISNUMBER(SEARCH("basket",F432)),"Basket", IF(ISNUMBER(SEARCH("lunch",F432)),"Lunch Box", IF(ISNUMBER(SEARCH("cutlery",F432)),"Cutlery","Other")))))</f>
        <v>0</v>
      </c>
      <c r="I432">
        <f>IF('Raw Data'!G432&lt;&gt;'','Raw Data'!G432,IFERROR(MID(F432,SEARCH("MODEL",F432)+6,20),""))</f>
        <v>0</v>
      </c>
      <c r="J432">
        <f>'Raw Data'!H432</f>
        <v>0</v>
      </c>
      <c r="K432">
        <f>'Raw Data'!I432</f>
        <v>0</v>
      </c>
      <c r="L432">
        <f>IF('Raw Data'!N432&lt;&gt;0,'Raw Data'!N432,IFERROR(VALUE(MID(F432,SEARCH("QTY",F432)+4,IFERROR(FIND(" ",F432,SEARCH("QTY",F432)+4)-(SEARCH("QTY",F432)+4),3))),""))</f>
        <v>0</v>
      </c>
      <c r="M432">
        <f>'Raw Data'!O432</f>
        <v>0</v>
      </c>
      <c r="N432">
        <f>'Raw Data'!P432</f>
        <v>0</v>
      </c>
      <c r="O432">
        <f>'Raw Data'!Q432</f>
        <v>0</v>
      </c>
      <c r="P432">
        <f>'Raw Data'!R432</f>
        <v>0</v>
      </c>
      <c r="Q432">
        <f>'Raw Data'!S432</f>
        <v>0</v>
      </c>
      <c r="R432">
        <f>'Raw Data'!T432</f>
        <v>0</v>
      </c>
      <c r="S432">
        <f>IFERROR(O432,0)+IFERROR(R432,0)</f>
        <v>0</v>
      </c>
      <c r="T432">
        <f>IF(A432="","",YEAR(A432))</f>
        <v>0</v>
      </c>
    </row>
    <row r="433" spans="1:20">
      <c r="A433">
        <f>'Raw Data'!B433</f>
        <v>0</v>
      </c>
      <c r="B433">
        <f>'Raw Data'!A433</f>
        <v>0</v>
      </c>
      <c r="C433">
        <f>'Raw Data'!C433</f>
        <v>0</v>
      </c>
      <c r="D433">
        <f>'Raw Data'!D433</f>
        <v>0</v>
      </c>
      <c r="E433">
        <f>IFERROR(VLOOKUP(D433,'Lookup Tables'!$A:$B,2,FALSE),"Unknown")</f>
        <v>0</v>
      </c>
      <c r="F433">
        <f>'Raw Data'!E433</f>
        <v>0</v>
      </c>
      <c r="G433">
        <f>IFERROR(VLOOKUP(D433,'Lookup Tables'!$A:$C,3,FALSE),IF(ISNUMBER(SEARCH("STEEL",F433)),"Steel","Others"))</f>
        <v>0</v>
      </c>
      <c r="H433">
        <f>IF(ISNUMBER(SEARCH("scrubber",F433)) , "Scrubber", IF(ISNUMBER(SEARCH("container",F433)),"Container", IF(ISNUMBER(SEARCH("basket",F433)),"Basket", IF(ISNUMBER(SEARCH("lunch",F433)),"Lunch Box", IF(ISNUMBER(SEARCH("cutlery",F433)),"Cutlery","Other")))))</f>
        <v>0</v>
      </c>
      <c r="I433">
        <f>IF('Raw Data'!G433&lt;&gt;'','Raw Data'!G433,IFERROR(MID(F433,SEARCH("MODEL",F433)+6,20),""))</f>
        <v>0</v>
      </c>
      <c r="J433">
        <f>'Raw Data'!H433</f>
        <v>0</v>
      </c>
      <c r="K433">
        <f>'Raw Data'!I433</f>
        <v>0</v>
      </c>
      <c r="L433">
        <f>IF('Raw Data'!N433&lt;&gt;0,'Raw Data'!N433,IFERROR(VALUE(MID(F433,SEARCH("QTY",F433)+4,IFERROR(FIND(" ",F433,SEARCH("QTY",F433)+4)-(SEARCH("QTY",F433)+4),3))),""))</f>
        <v>0</v>
      </c>
      <c r="M433">
        <f>'Raw Data'!O433</f>
        <v>0</v>
      </c>
      <c r="N433">
        <f>'Raw Data'!P433</f>
        <v>0</v>
      </c>
      <c r="O433">
        <f>'Raw Data'!Q433</f>
        <v>0</v>
      </c>
      <c r="P433">
        <f>'Raw Data'!R433</f>
        <v>0</v>
      </c>
      <c r="Q433">
        <f>'Raw Data'!S433</f>
        <v>0</v>
      </c>
      <c r="R433">
        <f>'Raw Data'!T433</f>
        <v>0</v>
      </c>
      <c r="S433">
        <f>IFERROR(O433,0)+IFERROR(R433,0)</f>
        <v>0</v>
      </c>
      <c r="T433">
        <f>IF(A433="","",YEAR(A433))</f>
        <v>0</v>
      </c>
    </row>
    <row r="434" spans="1:20">
      <c r="A434">
        <f>'Raw Data'!B434</f>
        <v>0</v>
      </c>
      <c r="B434">
        <f>'Raw Data'!A434</f>
        <v>0</v>
      </c>
      <c r="C434">
        <f>'Raw Data'!C434</f>
        <v>0</v>
      </c>
      <c r="D434">
        <f>'Raw Data'!D434</f>
        <v>0</v>
      </c>
      <c r="E434">
        <f>IFERROR(VLOOKUP(D434,'Lookup Tables'!$A:$B,2,FALSE),"Unknown")</f>
        <v>0</v>
      </c>
      <c r="F434">
        <f>'Raw Data'!E434</f>
        <v>0</v>
      </c>
      <c r="G434">
        <f>IFERROR(VLOOKUP(D434,'Lookup Tables'!$A:$C,3,FALSE),IF(ISNUMBER(SEARCH("STEEL",F434)),"Steel","Others"))</f>
        <v>0</v>
      </c>
      <c r="H434">
        <f>IF(ISNUMBER(SEARCH("scrubber",F434)) , "Scrubber", IF(ISNUMBER(SEARCH("container",F434)),"Container", IF(ISNUMBER(SEARCH("basket",F434)),"Basket", IF(ISNUMBER(SEARCH("lunch",F434)),"Lunch Box", IF(ISNUMBER(SEARCH("cutlery",F434)),"Cutlery","Other")))))</f>
        <v>0</v>
      </c>
      <c r="I434">
        <f>IF('Raw Data'!G434&lt;&gt;'','Raw Data'!G434,IFERROR(MID(F434,SEARCH("MODEL",F434)+6,20),""))</f>
        <v>0</v>
      </c>
      <c r="J434">
        <f>'Raw Data'!H434</f>
        <v>0</v>
      </c>
      <c r="K434">
        <f>'Raw Data'!I434</f>
        <v>0</v>
      </c>
      <c r="L434">
        <f>IF('Raw Data'!N434&lt;&gt;0,'Raw Data'!N434,IFERROR(VALUE(MID(F434,SEARCH("QTY",F434)+4,IFERROR(FIND(" ",F434,SEARCH("QTY",F434)+4)-(SEARCH("QTY",F434)+4),3))),""))</f>
        <v>0</v>
      </c>
      <c r="M434">
        <f>'Raw Data'!O434</f>
        <v>0</v>
      </c>
      <c r="N434">
        <f>'Raw Data'!P434</f>
        <v>0</v>
      </c>
      <c r="O434">
        <f>'Raw Data'!Q434</f>
        <v>0</v>
      </c>
      <c r="P434">
        <f>'Raw Data'!R434</f>
        <v>0</v>
      </c>
      <c r="Q434">
        <f>'Raw Data'!S434</f>
        <v>0</v>
      </c>
      <c r="R434">
        <f>'Raw Data'!T434</f>
        <v>0</v>
      </c>
      <c r="S434">
        <f>IFERROR(O434,0)+IFERROR(R434,0)</f>
        <v>0</v>
      </c>
      <c r="T434">
        <f>IF(A434="","",YEAR(A434))</f>
        <v>0</v>
      </c>
    </row>
    <row r="435" spans="1:20">
      <c r="A435">
        <f>'Raw Data'!B435</f>
        <v>0</v>
      </c>
      <c r="B435">
        <f>'Raw Data'!A435</f>
        <v>0</v>
      </c>
      <c r="C435">
        <f>'Raw Data'!C435</f>
        <v>0</v>
      </c>
      <c r="D435">
        <f>'Raw Data'!D435</f>
        <v>0</v>
      </c>
      <c r="E435">
        <f>IFERROR(VLOOKUP(D435,'Lookup Tables'!$A:$B,2,FALSE),"Unknown")</f>
        <v>0</v>
      </c>
      <c r="F435">
        <f>'Raw Data'!E435</f>
        <v>0</v>
      </c>
      <c r="G435">
        <f>IFERROR(VLOOKUP(D435,'Lookup Tables'!$A:$C,3,FALSE),IF(ISNUMBER(SEARCH("STEEL",F435)),"Steel","Others"))</f>
        <v>0</v>
      </c>
      <c r="H435">
        <f>IF(ISNUMBER(SEARCH("scrubber",F435)) , "Scrubber", IF(ISNUMBER(SEARCH("container",F435)),"Container", IF(ISNUMBER(SEARCH("basket",F435)),"Basket", IF(ISNUMBER(SEARCH("lunch",F435)),"Lunch Box", IF(ISNUMBER(SEARCH("cutlery",F435)),"Cutlery","Other")))))</f>
        <v>0</v>
      </c>
      <c r="I435">
        <f>IF('Raw Data'!G435&lt;&gt;'','Raw Data'!G435,IFERROR(MID(F435,SEARCH("MODEL",F435)+6,20),""))</f>
        <v>0</v>
      </c>
      <c r="J435">
        <f>'Raw Data'!H435</f>
        <v>0</v>
      </c>
      <c r="K435">
        <f>'Raw Data'!I435</f>
        <v>0</v>
      </c>
      <c r="L435">
        <f>IF('Raw Data'!N435&lt;&gt;0,'Raw Data'!N435,IFERROR(VALUE(MID(F435,SEARCH("QTY",F435)+4,IFERROR(FIND(" ",F435,SEARCH("QTY",F435)+4)-(SEARCH("QTY",F435)+4),3))),""))</f>
        <v>0</v>
      </c>
      <c r="M435">
        <f>'Raw Data'!O435</f>
        <v>0</v>
      </c>
      <c r="N435">
        <f>'Raw Data'!P435</f>
        <v>0</v>
      </c>
      <c r="O435">
        <f>'Raw Data'!Q435</f>
        <v>0</v>
      </c>
      <c r="P435">
        <f>'Raw Data'!R435</f>
        <v>0</v>
      </c>
      <c r="Q435">
        <f>'Raw Data'!S435</f>
        <v>0</v>
      </c>
      <c r="R435">
        <f>'Raw Data'!T435</f>
        <v>0</v>
      </c>
      <c r="S435">
        <f>IFERROR(O435,0)+IFERROR(R435,0)</f>
        <v>0</v>
      </c>
      <c r="T435">
        <f>IF(A435="","",YEAR(A435))</f>
        <v>0</v>
      </c>
    </row>
    <row r="436" spans="1:20">
      <c r="A436">
        <f>'Raw Data'!B436</f>
        <v>0</v>
      </c>
      <c r="B436">
        <f>'Raw Data'!A436</f>
        <v>0</v>
      </c>
      <c r="C436">
        <f>'Raw Data'!C436</f>
        <v>0</v>
      </c>
      <c r="D436">
        <f>'Raw Data'!D436</f>
        <v>0</v>
      </c>
      <c r="E436">
        <f>IFERROR(VLOOKUP(D436,'Lookup Tables'!$A:$B,2,FALSE),"Unknown")</f>
        <v>0</v>
      </c>
      <c r="F436">
        <f>'Raw Data'!E436</f>
        <v>0</v>
      </c>
      <c r="G436">
        <f>IFERROR(VLOOKUP(D436,'Lookup Tables'!$A:$C,3,FALSE),IF(ISNUMBER(SEARCH("STEEL",F436)),"Steel","Others"))</f>
        <v>0</v>
      </c>
      <c r="H436">
        <f>IF(ISNUMBER(SEARCH("scrubber",F436)) , "Scrubber", IF(ISNUMBER(SEARCH("container",F436)),"Container", IF(ISNUMBER(SEARCH("basket",F436)),"Basket", IF(ISNUMBER(SEARCH("lunch",F436)),"Lunch Box", IF(ISNUMBER(SEARCH("cutlery",F436)),"Cutlery","Other")))))</f>
        <v>0</v>
      </c>
      <c r="I436">
        <f>IF('Raw Data'!G436&lt;&gt;'','Raw Data'!G436,IFERROR(MID(F436,SEARCH("MODEL",F436)+6,20),""))</f>
        <v>0</v>
      </c>
      <c r="J436">
        <f>'Raw Data'!H436</f>
        <v>0</v>
      </c>
      <c r="K436">
        <f>'Raw Data'!I436</f>
        <v>0</v>
      </c>
      <c r="L436">
        <f>IF('Raw Data'!N436&lt;&gt;0,'Raw Data'!N436,IFERROR(VALUE(MID(F436,SEARCH("QTY",F436)+4,IFERROR(FIND(" ",F436,SEARCH("QTY",F436)+4)-(SEARCH("QTY",F436)+4),3))),""))</f>
        <v>0</v>
      </c>
      <c r="M436">
        <f>'Raw Data'!O436</f>
        <v>0</v>
      </c>
      <c r="N436">
        <f>'Raw Data'!P436</f>
        <v>0</v>
      </c>
      <c r="O436">
        <f>'Raw Data'!Q436</f>
        <v>0</v>
      </c>
      <c r="P436">
        <f>'Raw Data'!R436</f>
        <v>0</v>
      </c>
      <c r="Q436">
        <f>'Raw Data'!S436</f>
        <v>0</v>
      </c>
      <c r="R436">
        <f>'Raw Data'!T436</f>
        <v>0</v>
      </c>
      <c r="S436">
        <f>IFERROR(O436,0)+IFERROR(R436,0)</f>
        <v>0</v>
      </c>
      <c r="T436">
        <f>IF(A436="","",YEAR(A436))</f>
        <v>0</v>
      </c>
    </row>
    <row r="437" spans="1:20">
      <c r="A437">
        <f>'Raw Data'!B437</f>
        <v>0</v>
      </c>
      <c r="B437">
        <f>'Raw Data'!A437</f>
        <v>0</v>
      </c>
      <c r="C437">
        <f>'Raw Data'!C437</f>
        <v>0</v>
      </c>
      <c r="D437">
        <f>'Raw Data'!D437</f>
        <v>0</v>
      </c>
      <c r="E437">
        <f>IFERROR(VLOOKUP(D437,'Lookup Tables'!$A:$B,2,FALSE),"Unknown")</f>
        <v>0</v>
      </c>
      <c r="F437">
        <f>'Raw Data'!E437</f>
        <v>0</v>
      </c>
      <c r="G437">
        <f>IFERROR(VLOOKUP(D437,'Lookup Tables'!$A:$C,3,FALSE),IF(ISNUMBER(SEARCH("STEEL",F437)),"Steel","Others"))</f>
        <v>0</v>
      </c>
      <c r="H437">
        <f>IF(ISNUMBER(SEARCH("scrubber",F437)) , "Scrubber", IF(ISNUMBER(SEARCH("container",F437)),"Container", IF(ISNUMBER(SEARCH("basket",F437)),"Basket", IF(ISNUMBER(SEARCH("lunch",F437)),"Lunch Box", IF(ISNUMBER(SEARCH("cutlery",F437)),"Cutlery","Other")))))</f>
        <v>0</v>
      </c>
      <c r="I437">
        <f>IF('Raw Data'!G437&lt;&gt;'','Raw Data'!G437,IFERROR(MID(F437,SEARCH("MODEL",F437)+6,20),""))</f>
        <v>0</v>
      </c>
      <c r="J437">
        <f>'Raw Data'!H437</f>
        <v>0</v>
      </c>
      <c r="K437">
        <f>'Raw Data'!I437</f>
        <v>0</v>
      </c>
      <c r="L437">
        <f>IF('Raw Data'!N437&lt;&gt;0,'Raw Data'!N437,IFERROR(VALUE(MID(F437,SEARCH("QTY",F437)+4,IFERROR(FIND(" ",F437,SEARCH("QTY",F437)+4)-(SEARCH("QTY",F437)+4),3))),""))</f>
        <v>0</v>
      </c>
      <c r="M437">
        <f>'Raw Data'!O437</f>
        <v>0</v>
      </c>
      <c r="N437">
        <f>'Raw Data'!P437</f>
        <v>0</v>
      </c>
      <c r="O437">
        <f>'Raw Data'!Q437</f>
        <v>0</v>
      </c>
      <c r="P437">
        <f>'Raw Data'!R437</f>
        <v>0</v>
      </c>
      <c r="Q437">
        <f>'Raw Data'!S437</f>
        <v>0</v>
      </c>
      <c r="R437">
        <f>'Raw Data'!T437</f>
        <v>0</v>
      </c>
      <c r="S437">
        <f>IFERROR(O437,0)+IFERROR(R437,0)</f>
        <v>0</v>
      </c>
      <c r="T437">
        <f>IF(A437="","",YEAR(A437))</f>
        <v>0</v>
      </c>
    </row>
    <row r="438" spans="1:20">
      <c r="A438">
        <f>'Raw Data'!B438</f>
        <v>0</v>
      </c>
      <c r="B438">
        <f>'Raw Data'!A438</f>
        <v>0</v>
      </c>
      <c r="C438">
        <f>'Raw Data'!C438</f>
        <v>0</v>
      </c>
      <c r="D438">
        <f>'Raw Data'!D438</f>
        <v>0</v>
      </c>
      <c r="E438">
        <f>IFERROR(VLOOKUP(D438,'Lookup Tables'!$A:$B,2,FALSE),"Unknown")</f>
        <v>0</v>
      </c>
      <c r="F438">
        <f>'Raw Data'!E438</f>
        <v>0</v>
      </c>
      <c r="G438">
        <f>IFERROR(VLOOKUP(D438,'Lookup Tables'!$A:$C,3,FALSE),IF(ISNUMBER(SEARCH("STEEL",F438)),"Steel","Others"))</f>
        <v>0</v>
      </c>
      <c r="H438">
        <f>IF(ISNUMBER(SEARCH("scrubber",F438)) , "Scrubber", IF(ISNUMBER(SEARCH("container",F438)),"Container", IF(ISNUMBER(SEARCH("basket",F438)),"Basket", IF(ISNUMBER(SEARCH("lunch",F438)),"Lunch Box", IF(ISNUMBER(SEARCH("cutlery",F438)),"Cutlery","Other")))))</f>
        <v>0</v>
      </c>
      <c r="I438">
        <f>IF('Raw Data'!G438&lt;&gt;'','Raw Data'!G438,IFERROR(MID(F438,SEARCH("MODEL",F438)+6,20),""))</f>
        <v>0</v>
      </c>
      <c r="J438">
        <f>'Raw Data'!H438</f>
        <v>0</v>
      </c>
      <c r="K438">
        <f>'Raw Data'!I438</f>
        <v>0</v>
      </c>
      <c r="L438">
        <f>IF('Raw Data'!N438&lt;&gt;0,'Raw Data'!N438,IFERROR(VALUE(MID(F438,SEARCH("QTY",F438)+4,IFERROR(FIND(" ",F438,SEARCH("QTY",F438)+4)-(SEARCH("QTY",F438)+4),3))),""))</f>
        <v>0</v>
      </c>
      <c r="M438">
        <f>'Raw Data'!O438</f>
        <v>0</v>
      </c>
      <c r="N438">
        <f>'Raw Data'!P438</f>
        <v>0</v>
      </c>
      <c r="O438">
        <f>'Raw Data'!Q438</f>
        <v>0</v>
      </c>
      <c r="P438">
        <f>'Raw Data'!R438</f>
        <v>0</v>
      </c>
      <c r="Q438">
        <f>'Raw Data'!S438</f>
        <v>0</v>
      </c>
      <c r="R438">
        <f>'Raw Data'!T438</f>
        <v>0</v>
      </c>
      <c r="S438">
        <f>IFERROR(O438,0)+IFERROR(R438,0)</f>
        <v>0</v>
      </c>
      <c r="T438">
        <f>IF(A438="","",YEAR(A438))</f>
        <v>0</v>
      </c>
    </row>
    <row r="439" spans="1:20">
      <c r="A439">
        <f>'Raw Data'!B439</f>
        <v>0</v>
      </c>
      <c r="B439">
        <f>'Raw Data'!A439</f>
        <v>0</v>
      </c>
      <c r="C439">
        <f>'Raw Data'!C439</f>
        <v>0</v>
      </c>
      <c r="D439">
        <f>'Raw Data'!D439</f>
        <v>0</v>
      </c>
      <c r="E439">
        <f>IFERROR(VLOOKUP(D439,'Lookup Tables'!$A:$B,2,FALSE),"Unknown")</f>
        <v>0</v>
      </c>
      <c r="F439">
        <f>'Raw Data'!E439</f>
        <v>0</v>
      </c>
      <c r="G439">
        <f>IFERROR(VLOOKUP(D439,'Lookup Tables'!$A:$C,3,FALSE),IF(ISNUMBER(SEARCH("STEEL",F439)),"Steel","Others"))</f>
        <v>0</v>
      </c>
      <c r="H439">
        <f>IF(ISNUMBER(SEARCH("scrubber",F439)) , "Scrubber", IF(ISNUMBER(SEARCH("container",F439)),"Container", IF(ISNUMBER(SEARCH("basket",F439)),"Basket", IF(ISNUMBER(SEARCH("lunch",F439)),"Lunch Box", IF(ISNUMBER(SEARCH("cutlery",F439)),"Cutlery","Other")))))</f>
        <v>0</v>
      </c>
      <c r="I439">
        <f>IF('Raw Data'!G439&lt;&gt;'','Raw Data'!G439,IFERROR(MID(F439,SEARCH("MODEL",F439)+6,20),""))</f>
        <v>0</v>
      </c>
      <c r="J439">
        <f>'Raw Data'!H439</f>
        <v>0</v>
      </c>
      <c r="K439">
        <f>'Raw Data'!I439</f>
        <v>0</v>
      </c>
      <c r="L439">
        <f>IF('Raw Data'!N439&lt;&gt;0,'Raw Data'!N439,IFERROR(VALUE(MID(F439,SEARCH("QTY",F439)+4,IFERROR(FIND(" ",F439,SEARCH("QTY",F439)+4)-(SEARCH("QTY",F439)+4),3))),""))</f>
        <v>0</v>
      </c>
      <c r="M439">
        <f>'Raw Data'!O439</f>
        <v>0</v>
      </c>
      <c r="N439">
        <f>'Raw Data'!P439</f>
        <v>0</v>
      </c>
      <c r="O439">
        <f>'Raw Data'!Q439</f>
        <v>0</v>
      </c>
      <c r="P439">
        <f>'Raw Data'!R439</f>
        <v>0</v>
      </c>
      <c r="Q439">
        <f>'Raw Data'!S439</f>
        <v>0</v>
      </c>
      <c r="R439">
        <f>'Raw Data'!T439</f>
        <v>0</v>
      </c>
      <c r="S439">
        <f>IFERROR(O439,0)+IFERROR(R439,0)</f>
        <v>0</v>
      </c>
      <c r="T439">
        <f>IF(A439="","",YEAR(A439))</f>
        <v>0</v>
      </c>
    </row>
    <row r="440" spans="1:20">
      <c r="A440">
        <f>'Raw Data'!B440</f>
        <v>0</v>
      </c>
      <c r="B440">
        <f>'Raw Data'!A440</f>
        <v>0</v>
      </c>
      <c r="C440">
        <f>'Raw Data'!C440</f>
        <v>0</v>
      </c>
      <c r="D440">
        <f>'Raw Data'!D440</f>
        <v>0</v>
      </c>
      <c r="E440">
        <f>IFERROR(VLOOKUP(D440,'Lookup Tables'!$A:$B,2,FALSE),"Unknown")</f>
        <v>0</v>
      </c>
      <c r="F440">
        <f>'Raw Data'!E440</f>
        <v>0</v>
      </c>
      <c r="G440">
        <f>IFERROR(VLOOKUP(D440,'Lookup Tables'!$A:$C,3,FALSE),IF(ISNUMBER(SEARCH("STEEL",F440)),"Steel","Others"))</f>
        <v>0</v>
      </c>
      <c r="H440">
        <f>IF(ISNUMBER(SEARCH("scrubber",F440)) , "Scrubber", IF(ISNUMBER(SEARCH("container",F440)),"Container", IF(ISNUMBER(SEARCH("basket",F440)),"Basket", IF(ISNUMBER(SEARCH("lunch",F440)),"Lunch Box", IF(ISNUMBER(SEARCH("cutlery",F440)),"Cutlery","Other")))))</f>
        <v>0</v>
      </c>
      <c r="I440">
        <f>IF('Raw Data'!G440&lt;&gt;'','Raw Data'!G440,IFERROR(MID(F440,SEARCH("MODEL",F440)+6,20),""))</f>
        <v>0</v>
      </c>
      <c r="J440">
        <f>'Raw Data'!H440</f>
        <v>0</v>
      </c>
      <c r="K440">
        <f>'Raw Data'!I440</f>
        <v>0</v>
      </c>
      <c r="L440">
        <f>IF('Raw Data'!N440&lt;&gt;0,'Raw Data'!N440,IFERROR(VALUE(MID(F440,SEARCH("QTY",F440)+4,IFERROR(FIND(" ",F440,SEARCH("QTY",F440)+4)-(SEARCH("QTY",F440)+4),3))),""))</f>
        <v>0</v>
      </c>
      <c r="M440">
        <f>'Raw Data'!O440</f>
        <v>0</v>
      </c>
      <c r="N440">
        <f>'Raw Data'!P440</f>
        <v>0</v>
      </c>
      <c r="O440">
        <f>'Raw Data'!Q440</f>
        <v>0</v>
      </c>
      <c r="P440">
        <f>'Raw Data'!R440</f>
        <v>0</v>
      </c>
      <c r="Q440">
        <f>'Raw Data'!S440</f>
        <v>0</v>
      </c>
      <c r="R440">
        <f>'Raw Data'!T440</f>
        <v>0</v>
      </c>
      <c r="S440">
        <f>IFERROR(O440,0)+IFERROR(R440,0)</f>
        <v>0</v>
      </c>
      <c r="T440">
        <f>IF(A440="","",YEAR(A440))</f>
        <v>0</v>
      </c>
    </row>
    <row r="441" spans="1:20">
      <c r="A441">
        <f>'Raw Data'!B441</f>
        <v>0</v>
      </c>
      <c r="B441">
        <f>'Raw Data'!A441</f>
        <v>0</v>
      </c>
      <c r="C441">
        <f>'Raw Data'!C441</f>
        <v>0</v>
      </c>
      <c r="D441">
        <f>'Raw Data'!D441</f>
        <v>0</v>
      </c>
      <c r="E441">
        <f>IFERROR(VLOOKUP(D441,'Lookup Tables'!$A:$B,2,FALSE),"Unknown")</f>
        <v>0</v>
      </c>
      <c r="F441">
        <f>'Raw Data'!E441</f>
        <v>0</v>
      </c>
      <c r="G441">
        <f>IFERROR(VLOOKUP(D441,'Lookup Tables'!$A:$C,3,FALSE),IF(ISNUMBER(SEARCH("STEEL",F441)),"Steel","Others"))</f>
        <v>0</v>
      </c>
      <c r="H441">
        <f>IF(ISNUMBER(SEARCH("scrubber",F441)) , "Scrubber", IF(ISNUMBER(SEARCH("container",F441)),"Container", IF(ISNUMBER(SEARCH("basket",F441)),"Basket", IF(ISNUMBER(SEARCH("lunch",F441)),"Lunch Box", IF(ISNUMBER(SEARCH("cutlery",F441)),"Cutlery","Other")))))</f>
        <v>0</v>
      </c>
      <c r="I441">
        <f>IF('Raw Data'!G441&lt;&gt;'','Raw Data'!G441,IFERROR(MID(F441,SEARCH("MODEL",F441)+6,20),""))</f>
        <v>0</v>
      </c>
      <c r="J441">
        <f>'Raw Data'!H441</f>
        <v>0</v>
      </c>
      <c r="K441">
        <f>'Raw Data'!I441</f>
        <v>0</v>
      </c>
      <c r="L441">
        <f>IF('Raw Data'!N441&lt;&gt;0,'Raw Data'!N441,IFERROR(VALUE(MID(F441,SEARCH("QTY",F441)+4,IFERROR(FIND(" ",F441,SEARCH("QTY",F441)+4)-(SEARCH("QTY",F441)+4),3))),""))</f>
        <v>0</v>
      </c>
      <c r="M441">
        <f>'Raw Data'!O441</f>
        <v>0</v>
      </c>
      <c r="N441">
        <f>'Raw Data'!P441</f>
        <v>0</v>
      </c>
      <c r="O441">
        <f>'Raw Data'!Q441</f>
        <v>0</v>
      </c>
      <c r="P441">
        <f>'Raw Data'!R441</f>
        <v>0</v>
      </c>
      <c r="Q441">
        <f>'Raw Data'!S441</f>
        <v>0</v>
      </c>
      <c r="R441">
        <f>'Raw Data'!T441</f>
        <v>0</v>
      </c>
      <c r="S441">
        <f>IFERROR(O441,0)+IFERROR(R441,0)</f>
        <v>0</v>
      </c>
      <c r="T441">
        <f>IF(A441="","",YEAR(A441))</f>
        <v>0</v>
      </c>
    </row>
    <row r="442" spans="1:20">
      <c r="A442">
        <f>'Raw Data'!B442</f>
        <v>0</v>
      </c>
      <c r="B442">
        <f>'Raw Data'!A442</f>
        <v>0</v>
      </c>
      <c r="C442">
        <f>'Raw Data'!C442</f>
        <v>0</v>
      </c>
      <c r="D442">
        <f>'Raw Data'!D442</f>
        <v>0</v>
      </c>
      <c r="E442">
        <f>IFERROR(VLOOKUP(D442,'Lookup Tables'!$A:$B,2,FALSE),"Unknown")</f>
        <v>0</v>
      </c>
      <c r="F442">
        <f>'Raw Data'!E442</f>
        <v>0</v>
      </c>
      <c r="G442">
        <f>IFERROR(VLOOKUP(D442,'Lookup Tables'!$A:$C,3,FALSE),IF(ISNUMBER(SEARCH("STEEL",F442)),"Steel","Others"))</f>
        <v>0</v>
      </c>
      <c r="H442">
        <f>IF(ISNUMBER(SEARCH("scrubber",F442)) , "Scrubber", IF(ISNUMBER(SEARCH("container",F442)),"Container", IF(ISNUMBER(SEARCH("basket",F442)),"Basket", IF(ISNUMBER(SEARCH("lunch",F442)),"Lunch Box", IF(ISNUMBER(SEARCH("cutlery",F442)),"Cutlery","Other")))))</f>
        <v>0</v>
      </c>
      <c r="I442">
        <f>IF('Raw Data'!G442&lt;&gt;'','Raw Data'!G442,IFERROR(MID(F442,SEARCH("MODEL",F442)+6,20),""))</f>
        <v>0</v>
      </c>
      <c r="J442">
        <f>'Raw Data'!H442</f>
        <v>0</v>
      </c>
      <c r="K442">
        <f>'Raw Data'!I442</f>
        <v>0</v>
      </c>
      <c r="L442">
        <f>IF('Raw Data'!N442&lt;&gt;0,'Raw Data'!N442,IFERROR(VALUE(MID(F442,SEARCH("QTY",F442)+4,IFERROR(FIND(" ",F442,SEARCH("QTY",F442)+4)-(SEARCH("QTY",F442)+4),3))),""))</f>
        <v>0</v>
      </c>
      <c r="M442">
        <f>'Raw Data'!O442</f>
        <v>0</v>
      </c>
      <c r="N442">
        <f>'Raw Data'!P442</f>
        <v>0</v>
      </c>
      <c r="O442">
        <f>'Raw Data'!Q442</f>
        <v>0</v>
      </c>
      <c r="P442">
        <f>'Raw Data'!R442</f>
        <v>0</v>
      </c>
      <c r="Q442">
        <f>'Raw Data'!S442</f>
        <v>0</v>
      </c>
      <c r="R442">
        <f>'Raw Data'!T442</f>
        <v>0</v>
      </c>
      <c r="S442">
        <f>IFERROR(O442,0)+IFERROR(R442,0)</f>
        <v>0</v>
      </c>
      <c r="T442">
        <f>IF(A442="","",YEAR(A442))</f>
        <v>0</v>
      </c>
    </row>
    <row r="443" spans="1:20">
      <c r="A443">
        <f>'Raw Data'!B443</f>
        <v>0</v>
      </c>
      <c r="B443">
        <f>'Raw Data'!A443</f>
        <v>0</v>
      </c>
      <c r="C443">
        <f>'Raw Data'!C443</f>
        <v>0</v>
      </c>
      <c r="D443">
        <f>'Raw Data'!D443</f>
        <v>0</v>
      </c>
      <c r="E443">
        <f>IFERROR(VLOOKUP(D443,'Lookup Tables'!$A:$B,2,FALSE),"Unknown")</f>
        <v>0</v>
      </c>
      <c r="F443">
        <f>'Raw Data'!E443</f>
        <v>0</v>
      </c>
      <c r="G443">
        <f>IFERROR(VLOOKUP(D443,'Lookup Tables'!$A:$C,3,FALSE),IF(ISNUMBER(SEARCH("STEEL",F443)),"Steel","Others"))</f>
        <v>0</v>
      </c>
      <c r="H443">
        <f>IF(ISNUMBER(SEARCH("scrubber",F443)) , "Scrubber", IF(ISNUMBER(SEARCH("container",F443)),"Container", IF(ISNUMBER(SEARCH("basket",F443)),"Basket", IF(ISNUMBER(SEARCH("lunch",F443)),"Lunch Box", IF(ISNUMBER(SEARCH("cutlery",F443)),"Cutlery","Other")))))</f>
        <v>0</v>
      </c>
      <c r="I443">
        <f>IF('Raw Data'!G443&lt;&gt;'','Raw Data'!G443,IFERROR(MID(F443,SEARCH("MODEL",F443)+6,20),""))</f>
        <v>0</v>
      </c>
      <c r="J443">
        <f>'Raw Data'!H443</f>
        <v>0</v>
      </c>
      <c r="K443">
        <f>'Raw Data'!I443</f>
        <v>0</v>
      </c>
      <c r="L443">
        <f>IF('Raw Data'!N443&lt;&gt;0,'Raw Data'!N443,IFERROR(VALUE(MID(F443,SEARCH("QTY",F443)+4,IFERROR(FIND(" ",F443,SEARCH("QTY",F443)+4)-(SEARCH("QTY",F443)+4),3))),""))</f>
        <v>0</v>
      </c>
      <c r="M443">
        <f>'Raw Data'!O443</f>
        <v>0</v>
      </c>
      <c r="N443">
        <f>'Raw Data'!P443</f>
        <v>0</v>
      </c>
      <c r="O443">
        <f>'Raw Data'!Q443</f>
        <v>0</v>
      </c>
      <c r="P443">
        <f>'Raw Data'!R443</f>
        <v>0</v>
      </c>
      <c r="Q443">
        <f>'Raw Data'!S443</f>
        <v>0</v>
      </c>
      <c r="R443">
        <f>'Raw Data'!T443</f>
        <v>0</v>
      </c>
      <c r="S443">
        <f>IFERROR(O443,0)+IFERROR(R443,0)</f>
        <v>0</v>
      </c>
      <c r="T443">
        <f>IF(A443="","",YEAR(A443))</f>
        <v>0</v>
      </c>
    </row>
    <row r="444" spans="1:20">
      <c r="A444">
        <f>'Raw Data'!B444</f>
        <v>0</v>
      </c>
      <c r="B444">
        <f>'Raw Data'!A444</f>
        <v>0</v>
      </c>
      <c r="C444">
        <f>'Raw Data'!C444</f>
        <v>0</v>
      </c>
      <c r="D444">
        <f>'Raw Data'!D444</f>
        <v>0</v>
      </c>
      <c r="E444">
        <f>IFERROR(VLOOKUP(D444,'Lookup Tables'!$A:$B,2,FALSE),"Unknown")</f>
        <v>0</v>
      </c>
      <c r="F444">
        <f>'Raw Data'!E444</f>
        <v>0</v>
      </c>
      <c r="G444">
        <f>IFERROR(VLOOKUP(D444,'Lookup Tables'!$A:$C,3,FALSE),IF(ISNUMBER(SEARCH("STEEL",F444)),"Steel","Others"))</f>
        <v>0</v>
      </c>
      <c r="H444">
        <f>IF(ISNUMBER(SEARCH("scrubber",F444)) , "Scrubber", IF(ISNUMBER(SEARCH("container",F444)),"Container", IF(ISNUMBER(SEARCH("basket",F444)),"Basket", IF(ISNUMBER(SEARCH("lunch",F444)),"Lunch Box", IF(ISNUMBER(SEARCH("cutlery",F444)),"Cutlery","Other")))))</f>
        <v>0</v>
      </c>
      <c r="I444">
        <f>IF('Raw Data'!G444&lt;&gt;'','Raw Data'!G444,IFERROR(MID(F444,SEARCH("MODEL",F444)+6,20),""))</f>
        <v>0</v>
      </c>
      <c r="J444">
        <f>'Raw Data'!H444</f>
        <v>0</v>
      </c>
      <c r="K444">
        <f>'Raw Data'!I444</f>
        <v>0</v>
      </c>
      <c r="L444">
        <f>IF('Raw Data'!N444&lt;&gt;0,'Raw Data'!N444,IFERROR(VALUE(MID(F444,SEARCH("QTY",F444)+4,IFERROR(FIND(" ",F444,SEARCH("QTY",F444)+4)-(SEARCH("QTY",F444)+4),3))),""))</f>
        <v>0</v>
      </c>
      <c r="M444">
        <f>'Raw Data'!O444</f>
        <v>0</v>
      </c>
      <c r="N444">
        <f>'Raw Data'!P444</f>
        <v>0</v>
      </c>
      <c r="O444">
        <f>'Raw Data'!Q444</f>
        <v>0</v>
      </c>
      <c r="P444">
        <f>'Raw Data'!R444</f>
        <v>0</v>
      </c>
      <c r="Q444">
        <f>'Raw Data'!S444</f>
        <v>0</v>
      </c>
      <c r="R444">
        <f>'Raw Data'!T444</f>
        <v>0</v>
      </c>
      <c r="S444">
        <f>IFERROR(O444,0)+IFERROR(R444,0)</f>
        <v>0</v>
      </c>
      <c r="T444">
        <f>IF(A444="","",YEAR(A444))</f>
        <v>0</v>
      </c>
    </row>
    <row r="445" spans="1:20">
      <c r="A445">
        <f>'Raw Data'!B445</f>
        <v>0</v>
      </c>
      <c r="B445">
        <f>'Raw Data'!A445</f>
        <v>0</v>
      </c>
      <c r="C445">
        <f>'Raw Data'!C445</f>
        <v>0</v>
      </c>
      <c r="D445">
        <f>'Raw Data'!D445</f>
        <v>0</v>
      </c>
      <c r="E445">
        <f>IFERROR(VLOOKUP(D445,'Lookup Tables'!$A:$B,2,FALSE),"Unknown")</f>
        <v>0</v>
      </c>
      <c r="F445">
        <f>'Raw Data'!E445</f>
        <v>0</v>
      </c>
      <c r="G445">
        <f>IFERROR(VLOOKUP(D445,'Lookup Tables'!$A:$C,3,FALSE),IF(ISNUMBER(SEARCH("STEEL",F445)),"Steel","Others"))</f>
        <v>0</v>
      </c>
      <c r="H445">
        <f>IF(ISNUMBER(SEARCH("scrubber",F445)) , "Scrubber", IF(ISNUMBER(SEARCH("container",F445)),"Container", IF(ISNUMBER(SEARCH("basket",F445)),"Basket", IF(ISNUMBER(SEARCH("lunch",F445)),"Lunch Box", IF(ISNUMBER(SEARCH("cutlery",F445)),"Cutlery","Other")))))</f>
        <v>0</v>
      </c>
      <c r="I445">
        <f>IF('Raw Data'!G445&lt;&gt;'','Raw Data'!G445,IFERROR(MID(F445,SEARCH("MODEL",F445)+6,20),""))</f>
        <v>0</v>
      </c>
      <c r="J445">
        <f>'Raw Data'!H445</f>
        <v>0</v>
      </c>
      <c r="K445">
        <f>'Raw Data'!I445</f>
        <v>0</v>
      </c>
      <c r="L445">
        <f>IF('Raw Data'!N445&lt;&gt;0,'Raw Data'!N445,IFERROR(VALUE(MID(F445,SEARCH("QTY",F445)+4,IFERROR(FIND(" ",F445,SEARCH("QTY",F445)+4)-(SEARCH("QTY",F445)+4),3))),""))</f>
        <v>0</v>
      </c>
      <c r="M445">
        <f>'Raw Data'!O445</f>
        <v>0</v>
      </c>
      <c r="N445">
        <f>'Raw Data'!P445</f>
        <v>0</v>
      </c>
      <c r="O445">
        <f>'Raw Data'!Q445</f>
        <v>0</v>
      </c>
      <c r="P445">
        <f>'Raw Data'!R445</f>
        <v>0</v>
      </c>
      <c r="Q445">
        <f>'Raw Data'!S445</f>
        <v>0</v>
      </c>
      <c r="R445">
        <f>'Raw Data'!T445</f>
        <v>0</v>
      </c>
      <c r="S445">
        <f>IFERROR(O445,0)+IFERROR(R445,0)</f>
        <v>0</v>
      </c>
      <c r="T445">
        <f>IF(A445="","",YEAR(A445))</f>
        <v>0</v>
      </c>
    </row>
    <row r="446" spans="1:20">
      <c r="A446">
        <f>'Raw Data'!B446</f>
        <v>0</v>
      </c>
      <c r="B446">
        <f>'Raw Data'!A446</f>
        <v>0</v>
      </c>
      <c r="C446">
        <f>'Raw Data'!C446</f>
        <v>0</v>
      </c>
      <c r="D446">
        <f>'Raw Data'!D446</f>
        <v>0</v>
      </c>
      <c r="E446">
        <f>IFERROR(VLOOKUP(D446,'Lookup Tables'!$A:$B,2,FALSE),"Unknown")</f>
        <v>0</v>
      </c>
      <c r="F446">
        <f>'Raw Data'!E446</f>
        <v>0</v>
      </c>
      <c r="G446">
        <f>IFERROR(VLOOKUP(D446,'Lookup Tables'!$A:$C,3,FALSE),IF(ISNUMBER(SEARCH("STEEL",F446)),"Steel","Others"))</f>
        <v>0</v>
      </c>
      <c r="H446">
        <f>IF(ISNUMBER(SEARCH("scrubber",F446)) , "Scrubber", IF(ISNUMBER(SEARCH("container",F446)),"Container", IF(ISNUMBER(SEARCH("basket",F446)),"Basket", IF(ISNUMBER(SEARCH("lunch",F446)),"Lunch Box", IF(ISNUMBER(SEARCH("cutlery",F446)),"Cutlery","Other")))))</f>
        <v>0</v>
      </c>
      <c r="I446">
        <f>IF('Raw Data'!G446&lt;&gt;'','Raw Data'!G446,IFERROR(MID(F446,SEARCH("MODEL",F446)+6,20),""))</f>
        <v>0</v>
      </c>
      <c r="J446">
        <f>'Raw Data'!H446</f>
        <v>0</v>
      </c>
      <c r="K446">
        <f>'Raw Data'!I446</f>
        <v>0</v>
      </c>
      <c r="L446">
        <f>IF('Raw Data'!N446&lt;&gt;0,'Raw Data'!N446,IFERROR(VALUE(MID(F446,SEARCH("QTY",F446)+4,IFERROR(FIND(" ",F446,SEARCH("QTY",F446)+4)-(SEARCH("QTY",F446)+4),3))),""))</f>
        <v>0</v>
      </c>
      <c r="M446">
        <f>'Raw Data'!O446</f>
        <v>0</v>
      </c>
      <c r="N446">
        <f>'Raw Data'!P446</f>
        <v>0</v>
      </c>
      <c r="O446">
        <f>'Raw Data'!Q446</f>
        <v>0</v>
      </c>
      <c r="P446">
        <f>'Raw Data'!R446</f>
        <v>0</v>
      </c>
      <c r="Q446">
        <f>'Raw Data'!S446</f>
        <v>0</v>
      </c>
      <c r="R446">
        <f>'Raw Data'!T446</f>
        <v>0</v>
      </c>
      <c r="S446">
        <f>IFERROR(O446,0)+IFERROR(R446,0)</f>
        <v>0</v>
      </c>
      <c r="T446">
        <f>IF(A446="","",YEAR(A446))</f>
        <v>0</v>
      </c>
    </row>
    <row r="447" spans="1:20">
      <c r="A447">
        <f>'Raw Data'!B447</f>
        <v>0</v>
      </c>
      <c r="B447">
        <f>'Raw Data'!A447</f>
        <v>0</v>
      </c>
      <c r="C447">
        <f>'Raw Data'!C447</f>
        <v>0</v>
      </c>
      <c r="D447">
        <f>'Raw Data'!D447</f>
        <v>0</v>
      </c>
      <c r="E447">
        <f>IFERROR(VLOOKUP(D447,'Lookup Tables'!$A:$B,2,FALSE),"Unknown")</f>
        <v>0</v>
      </c>
      <c r="F447">
        <f>'Raw Data'!E447</f>
        <v>0</v>
      </c>
      <c r="G447">
        <f>IFERROR(VLOOKUP(D447,'Lookup Tables'!$A:$C,3,FALSE),IF(ISNUMBER(SEARCH("STEEL",F447)),"Steel","Others"))</f>
        <v>0</v>
      </c>
      <c r="H447">
        <f>IF(ISNUMBER(SEARCH("scrubber",F447)) , "Scrubber", IF(ISNUMBER(SEARCH("container",F447)),"Container", IF(ISNUMBER(SEARCH("basket",F447)),"Basket", IF(ISNUMBER(SEARCH("lunch",F447)),"Lunch Box", IF(ISNUMBER(SEARCH("cutlery",F447)),"Cutlery","Other")))))</f>
        <v>0</v>
      </c>
      <c r="I447">
        <f>IF('Raw Data'!G447&lt;&gt;'','Raw Data'!G447,IFERROR(MID(F447,SEARCH("MODEL",F447)+6,20),""))</f>
        <v>0</v>
      </c>
      <c r="J447">
        <f>'Raw Data'!H447</f>
        <v>0</v>
      </c>
      <c r="K447">
        <f>'Raw Data'!I447</f>
        <v>0</v>
      </c>
      <c r="L447">
        <f>IF('Raw Data'!N447&lt;&gt;0,'Raw Data'!N447,IFERROR(VALUE(MID(F447,SEARCH("QTY",F447)+4,IFERROR(FIND(" ",F447,SEARCH("QTY",F447)+4)-(SEARCH("QTY",F447)+4),3))),""))</f>
        <v>0</v>
      </c>
      <c r="M447">
        <f>'Raw Data'!O447</f>
        <v>0</v>
      </c>
      <c r="N447">
        <f>'Raw Data'!P447</f>
        <v>0</v>
      </c>
      <c r="O447">
        <f>'Raw Data'!Q447</f>
        <v>0</v>
      </c>
      <c r="P447">
        <f>'Raw Data'!R447</f>
        <v>0</v>
      </c>
      <c r="Q447">
        <f>'Raw Data'!S447</f>
        <v>0</v>
      </c>
      <c r="R447">
        <f>'Raw Data'!T447</f>
        <v>0</v>
      </c>
      <c r="S447">
        <f>IFERROR(O447,0)+IFERROR(R447,0)</f>
        <v>0</v>
      </c>
      <c r="T447">
        <f>IF(A447="","",YEAR(A447))</f>
        <v>0</v>
      </c>
    </row>
    <row r="448" spans="1:20">
      <c r="A448">
        <f>'Raw Data'!B448</f>
        <v>0</v>
      </c>
      <c r="B448">
        <f>'Raw Data'!A448</f>
        <v>0</v>
      </c>
      <c r="C448">
        <f>'Raw Data'!C448</f>
        <v>0</v>
      </c>
      <c r="D448">
        <f>'Raw Data'!D448</f>
        <v>0</v>
      </c>
      <c r="E448">
        <f>IFERROR(VLOOKUP(D448,'Lookup Tables'!$A:$B,2,FALSE),"Unknown")</f>
        <v>0</v>
      </c>
      <c r="F448">
        <f>'Raw Data'!E448</f>
        <v>0</v>
      </c>
      <c r="G448">
        <f>IFERROR(VLOOKUP(D448,'Lookup Tables'!$A:$C,3,FALSE),IF(ISNUMBER(SEARCH("STEEL",F448)),"Steel","Others"))</f>
        <v>0</v>
      </c>
      <c r="H448">
        <f>IF(ISNUMBER(SEARCH("scrubber",F448)) , "Scrubber", IF(ISNUMBER(SEARCH("container",F448)),"Container", IF(ISNUMBER(SEARCH("basket",F448)),"Basket", IF(ISNUMBER(SEARCH("lunch",F448)),"Lunch Box", IF(ISNUMBER(SEARCH("cutlery",F448)),"Cutlery","Other")))))</f>
        <v>0</v>
      </c>
      <c r="I448">
        <f>IF('Raw Data'!G448&lt;&gt;'','Raw Data'!G448,IFERROR(MID(F448,SEARCH("MODEL",F448)+6,20),""))</f>
        <v>0</v>
      </c>
      <c r="J448">
        <f>'Raw Data'!H448</f>
        <v>0</v>
      </c>
      <c r="K448">
        <f>'Raw Data'!I448</f>
        <v>0</v>
      </c>
      <c r="L448">
        <f>IF('Raw Data'!N448&lt;&gt;0,'Raw Data'!N448,IFERROR(VALUE(MID(F448,SEARCH("QTY",F448)+4,IFERROR(FIND(" ",F448,SEARCH("QTY",F448)+4)-(SEARCH("QTY",F448)+4),3))),""))</f>
        <v>0</v>
      </c>
      <c r="M448">
        <f>'Raw Data'!O448</f>
        <v>0</v>
      </c>
      <c r="N448">
        <f>'Raw Data'!P448</f>
        <v>0</v>
      </c>
      <c r="O448">
        <f>'Raw Data'!Q448</f>
        <v>0</v>
      </c>
      <c r="P448">
        <f>'Raw Data'!R448</f>
        <v>0</v>
      </c>
      <c r="Q448">
        <f>'Raw Data'!S448</f>
        <v>0</v>
      </c>
      <c r="R448">
        <f>'Raw Data'!T448</f>
        <v>0</v>
      </c>
      <c r="S448">
        <f>IFERROR(O448,0)+IFERROR(R448,0)</f>
        <v>0</v>
      </c>
      <c r="T448">
        <f>IF(A448="","",YEAR(A448))</f>
        <v>0</v>
      </c>
    </row>
    <row r="449" spans="1:20">
      <c r="A449">
        <f>'Raw Data'!B449</f>
        <v>0</v>
      </c>
      <c r="B449">
        <f>'Raw Data'!A449</f>
        <v>0</v>
      </c>
      <c r="C449">
        <f>'Raw Data'!C449</f>
        <v>0</v>
      </c>
      <c r="D449">
        <f>'Raw Data'!D449</f>
        <v>0</v>
      </c>
      <c r="E449">
        <f>IFERROR(VLOOKUP(D449,'Lookup Tables'!$A:$B,2,FALSE),"Unknown")</f>
        <v>0</v>
      </c>
      <c r="F449">
        <f>'Raw Data'!E449</f>
        <v>0</v>
      </c>
      <c r="G449">
        <f>IFERROR(VLOOKUP(D449,'Lookup Tables'!$A:$C,3,FALSE),IF(ISNUMBER(SEARCH("STEEL",F449)),"Steel","Others"))</f>
        <v>0</v>
      </c>
      <c r="H449">
        <f>IF(ISNUMBER(SEARCH("scrubber",F449)) , "Scrubber", IF(ISNUMBER(SEARCH("container",F449)),"Container", IF(ISNUMBER(SEARCH("basket",F449)),"Basket", IF(ISNUMBER(SEARCH("lunch",F449)),"Lunch Box", IF(ISNUMBER(SEARCH("cutlery",F449)),"Cutlery","Other")))))</f>
        <v>0</v>
      </c>
      <c r="I449">
        <f>IF('Raw Data'!G449&lt;&gt;'','Raw Data'!G449,IFERROR(MID(F449,SEARCH("MODEL",F449)+6,20),""))</f>
        <v>0</v>
      </c>
      <c r="J449">
        <f>'Raw Data'!H449</f>
        <v>0</v>
      </c>
      <c r="K449">
        <f>'Raw Data'!I449</f>
        <v>0</v>
      </c>
      <c r="L449">
        <f>IF('Raw Data'!N449&lt;&gt;0,'Raw Data'!N449,IFERROR(VALUE(MID(F449,SEARCH("QTY",F449)+4,IFERROR(FIND(" ",F449,SEARCH("QTY",F449)+4)-(SEARCH("QTY",F449)+4),3))),""))</f>
        <v>0</v>
      </c>
      <c r="M449">
        <f>'Raw Data'!O449</f>
        <v>0</v>
      </c>
      <c r="N449">
        <f>'Raw Data'!P449</f>
        <v>0</v>
      </c>
      <c r="O449">
        <f>'Raw Data'!Q449</f>
        <v>0</v>
      </c>
      <c r="P449">
        <f>'Raw Data'!R449</f>
        <v>0</v>
      </c>
      <c r="Q449">
        <f>'Raw Data'!S449</f>
        <v>0</v>
      </c>
      <c r="R449">
        <f>'Raw Data'!T449</f>
        <v>0</v>
      </c>
      <c r="S449">
        <f>IFERROR(O449,0)+IFERROR(R449,0)</f>
        <v>0</v>
      </c>
      <c r="T449">
        <f>IF(A449="","",YEAR(A449))</f>
        <v>0</v>
      </c>
    </row>
    <row r="450" spans="1:20">
      <c r="A450">
        <f>'Raw Data'!B450</f>
        <v>0</v>
      </c>
      <c r="B450">
        <f>'Raw Data'!A450</f>
        <v>0</v>
      </c>
      <c r="C450">
        <f>'Raw Data'!C450</f>
        <v>0</v>
      </c>
      <c r="D450">
        <f>'Raw Data'!D450</f>
        <v>0</v>
      </c>
      <c r="E450">
        <f>IFERROR(VLOOKUP(D450,'Lookup Tables'!$A:$B,2,FALSE),"Unknown")</f>
        <v>0</v>
      </c>
      <c r="F450">
        <f>'Raw Data'!E450</f>
        <v>0</v>
      </c>
      <c r="G450">
        <f>IFERROR(VLOOKUP(D450,'Lookup Tables'!$A:$C,3,FALSE),IF(ISNUMBER(SEARCH("STEEL",F450)),"Steel","Others"))</f>
        <v>0</v>
      </c>
      <c r="H450">
        <f>IF(ISNUMBER(SEARCH("scrubber",F450)) , "Scrubber", IF(ISNUMBER(SEARCH("container",F450)),"Container", IF(ISNUMBER(SEARCH("basket",F450)),"Basket", IF(ISNUMBER(SEARCH("lunch",F450)),"Lunch Box", IF(ISNUMBER(SEARCH("cutlery",F450)),"Cutlery","Other")))))</f>
        <v>0</v>
      </c>
      <c r="I450">
        <f>IF('Raw Data'!G450&lt;&gt;'','Raw Data'!G450,IFERROR(MID(F450,SEARCH("MODEL",F450)+6,20),""))</f>
        <v>0</v>
      </c>
      <c r="J450">
        <f>'Raw Data'!H450</f>
        <v>0</v>
      </c>
      <c r="K450">
        <f>'Raw Data'!I450</f>
        <v>0</v>
      </c>
      <c r="L450">
        <f>IF('Raw Data'!N450&lt;&gt;0,'Raw Data'!N450,IFERROR(VALUE(MID(F450,SEARCH("QTY",F450)+4,IFERROR(FIND(" ",F450,SEARCH("QTY",F450)+4)-(SEARCH("QTY",F450)+4),3))),""))</f>
        <v>0</v>
      </c>
      <c r="M450">
        <f>'Raw Data'!O450</f>
        <v>0</v>
      </c>
      <c r="N450">
        <f>'Raw Data'!P450</f>
        <v>0</v>
      </c>
      <c r="O450">
        <f>'Raw Data'!Q450</f>
        <v>0</v>
      </c>
      <c r="P450">
        <f>'Raw Data'!R450</f>
        <v>0</v>
      </c>
      <c r="Q450">
        <f>'Raw Data'!S450</f>
        <v>0</v>
      </c>
      <c r="R450">
        <f>'Raw Data'!T450</f>
        <v>0</v>
      </c>
      <c r="S450">
        <f>IFERROR(O450,0)+IFERROR(R450,0)</f>
        <v>0</v>
      </c>
      <c r="T450">
        <f>IF(A450="","",YEAR(A450))</f>
        <v>0</v>
      </c>
    </row>
    <row r="451" spans="1:20">
      <c r="A451">
        <f>'Raw Data'!B451</f>
        <v>0</v>
      </c>
      <c r="B451">
        <f>'Raw Data'!A451</f>
        <v>0</v>
      </c>
      <c r="C451">
        <f>'Raw Data'!C451</f>
        <v>0</v>
      </c>
      <c r="D451">
        <f>'Raw Data'!D451</f>
        <v>0</v>
      </c>
      <c r="E451">
        <f>IFERROR(VLOOKUP(D451,'Lookup Tables'!$A:$B,2,FALSE),"Unknown")</f>
        <v>0</v>
      </c>
      <c r="F451">
        <f>'Raw Data'!E451</f>
        <v>0</v>
      </c>
      <c r="G451">
        <f>IFERROR(VLOOKUP(D451,'Lookup Tables'!$A:$C,3,FALSE),IF(ISNUMBER(SEARCH("STEEL",F451)),"Steel","Others"))</f>
        <v>0</v>
      </c>
      <c r="H451">
        <f>IF(ISNUMBER(SEARCH("scrubber",F451)) , "Scrubber", IF(ISNUMBER(SEARCH("container",F451)),"Container", IF(ISNUMBER(SEARCH("basket",F451)),"Basket", IF(ISNUMBER(SEARCH("lunch",F451)),"Lunch Box", IF(ISNUMBER(SEARCH("cutlery",F451)),"Cutlery","Other")))))</f>
        <v>0</v>
      </c>
      <c r="I451">
        <f>IF('Raw Data'!G451&lt;&gt;'','Raw Data'!G451,IFERROR(MID(F451,SEARCH("MODEL",F451)+6,20),""))</f>
        <v>0</v>
      </c>
      <c r="J451">
        <f>'Raw Data'!H451</f>
        <v>0</v>
      </c>
      <c r="K451">
        <f>'Raw Data'!I451</f>
        <v>0</v>
      </c>
      <c r="L451">
        <f>IF('Raw Data'!N451&lt;&gt;0,'Raw Data'!N451,IFERROR(VALUE(MID(F451,SEARCH("QTY",F451)+4,IFERROR(FIND(" ",F451,SEARCH("QTY",F451)+4)-(SEARCH("QTY",F451)+4),3))),""))</f>
        <v>0</v>
      </c>
      <c r="M451">
        <f>'Raw Data'!O451</f>
        <v>0</v>
      </c>
      <c r="N451">
        <f>'Raw Data'!P451</f>
        <v>0</v>
      </c>
      <c r="O451">
        <f>'Raw Data'!Q451</f>
        <v>0</v>
      </c>
      <c r="P451">
        <f>'Raw Data'!R451</f>
        <v>0</v>
      </c>
      <c r="Q451">
        <f>'Raw Data'!S451</f>
        <v>0</v>
      </c>
      <c r="R451">
        <f>'Raw Data'!T451</f>
        <v>0</v>
      </c>
      <c r="S451">
        <f>IFERROR(O451,0)+IFERROR(R451,0)</f>
        <v>0</v>
      </c>
      <c r="T451">
        <f>IF(A451="","",YEAR(A451))</f>
        <v>0</v>
      </c>
    </row>
    <row r="452" spans="1:20">
      <c r="A452">
        <f>'Raw Data'!B452</f>
        <v>0</v>
      </c>
      <c r="B452">
        <f>'Raw Data'!A452</f>
        <v>0</v>
      </c>
      <c r="C452">
        <f>'Raw Data'!C452</f>
        <v>0</v>
      </c>
      <c r="D452">
        <f>'Raw Data'!D452</f>
        <v>0</v>
      </c>
      <c r="E452">
        <f>IFERROR(VLOOKUP(D452,'Lookup Tables'!$A:$B,2,FALSE),"Unknown")</f>
        <v>0</v>
      </c>
      <c r="F452">
        <f>'Raw Data'!E452</f>
        <v>0</v>
      </c>
      <c r="G452">
        <f>IFERROR(VLOOKUP(D452,'Lookup Tables'!$A:$C,3,FALSE),IF(ISNUMBER(SEARCH("STEEL",F452)),"Steel","Others"))</f>
        <v>0</v>
      </c>
      <c r="H452">
        <f>IF(ISNUMBER(SEARCH("scrubber",F452)) , "Scrubber", IF(ISNUMBER(SEARCH("container",F452)),"Container", IF(ISNUMBER(SEARCH("basket",F452)),"Basket", IF(ISNUMBER(SEARCH("lunch",F452)),"Lunch Box", IF(ISNUMBER(SEARCH("cutlery",F452)),"Cutlery","Other")))))</f>
        <v>0</v>
      </c>
      <c r="I452">
        <f>IF('Raw Data'!G452&lt;&gt;'','Raw Data'!G452,IFERROR(MID(F452,SEARCH("MODEL",F452)+6,20),""))</f>
        <v>0</v>
      </c>
      <c r="J452">
        <f>'Raw Data'!H452</f>
        <v>0</v>
      </c>
      <c r="K452">
        <f>'Raw Data'!I452</f>
        <v>0</v>
      </c>
      <c r="L452">
        <f>IF('Raw Data'!N452&lt;&gt;0,'Raw Data'!N452,IFERROR(VALUE(MID(F452,SEARCH("QTY",F452)+4,IFERROR(FIND(" ",F452,SEARCH("QTY",F452)+4)-(SEARCH("QTY",F452)+4),3))),""))</f>
        <v>0</v>
      </c>
      <c r="M452">
        <f>'Raw Data'!O452</f>
        <v>0</v>
      </c>
      <c r="N452">
        <f>'Raw Data'!P452</f>
        <v>0</v>
      </c>
      <c r="O452">
        <f>'Raw Data'!Q452</f>
        <v>0</v>
      </c>
      <c r="P452">
        <f>'Raw Data'!R452</f>
        <v>0</v>
      </c>
      <c r="Q452">
        <f>'Raw Data'!S452</f>
        <v>0</v>
      </c>
      <c r="R452">
        <f>'Raw Data'!T452</f>
        <v>0</v>
      </c>
      <c r="S452">
        <f>IFERROR(O452,0)+IFERROR(R452,0)</f>
        <v>0</v>
      </c>
      <c r="T452">
        <f>IF(A452="","",YEAR(A452))</f>
        <v>0</v>
      </c>
    </row>
    <row r="453" spans="1:20">
      <c r="A453">
        <f>'Raw Data'!B453</f>
        <v>0</v>
      </c>
      <c r="B453">
        <f>'Raw Data'!A453</f>
        <v>0</v>
      </c>
      <c r="C453">
        <f>'Raw Data'!C453</f>
        <v>0</v>
      </c>
      <c r="D453">
        <f>'Raw Data'!D453</f>
        <v>0</v>
      </c>
      <c r="E453">
        <f>IFERROR(VLOOKUP(D453,'Lookup Tables'!$A:$B,2,FALSE),"Unknown")</f>
        <v>0</v>
      </c>
      <c r="F453">
        <f>'Raw Data'!E453</f>
        <v>0</v>
      </c>
      <c r="G453">
        <f>IFERROR(VLOOKUP(D453,'Lookup Tables'!$A:$C,3,FALSE),IF(ISNUMBER(SEARCH("STEEL",F453)),"Steel","Others"))</f>
        <v>0</v>
      </c>
      <c r="H453">
        <f>IF(ISNUMBER(SEARCH("scrubber",F453)) , "Scrubber", IF(ISNUMBER(SEARCH("container",F453)),"Container", IF(ISNUMBER(SEARCH("basket",F453)),"Basket", IF(ISNUMBER(SEARCH("lunch",F453)),"Lunch Box", IF(ISNUMBER(SEARCH("cutlery",F453)),"Cutlery","Other")))))</f>
        <v>0</v>
      </c>
      <c r="I453">
        <f>IF('Raw Data'!G453&lt;&gt;'','Raw Data'!G453,IFERROR(MID(F453,SEARCH("MODEL",F453)+6,20),""))</f>
        <v>0</v>
      </c>
      <c r="J453">
        <f>'Raw Data'!H453</f>
        <v>0</v>
      </c>
      <c r="K453">
        <f>'Raw Data'!I453</f>
        <v>0</v>
      </c>
      <c r="L453">
        <f>IF('Raw Data'!N453&lt;&gt;0,'Raw Data'!N453,IFERROR(VALUE(MID(F453,SEARCH("QTY",F453)+4,IFERROR(FIND(" ",F453,SEARCH("QTY",F453)+4)-(SEARCH("QTY",F453)+4),3))),""))</f>
        <v>0</v>
      </c>
      <c r="M453">
        <f>'Raw Data'!O453</f>
        <v>0</v>
      </c>
      <c r="N453">
        <f>'Raw Data'!P453</f>
        <v>0</v>
      </c>
      <c r="O453">
        <f>'Raw Data'!Q453</f>
        <v>0</v>
      </c>
      <c r="P453">
        <f>'Raw Data'!R453</f>
        <v>0</v>
      </c>
      <c r="Q453">
        <f>'Raw Data'!S453</f>
        <v>0</v>
      </c>
      <c r="R453">
        <f>'Raw Data'!T453</f>
        <v>0</v>
      </c>
      <c r="S453">
        <f>IFERROR(O453,0)+IFERROR(R453,0)</f>
        <v>0</v>
      </c>
      <c r="T453">
        <f>IF(A453="","",YEAR(A453))</f>
        <v>0</v>
      </c>
    </row>
    <row r="454" spans="1:20">
      <c r="A454">
        <f>'Raw Data'!B454</f>
        <v>0</v>
      </c>
      <c r="B454">
        <f>'Raw Data'!A454</f>
        <v>0</v>
      </c>
      <c r="C454">
        <f>'Raw Data'!C454</f>
        <v>0</v>
      </c>
      <c r="D454">
        <f>'Raw Data'!D454</f>
        <v>0</v>
      </c>
      <c r="E454">
        <f>IFERROR(VLOOKUP(D454,'Lookup Tables'!$A:$B,2,FALSE),"Unknown")</f>
        <v>0</v>
      </c>
      <c r="F454">
        <f>'Raw Data'!E454</f>
        <v>0</v>
      </c>
      <c r="G454">
        <f>IFERROR(VLOOKUP(D454,'Lookup Tables'!$A:$C,3,FALSE),IF(ISNUMBER(SEARCH("STEEL",F454)),"Steel","Others"))</f>
        <v>0</v>
      </c>
      <c r="H454">
        <f>IF(ISNUMBER(SEARCH("scrubber",F454)) , "Scrubber", IF(ISNUMBER(SEARCH("container",F454)),"Container", IF(ISNUMBER(SEARCH("basket",F454)),"Basket", IF(ISNUMBER(SEARCH("lunch",F454)),"Lunch Box", IF(ISNUMBER(SEARCH("cutlery",F454)),"Cutlery","Other")))))</f>
        <v>0</v>
      </c>
      <c r="I454">
        <f>IF('Raw Data'!G454&lt;&gt;'','Raw Data'!G454,IFERROR(MID(F454,SEARCH("MODEL",F454)+6,20),""))</f>
        <v>0</v>
      </c>
      <c r="J454">
        <f>'Raw Data'!H454</f>
        <v>0</v>
      </c>
      <c r="K454">
        <f>'Raw Data'!I454</f>
        <v>0</v>
      </c>
      <c r="L454">
        <f>IF('Raw Data'!N454&lt;&gt;0,'Raw Data'!N454,IFERROR(VALUE(MID(F454,SEARCH("QTY",F454)+4,IFERROR(FIND(" ",F454,SEARCH("QTY",F454)+4)-(SEARCH("QTY",F454)+4),3))),""))</f>
        <v>0</v>
      </c>
      <c r="M454">
        <f>'Raw Data'!O454</f>
        <v>0</v>
      </c>
      <c r="N454">
        <f>'Raw Data'!P454</f>
        <v>0</v>
      </c>
      <c r="O454">
        <f>'Raw Data'!Q454</f>
        <v>0</v>
      </c>
      <c r="P454">
        <f>'Raw Data'!R454</f>
        <v>0</v>
      </c>
      <c r="Q454">
        <f>'Raw Data'!S454</f>
        <v>0</v>
      </c>
      <c r="R454">
        <f>'Raw Data'!T454</f>
        <v>0</v>
      </c>
      <c r="S454">
        <f>IFERROR(O454,0)+IFERROR(R454,0)</f>
        <v>0</v>
      </c>
      <c r="T454">
        <f>IF(A454="","",YEAR(A454))</f>
        <v>0</v>
      </c>
    </row>
    <row r="455" spans="1:20">
      <c r="A455">
        <f>'Raw Data'!B455</f>
        <v>0</v>
      </c>
      <c r="B455">
        <f>'Raw Data'!A455</f>
        <v>0</v>
      </c>
      <c r="C455">
        <f>'Raw Data'!C455</f>
        <v>0</v>
      </c>
      <c r="D455">
        <f>'Raw Data'!D455</f>
        <v>0</v>
      </c>
      <c r="E455">
        <f>IFERROR(VLOOKUP(D455,'Lookup Tables'!$A:$B,2,FALSE),"Unknown")</f>
        <v>0</v>
      </c>
      <c r="F455">
        <f>'Raw Data'!E455</f>
        <v>0</v>
      </c>
      <c r="G455">
        <f>IFERROR(VLOOKUP(D455,'Lookup Tables'!$A:$C,3,FALSE),IF(ISNUMBER(SEARCH("STEEL",F455)),"Steel","Others"))</f>
        <v>0</v>
      </c>
      <c r="H455">
        <f>IF(ISNUMBER(SEARCH("scrubber",F455)) , "Scrubber", IF(ISNUMBER(SEARCH("container",F455)),"Container", IF(ISNUMBER(SEARCH("basket",F455)),"Basket", IF(ISNUMBER(SEARCH("lunch",F455)),"Lunch Box", IF(ISNUMBER(SEARCH("cutlery",F455)),"Cutlery","Other")))))</f>
        <v>0</v>
      </c>
      <c r="I455">
        <f>IF('Raw Data'!G455&lt;&gt;'','Raw Data'!G455,IFERROR(MID(F455,SEARCH("MODEL",F455)+6,20),""))</f>
        <v>0</v>
      </c>
      <c r="J455">
        <f>'Raw Data'!H455</f>
        <v>0</v>
      </c>
      <c r="K455">
        <f>'Raw Data'!I455</f>
        <v>0</v>
      </c>
      <c r="L455">
        <f>IF('Raw Data'!N455&lt;&gt;0,'Raw Data'!N455,IFERROR(VALUE(MID(F455,SEARCH("QTY",F455)+4,IFERROR(FIND(" ",F455,SEARCH("QTY",F455)+4)-(SEARCH("QTY",F455)+4),3))),""))</f>
        <v>0</v>
      </c>
      <c r="M455">
        <f>'Raw Data'!O455</f>
        <v>0</v>
      </c>
      <c r="N455">
        <f>'Raw Data'!P455</f>
        <v>0</v>
      </c>
      <c r="O455">
        <f>'Raw Data'!Q455</f>
        <v>0</v>
      </c>
      <c r="P455">
        <f>'Raw Data'!R455</f>
        <v>0</v>
      </c>
      <c r="Q455">
        <f>'Raw Data'!S455</f>
        <v>0</v>
      </c>
      <c r="R455">
        <f>'Raw Data'!T455</f>
        <v>0</v>
      </c>
      <c r="S455">
        <f>IFERROR(O455,0)+IFERROR(R455,0)</f>
        <v>0</v>
      </c>
      <c r="T455">
        <f>IF(A455="","",YEAR(A455))</f>
        <v>0</v>
      </c>
    </row>
    <row r="456" spans="1:20">
      <c r="A456">
        <f>'Raw Data'!B456</f>
        <v>0</v>
      </c>
      <c r="B456">
        <f>'Raw Data'!A456</f>
        <v>0</v>
      </c>
      <c r="C456">
        <f>'Raw Data'!C456</f>
        <v>0</v>
      </c>
      <c r="D456">
        <f>'Raw Data'!D456</f>
        <v>0</v>
      </c>
      <c r="E456">
        <f>IFERROR(VLOOKUP(D456,'Lookup Tables'!$A:$B,2,FALSE),"Unknown")</f>
        <v>0</v>
      </c>
      <c r="F456">
        <f>'Raw Data'!E456</f>
        <v>0</v>
      </c>
      <c r="G456">
        <f>IFERROR(VLOOKUP(D456,'Lookup Tables'!$A:$C,3,FALSE),IF(ISNUMBER(SEARCH("STEEL",F456)),"Steel","Others"))</f>
        <v>0</v>
      </c>
      <c r="H456">
        <f>IF(ISNUMBER(SEARCH("scrubber",F456)) , "Scrubber", IF(ISNUMBER(SEARCH("container",F456)),"Container", IF(ISNUMBER(SEARCH("basket",F456)),"Basket", IF(ISNUMBER(SEARCH("lunch",F456)),"Lunch Box", IF(ISNUMBER(SEARCH("cutlery",F456)),"Cutlery","Other")))))</f>
        <v>0</v>
      </c>
      <c r="I456">
        <f>IF('Raw Data'!G456&lt;&gt;'','Raw Data'!G456,IFERROR(MID(F456,SEARCH("MODEL",F456)+6,20),""))</f>
        <v>0</v>
      </c>
      <c r="J456">
        <f>'Raw Data'!H456</f>
        <v>0</v>
      </c>
      <c r="K456">
        <f>'Raw Data'!I456</f>
        <v>0</v>
      </c>
      <c r="L456">
        <f>IF('Raw Data'!N456&lt;&gt;0,'Raw Data'!N456,IFERROR(VALUE(MID(F456,SEARCH("QTY",F456)+4,IFERROR(FIND(" ",F456,SEARCH("QTY",F456)+4)-(SEARCH("QTY",F456)+4),3))),""))</f>
        <v>0</v>
      </c>
      <c r="M456">
        <f>'Raw Data'!O456</f>
        <v>0</v>
      </c>
      <c r="N456">
        <f>'Raw Data'!P456</f>
        <v>0</v>
      </c>
      <c r="O456">
        <f>'Raw Data'!Q456</f>
        <v>0</v>
      </c>
      <c r="P456">
        <f>'Raw Data'!R456</f>
        <v>0</v>
      </c>
      <c r="Q456">
        <f>'Raw Data'!S456</f>
        <v>0</v>
      </c>
      <c r="R456">
        <f>'Raw Data'!T456</f>
        <v>0</v>
      </c>
      <c r="S456">
        <f>IFERROR(O456,0)+IFERROR(R456,0)</f>
        <v>0</v>
      </c>
      <c r="T456">
        <f>IF(A456="","",YEAR(A456))</f>
        <v>0</v>
      </c>
    </row>
    <row r="457" spans="1:20">
      <c r="A457">
        <f>'Raw Data'!B457</f>
        <v>0</v>
      </c>
      <c r="B457">
        <f>'Raw Data'!A457</f>
        <v>0</v>
      </c>
      <c r="C457">
        <f>'Raw Data'!C457</f>
        <v>0</v>
      </c>
      <c r="D457">
        <f>'Raw Data'!D457</f>
        <v>0</v>
      </c>
      <c r="E457">
        <f>IFERROR(VLOOKUP(D457,'Lookup Tables'!$A:$B,2,FALSE),"Unknown")</f>
        <v>0</v>
      </c>
      <c r="F457">
        <f>'Raw Data'!E457</f>
        <v>0</v>
      </c>
      <c r="G457">
        <f>IFERROR(VLOOKUP(D457,'Lookup Tables'!$A:$C,3,FALSE),IF(ISNUMBER(SEARCH("STEEL",F457)),"Steel","Others"))</f>
        <v>0</v>
      </c>
      <c r="H457">
        <f>IF(ISNUMBER(SEARCH("scrubber",F457)) , "Scrubber", IF(ISNUMBER(SEARCH("container",F457)),"Container", IF(ISNUMBER(SEARCH("basket",F457)),"Basket", IF(ISNUMBER(SEARCH("lunch",F457)),"Lunch Box", IF(ISNUMBER(SEARCH("cutlery",F457)),"Cutlery","Other")))))</f>
        <v>0</v>
      </c>
      <c r="I457">
        <f>IF('Raw Data'!G457&lt;&gt;'','Raw Data'!G457,IFERROR(MID(F457,SEARCH("MODEL",F457)+6,20),""))</f>
        <v>0</v>
      </c>
      <c r="J457">
        <f>'Raw Data'!H457</f>
        <v>0</v>
      </c>
      <c r="K457">
        <f>'Raw Data'!I457</f>
        <v>0</v>
      </c>
      <c r="L457">
        <f>IF('Raw Data'!N457&lt;&gt;0,'Raw Data'!N457,IFERROR(VALUE(MID(F457,SEARCH("QTY",F457)+4,IFERROR(FIND(" ",F457,SEARCH("QTY",F457)+4)-(SEARCH("QTY",F457)+4),3))),""))</f>
        <v>0</v>
      </c>
      <c r="M457">
        <f>'Raw Data'!O457</f>
        <v>0</v>
      </c>
      <c r="N457">
        <f>'Raw Data'!P457</f>
        <v>0</v>
      </c>
      <c r="O457">
        <f>'Raw Data'!Q457</f>
        <v>0</v>
      </c>
      <c r="P457">
        <f>'Raw Data'!R457</f>
        <v>0</v>
      </c>
      <c r="Q457">
        <f>'Raw Data'!S457</f>
        <v>0</v>
      </c>
      <c r="R457">
        <f>'Raw Data'!T457</f>
        <v>0</v>
      </c>
      <c r="S457">
        <f>IFERROR(O457,0)+IFERROR(R457,0)</f>
        <v>0</v>
      </c>
      <c r="T457">
        <f>IF(A457="","",YEAR(A457))</f>
        <v>0</v>
      </c>
    </row>
    <row r="458" spans="1:20">
      <c r="A458">
        <f>'Raw Data'!B458</f>
        <v>0</v>
      </c>
      <c r="B458">
        <f>'Raw Data'!A458</f>
        <v>0</v>
      </c>
      <c r="C458">
        <f>'Raw Data'!C458</f>
        <v>0</v>
      </c>
      <c r="D458">
        <f>'Raw Data'!D458</f>
        <v>0</v>
      </c>
      <c r="E458">
        <f>IFERROR(VLOOKUP(D458,'Lookup Tables'!$A:$B,2,FALSE),"Unknown")</f>
        <v>0</v>
      </c>
      <c r="F458">
        <f>'Raw Data'!E458</f>
        <v>0</v>
      </c>
      <c r="G458">
        <f>IFERROR(VLOOKUP(D458,'Lookup Tables'!$A:$C,3,FALSE),IF(ISNUMBER(SEARCH("STEEL",F458)),"Steel","Others"))</f>
        <v>0</v>
      </c>
      <c r="H458">
        <f>IF(ISNUMBER(SEARCH("scrubber",F458)) , "Scrubber", IF(ISNUMBER(SEARCH("container",F458)),"Container", IF(ISNUMBER(SEARCH("basket",F458)),"Basket", IF(ISNUMBER(SEARCH("lunch",F458)),"Lunch Box", IF(ISNUMBER(SEARCH("cutlery",F458)),"Cutlery","Other")))))</f>
        <v>0</v>
      </c>
      <c r="I458">
        <f>IF('Raw Data'!G458&lt;&gt;'','Raw Data'!G458,IFERROR(MID(F458,SEARCH("MODEL",F458)+6,20),""))</f>
        <v>0</v>
      </c>
      <c r="J458">
        <f>'Raw Data'!H458</f>
        <v>0</v>
      </c>
      <c r="K458">
        <f>'Raw Data'!I458</f>
        <v>0</v>
      </c>
      <c r="L458">
        <f>IF('Raw Data'!N458&lt;&gt;0,'Raw Data'!N458,IFERROR(VALUE(MID(F458,SEARCH("QTY",F458)+4,IFERROR(FIND(" ",F458,SEARCH("QTY",F458)+4)-(SEARCH("QTY",F458)+4),3))),""))</f>
        <v>0</v>
      </c>
      <c r="M458">
        <f>'Raw Data'!O458</f>
        <v>0</v>
      </c>
      <c r="N458">
        <f>'Raw Data'!P458</f>
        <v>0</v>
      </c>
      <c r="O458">
        <f>'Raw Data'!Q458</f>
        <v>0</v>
      </c>
      <c r="P458">
        <f>'Raw Data'!R458</f>
        <v>0</v>
      </c>
      <c r="Q458">
        <f>'Raw Data'!S458</f>
        <v>0</v>
      </c>
      <c r="R458">
        <f>'Raw Data'!T458</f>
        <v>0</v>
      </c>
      <c r="S458">
        <f>IFERROR(O458,0)+IFERROR(R458,0)</f>
        <v>0</v>
      </c>
      <c r="T458">
        <f>IF(A458="","",YEAR(A458))</f>
        <v>0</v>
      </c>
    </row>
    <row r="459" spans="1:20">
      <c r="A459">
        <f>'Raw Data'!B459</f>
        <v>0</v>
      </c>
      <c r="B459">
        <f>'Raw Data'!A459</f>
        <v>0</v>
      </c>
      <c r="C459">
        <f>'Raw Data'!C459</f>
        <v>0</v>
      </c>
      <c r="D459">
        <f>'Raw Data'!D459</f>
        <v>0</v>
      </c>
      <c r="E459">
        <f>IFERROR(VLOOKUP(D459,'Lookup Tables'!$A:$B,2,FALSE),"Unknown")</f>
        <v>0</v>
      </c>
      <c r="F459">
        <f>'Raw Data'!E459</f>
        <v>0</v>
      </c>
      <c r="G459">
        <f>IFERROR(VLOOKUP(D459,'Lookup Tables'!$A:$C,3,FALSE),IF(ISNUMBER(SEARCH("STEEL",F459)),"Steel","Others"))</f>
        <v>0</v>
      </c>
      <c r="H459">
        <f>IF(ISNUMBER(SEARCH("scrubber",F459)) , "Scrubber", IF(ISNUMBER(SEARCH("container",F459)),"Container", IF(ISNUMBER(SEARCH("basket",F459)),"Basket", IF(ISNUMBER(SEARCH("lunch",F459)),"Lunch Box", IF(ISNUMBER(SEARCH("cutlery",F459)),"Cutlery","Other")))))</f>
        <v>0</v>
      </c>
      <c r="I459">
        <f>IF('Raw Data'!G459&lt;&gt;'','Raw Data'!G459,IFERROR(MID(F459,SEARCH("MODEL",F459)+6,20),""))</f>
        <v>0</v>
      </c>
      <c r="J459">
        <f>'Raw Data'!H459</f>
        <v>0</v>
      </c>
      <c r="K459">
        <f>'Raw Data'!I459</f>
        <v>0</v>
      </c>
      <c r="L459">
        <f>IF('Raw Data'!N459&lt;&gt;0,'Raw Data'!N459,IFERROR(VALUE(MID(F459,SEARCH("QTY",F459)+4,IFERROR(FIND(" ",F459,SEARCH("QTY",F459)+4)-(SEARCH("QTY",F459)+4),3))),""))</f>
        <v>0</v>
      </c>
      <c r="M459">
        <f>'Raw Data'!O459</f>
        <v>0</v>
      </c>
      <c r="N459">
        <f>'Raw Data'!P459</f>
        <v>0</v>
      </c>
      <c r="O459">
        <f>'Raw Data'!Q459</f>
        <v>0</v>
      </c>
      <c r="P459">
        <f>'Raw Data'!R459</f>
        <v>0</v>
      </c>
      <c r="Q459">
        <f>'Raw Data'!S459</f>
        <v>0</v>
      </c>
      <c r="R459">
        <f>'Raw Data'!T459</f>
        <v>0</v>
      </c>
      <c r="S459">
        <f>IFERROR(O459,0)+IFERROR(R459,0)</f>
        <v>0</v>
      </c>
      <c r="T459">
        <f>IF(A459="","",YEAR(A459))</f>
        <v>0</v>
      </c>
    </row>
    <row r="460" spans="1:20">
      <c r="A460">
        <f>'Raw Data'!B460</f>
        <v>0</v>
      </c>
      <c r="B460">
        <f>'Raw Data'!A460</f>
        <v>0</v>
      </c>
      <c r="C460">
        <f>'Raw Data'!C460</f>
        <v>0</v>
      </c>
      <c r="D460">
        <f>'Raw Data'!D460</f>
        <v>0</v>
      </c>
      <c r="E460">
        <f>IFERROR(VLOOKUP(D460,'Lookup Tables'!$A:$B,2,FALSE),"Unknown")</f>
        <v>0</v>
      </c>
      <c r="F460">
        <f>'Raw Data'!E460</f>
        <v>0</v>
      </c>
      <c r="G460">
        <f>IFERROR(VLOOKUP(D460,'Lookup Tables'!$A:$C,3,FALSE),IF(ISNUMBER(SEARCH("STEEL",F460)),"Steel","Others"))</f>
        <v>0</v>
      </c>
      <c r="H460">
        <f>IF(ISNUMBER(SEARCH("scrubber",F460)) , "Scrubber", IF(ISNUMBER(SEARCH("container",F460)),"Container", IF(ISNUMBER(SEARCH("basket",F460)),"Basket", IF(ISNUMBER(SEARCH("lunch",F460)),"Lunch Box", IF(ISNUMBER(SEARCH("cutlery",F460)),"Cutlery","Other")))))</f>
        <v>0</v>
      </c>
      <c r="I460">
        <f>IF('Raw Data'!G460&lt;&gt;'','Raw Data'!G460,IFERROR(MID(F460,SEARCH("MODEL",F460)+6,20),""))</f>
        <v>0</v>
      </c>
      <c r="J460">
        <f>'Raw Data'!H460</f>
        <v>0</v>
      </c>
      <c r="K460">
        <f>'Raw Data'!I460</f>
        <v>0</v>
      </c>
      <c r="L460">
        <f>IF('Raw Data'!N460&lt;&gt;0,'Raw Data'!N460,IFERROR(VALUE(MID(F460,SEARCH("QTY",F460)+4,IFERROR(FIND(" ",F460,SEARCH("QTY",F460)+4)-(SEARCH("QTY",F460)+4),3))),""))</f>
        <v>0</v>
      </c>
      <c r="M460">
        <f>'Raw Data'!O460</f>
        <v>0</v>
      </c>
      <c r="N460">
        <f>'Raw Data'!P460</f>
        <v>0</v>
      </c>
      <c r="O460">
        <f>'Raw Data'!Q460</f>
        <v>0</v>
      </c>
      <c r="P460">
        <f>'Raw Data'!R460</f>
        <v>0</v>
      </c>
      <c r="Q460">
        <f>'Raw Data'!S460</f>
        <v>0</v>
      </c>
      <c r="R460">
        <f>'Raw Data'!T460</f>
        <v>0</v>
      </c>
      <c r="S460">
        <f>IFERROR(O460,0)+IFERROR(R460,0)</f>
        <v>0</v>
      </c>
      <c r="T460">
        <f>IF(A460="","",YEAR(A460))</f>
        <v>0</v>
      </c>
    </row>
    <row r="461" spans="1:20">
      <c r="A461">
        <f>'Raw Data'!B461</f>
        <v>0</v>
      </c>
      <c r="B461">
        <f>'Raw Data'!A461</f>
        <v>0</v>
      </c>
      <c r="C461">
        <f>'Raw Data'!C461</f>
        <v>0</v>
      </c>
      <c r="D461">
        <f>'Raw Data'!D461</f>
        <v>0</v>
      </c>
      <c r="E461">
        <f>IFERROR(VLOOKUP(D461,'Lookup Tables'!$A:$B,2,FALSE),"Unknown")</f>
        <v>0</v>
      </c>
      <c r="F461">
        <f>'Raw Data'!E461</f>
        <v>0</v>
      </c>
      <c r="G461">
        <f>IFERROR(VLOOKUP(D461,'Lookup Tables'!$A:$C,3,FALSE),IF(ISNUMBER(SEARCH("STEEL",F461)),"Steel","Others"))</f>
        <v>0</v>
      </c>
      <c r="H461">
        <f>IF(ISNUMBER(SEARCH("scrubber",F461)) , "Scrubber", IF(ISNUMBER(SEARCH("container",F461)),"Container", IF(ISNUMBER(SEARCH("basket",F461)),"Basket", IF(ISNUMBER(SEARCH("lunch",F461)),"Lunch Box", IF(ISNUMBER(SEARCH("cutlery",F461)),"Cutlery","Other")))))</f>
        <v>0</v>
      </c>
      <c r="I461">
        <f>IF('Raw Data'!G461&lt;&gt;'','Raw Data'!G461,IFERROR(MID(F461,SEARCH("MODEL",F461)+6,20),""))</f>
        <v>0</v>
      </c>
      <c r="J461">
        <f>'Raw Data'!H461</f>
        <v>0</v>
      </c>
      <c r="K461">
        <f>'Raw Data'!I461</f>
        <v>0</v>
      </c>
      <c r="L461">
        <f>IF('Raw Data'!N461&lt;&gt;0,'Raw Data'!N461,IFERROR(VALUE(MID(F461,SEARCH("QTY",F461)+4,IFERROR(FIND(" ",F461,SEARCH("QTY",F461)+4)-(SEARCH("QTY",F461)+4),3))),""))</f>
        <v>0</v>
      </c>
      <c r="M461">
        <f>'Raw Data'!O461</f>
        <v>0</v>
      </c>
      <c r="N461">
        <f>'Raw Data'!P461</f>
        <v>0</v>
      </c>
      <c r="O461">
        <f>'Raw Data'!Q461</f>
        <v>0</v>
      </c>
      <c r="P461">
        <f>'Raw Data'!R461</f>
        <v>0</v>
      </c>
      <c r="Q461">
        <f>'Raw Data'!S461</f>
        <v>0</v>
      </c>
      <c r="R461">
        <f>'Raw Data'!T461</f>
        <v>0</v>
      </c>
      <c r="S461">
        <f>IFERROR(O461,0)+IFERROR(R461,0)</f>
        <v>0</v>
      </c>
      <c r="T461">
        <f>IF(A461="","",YEAR(A461))</f>
        <v>0</v>
      </c>
    </row>
    <row r="462" spans="1:20">
      <c r="A462">
        <f>'Raw Data'!B462</f>
        <v>0</v>
      </c>
      <c r="B462">
        <f>'Raw Data'!A462</f>
        <v>0</v>
      </c>
      <c r="C462">
        <f>'Raw Data'!C462</f>
        <v>0</v>
      </c>
      <c r="D462">
        <f>'Raw Data'!D462</f>
        <v>0</v>
      </c>
      <c r="E462">
        <f>IFERROR(VLOOKUP(D462,'Lookup Tables'!$A:$B,2,FALSE),"Unknown")</f>
        <v>0</v>
      </c>
      <c r="F462">
        <f>'Raw Data'!E462</f>
        <v>0</v>
      </c>
      <c r="G462">
        <f>IFERROR(VLOOKUP(D462,'Lookup Tables'!$A:$C,3,FALSE),IF(ISNUMBER(SEARCH("STEEL",F462)),"Steel","Others"))</f>
        <v>0</v>
      </c>
      <c r="H462">
        <f>IF(ISNUMBER(SEARCH("scrubber",F462)) , "Scrubber", IF(ISNUMBER(SEARCH("container",F462)),"Container", IF(ISNUMBER(SEARCH("basket",F462)),"Basket", IF(ISNUMBER(SEARCH("lunch",F462)),"Lunch Box", IF(ISNUMBER(SEARCH("cutlery",F462)),"Cutlery","Other")))))</f>
        <v>0</v>
      </c>
      <c r="I462">
        <f>IF('Raw Data'!G462&lt;&gt;'','Raw Data'!G462,IFERROR(MID(F462,SEARCH("MODEL",F462)+6,20),""))</f>
        <v>0</v>
      </c>
      <c r="J462">
        <f>'Raw Data'!H462</f>
        <v>0</v>
      </c>
      <c r="K462">
        <f>'Raw Data'!I462</f>
        <v>0</v>
      </c>
      <c r="L462">
        <f>IF('Raw Data'!N462&lt;&gt;0,'Raw Data'!N462,IFERROR(VALUE(MID(F462,SEARCH("QTY",F462)+4,IFERROR(FIND(" ",F462,SEARCH("QTY",F462)+4)-(SEARCH("QTY",F462)+4),3))),""))</f>
        <v>0</v>
      </c>
      <c r="M462">
        <f>'Raw Data'!O462</f>
        <v>0</v>
      </c>
      <c r="N462">
        <f>'Raw Data'!P462</f>
        <v>0</v>
      </c>
      <c r="O462">
        <f>'Raw Data'!Q462</f>
        <v>0</v>
      </c>
      <c r="P462">
        <f>'Raw Data'!R462</f>
        <v>0</v>
      </c>
      <c r="Q462">
        <f>'Raw Data'!S462</f>
        <v>0</v>
      </c>
      <c r="R462">
        <f>'Raw Data'!T462</f>
        <v>0</v>
      </c>
      <c r="S462">
        <f>IFERROR(O462,0)+IFERROR(R462,0)</f>
        <v>0</v>
      </c>
      <c r="T462">
        <f>IF(A462="","",YEAR(A462))</f>
        <v>0</v>
      </c>
    </row>
    <row r="463" spans="1:20">
      <c r="A463">
        <f>'Raw Data'!B463</f>
        <v>0</v>
      </c>
      <c r="B463">
        <f>'Raw Data'!A463</f>
        <v>0</v>
      </c>
      <c r="C463">
        <f>'Raw Data'!C463</f>
        <v>0</v>
      </c>
      <c r="D463">
        <f>'Raw Data'!D463</f>
        <v>0</v>
      </c>
      <c r="E463">
        <f>IFERROR(VLOOKUP(D463,'Lookup Tables'!$A:$B,2,FALSE),"Unknown")</f>
        <v>0</v>
      </c>
      <c r="F463">
        <f>'Raw Data'!E463</f>
        <v>0</v>
      </c>
      <c r="G463">
        <f>IFERROR(VLOOKUP(D463,'Lookup Tables'!$A:$C,3,FALSE),IF(ISNUMBER(SEARCH("STEEL",F463)),"Steel","Others"))</f>
        <v>0</v>
      </c>
      <c r="H463">
        <f>IF(ISNUMBER(SEARCH("scrubber",F463)) , "Scrubber", IF(ISNUMBER(SEARCH("container",F463)),"Container", IF(ISNUMBER(SEARCH("basket",F463)),"Basket", IF(ISNUMBER(SEARCH("lunch",F463)),"Lunch Box", IF(ISNUMBER(SEARCH("cutlery",F463)),"Cutlery","Other")))))</f>
        <v>0</v>
      </c>
      <c r="I463">
        <f>IF('Raw Data'!G463&lt;&gt;'','Raw Data'!G463,IFERROR(MID(F463,SEARCH("MODEL",F463)+6,20),""))</f>
        <v>0</v>
      </c>
      <c r="J463">
        <f>'Raw Data'!H463</f>
        <v>0</v>
      </c>
      <c r="K463">
        <f>'Raw Data'!I463</f>
        <v>0</v>
      </c>
      <c r="L463">
        <f>IF('Raw Data'!N463&lt;&gt;0,'Raw Data'!N463,IFERROR(VALUE(MID(F463,SEARCH("QTY",F463)+4,IFERROR(FIND(" ",F463,SEARCH("QTY",F463)+4)-(SEARCH("QTY",F463)+4),3))),""))</f>
        <v>0</v>
      </c>
      <c r="M463">
        <f>'Raw Data'!O463</f>
        <v>0</v>
      </c>
      <c r="N463">
        <f>'Raw Data'!P463</f>
        <v>0</v>
      </c>
      <c r="O463">
        <f>'Raw Data'!Q463</f>
        <v>0</v>
      </c>
      <c r="P463">
        <f>'Raw Data'!R463</f>
        <v>0</v>
      </c>
      <c r="Q463">
        <f>'Raw Data'!S463</f>
        <v>0</v>
      </c>
      <c r="R463">
        <f>'Raw Data'!T463</f>
        <v>0</v>
      </c>
      <c r="S463">
        <f>IFERROR(O463,0)+IFERROR(R463,0)</f>
        <v>0</v>
      </c>
      <c r="T463">
        <f>IF(A463="","",YEAR(A463))</f>
        <v>0</v>
      </c>
    </row>
    <row r="464" spans="1:20">
      <c r="A464">
        <f>'Raw Data'!B464</f>
        <v>0</v>
      </c>
      <c r="B464">
        <f>'Raw Data'!A464</f>
        <v>0</v>
      </c>
      <c r="C464">
        <f>'Raw Data'!C464</f>
        <v>0</v>
      </c>
      <c r="D464">
        <f>'Raw Data'!D464</f>
        <v>0</v>
      </c>
      <c r="E464">
        <f>IFERROR(VLOOKUP(D464,'Lookup Tables'!$A:$B,2,FALSE),"Unknown")</f>
        <v>0</v>
      </c>
      <c r="F464">
        <f>'Raw Data'!E464</f>
        <v>0</v>
      </c>
      <c r="G464">
        <f>IFERROR(VLOOKUP(D464,'Lookup Tables'!$A:$C,3,FALSE),IF(ISNUMBER(SEARCH("STEEL",F464)),"Steel","Others"))</f>
        <v>0</v>
      </c>
      <c r="H464">
        <f>IF(ISNUMBER(SEARCH("scrubber",F464)) , "Scrubber", IF(ISNUMBER(SEARCH("container",F464)),"Container", IF(ISNUMBER(SEARCH("basket",F464)),"Basket", IF(ISNUMBER(SEARCH("lunch",F464)),"Lunch Box", IF(ISNUMBER(SEARCH("cutlery",F464)),"Cutlery","Other")))))</f>
        <v>0</v>
      </c>
      <c r="I464">
        <f>IF('Raw Data'!G464&lt;&gt;'','Raw Data'!G464,IFERROR(MID(F464,SEARCH("MODEL",F464)+6,20),""))</f>
        <v>0</v>
      </c>
      <c r="J464">
        <f>'Raw Data'!H464</f>
        <v>0</v>
      </c>
      <c r="K464">
        <f>'Raw Data'!I464</f>
        <v>0</v>
      </c>
      <c r="L464">
        <f>IF('Raw Data'!N464&lt;&gt;0,'Raw Data'!N464,IFERROR(VALUE(MID(F464,SEARCH("QTY",F464)+4,IFERROR(FIND(" ",F464,SEARCH("QTY",F464)+4)-(SEARCH("QTY",F464)+4),3))),""))</f>
        <v>0</v>
      </c>
      <c r="M464">
        <f>'Raw Data'!O464</f>
        <v>0</v>
      </c>
      <c r="N464">
        <f>'Raw Data'!P464</f>
        <v>0</v>
      </c>
      <c r="O464">
        <f>'Raw Data'!Q464</f>
        <v>0</v>
      </c>
      <c r="P464">
        <f>'Raw Data'!R464</f>
        <v>0</v>
      </c>
      <c r="Q464">
        <f>'Raw Data'!S464</f>
        <v>0</v>
      </c>
      <c r="R464">
        <f>'Raw Data'!T464</f>
        <v>0</v>
      </c>
      <c r="S464">
        <f>IFERROR(O464,0)+IFERROR(R464,0)</f>
        <v>0</v>
      </c>
      <c r="T464">
        <f>IF(A464="","",YEAR(A464))</f>
        <v>0</v>
      </c>
    </row>
    <row r="465" spans="1:20">
      <c r="A465">
        <f>'Raw Data'!B465</f>
        <v>0</v>
      </c>
      <c r="B465">
        <f>'Raw Data'!A465</f>
        <v>0</v>
      </c>
      <c r="C465">
        <f>'Raw Data'!C465</f>
        <v>0</v>
      </c>
      <c r="D465">
        <f>'Raw Data'!D465</f>
        <v>0</v>
      </c>
      <c r="E465">
        <f>IFERROR(VLOOKUP(D465,'Lookup Tables'!$A:$B,2,FALSE),"Unknown")</f>
        <v>0</v>
      </c>
      <c r="F465">
        <f>'Raw Data'!E465</f>
        <v>0</v>
      </c>
      <c r="G465">
        <f>IFERROR(VLOOKUP(D465,'Lookup Tables'!$A:$C,3,FALSE),IF(ISNUMBER(SEARCH("STEEL",F465)),"Steel","Others"))</f>
        <v>0</v>
      </c>
      <c r="H465">
        <f>IF(ISNUMBER(SEARCH("scrubber",F465)) , "Scrubber", IF(ISNUMBER(SEARCH("container",F465)),"Container", IF(ISNUMBER(SEARCH("basket",F465)),"Basket", IF(ISNUMBER(SEARCH("lunch",F465)),"Lunch Box", IF(ISNUMBER(SEARCH("cutlery",F465)),"Cutlery","Other")))))</f>
        <v>0</v>
      </c>
      <c r="I465">
        <f>IF('Raw Data'!G465&lt;&gt;'','Raw Data'!G465,IFERROR(MID(F465,SEARCH("MODEL",F465)+6,20),""))</f>
        <v>0</v>
      </c>
      <c r="J465">
        <f>'Raw Data'!H465</f>
        <v>0</v>
      </c>
      <c r="K465">
        <f>'Raw Data'!I465</f>
        <v>0</v>
      </c>
      <c r="L465">
        <f>IF('Raw Data'!N465&lt;&gt;0,'Raw Data'!N465,IFERROR(VALUE(MID(F465,SEARCH("QTY",F465)+4,IFERROR(FIND(" ",F465,SEARCH("QTY",F465)+4)-(SEARCH("QTY",F465)+4),3))),""))</f>
        <v>0</v>
      </c>
      <c r="M465">
        <f>'Raw Data'!O465</f>
        <v>0</v>
      </c>
      <c r="N465">
        <f>'Raw Data'!P465</f>
        <v>0</v>
      </c>
      <c r="O465">
        <f>'Raw Data'!Q465</f>
        <v>0</v>
      </c>
      <c r="P465">
        <f>'Raw Data'!R465</f>
        <v>0</v>
      </c>
      <c r="Q465">
        <f>'Raw Data'!S465</f>
        <v>0</v>
      </c>
      <c r="R465">
        <f>'Raw Data'!T465</f>
        <v>0</v>
      </c>
      <c r="S465">
        <f>IFERROR(O465,0)+IFERROR(R465,0)</f>
        <v>0</v>
      </c>
      <c r="T465">
        <f>IF(A465="","",YEAR(A465))</f>
        <v>0</v>
      </c>
    </row>
    <row r="466" spans="1:20">
      <c r="A466">
        <f>'Raw Data'!B466</f>
        <v>0</v>
      </c>
      <c r="B466">
        <f>'Raw Data'!A466</f>
        <v>0</v>
      </c>
      <c r="C466">
        <f>'Raw Data'!C466</f>
        <v>0</v>
      </c>
      <c r="D466">
        <f>'Raw Data'!D466</f>
        <v>0</v>
      </c>
      <c r="E466">
        <f>IFERROR(VLOOKUP(D466,'Lookup Tables'!$A:$B,2,FALSE),"Unknown")</f>
        <v>0</v>
      </c>
      <c r="F466">
        <f>'Raw Data'!E466</f>
        <v>0</v>
      </c>
      <c r="G466">
        <f>IFERROR(VLOOKUP(D466,'Lookup Tables'!$A:$C,3,FALSE),IF(ISNUMBER(SEARCH("STEEL",F466)),"Steel","Others"))</f>
        <v>0</v>
      </c>
      <c r="H466">
        <f>IF(ISNUMBER(SEARCH("scrubber",F466)) , "Scrubber", IF(ISNUMBER(SEARCH("container",F466)),"Container", IF(ISNUMBER(SEARCH("basket",F466)),"Basket", IF(ISNUMBER(SEARCH("lunch",F466)),"Lunch Box", IF(ISNUMBER(SEARCH("cutlery",F466)),"Cutlery","Other")))))</f>
        <v>0</v>
      </c>
      <c r="I466">
        <f>IF('Raw Data'!G466&lt;&gt;'','Raw Data'!G466,IFERROR(MID(F466,SEARCH("MODEL",F466)+6,20),""))</f>
        <v>0</v>
      </c>
      <c r="J466">
        <f>'Raw Data'!H466</f>
        <v>0</v>
      </c>
      <c r="K466">
        <f>'Raw Data'!I466</f>
        <v>0</v>
      </c>
      <c r="L466">
        <f>IF('Raw Data'!N466&lt;&gt;0,'Raw Data'!N466,IFERROR(VALUE(MID(F466,SEARCH("QTY",F466)+4,IFERROR(FIND(" ",F466,SEARCH("QTY",F466)+4)-(SEARCH("QTY",F466)+4),3))),""))</f>
        <v>0</v>
      </c>
      <c r="M466">
        <f>'Raw Data'!O466</f>
        <v>0</v>
      </c>
      <c r="N466">
        <f>'Raw Data'!P466</f>
        <v>0</v>
      </c>
      <c r="O466">
        <f>'Raw Data'!Q466</f>
        <v>0</v>
      </c>
      <c r="P466">
        <f>'Raw Data'!R466</f>
        <v>0</v>
      </c>
      <c r="Q466">
        <f>'Raw Data'!S466</f>
        <v>0</v>
      </c>
      <c r="R466">
        <f>'Raw Data'!T466</f>
        <v>0</v>
      </c>
      <c r="S466">
        <f>IFERROR(O466,0)+IFERROR(R466,0)</f>
        <v>0</v>
      </c>
      <c r="T466">
        <f>IF(A466="","",YEAR(A466))</f>
        <v>0</v>
      </c>
    </row>
    <row r="467" spans="1:20">
      <c r="A467">
        <f>'Raw Data'!B467</f>
        <v>0</v>
      </c>
      <c r="B467">
        <f>'Raw Data'!A467</f>
        <v>0</v>
      </c>
      <c r="C467">
        <f>'Raw Data'!C467</f>
        <v>0</v>
      </c>
      <c r="D467">
        <f>'Raw Data'!D467</f>
        <v>0</v>
      </c>
      <c r="E467">
        <f>IFERROR(VLOOKUP(D467,'Lookup Tables'!$A:$B,2,FALSE),"Unknown")</f>
        <v>0</v>
      </c>
      <c r="F467">
        <f>'Raw Data'!E467</f>
        <v>0</v>
      </c>
      <c r="G467">
        <f>IFERROR(VLOOKUP(D467,'Lookup Tables'!$A:$C,3,FALSE),IF(ISNUMBER(SEARCH("STEEL",F467)),"Steel","Others"))</f>
        <v>0</v>
      </c>
      <c r="H467">
        <f>IF(ISNUMBER(SEARCH("scrubber",F467)) , "Scrubber", IF(ISNUMBER(SEARCH("container",F467)),"Container", IF(ISNUMBER(SEARCH("basket",F467)),"Basket", IF(ISNUMBER(SEARCH("lunch",F467)),"Lunch Box", IF(ISNUMBER(SEARCH("cutlery",F467)),"Cutlery","Other")))))</f>
        <v>0</v>
      </c>
      <c r="I467">
        <f>IF('Raw Data'!G467&lt;&gt;'','Raw Data'!G467,IFERROR(MID(F467,SEARCH("MODEL",F467)+6,20),""))</f>
        <v>0</v>
      </c>
      <c r="J467">
        <f>'Raw Data'!H467</f>
        <v>0</v>
      </c>
      <c r="K467">
        <f>'Raw Data'!I467</f>
        <v>0</v>
      </c>
      <c r="L467">
        <f>IF('Raw Data'!N467&lt;&gt;0,'Raw Data'!N467,IFERROR(VALUE(MID(F467,SEARCH("QTY",F467)+4,IFERROR(FIND(" ",F467,SEARCH("QTY",F467)+4)-(SEARCH("QTY",F467)+4),3))),""))</f>
        <v>0</v>
      </c>
      <c r="M467">
        <f>'Raw Data'!O467</f>
        <v>0</v>
      </c>
      <c r="N467">
        <f>'Raw Data'!P467</f>
        <v>0</v>
      </c>
      <c r="O467">
        <f>'Raw Data'!Q467</f>
        <v>0</v>
      </c>
      <c r="P467">
        <f>'Raw Data'!R467</f>
        <v>0</v>
      </c>
      <c r="Q467">
        <f>'Raw Data'!S467</f>
        <v>0</v>
      </c>
      <c r="R467">
        <f>'Raw Data'!T467</f>
        <v>0</v>
      </c>
      <c r="S467">
        <f>IFERROR(O467,0)+IFERROR(R467,0)</f>
        <v>0</v>
      </c>
      <c r="T467">
        <f>IF(A467="","",YEAR(A467))</f>
        <v>0</v>
      </c>
    </row>
    <row r="468" spans="1:20">
      <c r="A468">
        <f>'Raw Data'!B468</f>
        <v>0</v>
      </c>
      <c r="B468">
        <f>'Raw Data'!A468</f>
        <v>0</v>
      </c>
      <c r="C468">
        <f>'Raw Data'!C468</f>
        <v>0</v>
      </c>
      <c r="D468">
        <f>'Raw Data'!D468</f>
        <v>0</v>
      </c>
      <c r="E468">
        <f>IFERROR(VLOOKUP(D468,'Lookup Tables'!$A:$B,2,FALSE),"Unknown")</f>
        <v>0</v>
      </c>
      <c r="F468">
        <f>'Raw Data'!E468</f>
        <v>0</v>
      </c>
      <c r="G468">
        <f>IFERROR(VLOOKUP(D468,'Lookup Tables'!$A:$C,3,FALSE),IF(ISNUMBER(SEARCH("STEEL",F468)),"Steel","Others"))</f>
        <v>0</v>
      </c>
      <c r="H468">
        <f>IF(ISNUMBER(SEARCH("scrubber",F468)) , "Scrubber", IF(ISNUMBER(SEARCH("container",F468)),"Container", IF(ISNUMBER(SEARCH("basket",F468)),"Basket", IF(ISNUMBER(SEARCH("lunch",F468)),"Lunch Box", IF(ISNUMBER(SEARCH("cutlery",F468)),"Cutlery","Other")))))</f>
        <v>0</v>
      </c>
      <c r="I468">
        <f>IF('Raw Data'!G468&lt;&gt;'','Raw Data'!G468,IFERROR(MID(F468,SEARCH("MODEL",F468)+6,20),""))</f>
        <v>0</v>
      </c>
      <c r="J468">
        <f>'Raw Data'!H468</f>
        <v>0</v>
      </c>
      <c r="K468">
        <f>'Raw Data'!I468</f>
        <v>0</v>
      </c>
      <c r="L468">
        <f>IF('Raw Data'!N468&lt;&gt;0,'Raw Data'!N468,IFERROR(VALUE(MID(F468,SEARCH("QTY",F468)+4,IFERROR(FIND(" ",F468,SEARCH("QTY",F468)+4)-(SEARCH("QTY",F468)+4),3))),""))</f>
        <v>0</v>
      </c>
      <c r="M468">
        <f>'Raw Data'!O468</f>
        <v>0</v>
      </c>
      <c r="N468">
        <f>'Raw Data'!P468</f>
        <v>0</v>
      </c>
      <c r="O468">
        <f>'Raw Data'!Q468</f>
        <v>0</v>
      </c>
      <c r="P468">
        <f>'Raw Data'!R468</f>
        <v>0</v>
      </c>
      <c r="Q468">
        <f>'Raw Data'!S468</f>
        <v>0</v>
      </c>
      <c r="R468">
        <f>'Raw Data'!T468</f>
        <v>0</v>
      </c>
      <c r="S468">
        <f>IFERROR(O468,0)+IFERROR(R468,0)</f>
        <v>0</v>
      </c>
      <c r="T468">
        <f>IF(A468="","",YEAR(A468))</f>
        <v>0</v>
      </c>
    </row>
    <row r="469" spans="1:20">
      <c r="A469">
        <f>'Raw Data'!B469</f>
        <v>0</v>
      </c>
      <c r="B469">
        <f>'Raw Data'!A469</f>
        <v>0</v>
      </c>
      <c r="C469">
        <f>'Raw Data'!C469</f>
        <v>0</v>
      </c>
      <c r="D469">
        <f>'Raw Data'!D469</f>
        <v>0</v>
      </c>
      <c r="E469">
        <f>IFERROR(VLOOKUP(D469,'Lookup Tables'!$A:$B,2,FALSE),"Unknown")</f>
        <v>0</v>
      </c>
      <c r="F469">
        <f>'Raw Data'!E469</f>
        <v>0</v>
      </c>
      <c r="G469">
        <f>IFERROR(VLOOKUP(D469,'Lookup Tables'!$A:$C,3,FALSE),IF(ISNUMBER(SEARCH("STEEL",F469)),"Steel","Others"))</f>
        <v>0</v>
      </c>
      <c r="H469">
        <f>IF(ISNUMBER(SEARCH("scrubber",F469)) , "Scrubber", IF(ISNUMBER(SEARCH("container",F469)),"Container", IF(ISNUMBER(SEARCH("basket",F469)),"Basket", IF(ISNUMBER(SEARCH("lunch",F469)),"Lunch Box", IF(ISNUMBER(SEARCH("cutlery",F469)),"Cutlery","Other")))))</f>
        <v>0</v>
      </c>
      <c r="I469">
        <f>IF('Raw Data'!G469&lt;&gt;'','Raw Data'!G469,IFERROR(MID(F469,SEARCH("MODEL",F469)+6,20),""))</f>
        <v>0</v>
      </c>
      <c r="J469">
        <f>'Raw Data'!H469</f>
        <v>0</v>
      </c>
      <c r="K469">
        <f>'Raw Data'!I469</f>
        <v>0</v>
      </c>
      <c r="L469">
        <f>IF('Raw Data'!N469&lt;&gt;0,'Raw Data'!N469,IFERROR(VALUE(MID(F469,SEARCH("QTY",F469)+4,IFERROR(FIND(" ",F469,SEARCH("QTY",F469)+4)-(SEARCH("QTY",F469)+4),3))),""))</f>
        <v>0</v>
      </c>
      <c r="M469">
        <f>'Raw Data'!O469</f>
        <v>0</v>
      </c>
      <c r="N469">
        <f>'Raw Data'!P469</f>
        <v>0</v>
      </c>
      <c r="O469">
        <f>'Raw Data'!Q469</f>
        <v>0</v>
      </c>
      <c r="P469">
        <f>'Raw Data'!R469</f>
        <v>0</v>
      </c>
      <c r="Q469">
        <f>'Raw Data'!S469</f>
        <v>0</v>
      </c>
      <c r="R469">
        <f>'Raw Data'!T469</f>
        <v>0</v>
      </c>
      <c r="S469">
        <f>IFERROR(O469,0)+IFERROR(R469,0)</f>
        <v>0</v>
      </c>
      <c r="T469">
        <f>IF(A469="","",YEAR(A469))</f>
        <v>0</v>
      </c>
    </row>
    <row r="470" spans="1:20">
      <c r="A470">
        <f>'Raw Data'!B470</f>
        <v>0</v>
      </c>
      <c r="B470">
        <f>'Raw Data'!A470</f>
        <v>0</v>
      </c>
      <c r="C470">
        <f>'Raw Data'!C470</f>
        <v>0</v>
      </c>
      <c r="D470">
        <f>'Raw Data'!D470</f>
        <v>0</v>
      </c>
      <c r="E470">
        <f>IFERROR(VLOOKUP(D470,'Lookup Tables'!$A:$B,2,FALSE),"Unknown")</f>
        <v>0</v>
      </c>
      <c r="F470">
        <f>'Raw Data'!E470</f>
        <v>0</v>
      </c>
      <c r="G470">
        <f>IFERROR(VLOOKUP(D470,'Lookup Tables'!$A:$C,3,FALSE),IF(ISNUMBER(SEARCH("STEEL",F470)),"Steel","Others"))</f>
        <v>0</v>
      </c>
      <c r="H470">
        <f>IF(ISNUMBER(SEARCH("scrubber",F470)) , "Scrubber", IF(ISNUMBER(SEARCH("container",F470)),"Container", IF(ISNUMBER(SEARCH("basket",F470)),"Basket", IF(ISNUMBER(SEARCH("lunch",F470)),"Lunch Box", IF(ISNUMBER(SEARCH("cutlery",F470)),"Cutlery","Other")))))</f>
        <v>0</v>
      </c>
      <c r="I470">
        <f>IF('Raw Data'!G470&lt;&gt;'','Raw Data'!G470,IFERROR(MID(F470,SEARCH("MODEL",F470)+6,20),""))</f>
        <v>0</v>
      </c>
      <c r="J470">
        <f>'Raw Data'!H470</f>
        <v>0</v>
      </c>
      <c r="K470">
        <f>'Raw Data'!I470</f>
        <v>0</v>
      </c>
      <c r="L470">
        <f>IF('Raw Data'!N470&lt;&gt;0,'Raw Data'!N470,IFERROR(VALUE(MID(F470,SEARCH("QTY",F470)+4,IFERROR(FIND(" ",F470,SEARCH("QTY",F470)+4)-(SEARCH("QTY",F470)+4),3))),""))</f>
        <v>0</v>
      </c>
      <c r="M470">
        <f>'Raw Data'!O470</f>
        <v>0</v>
      </c>
      <c r="N470">
        <f>'Raw Data'!P470</f>
        <v>0</v>
      </c>
      <c r="O470">
        <f>'Raw Data'!Q470</f>
        <v>0</v>
      </c>
      <c r="P470">
        <f>'Raw Data'!R470</f>
        <v>0</v>
      </c>
      <c r="Q470">
        <f>'Raw Data'!S470</f>
        <v>0</v>
      </c>
      <c r="R470">
        <f>'Raw Data'!T470</f>
        <v>0</v>
      </c>
      <c r="S470">
        <f>IFERROR(O470,0)+IFERROR(R470,0)</f>
        <v>0</v>
      </c>
      <c r="T470">
        <f>IF(A470="","",YEAR(A470))</f>
        <v>0</v>
      </c>
    </row>
    <row r="471" spans="1:20">
      <c r="A471">
        <f>'Raw Data'!B471</f>
        <v>0</v>
      </c>
      <c r="B471">
        <f>'Raw Data'!A471</f>
        <v>0</v>
      </c>
      <c r="C471">
        <f>'Raw Data'!C471</f>
        <v>0</v>
      </c>
      <c r="D471">
        <f>'Raw Data'!D471</f>
        <v>0</v>
      </c>
      <c r="E471">
        <f>IFERROR(VLOOKUP(D471,'Lookup Tables'!$A:$B,2,FALSE),"Unknown")</f>
        <v>0</v>
      </c>
      <c r="F471">
        <f>'Raw Data'!E471</f>
        <v>0</v>
      </c>
      <c r="G471">
        <f>IFERROR(VLOOKUP(D471,'Lookup Tables'!$A:$C,3,FALSE),IF(ISNUMBER(SEARCH("STEEL",F471)),"Steel","Others"))</f>
        <v>0</v>
      </c>
      <c r="H471">
        <f>IF(ISNUMBER(SEARCH("scrubber",F471)) , "Scrubber", IF(ISNUMBER(SEARCH("container",F471)),"Container", IF(ISNUMBER(SEARCH("basket",F471)),"Basket", IF(ISNUMBER(SEARCH("lunch",F471)),"Lunch Box", IF(ISNUMBER(SEARCH("cutlery",F471)),"Cutlery","Other")))))</f>
        <v>0</v>
      </c>
      <c r="I471">
        <f>IF('Raw Data'!G471&lt;&gt;'','Raw Data'!G471,IFERROR(MID(F471,SEARCH("MODEL",F471)+6,20),""))</f>
        <v>0</v>
      </c>
      <c r="J471">
        <f>'Raw Data'!H471</f>
        <v>0</v>
      </c>
      <c r="K471">
        <f>'Raw Data'!I471</f>
        <v>0</v>
      </c>
      <c r="L471">
        <f>IF('Raw Data'!N471&lt;&gt;0,'Raw Data'!N471,IFERROR(VALUE(MID(F471,SEARCH("QTY",F471)+4,IFERROR(FIND(" ",F471,SEARCH("QTY",F471)+4)-(SEARCH("QTY",F471)+4),3))),""))</f>
        <v>0</v>
      </c>
      <c r="M471">
        <f>'Raw Data'!O471</f>
        <v>0</v>
      </c>
      <c r="N471">
        <f>'Raw Data'!P471</f>
        <v>0</v>
      </c>
      <c r="O471">
        <f>'Raw Data'!Q471</f>
        <v>0</v>
      </c>
      <c r="P471">
        <f>'Raw Data'!R471</f>
        <v>0</v>
      </c>
      <c r="Q471">
        <f>'Raw Data'!S471</f>
        <v>0</v>
      </c>
      <c r="R471">
        <f>'Raw Data'!T471</f>
        <v>0</v>
      </c>
      <c r="S471">
        <f>IFERROR(O471,0)+IFERROR(R471,0)</f>
        <v>0</v>
      </c>
      <c r="T471">
        <f>IF(A471="","",YEAR(A471))</f>
        <v>0</v>
      </c>
    </row>
    <row r="472" spans="1:20">
      <c r="A472">
        <f>'Raw Data'!B472</f>
        <v>0</v>
      </c>
      <c r="B472">
        <f>'Raw Data'!A472</f>
        <v>0</v>
      </c>
      <c r="C472">
        <f>'Raw Data'!C472</f>
        <v>0</v>
      </c>
      <c r="D472">
        <f>'Raw Data'!D472</f>
        <v>0</v>
      </c>
      <c r="E472">
        <f>IFERROR(VLOOKUP(D472,'Lookup Tables'!$A:$B,2,FALSE),"Unknown")</f>
        <v>0</v>
      </c>
      <c r="F472">
        <f>'Raw Data'!E472</f>
        <v>0</v>
      </c>
      <c r="G472">
        <f>IFERROR(VLOOKUP(D472,'Lookup Tables'!$A:$C,3,FALSE),IF(ISNUMBER(SEARCH("STEEL",F472)),"Steel","Others"))</f>
        <v>0</v>
      </c>
      <c r="H472">
        <f>IF(ISNUMBER(SEARCH("scrubber",F472)) , "Scrubber", IF(ISNUMBER(SEARCH("container",F472)),"Container", IF(ISNUMBER(SEARCH("basket",F472)),"Basket", IF(ISNUMBER(SEARCH("lunch",F472)),"Lunch Box", IF(ISNUMBER(SEARCH("cutlery",F472)),"Cutlery","Other")))))</f>
        <v>0</v>
      </c>
      <c r="I472">
        <f>IF('Raw Data'!G472&lt;&gt;'','Raw Data'!G472,IFERROR(MID(F472,SEARCH("MODEL",F472)+6,20),""))</f>
        <v>0</v>
      </c>
      <c r="J472">
        <f>'Raw Data'!H472</f>
        <v>0</v>
      </c>
      <c r="K472">
        <f>'Raw Data'!I472</f>
        <v>0</v>
      </c>
      <c r="L472">
        <f>IF('Raw Data'!N472&lt;&gt;0,'Raw Data'!N472,IFERROR(VALUE(MID(F472,SEARCH("QTY",F472)+4,IFERROR(FIND(" ",F472,SEARCH("QTY",F472)+4)-(SEARCH("QTY",F472)+4),3))),""))</f>
        <v>0</v>
      </c>
      <c r="M472">
        <f>'Raw Data'!O472</f>
        <v>0</v>
      </c>
      <c r="N472">
        <f>'Raw Data'!P472</f>
        <v>0</v>
      </c>
      <c r="O472">
        <f>'Raw Data'!Q472</f>
        <v>0</v>
      </c>
      <c r="P472">
        <f>'Raw Data'!R472</f>
        <v>0</v>
      </c>
      <c r="Q472">
        <f>'Raw Data'!S472</f>
        <v>0</v>
      </c>
      <c r="R472">
        <f>'Raw Data'!T472</f>
        <v>0</v>
      </c>
      <c r="S472">
        <f>IFERROR(O472,0)+IFERROR(R472,0)</f>
        <v>0</v>
      </c>
      <c r="T472">
        <f>IF(A472="","",YEAR(A472))</f>
        <v>0</v>
      </c>
    </row>
    <row r="473" spans="1:20">
      <c r="A473">
        <f>'Raw Data'!B473</f>
        <v>0</v>
      </c>
      <c r="B473">
        <f>'Raw Data'!A473</f>
        <v>0</v>
      </c>
      <c r="C473">
        <f>'Raw Data'!C473</f>
        <v>0</v>
      </c>
      <c r="D473">
        <f>'Raw Data'!D473</f>
        <v>0</v>
      </c>
      <c r="E473">
        <f>IFERROR(VLOOKUP(D473,'Lookup Tables'!$A:$B,2,FALSE),"Unknown")</f>
        <v>0</v>
      </c>
      <c r="F473">
        <f>'Raw Data'!E473</f>
        <v>0</v>
      </c>
      <c r="G473">
        <f>IFERROR(VLOOKUP(D473,'Lookup Tables'!$A:$C,3,FALSE),IF(ISNUMBER(SEARCH("STEEL",F473)),"Steel","Others"))</f>
        <v>0</v>
      </c>
      <c r="H473">
        <f>IF(ISNUMBER(SEARCH("scrubber",F473)) , "Scrubber", IF(ISNUMBER(SEARCH("container",F473)),"Container", IF(ISNUMBER(SEARCH("basket",F473)),"Basket", IF(ISNUMBER(SEARCH("lunch",F473)),"Lunch Box", IF(ISNUMBER(SEARCH("cutlery",F473)),"Cutlery","Other")))))</f>
        <v>0</v>
      </c>
      <c r="I473">
        <f>IF('Raw Data'!G473&lt;&gt;'','Raw Data'!G473,IFERROR(MID(F473,SEARCH("MODEL",F473)+6,20),""))</f>
        <v>0</v>
      </c>
      <c r="J473">
        <f>'Raw Data'!H473</f>
        <v>0</v>
      </c>
      <c r="K473">
        <f>'Raw Data'!I473</f>
        <v>0</v>
      </c>
      <c r="L473">
        <f>IF('Raw Data'!N473&lt;&gt;0,'Raw Data'!N473,IFERROR(VALUE(MID(F473,SEARCH("QTY",F473)+4,IFERROR(FIND(" ",F473,SEARCH("QTY",F473)+4)-(SEARCH("QTY",F473)+4),3))),""))</f>
        <v>0</v>
      </c>
      <c r="M473">
        <f>'Raw Data'!O473</f>
        <v>0</v>
      </c>
      <c r="N473">
        <f>'Raw Data'!P473</f>
        <v>0</v>
      </c>
      <c r="O473">
        <f>'Raw Data'!Q473</f>
        <v>0</v>
      </c>
      <c r="P473">
        <f>'Raw Data'!R473</f>
        <v>0</v>
      </c>
      <c r="Q473">
        <f>'Raw Data'!S473</f>
        <v>0</v>
      </c>
      <c r="R473">
        <f>'Raw Data'!T473</f>
        <v>0</v>
      </c>
      <c r="S473">
        <f>IFERROR(O473,0)+IFERROR(R473,0)</f>
        <v>0</v>
      </c>
      <c r="T473">
        <f>IF(A473="","",YEAR(A473))</f>
        <v>0</v>
      </c>
    </row>
    <row r="474" spans="1:20">
      <c r="A474">
        <f>'Raw Data'!B474</f>
        <v>0</v>
      </c>
      <c r="B474">
        <f>'Raw Data'!A474</f>
        <v>0</v>
      </c>
      <c r="C474">
        <f>'Raw Data'!C474</f>
        <v>0</v>
      </c>
      <c r="D474">
        <f>'Raw Data'!D474</f>
        <v>0</v>
      </c>
      <c r="E474">
        <f>IFERROR(VLOOKUP(D474,'Lookup Tables'!$A:$B,2,FALSE),"Unknown")</f>
        <v>0</v>
      </c>
      <c r="F474">
        <f>'Raw Data'!E474</f>
        <v>0</v>
      </c>
      <c r="G474">
        <f>IFERROR(VLOOKUP(D474,'Lookup Tables'!$A:$C,3,FALSE),IF(ISNUMBER(SEARCH("STEEL",F474)),"Steel","Others"))</f>
        <v>0</v>
      </c>
      <c r="H474">
        <f>IF(ISNUMBER(SEARCH("scrubber",F474)) , "Scrubber", IF(ISNUMBER(SEARCH("container",F474)),"Container", IF(ISNUMBER(SEARCH("basket",F474)),"Basket", IF(ISNUMBER(SEARCH("lunch",F474)),"Lunch Box", IF(ISNUMBER(SEARCH("cutlery",F474)),"Cutlery","Other")))))</f>
        <v>0</v>
      </c>
      <c r="I474">
        <f>IF('Raw Data'!G474&lt;&gt;'','Raw Data'!G474,IFERROR(MID(F474,SEARCH("MODEL",F474)+6,20),""))</f>
        <v>0</v>
      </c>
      <c r="J474">
        <f>'Raw Data'!H474</f>
        <v>0</v>
      </c>
      <c r="K474">
        <f>'Raw Data'!I474</f>
        <v>0</v>
      </c>
      <c r="L474">
        <f>IF('Raw Data'!N474&lt;&gt;0,'Raw Data'!N474,IFERROR(VALUE(MID(F474,SEARCH("QTY",F474)+4,IFERROR(FIND(" ",F474,SEARCH("QTY",F474)+4)-(SEARCH("QTY",F474)+4),3))),""))</f>
        <v>0</v>
      </c>
      <c r="M474">
        <f>'Raw Data'!O474</f>
        <v>0</v>
      </c>
      <c r="N474">
        <f>'Raw Data'!P474</f>
        <v>0</v>
      </c>
      <c r="O474">
        <f>'Raw Data'!Q474</f>
        <v>0</v>
      </c>
      <c r="P474">
        <f>'Raw Data'!R474</f>
        <v>0</v>
      </c>
      <c r="Q474">
        <f>'Raw Data'!S474</f>
        <v>0</v>
      </c>
      <c r="R474">
        <f>'Raw Data'!T474</f>
        <v>0</v>
      </c>
      <c r="S474">
        <f>IFERROR(O474,0)+IFERROR(R474,0)</f>
        <v>0</v>
      </c>
      <c r="T474">
        <f>IF(A474="","",YEAR(A474))</f>
        <v>0</v>
      </c>
    </row>
    <row r="475" spans="1:20">
      <c r="A475">
        <f>'Raw Data'!B475</f>
        <v>0</v>
      </c>
      <c r="B475">
        <f>'Raw Data'!A475</f>
        <v>0</v>
      </c>
      <c r="C475">
        <f>'Raw Data'!C475</f>
        <v>0</v>
      </c>
      <c r="D475">
        <f>'Raw Data'!D475</f>
        <v>0</v>
      </c>
      <c r="E475">
        <f>IFERROR(VLOOKUP(D475,'Lookup Tables'!$A:$B,2,FALSE),"Unknown")</f>
        <v>0</v>
      </c>
      <c r="F475">
        <f>'Raw Data'!E475</f>
        <v>0</v>
      </c>
      <c r="G475">
        <f>IFERROR(VLOOKUP(D475,'Lookup Tables'!$A:$C,3,FALSE),IF(ISNUMBER(SEARCH("STEEL",F475)),"Steel","Others"))</f>
        <v>0</v>
      </c>
      <c r="H475">
        <f>IF(ISNUMBER(SEARCH("scrubber",F475)) , "Scrubber", IF(ISNUMBER(SEARCH("container",F475)),"Container", IF(ISNUMBER(SEARCH("basket",F475)),"Basket", IF(ISNUMBER(SEARCH("lunch",F475)),"Lunch Box", IF(ISNUMBER(SEARCH("cutlery",F475)),"Cutlery","Other")))))</f>
        <v>0</v>
      </c>
      <c r="I475">
        <f>IF('Raw Data'!G475&lt;&gt;'','Raw Data'!G475,IFERROR(MID(F475,SEARCH("MODEL",F475)+6,20),""))</f>
        <v>0</v>
      </c>
      <c r="J475">
        <f>'Raw Data'!H475</f>
        <v>0</v>
      </c>
      <c r="K475">
        <f>'Raw Data'!I475</f>
        <v>0</v>
      </c>
      <c r="L475">
        <f>IF('Raw Data'!N475&lt;&gt;0,'Raw Data'!N475,IFERROR(VALUE(MID(F475,SEARCH("QTY",F475)+4,IFERROR(FIND(" ",F475,SEARCH("QTY",F475)+4)-(SEARCH("QTY",F475)+4),3))),""))</f>
        <v>0</v>
      </c>
      <c r="M475">
        <f>'Raw Data'!O475</f>
        <v>0</v>
      </c>
      <c r="N475">
        <f>'Raw Data'!P475</f>
        <v>0</v>
      </c>
      <c r="O475">
        <f>'Raw Data'!Q475</f>
        <v>0</v>
      </c>
      <c r="P475">
        <f>'Raw Data'!R475</f>
        <v>0</v>
      </c>
      <c r="Q475">
        <f>'Raw Data'!S475</f>
        <v>0</v>
      </c>
      <c r="R475">
        <f>'Raw Data'!T475</f>
        <v>0</v>
      </c>
      <c r="S475">
        <f>IFERROR(O475,0)+IFERROR(R475,0)</f>
        <v>0</v>
      </c>
      <c r="T475">
        <f>IF(A475="","",YEAR(A475))</f>
        <v>0</v>
      </c>
    </row>
    <row r="476" spans="1:20">
      <c r="A476">
        <f>'Raw Data'!B476</f>
        <v>0</v>
      </c>
      <c r="B476">
        <f>'Raw Data'!A476</f>
        <v>0</v>
      </c>
      <c r="C476">
        <f>'Raw Data'!C476</f>
        <v>0</v>
      </c>
      <c r="D476">
        <f>'Raw Data'!D476</f>
        <v>0</v>
      </c>
      <c r="E476">
        <f>IFERROR(VLOOKUP(D476,'Lookup Tables'!$A:$B,2,FALSE),"Unknown")</f>
        <v>0</v>
      </c>
      <c r="F476">
        <f>'Raw Data'!E476</f>
        <v>0</v>
      </c>
      <c r="G476">
        <f>IFERROR(VLOOKUP(D476,'Lookup Tables'!$A:$C,3,FALSE),IF(ISNUMBER(SEARCH("STEEL",F476)),"Steel","Others"))</f>
        <v>0</v>
      </c>
      <c r="H476">
        <f>IF(ISNUMBER(SEARCH("scrubber",F476)) , "Scrubber", IF(ISNUMBER(SEARCH("container",F476)),"Container", IF(ISNUMBER(SEARCH("basket",F476)),"Basket", IF(ISNUMBER(SEARCH("lunch",F476)),"Lunch Box", IF(ISNUMBER(SEARCH("cutlery",F476)),"Cutlery","Other")))))</f>
        <v>0</v>
      </c>
      <c r="I476">
        <f>IF('Raw Data'!G476&lt;&gt;'','Raw Data'!G476,IFERROR(MID(F476,SEARCH("MODEL",F476)+6,20),""))</f>
        <v>0</v>
      </c>
      <c r="J476">
        <f>'Raw Data'!H476</f>
        <v>0</v>
      </c>
      <c r="K476">
        <f>'Raw Data'!I476</f>
        <v>0</v>
      </c>
      <c r="L476">
        <f>IF('Raw Data'!N476&lt;&gt;0,'Raw Data'!N476,IFERROR(VALUE(MID(F476,SEARCH("QTY",F476)+4,IFERROR(FIND(" ",F476,SEARCH("QTY",F476)+4)-(SEARCH("QTY",F476)+4),3))),""))</f>
        <v>0</v>
      </c>
      <c r="M476">
        <f>'Raw Data'!O476</f>
        <v>0</v>
      </c>
      <c r="N476">
        <f>'Raw Data'!P476</f>
        <v>0</v>
      </c>
      <c r="O476">
        <f>'Raw Data'!Q476</f>
        <v>0</v>
      </c>
      <c r="P476">
        <f>'Raw Data'!R476</f>
        <v>0</v>
      </c>
      <c r="Q476">
        <f>'Raw Data'!S476</f>
        <v>0</v>
      </c>
      <c r="R476">
        <f>'Raw Data'!T476</f>
        <v>0</v>
      </c>
      <c r="S476">
        <f>IFERROR(O476,0)+IFERROR(R476,0)</f>
        <v>0</v>
      </c>
      <c r="T476">
        <f>IF(A476="","",YEAR(A476))</f>
        <v>0</v>
      </c>
    </row>
    <row r="477" spans="1:20">
      <c r="A477">
        <f>'Raw Data'!B477</f>
        <v>0</v>
      </c>
      <c r="B477">
        <f>'Raw Data'!A477</f>
        <v>0</v>
      </c>
      <c r="C477">
        <f>'Raw Data'!C477</f>
        <v>0</v>
      </c>
      <c r="D477">
        <f>'Raw Data'!D477</f>
        <v>0</v>
      </c>
      <c r="E477">
        <f>IFERROR(VLOOKUP(D477,'Lookup Tables'!$A:$B,2,FALSE),"Unknown")</f>
        <v>0</v>
      </c>
      <c r="F477">
        <f>'Raw Data'!E477</f>
        <v>0</v>
      </c>
      <c r="G477">
        <f>IFERROR(VLOOKUP(D477,'Lookup Tables'!$A:$C,3,FALSE),IF(ISNUMBER(SEARCH("STEEL",F477)),"Steel","Others"))</f>
        <v>0</v>
      </c>
      <c r="H477">
        <f>IF(ISNUMBER(SEARCH("scrubber",F477)) , "Scrubber", IF(ISNUMBER(SEARCH("container",F477)),"Container", IF(ISNUMBER(SEARCH("basket",F477)),"Basket", IF(ISNUMBER(SEARCH("lunch",F477)),"Lunch Box", IF(ISNUMBER(SEARCH("cutlery",F477)),"Cutlery","Other")))))</f>
        <v>0</v>
      </c>
      <c r="I477">
        <f>IF('Raw Data'!G477&lt;&gt;'','Raw Data'!G477,IFERROR(MID(F477,SEARCH("MODEL",F477)+6,20),""))</f>
        <v>0</v>
      </c>
      <c r="J477">
        <f>'Raw Data'!H477</f>
        <v>0</v>
      </c>
      <c r="K477">
        <f>'Raw Data'!I477</f>
        <v>0</v>
      </c>
      <c r="L477">
        <f>IF('Raw Data'!N477&lt;&gt;0,'Raw Data'!N477,IFERROR(VALUE(MID(F477,SEARCH("QTY",F477)+4,IFERROR(FIND(" ",F477,SEARCH("QTY",F477)+4)-(SEARCH("QTY",F477)+4),3))),""))</f>
        <v>0</v>
      </c>
      <c r="M477">
        <f>'Raw Data'!O477</f>
        <v>0</v>
      </c>
      <c r="N477">
        <f>'Raw Data'!P477</f>
        <v>0</v>
      </c>
      <c r="O477">
        <f>'Raw Data'!Q477</f>
        <v>0</v>
      </c>
      <c r="P477">
        <f>'Raw Data'!R477</f>
        <v>0</v>
      </c>
      <c r="Q477">
        <f>'Raw Data'!S477</f>
        <v>0</v>
      </c>
      <c r="R477">
        <f>'Raw Data'!T477</f>
        <v>0</v>
      </c>
      <c r="S477">
        <f>IFERROR(O477,0)+IFERROR(R477,0)</f>
        <v>0</v>
      </c>
      <c r="T477">
        <f>IF(A477="","",YEAR(A477))</f>
        <v>0</v>
      </c>
    </row>
    <row r="478" spans="1:20">
      <c r="A478">
        <f>'Raw Data'!B478</f>
        <v>0</v>
      </c>
      <c r="B478">
        <f>'Raw Data'!A478</f>
        <v>0</v>
      </c>
      <c r="C478">
        <f>'Raw Data'!C478</f>
        <v>0</v>
      </c>
      <c r="D478">
        <f>'Raw Data'!D478</f>
        <v>0</v>
      </c>
      <c r="E478">
        <f>IFERROR(VLOOKUP(D478,'Lookup Tables'!$A:$B,2,FALSE),"Unknown")</f>
        <v>0</v>
      </c>
      <c r="F478">
        <f>'Raw Data'!E478</f>
        <v>0</v>
      </c>
      <c r="G478">
        <f>IFERROR(VLOOKUP(D478,'Lookup Tables'!$A:$C,3,FALSE),IF(ISNUMBER(SEARCH("STEEL",F478)),"Steel","Others"))</f>
        <v>0</v>
      </c>
      <c r="H478">
        <f>IF(ISNUMBER(SEARCH("scrubber",F478)) , "Scrubber", IF(ISNUMBER(SEARCH("container",F478)),"Container", IF(ISNUMBER(SEARCH("basket",F478)),"Basket", IF(ISNUMBER(SEARCH("lunch",F478)),"Lunch Box", IF(ISNUMBER(SEARCH("cutlery",F478)),"Cutlery","Other")))))</f>
        <v>0</v>
      </c>
      <c r="I478">
        <f>IF('Raw Data'!G478&lt;&gt;'','Raw Data'!G478,IFERROR(MID(F478,SEARCH("MODEL",F478)+6,20),""))</f>
        <v>0</v>
      </c>
      <c r="J478">
        <f>'Raw Data'!H478</f>
        <v>0</v>
      </c>
      <c r="K478">
        <f>'Raw Data'!I478</f>
        <v>0</v>
      </c>
      <c r="L478">
        <f>IF('Raw Data'!N478&lt;&gt;0,'Raw Data'!N478,IFERROR(VALUE(MID(F478,SEARCH("QTY",F478)+4,IFERROR(FIND(" ",F478,SEARCH("QTY",F478)+4)-(SEARCH("QTY",F478)+4),3))),""))</f>
        <v>0</v>
      </c>
      <c r="M478">
        <f>'Raw Data'!O478</f>
        <v>0</v>
      </c>
      <c r="N478">
        <f>'Raw Data'!P478</f>
        <v>0</v>
      </c>
      <c r="O478">
        <f>'Raw Data'!Q478</f>
        <v>0</v>
      </c>
      <c r="P478">
        <f>'Raw Data'!R478</f>
        <v>0</v>
      </c>
      <c r="Q478">
        <f>'Raw Data'!S478</f>
        <v>0</v>
      </c>
      <c r="R478">
        <f>'Raw Data'!T478</f>
        <v>0</v>
      </c>
      <c r="S478">
        <f>IFERROR(O478,0)+IFERROR(R478,0)</f>
        <v>0</v>
      </c>
      <c r="T478">
        <f>IF(A478="","",YEAR(A478))</f>
        <v>0</v>
      </c>
    </row>
    <row r="479" spans="1:20">
      <c r="A479">
        <f>'Raw Data'!B479</f>
        <v>0</v>
      </c>
      <c r="B479">
        <f>'Raw Data'!A479</f>
        <v>0</v>
      </c>
      <c r="C479">
        <f>'Raw Data'!C479</f>
        <v>0</v>
      </c>
      <c r="D479">
        <f>'Raw Data'!D479</f>
        <v>0</v>
      </c>
      <c r="E479">
        <f>IFERROR(VLOOKUP(D479,'Lookup Tables'!$A:$B,2,FALSE),"Unknown")</f>
        <v>0</v>
      </c>
      <c r="F479">
        <f>'Raw Data'!E479</f>
        <v>0</v>
      </c>
      <c r="G479">
        <f>IFERROR(VLOOKUP(D479,'Lookup Tables'!$A:$C,3,FALSE),IF(ISNUMBER(SEARCH("STEEL",F479)),"Steel","Others"))</f>
        <v>0</v>
      </c>
      <c r="H479">
        <f>IF(ISNUMBER(SEARCH("scrubber",F479)) , "Scrubber", IF(ISNUMBER(SEARCH("container",F479)),"Container", IF(ISNUMBER(SEARCH("basket",F479)),"Basket", IF(ISNUMBER(SEARCH("lunch",F479)),"Lunch Box", IF(ISNUMBER(SEARCH("cutlery",F479)),"Cutlery","Other")))))</f>
        <v>0</v>
      </c>
      <c r="I479">
        <f>IF('Raw Data'!G479&lt;&gt;'','Raw Data'!G479,IFERROR(MID(F479,SEARCH("MODEL",F479)+6,20),""))</f>
        <v>0</v>
      </c>
      <c r="J479">
        <f>'Raw Data'!H479</f>
        <v>0</v>
      </c>
      <c r="K479">
        <f>'Raw Data'!I479</f>
        <v>0</v>
      </c>
      <c r="L479">
        <f>IF('Raw Data'!N479&lt;&gt;0,'Raw Data'!N479,IFERROR(VALUE(MID(F479,SEARCH("QTY",F479)+4,IFERROR(FIND(" ",F479,SEARCH("QTY",F479)+4)-(SEARCH("QTY",F479)+4),3))),""))</f>
        <v>0</v>
      </c>
      <c r="M479">
        <f>'Raw Data'!O479</f>
        <v>0</v>
      </c>
      <c r="N479">
        <f>'Raw Data'!P479</f>
        <v>0</v>
      </c>
      <c r="O479">
        <f>'Raw Data'!Q479</f>
        <v>0</v>
      </c>
      <c r="P479">
        <f>'Raw Data'!R479</f>
        <v>0</v>
      </c>
      <c r="Q479">
        <f>'Raw Data'!S479</f>
        <v>0</v>
      </c>
      <c r="R479">
        <f>'Raw Data'!T479</f>
        <v>0</v>
      </c>
      <c r="S479">
        <f>IFERROR(O479,0)+IFERROR(R479,0)</f>
        <v>0</v>
      </c>
      <c r="T479">
        <f>IF(A479="","",YEAR(A479))</f>
        <v>0</v>
      </c>
    </row>
    <row r="480" spans="1:20">
      <c r="A480">
        <f>'Raw Data'!B480</f>
        <v>0</v>
      </c>
      <c r="B480">
        <f>'Raw Data'!A480</f>
        <v>0</v>
      </c>
      <c r="C480">
        <f>'Raw Data'!C480</f>
        <v>0</v>
      </c>
      <c r="D480">
        <f>'Raw Data'!D480</f>
        <v>0</v>
      </c>
      <c r="E480">
        <f>IFERROR(VLOOKUP(D480,'Lookup Tables'!$A:$B,2,FALSE),"Unknown")</f>
        <v>0</v>
      </c>
      <c r="F480">
        <f>'Raw Data'!E480</f>
        <v>0</v>
      </c>
      <c r="G480">
        <f>IFERROR(VLOOKUP(D480,'Lookup Tables'!$A:$C,3,FALSE),IF(ISNUMBER(SEARCH("STEEL",F480)),"Steel","Others"))</f>
        <v>0</v>
      </c>
      <c r="H480">
        <f>IF(ISNUMBER(SEARCH("scrubber",F480)) , "Scrubber", IF(ISNUMBER(SEARCH("container",F480)),"Container", IF(ISNUMBER(SEARCH("basket",F480)),"Basket", IF(ISNUMBER(SEARCH("lunch",F480)),"Lunch Box", IF(ISNUMBER(SEARCH("cutlery",F480)),"Cutlery","Other")))))</f>
        <v>0</v>
      </c>
      <c r="I480">
        <f>IF('Raw Data'!G480&lt;&gt;'','Raw Data'!G480,IFERROR(MID(F480,SEARCH("MODEL",F480)+6,20),""))</f>
        <v>0</v>
      </c>
      <c r="J480">
        <f>'Raw Data'!H480</f>
        <v>0</v>
      </c>
      <c r="K480">
        <f>'Raw Data'!I480</f>
        <v>0</v>
      </c>
      <c r="L480">
        <f>IF('Raw Data'!N480&lt;&gt;0,'Raw Data'!N480,IFERROR(VALUE(MID(F480,SEARCH("QTY",F480)+4,IFERROR(FIND(" ",F480,SEARCH("QTY",F480)+4)-(SEARCH("QTY",F480)+4),3))),""))</f>
        <v>0</v>
      </c>
      <c r="M480">
        <f>'Raw Data'!O480</f>
        <v>0</v>
      </c>
      <c r="N480">
        <f>'Raw Data'!P480</f>
        <v>0</v>
      </c>
      <c r="O480">
        <f>'Raw Data'!Q480</f>
        <v>0</v>
      </c>
      <c r="P480">
        <f>'Raw Data'!R480</f>
        <v>0</v>
      </c>
      <c r="Q480">
        <f>'Raw Data'!S480</f>
        <v>0</v>
      </c>
      <c r="R480">
        <f>'Raw Data'!T480</f>
        <v>0</v>
      </c>
      <c r="S480">
        <f>IFERROR(O480,0)+IFERROR(R480,0)</f>
        <v>0</v>
      </c>
      <c r="T480">
        <f>IF(A480="","",YEAR(A480))</f>
        <v>0</v>
      </c>
    </row>
    <row r="481" spans="1:20">
      <c r="A481">
        <f>'Raw Data'!B481</f>
        <v>0</v>
      </c>
      <c r="B481">
        <f>'Raw Data'!A481</f>
        <v>0</v>
      </c>
      <c r="C481">
        <f>'Raw Data'!C481</f>
        <v>0</v>
      </c>
      <c r="D481">
        <f>'Raw Data'!D481</f>
        <v>0</v>
      </c>
      <c r="E481">
        <f>IFERROR(VLOOKUP(D481,'Lookup Tables'!$A:$B,2,FALSE),"Unknown")</f>
        <v>0</v>
      </c>
      <c r="F481">
        <f>'Raw Data'!E481</f>
        <v>0</v>
      </c>
      <c r="G481">
        <f>IFERROR(VLOOKUP(D481,'Lookup Tables'!$A:$C,3,FALSE),IF(ISNUMBER(SEARCH("STEEL",F481)),"Steel","Others"))</f>
        <v>0</v>
      </c>
      <c r="H481">
        <f>IF(ISNUMBER(SEARCH("scrubber",F481)) , "Scrubber", IF(ISNUMBER(SEARCH("container",F481)),"Container", IF(ISNUMBER(SEARCH("basket",F481)),"Basket", IF(ISNUMBER(SEARCH("lunch",F481)),"Lunch Box", IF(ISNUMBER(SEARCH("cutlery",F481)),"Cutlery","Other")))))</f>
        <v>0</v>
      </c>
      <c r="I481">
        <f>IF('Raw Data'!G481&lt;&gt;'','Raw Data'!G481,IFERROR(MID(F481,SEARCH("MODEL",F481)+6,20),""))</f>
        <v>0</v>
      </c>
      <c r="J481">
        <f>'Raw Data'!H481</f>
        <v>0</v>
      </c>
      <c r="K481">
        <f>'Raw Data'!I481</f>
        <v>0</v>
      </c>
      <c r="L481">
        <f>IF('Raw Data'!N481&lt;&gt;0,'Raw Data'!N481,IFERROR(VALUE(MID(F481,SEARCH("QTY",F481)+4,IFERROR(FIND(" ",F481,SEARCH("QTY",F481)+4)-(SEARCH("QTY",F481)+4),3))),""))</f>
        <v>0</v>
      </c>
      <c r="M481">
        <f>'Raw Data'!O481</f>
        <v>0</v>
      </c>
      <c r="N481">
        <f>'Raw Data'!P481</f>
        <v>0</v>
      </c>
      <c r="O481">
        <f>'Raw Data'!Q481</f>
        <v>0</v>
      </c>
      <c r="P481">
        <f>'Raw Data'!R481</f>
        <v>0</v>
      </c>
      <c r="Q481">
        <f>'Raw Data'!S481</f>
        <v>0</v>
      </c>
      <c r="R481">
        <f>'Raw Data'!T481</f>
        <v>0</v>
      </c>
      <c r="S481">
        <f>IFERROR(O481,0)+IFERROR(R481,0)</f>
        <v>0</v>
      </c>
      <c r="T481">
        <f>IF(A481="","",YEAR(A481))</f>
        <v>0</v>
      </c>
    </row>
    <row r="482" spans="1:20">
      <c r="A482">
        <f>'Raw Data'!B482</f>
        <v>0</v>
      </c>
      <c r="B482">
        <f>'Raw Data'!A482</f>
        <v>0</v>
      </c>
      <c r="C482">
        <f>'Raw Data'!C482</f>
        <v>0</v>
      </c>
      <c r="D482">
        <f>'Raw Data'!D482</f>
        <v>0</v>
      </c>
      <c r="E482">
        <f>IFERROR(VLOOKUP(D482,'Lookup Tables'!$A:$B,2,FALSE),"Unknown")</f>
        <v>0</v>
      </c>
      <c r="F482">
        <f>'Raw Data'!E482</f>
        <v>0</v>
      </c>
      <c r="G482">
        <f>IFERROR(VLOOKUP(D482,'Lookup Tables'!$A:$C,3,FALSE),IF(ISNUMBER(SEARCH("STEEL",F482)),"Steel","Others"))</f>
        <v>0</v>
      </c>
      <c r="H482">
        <f>IF(ISNUMBER(SEARCH("scrubber",F482)) , "Scrubber", IF(ISNUMBER(SEARCH("container",F482)),"Container", IF(ISNUMBER(SEARCH("basket",F482)),"Basket", IF(ISNUMBER(SEARCH("lunch",F482)),"Lunch Box", IF(ISNUMBER(SEARCH("cutlery",F482)),"Cutlery","Other")))))</f>
        <v>0</v>
      </c>
      <c r="I482">
        <f>IF('Raw Data'!G482&lt;&gt;'','Raw Data'!G482,IFERROR(MID(F482,SEARCH("MODEL",F482)+6,20),""))</f>
        <v>0</v>
      </c>
      <c r="J482">
        <f>'Raw Data'!H482</f>
        <v>0</v>
      </c>
      <c r="K482">
        <f>'Raw Data'!I482</f>
        <v>0</v>
      </c>
      <c r="L482">
        <f>IF('Raw Data'!N482&lt;&gt;0,'Raw Data'!N482,IFERROR(VALUE(MID(F482,SEARCH("QTY",F482)+4,IFERROR(FIND(" ",F482,SEARCH("QTY",F482)+4)-(SEARCH("QTY",F482)+4),3))),""))</f>
        <v>0</v>
      </c>
      <c r="M482">
        <f>'Raw Data'!O482</f>
        <v>0</v>
      </c>
      <c r="N482">
        <f>'Raw Data'!P482</f>
        <v>0</v>
      </c>
      <c r="O482">
        <f>'Raw Data'!Q482</f>
        <v>0</v>
      </c>
      <c r="P482">
        <f>'Raw Data'!R482</f>
        <v>0</v>
      </c>
      <c r="Q482">
        <f>'Raw Data'!S482</f>
        <v>0</v>
      </c>
      <c r="R482">
        <f>'Raw Data'!T482</f>
        <v>0</v>
      </c>
      <c r="S482">
        <f>IFERROR(O482,0)+IFERROR(R482,0)</f>
        <v>0</v>
      </c>
      <c r="T482">
        <f>IF(A482="","",YEAR(A482))</f>
        <v>0</v>
      </c>
    </row>
    <row r="483" spans="1:20">
      <c r="A483">
        <f>'Raw Data'!B483</f>
        <v>0</v>
      </c>
      <c r="B483">
        <f>'Raw Data'!A483</f>
        <v>0</v>
      </c>
      <c r="C483">
        <f>'Raw Data'!C483</f>
        <v>0</v>
      </c>
      <c r="D483">
        <f>'Raw Data'!D483</f>
        <v>0</v>
      </c>
      <c r="E483">
        <f>IFERROR(VLOOKUP(D483,'Lookup Tables'!$A:$B,2,FALSE),"Unknown")</f>
        <v>0</v>
      </c>
      <c r="F483">
        <f>'Raw Data'!E483</f>
        <v>0</v>
      </c>
      <c r="G483">
        <f>IFERROR(VLOOKUP(D483,'Lookup Tables'!$A:$C,3,FALSE),IF(ISNUMBER(SEARCH("STEEL",F483)),"Steel","Others"))</f>
        <v>0</v>
      </c>
      <c r="H483">
        <f>IF(ISNUMBER(SEARCH("scrubber",F483)) , "Scrubber", IF(ISNUMBER(SEARCH("container",F483)),"Container", IF(ISNUMBER(SEARCH("basket",F483)),"Basket", IF(ISNUMBER(SEARCH("lunch",F483)),"Lunch Box", IF(ISNUMBER(SEARCH("cutlery",F483)),"Cutlery","Other")))))</f>
        <v>0</v>
      </c>
      <c r="I483">
        <f>IF('Raw Data'!G483&lt;&gt;'','Raw Data'!G483,IFERROR(MID(F483,SEARCH("MODEL",F483)+6,20),""))</f>
        <v>0</v>
      </c>
      <c r="J483">
        <f>'Raw Data'!H483</f>
        <v>0</v>
      </c>
      <c r="K483">
        <f>'Raw Data'!I483</f>
        <v>0</v>
      </c>
      <c r="L483">
        <f>IF('Raw Data'!N483&lt;&gt;0,'Raw Data'!N483,IFERROR(VALUE(MID(F483,SEARCH("QTY",F483)+4,IFERROR(FIND(" ",F483,SEARCH("QTY",F483)+4)-(SEARCH("QTY",F483)+4),3))),""))</f>
        <v>0</v>
      </c>
      <c r="M483">
        <f>'Raw Data'!O483</f>
        <v>0</v>
      </c>
      <c r="N483">
        <f>'Raw Data'!P483</f>
        <v>0</v>
      </c>
      <c r="O483">
        <f>'Raw Data'!Q483</f>
        <v>0</v>
      </c>
      <c r="P483">
        <f>'Raw Data'!R483</f>
        <v>0</v>
      </c>
      <c r="Q483">
        <f>'Raw Data'!S483</f>
        <v>0</v>
      </c>
      <c r="R483">
        <f>'Raw Data'!T483</f>
        <v>0</v>
      </c>
      <c r="S483">
        <f>IFERROR(O483,0)+IFERROR(R483,0)</f>
        <v>0</v>
      </c>
      <c r="T483">
        <f>IF(A483="","",YEAR(A483))</f>
        <v>0</v>
      </c>
    </row>
    <row r="484" spans="1:20">
      <c r="A484">
        <f>'Raw Data'!B484</f>
        <v>0</v>
      </c>
      <c r="B484">
        <f>'Raw Data'!A484</f>
        <v>0</v>
      </c>
      <c r="C484">
        <f>'Raw Data'!C484</f>
        <v>0</v>
      </c>
      <c r="D484">
        <f>'Raw Data'!D484</f>
        <v>0</v>
      </c>
      <c r="E484">
        <f>IFERROR(VLOOKUP(D484,'Lookup Tables'!$A:$B,2,FALSE),"Unknown")</f>
        <v>0</v>
      </c>
      <c r="F484">
        <f>'Raw Data'!E484</f>
        <v>0</v>
      </c>
      <c r="G484">
        <f>IFERROR(VLOOKUP(D484,'Lookup Tables'!$A:$C,3,FALSE),IF(ISNUMBER(SEARCH("STEEL",F484)),"Steel","Others"))</f>
        <v>0</v>
      </c>
      <c r="H484">
        <f>IF(ISNUMBER(SEARCH("scrubber",F484)) , "Scrubber", IF(ISNUMBER(SEARCH("container",F484)),"Container", IF(ISNUMBER(SEARCH("basket",F484)),"Basket", IF(ISNUMBER(SEARCH("lunch",F484)),"Lunch Box", IF(ISNUMBER(SEARCH("cutlery",F484)),"Cutlery","Other")))))</f>
        <v>0</v>
      </c>
      <c r="I484">
        <f>IF('Raw Data'!G484&lt;&gt;'','Raw Data'!G484,IFERROR(MID(F484,SEARCH("MODEL",F484)+6,20),""))</f>
        <v>0</v>
      </c>
      <c r="J484">
        <f>'Raw Data'!H484</f>
        <v>0</v>
      </c>
      <c r="K484">
        <f>'Raw Data'!I484</f>
        <v>0</v>
      </c>
      <c r="L484">
        <f>IF('Raw Data'!N484&lt;&gt;0,'Raw Data'!N484,IFERROR(VALUE(MID(F484,SEARCH("QTY",F484)+4,IFERROR(FIND(" ",F484,SEARCH("QTY",F484)+4)-(SEARCH("QTY",F484)+4),3))),""))</f>
        <v>0</v>
      </c>
      <c r="M484">
        <f>'Raw Data'!O484</f>
        <v>0</v>
      </c>
      <c r="N484">
        <f>'Raw Data'!P484</f>
        <v>0</v>
      </c>
      <c r="O484">
        <f>'Raw Data'!Q484</f>
        <v>0</v>
      </c>
      <c r="P484">
        <f>'Raw Data'!R484</f>
        <v>0</v>
      </c>
      <c r="Q484">
        <f>'Raw Data'!S484</f>
        <v>0</v>
      </c>
      <c r="R484">
        <f>'Raw Data'!T484</f>
        <v>0</v>
      </c>
      <c r="S484">
        <f>IFERROR(O484,0)+IFERROR(R484,0)</f>
        <v>0</v>
      </c>
      <c r="T484">
        <f>IF(A484="","",YEAR(A484))</f>
        <v>0</v>
      </c>
    </row>
    <row r="485" spans="1:20">
      <c r="A485">
        <f>'Raw Data'!B485</f>
        <v>0</v>
      </c>
      <c r="B485">
        <f>'Raw Data'!A485</f>
        <v>0</v>
      </c>
      <c r="C485">
        <f>'Raw Data'!C485</f>
        <v>0</v>
      </c>
      <c r="D485">
        <f>'Raw Data'!D485</f>
        <v>0</v>
      </c>
      <c r="E485">
        <f>IFERROR(VLOOKUP(D485,'Lookup Tables'!$A:$B,2,FALSE),"Unknown")</f>
        <v>0</v>
      </c>
      <c r="F485">
        <f>'Raw Data'!E485</f>
        <v>0</v>
      </c>
      <c r="G485">
        <f>IFERROR(VLOOKUP(D485,'Lookup Tables'!$A:$C,3,FALSE),IF(ISNUMBER(SEARCH("STEEL",F485)),"Steel","Others"))</f>
        <v>0</v>
      </c>
      <c r="H485">
        <f>IF(ISNUMBER(SEARCH("scrubber",F485)) , "Scrubber", IF(ISNUMBER(SEARCH("container",F485)),"Container", IF(ISNUMBER(SEARCH("basket",F485)),"Basket", IF(ISNUMBER(SEARCH("lunch",F485)),"Lunch Box", IF(ISNUMBER(SEARCH("cutlery",F485)),"Cutlery","Other")))))</f>
        <v>0</v>
      </c>
      <c r="I485">
        <f>IF('Raw Data'!G485&lt;&gt;'','Raw Data'!G485,IFERROR(MID(F485,SEARCH("MODEL",F485)+6,20),""))</f>
        <v>0</v>
      </c>
      <c r="J485">
        <f>'Raw Data'!H485</f>
        <v>0</v>
      </c>
      <c r="K485">
        <f>'Raw Data'!I485</f>
        <v>0</v>
      </c>
      <c r="L485">
        <f>IF('Raw Data'!N485&lt;&gt;0,'Raw Data'!N485,IFERROR(VALUE(MID(F485,SEARCH("QTY",F485)+4,IFERROR(FIND(" ",F485,SEARCH("QTY",F485)+4)-(SEARCH("QTY",F485)+4),3))),""))</f>
        <v>0</v>
      </c>
      <c r="M485">
        <f>'Raw Data'!O485</f>
        <v>0</v>
      </c>
      <c r="N485">
        <f>'Raw Data'!P485</f>
        <v>0</v>
      </c>
      <c r="O485">
        <f>'Raw Data'!Q485</f>
        <v>0</v>
      </c>
      <c r="P485">
        <f>'Raw Data'!R485</f>
        <v>0</v>
      </c>
      <c r="Q485">
        <f>'Raw Data'!S485</f>
        <v>0</v>
      </c>
      <c r="R485">
        <f>'Raw Data'!T485</f>
        <v>0</v>
      </c>
      <c r="S485">
        <f>IFERROR(O485,0)+IFERROR(R485,0)</f>
        <v>0</v>
      </c>
      <c r="T485">
        <f>IF(A485="","",YEAR(A485))</f>
        <v>0</v>
      </c>
    </row>
    <row r="486" spans="1:20">
      <c r="A486">
        <f>'Raw Data'!B486</f>
        <v>0</v>
      </c>
      <c r="B486">
        <f>'Raw Data'!A486</f>
        <v>0</v>
      </c>
      <c r="C486">
        <f>'Raw Data'!C486</f>
        <v>0</v>
      </c>
      <c r="D486">
        <f>'Raw Data'!D486</f>
        <v>0</v>
      </c>
      <c r="E486">
        <f>IFERROR(VLOOKUP(D486,'Lookup Tables'!$A:$B,2,FALSE),"Unknown")</f>
        <v>0</v>
      </c>
      <c r="F486">
        <f>'Raw Data'!E486</f>
        <v>0</v>
      </c>
      <c r="G486">
        <f>IFERROR(VLOOKUP(D486,'Lookup Tables'!$A:$C,3,FALSE),IF(ISNUMBER(SEARCH("STEEL",F486)),"Steel","Others"))</f>
        <v>0</v>
      </c>
      <c r="H486">
        <f>IF(ISNUMBER(SEARCH("scrubber",F486)) , "Scrubber", IF(ISNUMBER(SEARCH("container",F486)),"Container", IF(ISNUMBER(SEARCH("basket",F486)),"Basket", IF(ISNUMBER(SEARCH("lunch",F486)),"Lunch Box", IF(ISNUMBER(SEARCH("cutlery",F486)),"Cutlery","Other")))))</f>
        <v>0</v>
      </c>
      <c r="I486">
        <f>IF('Raw Data'!G486&lt;&gt;'','Raw Data'!G486,IFERROR(MID(F486,SEARCH("MODEL",F486)+6,20),""))</f>
        <v>0</v>
      </c>
      <c r="J486">
        <f>'Raw Data'!H486</f>
        <v>0</v>
      </c>
      <c r="K486">
        <f>'Raw Data'!I486</f>
        <v>0</v>
      </c>
      <c r="L486">
        <f>IF('Raw Data'!N486&lt;&gt;0,'Raw Data'!N486,IFERROR(VALUE(MID(F486,SEARCH("QTY",F486)+4,IFERROR(FIND(" ",F486,SEARCH("QTY",F486)+4)-(SEARCH("QTY",F486)+4),3))),""))</f>
        <v>0</v>
      </c>
      <c r="M486">
        <f>'Raw Data'!O486</f>
        <v>0</v>
      </c>
      <c r="N486">
        <f>'Raw Data'!P486</f>
        <v>0</v>
      </c>
      <c r="O486">
        <f>'Raw Data'!Q486</f>
        <v>0</v>
      </c>
      <c r="P486">
        <f>'Raw Data'!R486</f>
        <v>0</v>
      </c>
      <c r="Q486">
        <f>'Raw Data'!S486</f>
        <v>0</v>
      </c>
      <c r="R486">
        <f>'Raw Data'!T486</f>
        <v>0</v>
      </c>
      <c r="S486">
        <f>IFERROR(O486,0)+IFERROR(R486,0)</f>
        <v>0</v>
      </c>
      <c r="T486">
        <f>IF(A486="","",YEAR(A486))</f>
        <v>0</v>
      </c>
    </row>
    <row r="487" spans="1:20">
      <c r="A487">
        <f>'Raw Data'!B487</f>
        <v>0</v>
      </c>
      <c r="B487">
        <f>'Raw Data'!A487</f>
        <v>0</v>
      </c>
      <c r="C487">
        <f>'Raw Data'!C487</f>
        <v>0</v>
      </c>
      <c r="D487">
        <f>'Raw Data'!D487</f>
        <v>0</v>
      </c>
      <c r="E487">
        <f>IFERROR(VLOOKUP(D487,'Lookup Tables'!$A:$B,2,FALSE),"Unknown")</f>
        <v>0</v>
      </c>
      <c r="F487">
        <f>'Raw Data'!E487</f>
        <v>0</v>
      </c>
      <c r="G487">
        <f>IFERROR(VLOOKUP(D487,'Lookup Tables'!$A:$C,3,FALSE),IF(ISNUMBER(SEARCH("STEEL",F487)),"Steel","Others"))</f>
        <v>0</v>
      </c>
      <c r="H487">
        <f>IF(ISNUMBER(SEARCH("scrubber",F487)) , "Scrubber", IF(ISNUMBER(SEARCH("container",F487)),"Container", IF(ISNUMBER(SEARCH("basket",F487)),"Basket", IF(ISNUMBER(SEARCH("lunch",F487)),"Lunch Box", IF(ISNUMBER(SEARCH("cutlery",F487)),"Cutlery","Other")))))</f>
        <v>0</v>
      </c>
      <c r="I487">
        <f>IF('Raw Data'!G487&lt;&gt;'','Raw Data'!G487,IFERROR(MID(F487,SEARCH("MODEL",F487)+6,20),""))</f>
        <v>0</v>
      </c>
      <c r="J487">
        <f>'Raw Data'!H487</f>
        <v>0</v>
      </c>
      <c r="K487">
        <f>'Raw Data'!I487</f>
        <v>0</v>
      </c>
      <c r="L487">
        <f>IF('Raw Data'!N487&lt;&gt;0,'Raw Data'!N487,IFERROR(VALUE(MID(F487,SEARCH("QTY",F487)+4,IFERROR(FIND(" ",F487,SEARCH("QTY",F487)+4)-(SEARCH("QTY",F487)+4),3))),""))</f>
        <v>0</v>
      </c>
      <c r="M487">
        <f>'Raw Data'!O487</f>
        <v>0</v>
      </c>
      <c r="N487">
        <f>'Raw Data'!P487</f>
        <v>0</v>
      </c>
      <c r="O487">
        <f>'Raw Data'!Q487</f>
        <v>0</v>
      </c>
      <c r="P487">
        <f>'Raw Data'!R487</f>
        <v>0</v>
      </c>
      <c r="Q487">
        <f>'Raw Data'!S487</f>
        <v>0</v>
      </c>
      <c r="R487">
        <f>'Raw Data'!T487</f>
        <v>0</v>
      </c>
      <c r="S487">
        <f>IFERROR(O487,0)+IFERROR(R487,0)</f>
        <v>0</v>
      </c>
      <c r="T487">
        <f>IF(A487="","",YEAR(A487))</f>
        <v>0</v>
      </c>
    </row>
    <row r="488" spans="1:20">
      <c r="A488">
        <f>'Raw Data'!B488</f>
        <v>0</v>
      </c>
      <c r="B488">
        <f>'Raw Data'!A488</f>
        <v>0</v>
      </c>
      <c r="C488">
        <f>'Raw Data'!C488</f>
        <v>0</v>
      </c>
      <c r="D488">
        <f>'Raw Data'!D488</f>
        <v>0</v>
      </c>
      <c r="E488">
        <f>IFERROR(VLOOKUP(D488,'Lookup Tables'!$A:$B,2,FALSE),"Unknown")</f>
        <v>0</v>
      </c>
      <c r="F488">
        <f>'Raw Data'!E488</f>
        <v>0</v>
      </c>
      <c r="G488">
        <f>IFERROR(VLOOKUP(D488,'Lookup Tables'!$A:$C,3,FALSE),IF(ISNUMBER(SEARCH("STEEL",F488)),"Steel","Others"))</f>
        <v>0</v>
      </c>
      <c r="H488">
        <f>IF(ISNUMBER(SEARCH("scrubber",F488)) , "Scrubber", IF(ISNUMBER(SEARCH("container",F488)),"Container", IF(ISNUMBER(SEARCH("basket",F488)),"Basket", IF(ISNUMBER(SEARCH("lunch",F488)),"Lunch Box", IF(ISNUMBER(SEARCH("cutlery",F488)),"Cutlery","Other")))))</f>
        <v>0</v>
      </c>
      <c r="I488">
        <f>IF('Raw Data'!G488&lt;&gt;'','Raw Data'!G488,IFERROR(MID(F488,SEARCH("MODEL",F488)+6,20),""))</f>
        <v>0</v>
      </c>
      <c r="J488">
        <f>'Raw Data'!H488</f>
        <v>0</v>
      </c>
      <c r="K488">
        <f>'Raw Data'!I488</f>
        <v>0</v>
      </c>
      <c r="L488">
        <f>IF('Raw Data'!N488&lt;&gt;0,'Raw Data'!N488,IFERROR(VALUE(MID(F488,SEARCH("QTY",F488)+4,IFERROR(FIND(" ",F488,SEARCH("QTY",F488)+4)-(SEARCH("QTY",F488)+4),3))),""))</f>
        <v>0</v>
      </c>
      <c r="M488">
        <f>'Raw Data'!O488</f>
        <v>0</v>
      </c>
      <c r="N488">
        <f>'Raw Data'!P488</f>
        <v>0</v>
      </c>
      <c r="O488">
        <f>'Raw Data'!Q488</f>
        <v>0</v>
      </c>
      <c r="P488">
        <f>'Raw Data'!R488</f>
        <v>0</v>
      </c>
      <c r="Q488">
        <f>'Raw Data'!S488</f>
        <v>0</v>
      </c>
      <c r="R488">
        <f>'Raw Data'!T488</f>
        <v>0</v>
      </c>
      <c r="S488">
        <f>IFERROR(O488,0)+IFERROR(R488,0)</f>
        <v>0</v>
      </c>
      <c r="T488">
        <f>IF(A488="","",YEAR(A488))</f>
        <v>0</v>
      </c>
    </row>
    <row r="489" spans="1:20">
      <c r="A489">
        <f>'Raw Data'!B489</f>
        <v>0</v>
      </c>
      <c r="B489">
        <f>'Raw Data'!A489</f>
        <v>0</v>
      </c>
      <c r="C489">
        <f>'Raw Data'!C489</f>
        <v>0</v>
      </c>
      <c r="D489">
        <f>'Raw Data'!D489</f>
        <v>0</v>
      </c>
      <c r="E489">
        <f>IFERROR(VLOOKUP(D489,'Lookup Tables'!$A:$B,2,FALSE),"Unknown")</f>
        <v>0</v>
      </c>
      <c r="F489">
        <f>'Raw Data'!E489</f>
        <v>0</v>
      </c>
      <c r="G489">
        <f>IFERROR(VLOOKUP(D489,'Lookup Tables'!$A:$C,3,FALSE),IF(ISNUMBER(SEARCH("STEEL",F489)),"Steel","Others"))</f>
        <v>0</v>
      </c>
      <c r="H489">
        <f>IF(ISNUMBER(SEARCH("scrubber",F489)) , "Scrubber", IF(ISNUMBER(SEARCH("container",F489)),"Container", IF(ISNUMBER(SEARCH("basket",F489)),"Basket", IF(ISNUMBER(SEARCH("lunch",F489)),"Lunch Box", IF(ISNUMBER(SEARCH("cutlery",F489)),"Cutlery","Other")))))</f>
        <v>0</v>
      </c>
      <c r="I489">
        <f>IF('Raw Data'!G489&lt;&gt;'','Raw Data'!G489,IFERROR(MID(F489,SEARCH("MODEL",F489)+6,20),""))</f>
        <v>0</v>
      </c>
      <c r="J489">
        <f>'Raw Data'!H489</f>
        <v>0</v>
      </c>
      <c r="K489">
        <f>'Raw Data'!I489</f>
        <v>0</v>
      </c>
      <c r="L489">
        <f>IF('Raw Data'!N489&lt;&gt;0,'Raw Data'!N489,IFERROR(VALUE(MID(F489,SEARCH("QTY",F489)+4,IFERROR(FIND(" ",F489,SEARCH("QTY",F489)+4)-(SEARCH("QTY",F489)+4),3))),""))</f>
        <v>0</v>
      </c>
      <c r="M489">
        <f>'Raw Data'!O489</f>
        <v>0</v>
      </c>
      <c r="N489">
        <f>'Raw Data'!P489</f>
        <v>0</v>
      </c>
      <c r="O489">
        <f>'Raw Data'!Q489</f>
        <v>0</v>
      </c>
      <c r="P489">
        <f>'Raw Data'!R489</f>
        <v>0</v>
      </c>
      <c r="Q489">
        <f>'Raw Data'!S489</f>
        <v>0</v>
      </c>
      <c r="R489">
        <f>'Raw Data'!T489</f>
        <v>0</v>
      </c>
      <c r="S489">
        <f>IFERROR(O489,0)+IFERROR(R489,0)</f>
        <v>0</v>
      </c>
      <c r="T489">
        <f>IF(A489="","",YEAR(A489))</f>
        <v>0</v>
      </c>
    </row>
    <row r="490" spans="1:20">
      <c r="A490">
        <f>'Raw Data'!B490</f>
        <v>0</v>
      </c>
      <c r="B490">
        <f>'Raw Data'!A490</f>
        <v>0</v>
      </c>
      <c r="C490">
        <f>'Raw Data'!C490</f>
        <v>0</v>
      </c>
      <c r="D490">
        <f>'Raw Data'!D490</f>
        <v>0</v>
      </c>
      <c r="E490">
        <f>IFERROR(VLOOKUP(D490,'Lookup Tables'!$A:$B,2,FALSE),"Unknown")</f>
        <v>0</v>
      </c>
      <c r="F490">
        <f>'Raw Data'!E490</f>
        <v>0</v>
      </c>
      <c r="G490">
        <f>IFERROR(VLOOKUP(D490,'Lookup Tables'!$A:$C,3,FALSE),IF(ISNUMBER(SEARCH("STEEL",F490)),"Steel","Others"))</f>
        <v>0</v>
      </c>
      <c r="H490">
        <f>IF(ISNUMBER(SEARCH("scrubber",F490)) , "Scrubber", IF(ISNUMBER(SEARCH("container",F490)),"Container", IF(ISNUMBER(SEARCH("basket",F490)),"Basket", IF(ISNUMBER(SEARCH("lunch",F490)),"Lunch Box", IF(ISNUMBER(SEARCH("cutlery",F490)),"Cutlery","Other")))))</f>
        <v>0</v>
      </c>
      <c r="I490">
        <f>IF('Raw Data'!G490&lt;&gt;'','Raw Data'!G490,IFERROR(MID(F490,SEARCH("MODEL",F490)+6,20),""))</f>
        <v>0</v>
      </c>
      <c r="J490">
        <f>'Raw Data'!H490</f>
        <v>0</v>
      </c>
      <c r="K490">
        <f>'Raw Data'!I490</f>
        <v>0</v>
      </c>
      <c r="L490">
        <f>IF('Raw Data'!N490&lt;&gt;0,'Raw Data'!N490,IFERROR(VALUE(MID(F490,SEARCH("QTY",F490)+4,IFERROR(FIND(" ",F490,SEARCH("QTY",F490)+4)-(SEARCH("QTY",F490)+4),3))),""))</f>
        <v>0</v>
      </c>
      <c r="M490">
        <f>'Raw Data'!O490</f>
        <v>0</v>
      </c>
      <c r="N490">
        <f>'Raw Data'!P490</f>
        <v>0</v>
      </c>
      <c r="O490">
        <f>'Raw Data'!Q490</f>
        <v>0</v>
      </c>
      <c r="P490">
        <f>'Raw Data'!R490</f>
        <v>0</v>
      </c>
      <c r="Q490">
        <f>'Raw Data'!S490</f>
        <v>0</v>
      </c>
      <c r="R490">
        <f>'Raw Data'!T490</f>
        <v>0</v>
      </c>
      <c r="S490">
        <f>IFERROR(O490,0)+IFERROR(R490,0)</f>
        <v>0</v>
      </c>
      <c r="T490">
        <f>IF(A490="","",YEAR(A490))</f>
        <v>0</v>
      </c>
    </row>
    <row r="491" spans="1:20">
      <c r="A491">
        <f>'Raw Data'!B491</f>
        <v>0</v>
      </c>
      <c r="B491">
        <f>'Raw Data'!A491</f>
        <v>0</v>
      </c>
      <c r="C491">
        <f>'Raw Data'!C491</f>
        <v>0</v>
      </c>
      <c r="D491">
        <f>'Raw Data'!D491</f>
        <v>0</v>
      </c>
      <c r="E491">
        <f>IFERROR(VLOOKUP(D491,'Lookup Tables'!$A:$B,2,FALSE),"Unknown")</f>
        <v>0</v>
      </c>
      <c r="F491">
        <f>'Raw Data'!E491</f>
        <v>0</v>
      </c>
      <c r="G491">
        <f>IFERROR(VLOOKUP(D491,'Lookup Tables'!$A:$C,3,FALSE),IF(ISNUMBER(SEARCH("STEEL",F491)),"Steel","Others"))</f>
        <v>0</v>
      </c>
      <c r="H491">
        <f>IF(ISNUMBER(SEARCH("scrubber",F491)) , "Scrubber", IF(ISNUMBER(SEARCH("container",F491)),"Container", IF(ISNUMBER(SEARCH("basket",F491)),"Basket", IF(ISNUMBER(SEARCH("lunch",F491)),"Lunch Box", IF(ISNUMBER(SEARCH("cutlery",F491)),"Cutlery","Other")))))</f>
        <v>0</v>
      </c>
      <c r="I491">
        <f>IF('Raw Data'!G491&lt;&gt;'','Raw Data'!G491,IFERROR(MID(F491,SEARCH("MODEL",F491)+6,20),""))</f>
        <v>0</v>
      </c>
      <c r="J491">
        <f>'Raw Data'!H491</f>
        <v>0</v>
      </c>
      <c r="K491">
        <f>'Raw Data'!I491</f>
        <v>0</v>
      </c>
      <c r="L491">
        <f>IF('Raw Data'!N491&lt;&gt;0,'Raw Data'!N491,IFERROR(VALUE(MID(F491,SEARCH("QTY",F491)+4,IFERROR(FIND(" ",F491,SEARCH("QTY",F491)+4)-(SEARCH("QTY",F491)+4),3))),""))</f>
        <v>0</v>
      </c>
      <c r="M491">
        <f>'Raw Data'!O491</f>
        <v>0</v>
      </c>
      <c r="N491">
        <f>'Raw Data'!P491</f>
        <v>0</v>
      </c>
      <c r="O491">
        <f>'Raw Data'!Q491</f>
        <v>0</v>
      </c>
      <c r="P491">
        <f>'Raw Data'!R491</f>
        <v>0</v>
      </c>
      <c r="Q491">
        <f>'Raw Data'!S491</f>
        <v>0</v>
      </c>
      <c r="R491">
        <f>'Raw Data'!T491</f>
        <v>0</v>
      </c>
      <c r="S491">
        <f>IFERROR(O491,0)+IFERROR(R491,0)</f>
        <v>0</v>
      </c>
      <c r="T491">
        <f>IF(A491="","",YEAR(A491))</f>
        <v>0</v>
      </c>
    </row>
    <row r="492" spans="1:20">
      <c r="A492">
        <f>'Raw Data'!B492</f>
        <v>0</v>
      </c>
      <c r="B492">
        <f>'Raw Data'!A492</f>
        <v>0</v>
      </c>
      <c r="C492">
        <f>'Raw Data'!C492</f>
        <v>0</v>
      </c>
      <c r="D492">
        <f>'Raw Data'!D492</f>
        <v>0</v>
      </c>
      <c r="E492">
        <f>IFERROR(VLOOKUP(D492,'Lookup Tables'!$A:$B,2,FALSE),"Unknown")</f>
        <v>0</v>
      </c>
      <c r="F492">
        <f>'Raw Data'!E492</f>
        <v>0</v>
      </c>
      <c r="G492">
        <f>IFERROR(VLOOKUP(D492,'Lookup Tables'!$A:$C,3,FALSE),IF(ISNUMBER(SEARCH("STEEL",F492)),"Steel","Others"))</f>
        <v>0</v>
      </c>
      <c r="H492">
        <f>IF(ISNUMBER(SEARCH("scrubber",F492)) , "Scrubber", IF(ISNUMBER(SEARCH("container",F492)),"Container", IF(ISNUMBER(SEARCH("basket",F492)),"Basket", IF(ISNUMBER(SEARCH("lunch",F492)),"Lunch Box", IF(ISNUMBER(SEARCH("cutlery",F492)),"Cutlery","Other")))))</f>
        <v>0</v>
      </c>
      <c r="I492">
        <f>IF('Raw Data'!G492&lt;&gt;'','Raw Data'!G492,IFERROR(MID(F492,SEARCH("MODEL",F492)+6,20),""))</f>
        <v>0</v>
      </c>
      <c r="J492">
        <f>'Raw Data'!H492</f>
        <v>0</v>
      </c>
      <c r="K492">
        <f>'Raw Data'!I492</f>
        <v>0</v>
      </c>
      <c r="L492">
        <f>IF('Raw Data'!N492&lt;&gt;0,'Raw Data'!N492,IFERROR(VALUE(MID(F492,SEARCH("QTY",F492)+4,IFERROR(FIND(" ",F492,SEARCH("QTY",F492)+4)-(SEARCH("QTY",F492)+4),3))),""))</f>
        <v>0</v>
      </c>
      <c r="M492">
        <f>'Raw Data'!O492</f>
        <v>0</v>
      </c>
      <c r="N492">
        <f>'Raw Data'!P492</f>
        <v>0</v>
      </c>
      <c r="O492">
        <f>'Raw Data'!Q492</f>
        <v>0</v>
      </c>
      <c r="P492">
        <f>'Raw Data'!R492</f>
        <v>0</v>
      </c>
      <c r="Q492">
        <f>'Raw Data'!S492</f>
        <v>0</v>
      </c>
      <c r="R492">
        <f>'Raw Data'!T492</f>
        <v>0</v>
      </c>
      <c r="S492">
        <f>IFERROR(O492,0)+IFERROR(R492,0)</f>
        <v>0</v>
      </c>
      <c r="T492">
        <f>IF(A492="","",YEAR(A492))</f>
        <v>0</v>
      </c>
    </row>
    <row r="493" spans="1:20">
      <c r="A493">
        <f>'Raw Data'!B493</f>
        <v>0</v>
      </c>
      <c r="B493">
        <f>'Raw Data'!A493</f>
        <v>0</v>
      </c>
      <c r="C493">
        <f>'Raw Data'!C493</f>
        <v>0</v>
      </c>
      <c r="D493">
        <f>'Raw Data'!D493</f>
        <v>0</v>
      </c>
      <c r="E493">
        <f>IFERROR(VLOOKUP(D493,'Lookup Tables'!$A:$B,2,FALSE),"Unknown")</f>
        <v>0</v>
      </c>
      <c r="F493">
        <f>'Raw Data'!E493</f>
        <v>0</v>
      </c>
      <c r="G493">
        <f>IFERROR(VLOOKUP(D493,'Lookup Tables'!$A:$C,3,FALSE),IF(ISNUMBER(SEARCH("STEEL",F493)),"Steel","Others"))</f>
        <v>0</v>
      </c>
      <c r="H493">
        <f>IF(ISNUMBER(SEARCH("scrubber",F493)) , "Scrubber", IF(ISNUMBER(SEARCH("container",F493)),"Container", IF(ISNUMBER(SEARCH("basket",F493)),"Basket", IF(ISNUMBER(SEARCH("lunch",F493)),"Lunch Box", IF(ISNUMBER(SEARCH("cutlery",F493)),"Cutlery","Other")))))</f>
        <v>0</v>
      </c>
      <c r="I493">
        <f>IF('Raw Data'!G493&lt;&gt;'','Raw Data'!G493,IFERROR(MID(F493,SEARCH("MODEL",F493)+6,20),""))</f>
        <v>0</v>
      </c>
      <c r="J493">
        <f>'Raw Data'!H493</f>
        <v>0</v>
      </c>
      <c r="K493">
        <f>'Raw Data'!I493</f>
        <v>0</v>
      </c>
      <c r="L493">
        <f>IF('Raw Data'!N493&lt;&gt;0,'Raw Data'!N493,IFERROR(VALUE(MID(F493,SEARCH("QTY",F493)+4,IFERROR(FIND(" ",F493,SEARCH("QTY",F493)+4)-(SEARCH("QTY",F493)+4),3))),""))</f>
        <v>0</v>
      </c>
      <c r="M493">
        <f>'Raw Data'!O493</f>
        <v>0</v>
      </c>
      <c r="N493">
        <f>'Raw Data'!P493</f>
        <v>0</v>
      </c>
      <c r="O493">
        <f>'Raw Data'!Q493</f>
        <v>0</v>
      </c>
      <c r="P493">
        <f>'Raw Data'!R493</f>
        <v>0</v>
      </c>
      <c r="Q493">
        <f>'Raw Data'!S493</f>
        <v>0</v>
      </c>
      <c r="R493">
        <f>'Raw Data'!T493</f>
        <v>0</v>
      </c>
      <c r="S493">
        <f>IFERROR(O493,0)+IFERROR(R493,0)</f>
        <v>0</v>
      </c>
      <c r="T493">
        <f>IF(A493="","",YEAR(A493))</f>
        <v>0</v>
      </c>
    </row>
    <row r="494" spans="1:20">
      <c r="A494">
        <f>'Raw Data'!B494</f>
        <v>0</v>
      </c>
      <c r="B494">
        <f>'Raw Data'!A494</f>
        <v>0</v>
      </c>
      <c r="C494">
        <f>'Raw Data'!C494</f>
        <v>0</v>
      </c>
      <c r="D494">
        <f>'Raw Data'!D494</f>
        <v>0</v>
      </c>
      <c r="E494">
        <f>IFERROR(VLOOKUP(D494,'Lookup Tables'!$A:$B,2,FALSE),"Unknown")</f>
        <v>0</v>
      </c>
      <c r="F494">
        <f>'Raw Data'!E494</f>
        <v>0</v>
      </c>
      <c r="G494">
        <f>IFERROR(VLOOKUP(D494,'Lookup Tables'!$A:$C,3,FALSE),IF(ISNUMBER(SEARCH("STEEL",F494)),"Steel","Others"))</f>
        <v>0</v>
      </c>
      <c r="H494">
        <f>IF(ISNUMBER(SEARCH("scrubber",F494)) , "Scrubber", IF(ISNUMBER(SEARCH("container",F494)),"Container", IF(ISNUMBER(SEARCH("basket",F494)),"Basket", IF(ISNUMBER(SEARCH("lunch",F494)),"Lunch Box", IF(ISNUMBER(SEARCH("cutlery",F494)),"Cutlery","Other")))))</f>
        <v>0</v>
      </c>
      <c r="I494">
        <f>IF('Raw Data'!G494&lt;&gt;'','Raw Data'!G494,IFERROR(MID(F494,SEARCH("MODEL",F494)+6,20),""))</f>
        <v>0</v>
      </c>
      <c r="J494">
        <f>'Raw Data'!H494</f>
        <v>0</v>
      </c>
      <c r="K494">
        <f>'Raw Data'!I494</f>
        <v>0</v>
      </c>
      <c r="L494">
        <f>IF('Raw Data'!N494&lt;&gt;0,'Raw Data'!N494,IFERROR(VALUE(MID(F494,SEARCH("QTY",F494)+4,IFERROR(FIND(" ",F494,SEARCH("QTY",F494)+4)-(SEARCH("QTY",F494)+4),3))),""))</f>
        <v>0</v>
      </c>
      <c r="M494">
        <f>'Raw Data'!O494</f>
        <v>0</v>
      </c>
      <c r="N494">
        <f>'Raw Data'!P494</f>
        <v>0</v>
      </c>
      <c r="O494">
        <f>'Raw Data'!Q494</f>
        <v>0</v>
      </c>
      <c r="P494">
        <f>'Raw Data'!R494</f>
        <v>0</v>
      </c>
      <c r="Q494">
        <f>'Raw Data'!S494</f>
        <v>0</v>
      </c>
      <c r="R494">
        <f>'Raw Data'!T494</f>
        <v>0</v>
      </c>
      <c r="S494">
        <f>IFERROR(O494,0)+IFERROR(R494,0)</f>
        <v>0</v>
      </c>
      <c r="T494">
        <f>IF(A494="","",YEAR(A494))</f>
        <v>0</v>
      </c>
    </row>
    <row r="495" spans="1:20">
      <c r="A495">
        <f>'Raw Data'!B495</f>
        <v>0</v>
      </c>
      <c r="B495">
        <f>'Raw Data'!A495</f>
        <v>0</v>
      </c>
      <c r="C495">
        <f>'Raw Data'!C495</f>
        <v>0</v>
      </c>
      <c r="D495">
        <f>'Raw Data'!D495</f>
        <v>0</v>
      </c>
      <c r="E495">
        <f>IFERROR(VLOOKUP(D495,'Lookup Tables'!$A:$B,2,FALSE),"Unknown")</f>
        <v>0</v>
      </c>
      <c r="F495">
        <f>'Raw Data'!E495</f>
        <v>0</v>
      </c>
      <c r="G495">
        <f>IFERROR(VLOOKUP(D495,'Lookup Tables'!$A:$C,3,FALSE),IF(ISNUMBER(SEARCH("STEEL",F495)),"Steel","Others"))</f>
        <v>0</v>
      </c>
      <c r="H495">
        <f>IF(ISNUMBER(SEARCH("scrubber",F495)) , "Scrubber", IF(ISNUMBER(SEARCH("container",F495)),"Container", IF(ISNUMBER(SEARCH("basket",F495)),"Basket", IF(ISNUMBER(SEARCH("lunch",F495)),"Lunch Box", IF(ISNUMBER(SEARCH("cutlery",F495)),"Cutlery","Other")))))</f>
        <v>0</v>
      </c>
      <c r="I495">
        <f>IF('Raw Data'!G495&lt;&gt;'','Raw Data'!G495,IFERROR(MID(F495,SEARCH("MODEL",F495)+6,20),""))</f>
        <v>0</v>
      </c>
      <c r="J495">
        <f>'Raw Data'!H495</f>
        <v>0</v>
      </c>
      <c r="K495">
        <f>'Raw Data'!I495</f>
        <v>0</v>
      </c>
      <c r="L495">
        <f>IF('Raw Data'!N495&lt;&gt;0,'Raw Data'!N495,IFERROR(VALUE(MID(F495,SEARCH("QTY",F495)+4,IFERROR(FIND(" ",F495,SEARCH("QTY",F495)+4)-(SEARCH("QTY",F495)+4),3))),""))</f>
        <v>0</v>
      </c>
      <c r="M495">
        <f>'Raw Data'!O495</f>
        <v>0</v>
      </c>
      <c r="N495">
        <f>'Raw Data'!P495</f>
        <v>0</v>
      </c>
      <c r="O495">
        <f>'Raw Data'!Q495</f>
        <v>0</v>
      </c>
      <c r="P495">
        <f>'Raw Data'!R495</f>
        <v>0</v>
      </c>
      <c r="Q495">
        <f>'Raw Data'!S495</f>
        <v>0</v>
      </c>
      <c r="R495">
        <f>'Raw Data'!T495</f>
        <v>0</v>
      </c>
      <c r="S495">
        <f>IFERROR(O495,0)+IFERROR(R495,0)</f>
        <v>0</v>
      </c>
      <c r="T495">
        <f>IF(A495="","",YEAR(A495))</f>
        <v>0</v>
      </c>
    </row>
    <row r="496" spans="1:20">
      <c r="A496">
        <f>'Raw Data'!B496</f>
        <v>0</v>
      </c>
      <c r="B496">
        <f>'Raw Data'!A496</f>
        <v>0</v>
      </c>
      <c r="C496">
        <f>'Raw Data'!C496</f>
        <v>0</v>
      </c>
      <c r="D496">
        <f>'Raw Data'!D496</f>
        <v>0</v>
      </c>
      <c r="E496">
        <f>IFERROR(VLOOKUP(D496,'Lookup Tables'!$A:$B,2,FALSE),"Unknown")</f>
        <v>0</v>
      </c>
      <c r="F496">
        <f>'Raw Data'!E496</f>
        <v>0</v>
      </c>
      <c r="G496">
        <f>IFERROR(VLOOKUP(D496,'Lookup Tables'!$A:$C,3,FALSE),IF(ISNUMBER(SEARCH("STEEL",F496)),"Steel","Others"))</f>
        <v>0</v>
      </c>
      <c r="H496">
        <f>IF(ISNUMBER(SEARCH("scrubber",F496)) , "Scrubber", IF(ISNUMBER(SEARCH("container",F496)),"Container", IF(ISNUMBER(SEARCH("basket",F496)),"Basket", IF(ISNUMBER(SEARCH("lunch",F496)),"Lunch Box", IF(ISNUMBER(SEARCH("cutlery",F496)),"Cutlery","Other")))))</f>
        <v>0</v>
      </c>
      <c r="I496">
        <f>IF('Raw Data'!G496&lt;&gt;'','Raw Data'!G496,IFERROR(MID(F496,SEARCH("MODEL",F496)+6,20),""))</f>
        <v>0</v>
      </c>
      <c r="J496">
        <f>'Raw Data'!H496</f>
        <v>0</v>
      </c>
      <c r="K496">
        <f>'Raw Data'!I496</f>
        <v>0</v>
      </c>
      <c r="L496">
        <f>IF('Raw Data'!N496&lt;&gt;0,'Raw Data'!N496,IFERROR(VALUE(MID(F496,SEARCH("QTY",F496)+4,IFERROR(FIND(" ",F496,SEARCH("QTY",F496)+4)-(SEARCH("QTY",F496)+4),3))),""))</f>
        <v>0</v>
      </c>
      <c r="M496">
        <f>'Raw Data'!O496</f>
        <v>0</v>
      </c>
      <c r="N496">
        <f>'Raw Data'!P496</f>
        <v>0</v>
      </c>
      <c r="O496">
        <f>'Raw Data'!Q496</f>
        <v>0</v>
      </c>
      <c r="P496">
        <f>'Raw Data'!R496</f>
        <v>0</v>
      </c>
      <c r="Q496">
        <f>'Raw Data'!S496</f>
        <v>0</v>
      </c>
      <c r="R496">
        <f>'Raw Data'!T496</f>
        <v>0</v>
      </c>
      <c r="S496">
        <f>IFERROR(O496,0)+IFERROR(R496,0)</f>
        <v>0</v>
      </c>
      <c r="T496">
        <f>IF(A496="","",YEAR(A496))</f>
        <v>0</v>
      </c>
    </row>
    <row r="497" spans="1:20">
      <c r="A497">
        <f>'Raw Data'!B497</f>
        <v>0</v>
      </c>
      <c r="B497">
        <f>'Raw Data'!A497</f>
        <v>0</v>
      </c>
      <c r="C497">
        <f>'Raw Data'!C497</f>
        <v>0</v>
      </c>
      <c r="D497">
        <f>'Raw Data'!D497</f>
        <v>0</v>
      </c>
      <c r="E497">
        <f>IFERROR(VLOOKUP(D497,'Lookup Tables'!$A:$B,2,FALSE),"Unknown")</f>
        <v>0</v>
      </c>
      <c r="F497">
        <f>'Raw Data'!E497</f>
        <v>0</v>
      </c>
      <c r="G497">
        <f>IFERROR(VLOOKUP(D497,'Lookup Tables'!$A:$C,3,FALSE),IF(ISNUMBER(SEARCH("STEEL",F497)),"Steel","Others"))</f>
        <v>0</v>
      </c>
      <c r="H497">
        <f>IF(ISNUMBER(SEARCH("scrubber",F497)) , "Scrubber", IF(ISNUMBER(SEARCH("container",F497)),"Container", IF(ISNUMBER(SEARCH("basket",F497)),"Basket", IF(ISNUMBER(SEARCH("lunch",F497)),"Lunch Box", IF(ISNUMBER(SEARCH("cutlery",F497)),"Cutlery","Other")))))</f>
        <v>0</v>
      </c>
      <c r="I497">
        <f>IF('Raw Data'!G497&lt;&gt;'','Raw Data'!G497,IFERROR(MID(F497,SEARCH("MODEL",F497)+6,20),""))</f>
        <v>0</v>
      </c>
      <c r="J497">
        <f>'Raw Data'!H497</f>
        <v>0</v>
      </c>
      <c r="K497">
        <f>'Raw Data'!I497</f>
        <v>0</v>
      </c>
      <c r="L497">
        <f>IF('Raw Data'!N497&lt;&gt;0,'Raw Data'!N497,IFERROR(VALUE(MID(F497,SEARCH("QTY",F497)+4,IFERROR(FIND(" ",F497,SEARCH("QTY",F497)+4)-(SEARCH("QTY",F497)+4),3))),""))</f>
        <v>0</v>
      </c>
      <c r="M497">
        <f>'Raw Data'!O497</f>
        <v>0</v>
      </c>
      <c r="N497">
        <f>'Raw Data'!P497</f>
        <v>0</v>
      </c>
      <c r="O497">
        <f>'Raw Data'!Q497</f>
        <v>0</v>
      </c>
      <c r="P497">
        <f>'Raw Data'!R497</f>
        <v>0</v>
      </c>
      <c r="Q497">
        <f>'Raw Data'!S497</f>
        <v>0</v>
      </c>
      <c r="R497">
        <f>'Raw Data'!T497</f>
        <v>0</v>
      </c>
      <c r="S497">
        <f>IFERROR(O497,0)+IFERROR(R497,0)</f>
        <v>0</v>
      </c>
      <c r="T497">
        <f>IF(A497="","",YEAR(A497))</f>
        <v>0</v>
      </c>
    </row>
    <row r="498" spans="1:20">
      <c r="A498">
        <f>'Raw Data'!B498</f>
        <v>0</v>
      </c>
      <c r="B498">
        <f>'Raw Data'!A498</f>
        <v>0</v>
      </c>
      <c r="C498">
        <f>'Raw Data'!C498</f>
        <v>0</v>
      </c>
      <c r="D498">
        <f>'Raw Data'!D498</f>
        <v>0</v>
      </c>
      <c r="E498">
        <f>IFERROR(VLOOKUP(D498,'Lookup Tables'!$A:$B,2,FALSE),"Unknown")</f>
        <v>0</v>
      </c>
      <c r="F498">
        <f>'Raw Data'!E498</f>
        <v>0</v>
      </c>
      <c r="G498">
        <f>IFERROR(VLOOKUP(D498,'Lookup Tables'!$A:$C,3,FALSE),IF(ISNUMBER(SEARCH("STEEL",F498)),"Steel","Others"))</f>
        <v>0</v>
      </c>
      <c r="H498">
        <f>IF(ISNUMBER(SEARCH("scrubber",F498)) , "Scrubber", IF(ISNUMBER(SEARCH("container",F498)),"Container", IF(ISNUMBER(SEARCH("basket",F498)),"Basket", IF(ISNUMBER(SEARCH("lunch",F498)),"Lunch Box", IF(ISNUMBER(SEARCH("cutlery",F498)),"Cutlery","Other")))))</f>
        <v>0</v>
      </c>
      <c r="I498">
        <f>IF('Raw Data'!G498&lt;&gt;'','Raw Data'!G498,IFERROR(MID(F498,SEARCH("MODEL",F498)+6,20),""))</f>
        <v>0</v>
      </c>
      <c r="J498">
        <f>'Raw Data'!H498</f>
        <v>0</v>
      </c>
      <c r="K498">
        <f>'Raw Data'!I498</f>
        <v>0</v>
      </c>
      <c r="L498">
        <f>IF('Raw Data'!N498&lt;&gt;0,'Raw Data'!N498,IFERROR(VALUE(MID(F498,SEARCH("QTY",F498)+4,IFERROR(FIND(" ",F498,SEARCH("QTY",F498)+4)-(SEARCH("QTY",F498)+4),3))),""))</f>
        <v>0</v>
      </c>
      <c r="M498">
        <f>'Raw Data'!O498</f>
        <v>0</v>
      </c>
      <c r="N498">
        <f>'Raw Data'!P498</f>
        <v>0</v>
      </c>
      <c r="O498">
        <f>'Raw Data'!Q498</f>
        <v>0</v>
      </c>
      <c r="P498">
        <f>'Raw Data'!R498</f>
        <v>0</v>
      </c>
      <c r="Q498">
        <f>'Raw Data'!S498</f>
        <v>0</v>
      </c>
      <c r="R498">
        <f>'Raw Data'!T498</f>
        <v>0</v>
      </c>
      <c r="S498">
        <f>IFERROR(O498,0)+IFERROR(R498,0)</f>
        <v>0</v>
      </c>
      <c r="T498">
        <f>IF(A498="","",YEAR(A498))</f>
        <v>0</v>
      </c>
    </row>
    <row r="499" spans="1:20">
      <c r="A499">
        <f>'Raw Data'!B499</f>
        <v>0</v>
      </c>
      <c r="B499">
        <f>'Raw Data'!A499</f>
        <v>0</v>
      </c>
      <c r="C499">
        <f>'Raw Data'!C499</f>
        <v>0</v>
      </c>
      <c r="D499">
        <f>'Raw Data'!D499</f>
        <v>0</v>
      </c>
      <c r="E499">
        <f>IFERROR(VLOOKUP(D499,'Lookup Tables'!$A:$B,2,FALSE),"Unknown")</f>
        <v>0</v>
      </c>
      <c r="F499">
        <f>'Raw Data'!E499</f>
        <v>0</v>
      </c>
      <c r="G499">
        <f>IFERROR(VLOOKUP(D499,'Lookup Tables'!$A:$C,3,FALSE),IF(ISNUMBER(SEARCH("STEEL",F499)),"Steel","Others"))</f>
        <v>0</v>
      </c>
      <c r="H499">
        <f>IF(ISNUMBER(SEARCH("scrubber",F499)) , "Scrubber", IF(ISNUMBER(SEARCH("container",F499)),"Container", IF(ISNUMBER(SEARCH("basket",F499)),"Basket", IF(ISNUMBER(SEARCH("lunch",F499)),"Lunch Box", IF(ISNUMBER(SEARCH("cutlery",F499)),"Cutlery","Other")))))</f>
        <v>0</v>
      </c>
      <c r="I499">
        <f>IF('Raw Data'!G499&lt;&gt;'','Raw Data'!G499,IFERROR(MID(F499,SEARCH("MODEL",F499)+6,20),""))</f>
        <v>0</v>
      </c>
      <c r="J499">
        <f>'Raw Data'!H499</f>
        <v>0</v>
      </c>
      <c r="K499">
        <f>'Raw Data'!I499</f>
        <v>0</v>
      </c>
      <c r="L499">
        <f>IF('Raw Data'!N499&lt;&gt;0,'Raw Data'!N499,IFERROR(VALUE(MID(F499,SEARCH("QTY",F499)+4,IFERROR(FIND(" ",F499,SEARCH("QTY",F499)+4)-(SEARCH("QTY",F499)+4),3))),""))</f>
        <v>0</v>
      </c>
      <c r="M499">
        <f>'Raw Data'!O499</f>
        <v>0</v>
      </c>
      <c r="N499">
        <f>'Raw Data'!P499</f>
        <v>0</v>
      </c>
      <c r="O499">
        <f>'Raw Data'!Q499</f>
        <v>0</v>
      </c>
      <c r="P499">
        <f>'Raw Data'!R499</f>
        <v>0</v>
      </c>
      <c r="Q499">
        <f>'Raw Data'!S499</f>
        <v>0</v>
      </c>
      <c r="R499">
        <f>'Raw Data'!T499</f>
        <v>0</v>
      </c>
      <c r="S499">
        <f>IFERROR(O499,0)+IFERROR(R499,0)</f>
        <v>0</v>
      </c>
      <c r="T499">
        <f>IF(A499="","",YEAR(A499))</f>
        <v>0</v>
      </c>
    </row>
    <row r="500" spans="1:20">
      <c r="A500">
        <f>'Raw Data'!B500</f>
        <v>0</v>
      </c>
      <c r="B500">
        <f>'Raw Data'!A500</f>
        <v>0</v>
      </c>
      <c r="C500">
        <f>'Raw Data'!C500</f>
        <v>0</v>
      </c>
      <c r="D500">
        <f>'Raw Data'!D500</f>
        <v>0</v>
      </c>
      <c r="E500">
        <f>IFERROR(VLOOKUP(D500,'Lookup Tables'!$A:$B,2,FALSE),"Unknown")</f>
        <v>0</v>
      </c>
      <c r="F500">
        <f>'Raw Data'!E500</f>
        <v>0</v>
      </c>
      <c r="G500">
        <f>IFERROR(VLOOKUP(D500,'Lookup Tables'!$A:$C,3,FALSE),IF(ISNUMBER(SEARCH("STEEL",F500)),"Steel","Others"))</f>
        <v>0</v>
      </c>
      <c r="H500">
        <f>IF(ISNUMBER(SEARCH("scrubber",F500)) , "Scrubber", IF(ISNUMBER(SEARCH("container",F500)),"Container", IF(ISNUMBER(SEARCH("basket",F500)),"Basket", IF(ISNUMBER(SEARCH("lunch",F500)),"Lunch Box", IF(ISNUMBER(SEARCH("cutlery",F500)),"Cutlery","Other")))))</f>
        <v>0</v>
      </c>
      <c r="I500">
        <f>IF('Raw Data'!G500&lt;&gt;'','Raw Data'!G500,IFERROR(MID(F500,SEARCH("MODEL",F500)+6,20),""))</f>
        <v>0</v>
      </c>
      <c r="J500">
        <f>'Raw Data'!H500</f>
        <v>0</v>
      </c>
      <c r="K500">
        <f>'Raw Data'!I500</f>
        <v>0</v>
      </c>
      <c r="L500">
        <f>IF('Raw Data'!N500&lt;&gt;0,'Raw Data'!N500,IFERROR(VALUE(MID(F500,SEARCH("QTY",F500)+4,IFERROR(FIND(" ",F500,SEARCH("QTY",F500)+4)-(SEARCH("QTY",F500)+4),3))),""))</f>
        <v>0</v>
      </c>
      <c r="M500">
        <f>'Raw Data'!O500</f>
        <v>0</v>
      </c>
      <c r="N500">
        <f>'Raw Data'!P500</f>
        <v>0</v>
      </c>
      <c r="O500">
        <f>'Raw Data'!Q500</f>
        <v>0</v>
      </c>
      <c r="P500">
        <f>'Raw Data'!R500</f>
        <v>0</v>
      </c>
      <c r="Q500">
        <f>'Raw Data'!S500</f>
        <v>0</v>
      </c>
      <c r="R500">
        <f>'Raw Data'!T500</f>
        <v>0</v>
      </c>
      <c r="S500">
        <f>IFERROR(O500,0)+IFERROR(R500,0)</f>
        <v>0</v>
      </c>
      <c r="T500">
        <f>IF(A500="","",YEAR(A500))</f>
        <v>0</v>
      </c>
    </row>
    <row r="501" spans="1:20">
      <c r="A501">
        <f>'Raw Data'!B501</f>
        <v>0</v>
      </c>
      <c r="B501">
        <f>'Raw Data'!A501</f>
        <v>0</v>
      </c>
      <c r="C501">
        <f>'Raw Data'!C501</f>
        <v>0</v>
      </c>
      <c r="D501">
        <f>'Raw Data'!D501</f>
        <v>0</v>
      </c>
      <c r="E501">
        <f>IFERROR(VLOOKUP(D501,'Lookup Tables'!$A:$B,2,FALSE),"Unknown")</f>
        <v>0</v>
      </c>
      <c r="F501">
        <f>'Raw Data'!E501</f>
        <v>0</v>
      </c>
      <c r="G501">
        <f>IFERROR(VLOOKUP(D501,'Lookup Tables'!$A:$C,3,FALSE),IF(ISNUMBER(SEARCH("STEEL",F501)),"Steel","Others"))</f>
        <v>0</v>
      </c>
      <c r="H501">
        <f>IF(ISNUMBER(SEARCH("scrubber",F501)) , "Scrubber", IF(ISNUMBER(SEARCH("container",F501)),"Container", IF(ISNUMBER(SEARCH("basket",F501)),"Basket", IF(ISNUMBER(SEARCH("lunch",F501)),"Lunch Box", IF(ISNUMBER(SEARCH("cutlery",F501)),"Cutlery","Other")))))</f>
        <v>0</v>
      </c>
      <c r="I501">
        <f>IF('Raw Data'!G501&lt;&gt;'','Raw Data'!G501,IFERROR(MID(F501,SEARCH("MODEL",F501)+6,20),""))</f>
        <v>0</v>
      </c>
      <c r="J501">
        <f>'Raw Data'!H501</f>
        <v>0</v>
      </c>
      <c r="K501">
        <f>'Raw Data'!I501</f>
        <v>0</v>
      </c>
      <c r="L501">
        <f>IF('Raw Data'!N501&lt;&gt;0,'Raw Data'!N501,IFERROR(VALUE(MID(F501,SEARCH("QTY",F501)+4,IFERROR(FIND(" ",F501,SEARCH("QTY",F501)+4)-(SEARCH("QTY",F501)+4),3))),""))</f>
        <v>0</v>
      </c>
      <c r="M501">
        <f>'Raw Data'!O501</f>
        <v>0</v>
      </c>
      <c r="N501">
        <f>'Raw Data'!P501</f>
        <v>0</v>
      </c>
      <c r="O501">
        <f>'Raw Data'!Q501</f>
        <v>0</v>
      </c>
      <c r="P501">
        <f>'Raw Data'!R501</f>
        <v>0</v>
      </c>
      <c r="Q501">
        <f>'Raw Data'!S501</f>
        <v>0</v>
      </c>
      <c r="R501">
        <f>'Raw Data'!T501</f>
        <v>0</v>
      </c>
      <c r="S501">
        <f>IFERROR(O501,0)+IFERROR(R501,0)</f>
        <v>0</v>
      </c>
      <c r="T501">
        <f>IF(A501="","",YEAR(A501))</f>
        <v>0</v>
      </c>
    </row>
    <row r="502" spans="1:20">
      <c r="A502">
        <f>'Raw Data'!B502</f>
        <v>0</v>
      </c>
      <c r="B502">
        <f>'Raw Data'!A502</f>
        <v>0</v>
      </c>
      <c r="C502">
        <f>'Raw Data'!C502</f>
        <v>0</v>
      </c>
      <c r="D502">
        <f>'Raw Data'!D502</f>
        <v>0</v>
      </c>
      <c r="E502">
        <f>IFERROR(VLOOKUP(D502,'Lookup Tables'!$A:$B,2,FALSE),"Unknown")</f>
        <v>0</v>
      </c>
      <c r="F502">
        <f>'Raw Data'!E502</f>
        <v>0</v>
      </c>
      <c r="G502">
        <f>IFERROR(VLOOKUP(D502,'Lookup Tables'!$A:$C,3,FALSE),IF(ISNUMBER(SEARCH("STEEL",F502)),"Steel","Others"))</f>
        <v>0</v>
      </c>
      <c r="H502">
        <f>IF(ISNUMBER(SEARCH("scrubber",F502)) , "Scrubber", IF(ISNUMBER(SEARCH("container",F502)),"Container", IF(ISNUMBER(SEARCH("basket",F502)),"Basket", IF(ISNUMBER(SEARCH("lunch",F502)),"Lunch Box", IF(ISNUMBER(SEARCH("cutlery",F502)),"Cutlery","Other")))))</f>
        <v>0</v>
      </c>
      <c r="I502">
        <f>IF('Raw Data'!G502&lt;&gt;'','Raw Data'!G502,IFERROR(MID(F502,SEARCH("MODEL",F502)+6,20),""))</f>
        <v>0</v>
      </c>
      <c r="J502">
        <f>'Raw Data'!H502</f>
        <v>0</v>
      </c>
      <c r="K502">
        <f>'Raw Data'!I502</f>
        <v>0</v>
      </c>
      <c r="L502">
        <f>IF('Raw Data'!N502&lt;&gt;0,'Raw Data'!N502,IFERROR(VALUE(MID(F502,SEARCH("QTY",F502)+4,IFERROR(FIND(" ",F502,SEARCH("QTY",F502)+4)-(SEARCH("QTY",F502)+4),3))),""))</f>
        <v>0</v>
      </c>
      <c r="M502">
        <f>'Raw Data'!O502</f>
        <v>0</v>
      </c>
      <c r="N502">
        <f>'Raw Data'!P502</f>
        <v>0</v>
      </c>
      <c r="O502">
        <f>'Raw Data'!Q502</f>
        <v>0</v>
      </c>
      <c r="P502">
        <f>'Raw Data'!R502</f>
        <v>0</v>
      </c>
      <c r="Q502">
        <f>'Raw Data'!S502</f>
        <v>0</v>
      </c>
      <c r="R502">
        <f>'Raw Data'!T502</f>
        <v>0</v>
      </c>
      <c r="S502">
        <f>IFERROR(O502,0)+IFERROR(R502,0)</f>
        <v>0</v>
      </c>
      <c r="T502">
        <f>IF(A502="","",YEAR(A502))</f>
        <v>0</v>
      </c>
    </row>
    <row r="503" spans="1:20">
      <c r="A503">
        <f>'Raw Data'!B503</f>
        <v>0</v>
      </c>
      <c r="B503">
        <f>'Raw Data'!A503</f>
        <v>0</v>
      </c>
      <c r="C503">
        <f>'Raw Data'!C503</f>
        <v>0</v>
      </c>
      <c r="D503">
        <f>'Raw Data'!D503</f>
        <v>0</v>
      </c>
      <c r="E503">
        <f>IFERROR(VLOOKUP(D503,'Lookup Tables'!$A:$B,2,FALSE),"Unknown")</f>
        <v>0</v>
      </c>
      <c r="F503">
        <f>'Raw Data'!E503</f>
        <v>0</v>
      </c>
      <c r="G503">
        <f>IFERROR(VLOOKUP(D503,'Lookup Tables'!$A:$C,3,FALSE),IF(ISNUMBER(SEARCH("STEEL",F503)),"Steel","Others"))</f>
        <v>0</v>
      </c>
      <c r="H503">
        <f>IF(ISNUMBER(SEARCH("scrubber",F503)) , "Scrubber", IF(ISNUMBER(SEARCH("container",F503)),"Container", IF(ISNUMBER(SEARCH("basket",F503)),"Basket", IF(ISNUMBER(SEARCH("lunch",F503)),"Lunch Box", IF(ISNUMBER(SEARCH("cutlery",F503)),"Cutlery","Other")))))</f>
        <v>0</v>
      </c>
      <c r="I503">
        <f>IF('Raw Data'!G503&lt;&gt;'','Raw Data'!G503,IFERROR(MID(F503,SEARCH("MODEL",F503)+6,20),""))</f>
        <v>0</v>
      </c>
      <c r="J503">
        <f>'Raw Data'!H503</f>
        <v>0</v>
      </c>
      <c r="K503">
        <f>'Raw Data'!I503</f>
        <v>0</v>
      </c>
      <c r="L503">
        <f>IF('Raw Data'!N503&lt;&gt;0,'Raw Data'!N503,IFERROR(VALUE(MID(F503,SEARCH("QTY",F503)+4,IFERROR(FIND(" ",F503,SEARCH("QTY",F503)+4)-(SEARCH("QTY",F503)+4),3))),""))</f>
        <v>0</v>
      </c>
      <c r="M503">
        <f>'Raw Data'!O503</f>
        <v>0</v>
      </c>
      <c r="N503">
        <f>'Raw Data'!P503</f>
        <v>0</v>
      </c>
      <c r="O503">
        <f>'Raw Data'!Q503</f>
        <v>0</v>
      </c>
      <c r="P503">
        <f>'Raw Data'!R503</f>
        <v>0</v>
      </c>
      <c r="Q503">
        <f>'Raw Data'!S503</f>
        <v>0</v>
      </c>
      <c r="R503">
        <f>'Raw Data'!T503</f>
        <v>0</v>
      </c>
      <c r="S503">
        <f>IFERROR(O503,0)+IFERROR(R503,0)</f>
        <v>0</v>
      </c>
      <c r="T503">
        <f>IF(A503="","",YEAR(A503))</f>
        <v>0</v>
      </c>
    </row>
    <row r="504" spans="1:20">
      <c r="A504">
        <f>'Raw Data'!B504</f>
        <v>0</v>
      </c>
      <c r="B504">
        <f>'Raw Data'!A504</f>
        <v>0</v>
      </c>
      <c r="C504">
        <f>'Raw Data'!C504</f>
        <v>0</v>
      </c>
      <c r="D504">
        <f>'Raw Data'!D504</f>
        <v>0</v>
      </c>
      <c r="E504">
        <f>IFERROR(VLOOKUP(D504,'Lookup Tables'!$A:$B,2,FALSE),"Unknown")</f>
        <v>0</v>
      </c>
      <c r="F504">
        <f>'Raw Data'!E504</f>
        <v>0</v>
      </c>
      <c r="G504">
        <f>IFERROR(VLOOKUP(D504,'Lookup Tables'!$A:$C,3,FALSE),IF(ISNUMBER(SEARCH("STEEL",F504)),"Steel","Others"))</f>
        <v>0</v>
      </c>
      <c r="H504">
        <f>IF(ISNUMBER(SEARCH("scrubber",F504)) , "Scrubber", IF(ISNUMBER(SEARCH("container",F504)),"Container", IF(ISNUMBER(SEARCH("basket",F504)),"Basket", IF(ISNUMBER(SEARCH("lunch",F504)),"Lunch Box", IF(ISNUMBER(SEARCH("cutlery",F504)),"Cutlery","Other")))))</f>
        <v>0</v>
      </c>
      <c r="I504">
        <f>IF('Raw Data'!G504&lt;&gt;'','Raw Data'!G504,IFERROR(MID(F504,SEARCH("MODEL",F504)+6,20),""))</f>
        <v>0</v>
      </c>
      <c r="J504">
        <f>'Raw Data'!H504</f>
        <v>0</v>
      </c>
      <c r="K504">
        <f>'Raw Data'!I504</f>
        <v>0</v>
      </c>
      <c r="L504">
        <f>IF('Raw Data'!N504&lt;&gt;0,'Raw Data'!N504,IFERROR(VALUE(MID(F504,SEARCH("QTY",F504)+4,IFERROR(FIND(" ",F504,SEARCH("QTY",F504)+4)-(SEARCH("QTY",F504)+4),3))),""))</f>
        <v>0</v>
      </c>
      <c r="M504">
        <f>'Raw Data'!O504</f>
        <v>0</v>
      </c>
      <c r="N504">
        <f>'Raw Data'!P504</f>
        <v>0</v>
      </c>
      <c r="O504">
        <f>'Raw Data'!Q504</f>
        <v>0</v>
      </c>
      <c r="P504">
        <f>'Raw Data'!R504</f>
        <v>0</v>
      </c>
      <c r="Q504">
        <f>'Raw Data'!S504</f>
        <v>0</v>
      </c>
      <c r="R504">
        <f>'Raw Data'!T504</f>
        <v>0</v>
      </c>
      <c r="S504">
        <f>IFERROR(O504,0)+IFERROR(R504,0)</f>
        <v>0</v>
      </c>
      <c r="T504">
        <f>IF(A504="","",YEAR(A504))</f>
        <v>0</v>
      </c>
    </row>
    <row r="505" spans="1:20">
      <c r="A505">
        <f>'Raw Data'!B505</f>
        <v>0</v>
      </c>
      <c r="B505">
        <f>'Raw Data'!A505</f>
        <v>0</v>
      </c>
      <c r="C505">
        <f>'Raw Data'!C505</f>
        <v>0</v>
      </c>
      <c r="D505">
        <f>'Raw Data'!D505</f>
        <v>0</v>
      </c>
      <c r="E505">
        <f>IFERROR(VLOOKUP(D505,'Lookup Tables'!$A:$B,2,FALSE),"Unknown")</f>
        <v>0</v>
      </c>
      <c r="F505">
        <f>'Raw Data'!E505</f>
        <v>0</v>
      </c>
      <c r="G505">
        <f>IFERROR(VLOOKUP(D505,'Lookup Tables'!$A:$C,3,FALSE),IF(ISNUMBER(SEARCH("STEEL",F505)),"Steel","Others"))</f>
        <v>0</v>
      </c>
      <c r="H505">
        <f>IF(ISNUMBER(SEARCH("scrubber",F505)) , "Scrubber", IF(ISNUMBER(SEARCH("container",F505)),"Container", IF(ISNUMBER(SEARCH("basket",F505)),"Basket", IF(ISNUMBER(SEARCH("lunch",F505)),"Lunch Box", IF(ISNUMBER(SEARCH("cutlery",F505)),"Cutlery","Other")))))</f>
        <v>0</v>
      </c>
      <c r="I505">
        <f>IF('Raw Data'!G505&lt;&gt;'','Raw Data'!G505,IFERROR(MID(F505,SEARCH("MODEL",F505)+6,20),""))</f>
        <v>0</v>
      </c>
      <c r="J505">
        <f>'Raw Data'!H505</f>
        <v>0</v>
      </c>
      <c r="K505">
        <f>'Raw Data'!I505</f>
        <v>0</v>
      </c>
      <c r="L505">
        <f>IF('Raw Data'!N505&lt;&gt;0,'Raw Data'!N505,IFERROR(VALUE(MID(F505,SEARCH("QTY",F505)+4,IFERROR(FIND(" ",F505,SEARCH("QTY",F505)+4)-(SEARCH("QTY",F505)+4),3))),""))</f>
        <v>0</v>
      </c>
      <c r="M505">
        <f>'Raw Data'!O505</f>
        <v>0</v>
      </c>
      <c r="N505">
        <f>'Raw Data'!P505</f>
        <v>0</v>
      </c>
      <c r="O505">
        <f>'Raw Data'!Q505</f>
        <v>0</v>
      </c>
      <c r="P505">
        <f>'Raw Data'!R505</f>
        <v>0</v>
      </c>
      <c r="Q505">
        <f>'Raw Data'!S505</f>
        <v>0</v>
      </c>
      <c r="R505">
        <f>'Raw Data'!T505</f>
        <v>0</v>
      </c>
      <c r="S505">
        <f>IFERROR(O505,0)+IFERROR(R505,0)</f>
        <v>0</v>
      </c>
      <c r="T505">
        <f>IF(A505="","",YEAR(A505))</f>
        <v>0</v>
      </c>
    </row>
    <row r="506" spans="1:20">
      <c r="A506">
        <f>'Raw Data'!B506</f>
        <v>0</v>
      </c>
      <c r="B506">
        <f>'Raw Data'!A506</f>
        <v>0</v>
      </c>
      <c r="C506">
        <f>'Raw Data'!C506</f>
        <v>0</v>
      </c>
      <c r="D506">
        <f>'Raw Data'!D506</f>
        <v>0</v>
      </c>
      <c r="E506">
        <f>IFERROR(VLOOKUP(D506,'Lookup Tables'!$A:$B,2,FALSE),"Unknown")</f>
        <v>0</v>
      </c>
      <c r="F506">
        <f>'Raw Data'!E506</f>
        <v>0</v>
      </c>
      <c r="G506">
        <f>IFERROR(VLOOKUP(D506,'Lookup Tables'!$A:$C,3,FALSE),IF(ISNUMBER(SEARCH("STEEL",F506)),"Steel","Others"))</f>
        <v>0</v>
      </c>
      <c r="H506">
        <f>IF(ISNUMBER(SEARCH("scrubber",F506)) , "Scrubber", IF(ISNUMBER(SEARCH("container",F506)),"Container", IF(ISNUMBER(SEARCH("basket",F506)),"Basket", IF(ISNUMBER(SEARCH("lunch",F506)),"Lunch Box", IF(ISNUMBER(SEARCH("cutlery",F506)),"Cutlery","Other")))))</f>
        <v>0</v>
      </c>
      <c r="I506">
        <f>IF('Raw Data'!G506&lt;&gt;'','Raw Data'!G506,IFERROR(MID(F506,SEARCH("MODEL",F506)+6,20),""))</f>
        <v>0</v>
      </c>
      <c r="J506">
        <f>'Raw Data'!H506</f>
        <v>0</v>
      </c>
      <c r="K506">
        <f>'Raw Data'!I506</f>
        <v>0</v>
      </c>
      <c r="L506">
        <f>IF('Raw Data'!N506&lt;&gt;0,'Raw Data'!N506,IFERROR(VALUE(MID(F506,SEARCH("QTY",F506)+4,IFERROR(FIND(" ",F506,SEARCH("QTY",F506)+4)-(SEARCH("QTY",F506)+4),3))),""))</f>
        <v>0</v>
      </c>
      <c r="M506">
        <f>'Raw Data'!O506</f>
        <v>0</v>
      </c>
      <c r="N506">
        <f>'Raw Data'!P506</f>
        <v>0</v>
      </c>
      <c r="O506">
        <f>'Raw Data'!Q506</f>
        <v>0</v>
      </c>
      <c r="P506">
        <f>'Raw Data'!R506</f>
        <v>0</v>
      </c>
      <c r="Q506">
        <f>'Raw Data'!S506</f>
        <v>0</v>
      </c>
      <c r="R506">
        <f>'Raw Data'!T506</f>
        <v>0</v>
      </c>
      <c r="S506">
        <f>IFERROR(O506,0)+IFERROR(R506,0)</f>
        <v>0</v>
      </c>
      <c r="T506">
        <f>IF(A506="","",YEAR(A506))</f>
        <v>0</v>
      </c>
    </row>
    <row r="507" spans="1:20">
      <c r="A507">
        <f>'Raw Data'!B507</f>
        <v>0</v>
      </c>
      <c r="B507">
        <f>'Raw Data'!A507</f>
        <v>0</v>
      </c>
      <c r="C507">
        <f>'Raw Data'!C507</f>
        <v>0</v>
      </c>
      <c r="D507">
        <f>'Raw Data'!D507</f>
        <v>0</v>
      </c>
      <c r="E507">
        <f>IFERROR(VLOOKUP(D507,'Lookup Tables'!$A:$B,2,FALSE),"Unknown")</f>
        <v>0</v>
      </c>
      <c r="F507">
        <f>'Raw Data'!E507</f>
        <v>0</v>
      </c>
      <c r="G507">
        <f>IFERROR(VLOOKUP(D507,'Lookup Tables'!$A:$C,3,FALSE),IF(ISNUMBER(SEARCH("STEEL",F507)),"Steel","Others"))</f>
        <v>0</v>
      </c>
      <c r="H507">
        <f>IF(ISNUMBER(SEARCH("scrubber",F507)) , "Scrubber", IF(ISNUMBER(SEARCH("container",F507)),"Container", IF(ISNUMBER(SEARCH("basket",F507)),"Basket", IF(ISNUMBER(SEARCH("lunch",F507)),"Lunch Box", IF(ISNUMBER(SEARCH("cutlery",F507)),"Cutlery","Other")))))</f>
        <v>0</v>
      </c>
      <c r="I507">
        <f>IF('Raw Data'!G507&lt;&gt;'','Raw Data'!G507,IFERROR(MID(F507,SEARCH("MODEL",F507)+6,20),""))</f>
        <v>0</v>
      </c>
      <c r="J507">
        <f>'Raw Data'!H507</f>
        <v>0</v>
      </c>
      <c r="K507">
        <f>'Raw Data'!I507</f>
        <v>0</v>
      </c>
      <c r="L507">
        <f>IF('Raw Data'!N507&lt;&gt;0,'Raw Data'!N507,IFERROR(VALUE(MID(F507,SEARCH("QTY",F507)+4,IFERROR(FIND(" ",F507,SEARCH("QTY",F507)+4)-(SEARCH("QTY",F507)+4),3))),""))</f>
        <v>0</v>
      </c>
      <c r="M507">
        <f>'Raw Data'!O507</f>
        <v>0</v>
      </c>
      <c r="N507">
        <f>'Raw Data'!P507</f>
        <v>0</v>
      </c>
      <c r="O507">
        <f>'Raw Data'!Q507</f>
        <v>0</v>
      </c>
      <c r="P507">
        <f>'Raw Data'!R507</f>
        <v>0</v>
      </c>
      <c r="Q507">
        <f>'Raw Data'!S507</f>
        <v>0</v>
      </c>
      <c r="R507">
        <f>'Raw Data'!T507</f>
        <v>0</v>
      </c>
      <c r="S507">
        <f>IFERROR(O507,0)+IFERROR(R507,0)</f>
        <v>0</v>
      </c>
      <c r="T507">
        <f>IF(A507="","",YEAR(A507))</f>
        <v>0</v>
      </c>
    </row>
    <row r="508" spans="1:20">
      <c r="A508">
        <f>'Raw Data'!B508</f>
        <v>0</v>
      </c>
      <c r="B508">
        <f>'Raw Data'!A508</f>
        <v>0</v>
      </c>
      <c r="C508">
        <f>'Raw Data'!C508</f>
        <v>0</v>
      </c>
      <c r="D508">
        <f>'Raw Data'!D508</f>
        <v>0</v>
      </c>
      <c r="E508">
        <f>IFERROR(VLOOKUP(D508,'Lookup Tables'!$A:$B,2,FALSE),"Unknown")</f>
        <v>0</v>
      </c>
      <c r="F508">
        <f>'Raw Data'!E508</f>
        <v>0</v>
      </c>
      <c r="G508">
        <f>IFERROR(VLOOKUP(D508,'Lookup Tables'!$A:$C,3,FALSE),IF(ISNUMBER(SEARCH("STEEL",F508)),"Steel","Others"))</f>
        <v>0</v>
      </c>
      <c r="H508">
        <f>IF(ISNUMBER(SEARCH("scrubber",F508)) , "Scrubber", IF(ISNUMBER(SEARCH("container",F508)),"Container", IF(ISNUMBER(SEARCH("basket",F508)),"Basket", IF(ISNUMBER(SEARCH("lunch",F508)),"Lunch Box", IF(ISNUMBER(SEARCH("cutlery",F508)),"Cutlery","Other")))))</f>
        <v>0</v>
      </c>
      <c r="I508">
        <f>IF('Raw Data'!G508&lt;&gt;'','Raw Data'!G508,IFERROR(MID(F508,SEARCH("MODEL",F508)+6,20),""))</f>
        <v>0</v>
      </c>
      <c r="J508">
        <f>'Raw Data'!H508</f>
        <v>0</v>
      </c>
      <c r="K508">
        <f>'Raw Data'!I508</f>
        <v>0</v>
      </c>
      <c r="L508">
        <f>IF('Raw Data'!N508&lt;&gt;0,'Raw Data'!N508,IFERROR(VALUE(MID(F508,SEARCH("QTY",F508)+4,IFERROR(FIND(" ",F508,SEARCH("QTY",F508)+4)-(SEARCH("QTY",F508)+4),3))),""))</f>
        <v>0</v>
      </c>
      <c r="M508">
        <f>'Raw Data'!O508</f>
        <v>0</v>
      </c>
      <c r="N508">
        <f>'Raw Data'!P508</f>
        <v>0</v>
      </c>
      <c r="O508">
        <f>'Raw Data'!Q508</f>
        <v>0</v>
      </c>
      <c r="P508">
        <f>'Raw Data'!R508</f>
        <v>0</v>
      </c>
      <c r="Q508">
        <f>'Raw Data'!S508</f>
        <v>0</v>
      </c>
      <c r="R508">
        <f>'Raw Data'!T508</f>
        <v>0</v>
      </c>
      <c r="S508">
        <f>IFERROR(O508,0)+IFERROR(R508,0)</f>
        <v>0</v>
      </c>
      <c r="T508">
        <f>IF(A508="","",YEAR(A508))</f>
        <v>0</v>
      </c>
    </row>
    <row r="509" spans="1:20">
      <c r="A509">
        <f>'Raw Data'!B509</f>
        <v>0</v>
      </c>
      <c r="B509">
        <f>'Raw Data'!A509</f>
        <v>0</v>
      </c>
      <c r="C509">
        <f>'Raw Data'!C509</f>
        <v>0</v>
      </c>
      <c r="D509">
        <f>'Raw Data'!D509</f>
        <v>0</v>
      </c>
      <c r="E509">
        <f>IFERROR(VLOOKUP(D509,'Lookup Tables'!$A:$B,2,FALSE),"Unknown")</f>
        <v>0</v>
      </c>
      <c r="F509">
        <f>'Raw Data'!E509</f>
        <v>0</v>
      </c>
      <c r="G509">
        <f>IFERROR(VLOOKUP(D509,'Lookup Tables'!$A:$C,3,FALSE),IF(ISNUMBER(SEARCH("STEEL",F509)),"Steel","Others"))</f>
        <v>0</v>
      </c>
      <c r="H509">
        <f>IF(ISNUMBER(SEARCH("scrubber",F509)) , "Scrubber", IF(ISNUMBER(SEARCH("container",F509)),"Container", IF(ISNUMBER(SEARCH("basket",F509)),"Basket", IF(ISNUMBER(SEARCH("lunch",F509)),"Lunch Box", IF(ISNUMBER(SEARCH("cutlery",F509)),"Cutlery","Other")))))</f>
        <v>0</v>
      </c>
      <c r="I509">
        <f>IF('Raw Data'!G509&lt;&gt;'','Raw Data'!G509,IFERROR(MID(F509,SEARCH("MODEL",F509)+6,20),""))</f>
        <v>0</v>
      </c>
      <c r="J509">
        <f>'Raw Data'!H509</f>
        <v>0</v>
      </c>
      <c r="K509">
        <f>'Raw Data'!I509</f>
        <v>0</v>
      </c>
      <c r="L509">
        <f>IF('Raw Data'!N509&lt;&gt;0,'Raw Data'!N509,IFERROR(VALUE(MID(F509,SEARCH("QTY",F509)+4,IFERROR(FIND(" ",F509,SEARCH("QTY",F509)+4)-(SEARCH("QTY",F509)+4),3))),""))</f>
        <v>0</v>
      </c>
      <c r="M509">
        <f>'Raw Data'!O509</f>
        <v>0</v>
      </c>
      <c r="N509">
        <f>'Raw Data'!P509</f>
        <v>0</v>
      </c>
      <c r="O509">
        <f>'Raw Data'!Q509</f>
        <v>0</v>
      </c>
      <c r="P509">
        <f>'Raw Data'!R509</f>
        <v>0</v>
      </c>
      <c r="Q509">
        <f>'Raw Data'!S509</f>
        <v>0</v>
      </c>
      <c r="R509">
        <f>'Raw Data'!T509</f>
        <v>0</v>
      </c>
      <c r="S509">
        <f>IFERROR(O509,0)+IFERROR(R509,0)</f>
        <v>0</v>
      </c>
      <c r="T509">
        <f>IF(A509="","",YEAR(A509))</f>
        <v>0</v>
      </c>
    </row>
    <row r="510" spans="1:20">
      <c r="A510">
        <f>'Raw Data'!B510</f>
        <v>0</v>
      </c>
      <c r="B510">
        <f>'Raw Data'!A510</f>
        <v>0</v>
      </c>
      <c r="C510">
        <f>'Raw Data'!C510</f>
        <v>0</v>
      </c>
      <c r="D510">
        <f>'Raw Data'!D510</f>
        <v>0</v>
      </c>
      <c r="E510">
        <f>IFERROR(VLOOKUP(D510,'Lookup Tables'!$A:$B,2,FALSE),"Unknown")</f>
        <v>0</v>
      </c>
      <c r="F510">
        <f>'Raw Data'!E510</f>
        <v>0</v>
      </c>
      <c r="G510">
        <f>IFERROR(VLOOKUP(D510,'Lookup Tables'!$A:$C,3,FALSE),IF(ISNUMBER(SEARCH("STEEL",F510)),"Steel","Others"))</f>
        <v>0</v>
      </c>
      <c r="H510">
        <f>IF(ISNUMBER(SEARCH("scrubber",F510)) , "Scrubber", IF(ISNUMBER(SEARCH("container",F510)),"Container", IF(ISNUMBER(SEARCH("basket",F510)),"Basket", IF(ISNUMBER(SEARCH("lunch",F510)),"Lunch Box", IF(ISNUMBER(SEARCH("cutlery",F510)),"Cutlery","Other")))))</f>
        <v>0</v>
      </c>
      <c r="I510">
        <f>IF('Raw Data'!G510&lt;&gt;'','Raw Data'!G510,IFERROR(MID(F510,SEARCH("MODEL",F510)+6,20),""))</f>
        <v>0</v>
      </c>
      <c r="J510">
        <f>'Raw Data'!H510</f>
        <v>0</v>
      </c>
      <c r="K510">
        <f>'Raw Data'!I510</f>
        <v>0</v>
      </c>
      <c r="L510">
        <f>IF('Raw Data'!N510&lt;&gt;0,'Raw Data'!N510,IFERROR(VALUE(MID(F510,SEARCH("QTY",F510)+4,IFERROR(FIND(" ",F510,SEARCH("QTY",F510)+4)-(SEARCH("QTY",F510)+4),3))),""))</f>
        <v>0</v>
      </c>
      <c r="M510">
        <f>'Raw Data'!O510</f>
        <v>0</v>
      </c>
      <c r="N510">
        <f>'Raw Data'!P510</f>
        <v>0</v>
      </c>
      <c r="O510">
        <f>'Raw Data'!Q510</f>
        <v>0</v>
      </c>
      <c r="P510">
        <f>'Raw Data'!R510</f>
        <v>0</v>
      </c>
      <c r="Q510">
        <f>'Raw Data'!S510</f>
        <v>0</v>
      </c>
      <c r="R510">
        <f>'Raw Data'!T510</f>
        <v>0</v>
      </c>
      <c r="S510">
        <f>IFERROR(O510,0)+IFERROR(R510,0)</f>
        <v>0</v>
      </c>
      <c r="T510">
        <f>IF(A510="","",YEAR(A510))</f>
        <v>0</v>
      </c>
    </row>
    <row r="511" spans="1:20">
      <c r="A511">
        <f>'Raw Data'!B511</f>
        <v>0</v>
      </c>
      <c r="B511">
        <f>'Raw Data'!A511</f>
        <v>0</v>
      </c>
      <c r="C511">
        <f>'Raw Data'!C511</f>
        <v>0</v>
      </c>
      <c r="D511">
        <f>'Raw Data'!D511</f>
        <v>0</v>
      </c>
      <c r="E511">
        <f>IFERROR(VLOOKUP(D511,'Lookup Tables'!$A:$B,2,FALSE),"Unknown")</f>
        <v>0</v>
      </c>
      <c r="F511">
        <f>'Raw Data'!E511</f>
        <v>0</v>
      </c>
      <c r="G511">
        <f>IFERROR(VLOOKUP(D511,'Lookup Tables'!$A:$C,3,FALSE),IF(ISNUMBER(SEARCH("STEEL",F511)),"Steel","Others"))</f>
        <v>0</v>
      </c>
      <c r="H511">
        <f>IF(ISNUMBER(SEARCH("scrubber",F511)) , "Scrubber", IF(ISNUMBER(SEARCH("container",F511)),"Container", IF(ISNUMBER(SEARCH("basket",F511)),"Basket", IF(ISNUMBER(SEARCH("lunch",F511)),"Lunch Box", IF(ISNUMBER(SEARCH("cutlery",F511)),"Cutlery","Other")))))</f>
        <v>0</v>
      </c>
      <c r="I511">
        <f>IF('Raw Data'!G511&lt;&gt;'','Raw Data'!G511,IFERROR(MID(F511,SEARCH("MODEL",F511)+6,20),""))</f>
        <v>0</v>
      </c>
      <c r="J511">
        <f>'Raw Data'!H511</f>
        <v>0</v>
      </c>
      <c r="K511">
        <f>'Raw Data'!I511</f>
        <v>0</v>
      </c>
      <c r="L511">
        <f>IF('Raw Data'!N511&lt;&gt;0,'Raw Data'!N511,IFERROR(VALUE(MID(F511,SEARCH("QTY",F511)+4,IFERROR(FIND(" ",F511,SEARCH("QTY",F511)+4)-(SEARCH("QTY",F511)+4),3))),""))</f>
        <v>0</v>
      </c>
      <c r="M511">
        <f>'Raw Data'!O511</f>
        <v>0</v>
      </c>
      <c r="N511">
        <f>'Raw Data'!P511</f>
        <v>0</v>
      </c>
      <c r="O511">
        <f>'Raw Data'!Q511</f>
        <v>0</v>
      </c>
      <c r="P511">
        <f>'Raw Data'!R511</f>
        <v>0</v>
      </c>
      <c r="Q511">
        <f>'Raw Data'!S511</f>
        <v>0</v>
      </c>
      <c r="R511">
        <f>'Raw Data'!T511</f>
        <v>0</v>
      </c>
      <c r="S511">
        <f>IFERROR(O511,0)+IFERROR(R511,0)</f>
        <v>0</v>
      </c>
      <c r="T511">
        <f>IF(A511="","",YEAR(A511))</f>
        <v>0</v>
      </c>
    </row>
    <row r="512" spans="1:20">
      <c r="A512">
        <f>'Raw Data'!B512</f>
        <v>0</v>
      </c>
      <c r="B512">
        <f>'Raw Data'!A512</f>
        <v>0</v>
      </c>
      <c r="C512">
        <f>'Raw Data'!C512</f>
        <v>0</v>
      </c>
      <c r="D512">
        <f>'Raw Data'!D512</f>
        <v>0</v>
      </c>
      <c r="E512">
        <f>IFERROR(VLOOKUP(D512,'Lookup Tables'!$A:$B,2,FALSE),"Unknown")</f>
        <v>0</v>
      </c>
      <c r="F512">
        <f>'Raw Data'!E512</f>
        <v>0</v>
      </c>
      <c r="G512">
        <f>IFERROR(VLOOKUP(D512,'Lookup Tables'!$A:$C,3,FALSE),IF(ISNUMBER(SEARCH("STEEL",F512)),"Steel","Others"))</f>
        <v>0</v>
      </c>
      <c r="H512">
        <f>IF(ISNUMBER(SEARCH("scrubber",F512)) , "Scrubber", IF(ISNUMBER(SEARCH("container",F512)),"Container", IF(ISNUMBER(SEARCH("basket",F512)),"Basket", IF(ISNUMBER(SEARCH("lunch",F512)),"Lunch Box", IF(ISNUMBER(SEARCH("cutlery",F512)),"Cutlery","Other")))))</f>
        <v>0</v>
      </c>
      <c r="I512">
        <f>IF('Raw Data'!G512&lt;&gt;'','Raw Data'!G512,IFERROR(MID(F512,SEARCH("MODEL",F512)+6,20),""))</f>
        <v>0</v>
      </c>
      <c r="J512">
        <f>'Raw Data'!H512</f>
        <v>0</v>
      </c>
      <c r="K512">
        <f>'Raw Data'!I512</f>
        <v>0</v>
      </c>
      <c r="L512">
        <f>IF('Raw Data'!N512&lt;&gt;0,'Raw Data'!N512,IFERROR(VALUE(MID(F512,SEARCH("QTY",F512)+4,IFERROR(FIND(" ",F512,SEARCH("QTY",F512)+4)-(SEARCH("QTY",F512)+4),3))),""))</f>
        <v>0</v>
      </c>
      <c r="M512">
        <f>'Raw Data'!O512</f>
        <v>0</v>
      </c>
      <c r="N512">
        <f>'Raw Data'!P512</f>
        <v>0</v>
      </c>
      <c r="O512">
        <f>'Raw Data'!Q512</f>
        <v>0</v>
      </c>
      <c r="P512">
        <f>'Raw Data'!R512</f>
        <v>0</v>
      </c>
      <c r="Q512">
        <f>'Raw Data'!S512</f>
        <v>0</v>
      </c>
      <c r="R512">
        <f>'Raw Data'!T512</f>
        <v>0</v>
      </c>
      <c r="S512">
        <f>IFERROR(O512,0)+IFERROR(R512,0)</f>
        <v>0</v>
      </c>
      <c r="T512">
        <f>IF(A512="","",YEAR(A512))</f>
        <v>0</v>
      </c>
    </row>
    <row r="513" spans="1:20">
      <c r="A513">
        <f>'Raw Data'!B513</f>
        <v>0</v>
      </c>
      <c r="B513">
        <f>'Raw Data'!A513</f>
        <v>0</v>
      </c>
      <c r="C513">
        <f>'Raw Data'!C513</f>
        <v>0</v>
      </c>
      <c r="D513">
        <f>'Raw Data'!D513</f>
        <v>0</v>
      </c>
      <c r="E513">
        <f>IFERROR(VLOOKUP(D513,'Lookup Tables'!$A:$B,2,FALSE),"Unknown")</f>
        <v>0</v>
      </c>
      <c r="F513">
        <f>'Raw Data'!E513</f>
        <v>0</v>
      </c>
      <c r="G513">
        <f>IFERROR(VLOOKUP(D513,'Lookup Tables'!$A:$C,3,FALSE),IF(ISNUMBER(SEARCH("STEEL",F513)),"Steel","Others"))</f>
        <v>0</v>
      </c>
      <c r="H513">
        <f>IF(ISNUMBER(SEARCH("scrubber",F513)) , "Scrubber", IF(ISNUMBER(SEARCH("container",F513)),"Container", IF(ISNUMBER(SEARCH("basket",F513)),"Basket", IF(ISNUMBER(SEARCH("lunch",F513)),"Lunch Box", IF(ISNUMBER(SEARCH("cutlery",F513)),"Cutlery","Other")))))</f>
        <v>0</v>
      </c>
      <c r="I513">
        <f>IF('Raw Data'!G513&lt;&gt;'','Raw Data'!G513,IFERROR(MID(F513,SEARCH("MODEL",F513)+6,20),""))</f>
        <v>0</v>
      </c>
      <c r="J513">
        <f>'Raw Data'!H513</f>
        <v>0</v>
      </c>
      <c r="K513">
        <f>'Raw Data'!I513</f>
        <v>0</v>
      </c>
      <c r="L513">
        <f>IF('Raw Data'!N513&lt;&gt;0,'Raw Data'!N513,IFERROR(VALUE(MID(F513,SEARCH("QTY",F513)+4,IFERROR(FIND(" ",F513,SEARCH("QTY",F513)+4)-(SEARCH("QTY",F513)+4),3))),""))</f>
        <v>0</v>
      </c>
      <c r="M513">
        <f>'Raw Data'!O513</f>
        <v>0</v>
      </c>
      <c r="N513">
        <f>'Raw Data'!P513</f>
        <v>0</v>
      </c>
      <c r="O513">
        <f>'Raw Data'!Q513</f>
        <v>0</v>
      </c>
      <c r="P513">
        <f>'Raw Data'!R513</f>
        <v>0</v>
      </c>
      <c r="Q513">
        <f>'Raw Data'!S513</f>
        <v>0</v>
      </c>
      <c r="R513">
        <f>'Raw Data'!T513</f>
        <v>0</v>
      </c>
      <c r="S513">
        <f>IFERROR(O513,0)+IFERROR(R513,0)</f>
        <v>0</v>
      </c>
      <c r="T513">
        <f>IF(A513="","",YEAR(A513))</f>
        <v>0</v>
      </c>
    </row>
    <row r="514" spans="1:20">
      <c r="A514">
        <f>'Raw Data'!B514</f>
        <v>0</v>
      </c>
      <c r="B514">
        <f>'Raw Data'!A514</f>
        <v>0</v>
      </c>
      <c r="C514">
        <f>'Raw Data'!C514</f>
        <v>0</v>
      </c>
      <c r="D514">
        <f>'Raw Data'!D514</f>
        <v>0</v>
      </c>
      <c r="E514">
        <f>IFERROR(VLOOKUP(D514,'Lookup Tables'!$A:$B,2,FALSE),"Unknown")</f>
        <v>0</v>
      </c>
      <c r="F514">
        <f>'Raw Data'!E514</f>
        <v>0</v>
      </c>
      <c r="G514">
        <f>IFERROR(VLOOKUP(D514,'Lookup Tables'!$A:$C,3,FALSE),IF(ISNUMBER(SEARCH("STEEL",F514)),"Steel","Others"))</f>
        <v>0</v>
      </c>
      <c r="H514">
        <f>IF(ISNUMBER(SEARCH("scrubber",F514)) , "Scrubber", IF(ISNUMBER(SEARCH("container",F514)),"Container", IF(ISNUMBER(SEARCH("basket",F514)),"Basket", IF(ISNUMBER(SEARCH("lunch",F514)),"Lunch Box", IF(ISNUMBER(SEARCH("cutlery",F514)),"Cutlery","Other")))))</f>
        <v>0</v>
      </c>
      <c r="I514">
        <f>IF('Raw Data'!G514&lt;&gt;'','Raw Data'!G514,IFERROR(MID(F514,SEARCH("MODEL",F514)+6,20),""))</f>
        <v>0</v>
      </c>
      <c r="J514">
        <f>'Raw Data'!H514</f>
        <v>0</v>
      </c>
      <c r="K514">
        <f>'Raw Data'!I514</f>
        <v>0</v>
      </c>
      <c r="L514">
        <f>IF('Raw Data'!N514&lt;&gt;0,'Raw Data'!N514,IFERROR(VALUE(MID(F514,SEARCH("QTY",F514)+4,IFERROR(FIND(" ",F514,SEARCH("QTY",F514)+4)-(SEARCH("QTY",F514)+4),3))),""))</f>
        <v>0</v>
      </c>
      <c r="M514">
        <f>'Raw Data'!O514</f>
        <v>0</v>
      </c>
      <c r="N514">
        <f>'Raw Data'!P514</f>
        <v>0</v>
      </c>
      <c r="O514">
        <f>'Raw Data'!Q514</f>
        <v>0</v>
      </c>
      <c r="P514">
        <f>'Raw Data'!R514</f>
        <v>0</v>
      </c>
      <c r="Q514">
        <f>'Raw Data'!S514</f>
        <v>0</v>
      </c>
      <c r="R514">
        <f>'Raw Data'!T514</f>
        <v>0</v>
      </c>
      <c r="S514">
        <f>IFERROR(O514,0)+IFERROR(R514,0)</f>
        <v>0</v>
      </c>
      <c r="T514">
        <f>IF(A514="","",YEAR(A514))</f>
        <v>0</v>
      </c>
    </row>
    <row r="515" spans="1:20">
      <c r="A515">
        <f>'Raw Data'!B515</f>
        <v>0</v>
      </c>
      <c r="B515">
        <f>'Raw Data'!A515</f>
        <v>0</v>
      </c>
      <c r="C515">
        <f>'Raw Data'!C515</f>
        <v>0</v>
      </c>
      <c r="D515">
        <f>'Raw Data'!D515</f>
        <v>0</v>
      </c>
      <c r="E515">
        <f>IFERROR(VLOOKUP(D515,'Lookup Tables'!$A:$B,2,FALSE),"Unknown")</f>
        <v>0</v>
      </c>
      <c r="F515">
        <f>'Raw Data'!E515</f>
        <v>0</v>
      </c>
      <c r="G515">
        <f>IFERROR(VLOOKUP(D515,'Lookup Tables'!$A:$C,3,FALSE),IF(ISNUMBER(SEARCH("STEEL",F515)),"Steel","Others"))</f>
        <v>0</v>
      </c>
      <c r="H515">
        <f>IF(ISNUMBER(SEARCH("scrubber",F515)) , "Scrubber", IF(ISNUMBER(SEARCH("container",F515)),"Container", IF(ISNUMBER(SEARCH("basket",F515)),"Basket", IF(ISNUMBER(SEARCH("lunch",F515)),"Lunch Box", IF(ISNUMBER(SEARCH("cutlery",F515)),"Cutlery","Other")))))</f>
        <v>0</v>
      </c>
      <c r="I515">
        <f>IF('Raw Data'!G515&lt;&gt;'','Raw Data'!G515,IFERROR(MID(F515,SEARCH("MODEL",F515)+6,20),""))</f>
        <v>0</v>
      </c>
      <c r="J515">
        <f>'Raw Data'!H515</f>
        <v>0</v>
      </c>
      <c r="K515">
        <f>'Raw Data'!I515</f>
        <v>0</v>
      </c>
      <c r="L515">
        <f>IF('Raw Data'!N515&lt;&gt;0,'Raw Data'!N515,IFERROR(VALUE(MID(F515,SEARCH("QTY",F515)+4,IFERROR(FIND(" ",F515,SEARCH("QTY",F515)+4)-(SEARCH("QTY",F515)+4),3))),""))</f>
        <v>0</v>
      </c>
      <c r="M515">
        <f>'Raw Data'!O515</f>
        <v>0</v>
      </c>
      <c r="N515">
        <f>'Raw Data'!P515</f>
        <v>0</v>
      </c>
      <c r="O515">
        <f>'Raw Data'!Q515</f>
        <v>0</v>
      </c>
      <c r="P515">
        <f>'Raw Data'!R515</f>
        <v>0</v>
      </c>
      <c r="Q515">
        <f>'Raw Data'!S515</f>
        <v>0</v>
      </c>
      <c r="R515">
        <f>'Raw Data'!T515</f>
        <v>0</v>
      </c>
      <c r="S515">
        <f>IFERROR(O515,0)+IFERROR(R515,0)</f>
        <v>0</v>
      </c>
      <c r="T515">
        <f>IF(A515="","",YEAR(A515))</f>
        <v>0</v>
      </c>
    </row>
    <row r="516" spans="1:20">
      <c r="A516">
        <f>'Raw Data'!B516</f>
        <v>0</v>
      </c>
      <c r="B516">
        <f>'Raw Data'!A516</f>
        <v>0</v>
      </c>
      <c r="C516">
        <f>'Raw Data'!C516</f>
        <v>0</v>
      </c>
      <c r="D516">
        <f>'Raw Data'!D516</f>
        <v>0</v>
      </c>
      <c r="E516">
        <f>IFERROR(VLOOKUP(D516,'Lookup Tables'!$A:$B,2,FALSE),"Unknown")</f>
        <v>0</v>
      </c>
      <c r="F516">
        <f>'Raw Data'!E516</f>
        <v>0</v>
      </c>
      <c r="G516">
        <f>IFERROR(VLOOKUP(D516,'Lookup Tables'!$A:$C,3,FALSE),IF(ISNUMBER(SEARCH("STEEL",F516)),"Steel","Others"))</f>
        <v>0</v>
      </c>
      <c r="H516">
        <f>IF(ISNUMBER(SEARCH("scrubber",F516)) , "Scrubber", IF(ISNUMBER(SEARCH("container",F516)),"Container", IF(ISNUMBER(SEARCH("basket",F516)),"Basket", IF(ISNUMBER(SEARCH("lunch",F516)),"Lunch Box", IF(ISNUMBER(SEARCH("cutlery",F516)),"Cutlery","Other")))))</f>
        <v>0</v>
      </c>
      <c r="I516">
        <f>IF('Raw Data'!G516&lt;&gt;'','Raw Data'!G516,IFERROR(MID(F516,SEARCH("MODEL",F516)+6,20),""))</f>
        <v>0</v>
      </c>
      <c r="J516">
        <f>'Raw Data'!H516</f>
        <v>0</v>
      </c>
      <c r="K516">
        <f>'Raw Data'!I516</f>
        <v>0</v>
      </c>
      <c r="L516">
        <f>IF('Raw Data'!N516&lt;&gt;0,'Raw Data'!N516,IFERROR(VALUE(MID(F516,SEARCH("QTY",F516)+4,IFERROR(FIND(" ",F516,SEARCH("QTY",F516)+4)-(SEARCH("QTY",F516)+4),3))),""))</f>
        <v>0</v>
      </c>
      <c r="M516">
        <f>'Raw Data'!O516</f>
        <v>0</v>
      </c>
      <c r="N516">
        <f>'Raw Data'!P516</f>
        <v>0</v>
      </c>
      <c r="O516">
        <f>'Raw Data'!Q516</f>
        <v>0</v>
      </c>
      <c r="P516">
        <f>'Raw Data'!R516</f>
        <v>0</v>
      </c>
      <c r="Q516">
        <f>'Raw Data'!S516</f>
        <v>0</v>
      </c>
      <c r="R516">
        <f>'Raw Data'!T516</f>
        <v>0</v>
      </c>
      <c r="S516">
        <f>IFERROR(O516,0)+IFERROR(R516,0)</f>
        <v>0</v>
      </c>
      <c r="T516">
        <f>IF(A516="","",YEAR(A516))</f>
        <v>0</v>
      </c>
    </row>
    <row r="517" spans="1:20">
      <c r="A517">
        <f>'Raw Data'!B517</f>
        <v>0</v>
      </c>
      <c r="B517">
        <f>'Raw Data'!A517</f>
        <v>0</v>
      </c>
      <c r="C517">
        <f>'Raw Data'!C517</f>
        <v>0</v>
      </c>
      <c r="D517">
        <f>'Raw Data'!D517</f>
        <v>0</v>
      </c>
      <c r="E517">
        <f>IFERROR(VLOOKUP(D517,'Lookup Tables'!$A:$B,2,FALSE),"Unknown")</f>
        <v>0</v>
      </c>
      <c r="F517">
        <f>'Raw Data'!E517</f>
        <v>0</v>
      </c>
      <c r="G517">
        <f>IFERROR(VLOOKUP(D517,'Lookup Tables'!$A:$C,3,FALSE),IF(ISNUMBER(SEARCH("STEEL",F517)),"Steel","Others"))</f>
        <v>0</v>
      </c>
      <c r="H517">
        <f>IF(ISNUMBER(SEARCH("scrubber",F517)) , "Scrubber", IF(ISNUMBER(SEARCH("container",F517)),"Container", IF(ISNUMBER(SEARCH("basket",F517)),"Basket", IF(ISNUMBER(SEARCH("lunch",F517)),"Lunch Box", IF(ISNUMBER(SEARCH("cutlery",F517)),"Cutlery","Other")))))</f>
        <v>0</v>
      </c>
      <c r="I517">
        <f>IF('Raw Data'!G517&lt;&gt;'','Raw Data'!G517,IFERROR(MID(F517,SEARCH("MODEL",F517)+6,20),""))</f>
        <v>0</v>
      </c>
      <c r="J517">
        <f>'Raw Data'!H517</f>
        <v>0</v>
      </c>
      <c r="K517">
        <f>'Raw Data'!I517</f>
        <v>0</v>
      </c>
      <c r="L517">
        <f>IF('Raw Data'!N517&lt;&gt;0,'Raw Data'!N517,IFERROR(VALUE(MID(F517,SEARCH("QTY",F517)+4,IFERROR(FIND(" ",F517,SEARCH("QTY",F517)+4)-(SEARCH("QTY",F517)+4),3))),""))</f>
        <v>0</v>
      </c>
      <c r="M517">
        <f>'Raw Data'!O517</f>
        <v>0</v>
      </c>
      <c r="N517">
        <f>'Raw Data'!P517</f>
        <v>0</v>
      </c>
      <c r="O517">
        <f>'Raw Data'!Q517</f>
        <v>0</v>
      </c>
      <c r="P517">
        <f>'Raw Data'!R517</f>
        <v>0</v>
      </c>
      <c r="Q517">
        <f>'Raw Data'!S517</f>
        <v>0</v>
      </c>
      <c r="R517">
        <f>'Raw Data'!T517</f>
        <v>0</v>
      </c>
      <c r="S517">
        <f>IFERROR(O517,0)+IFERROR(R517,0)</f>
        <v>0</v>
      </c>
      <c r="T517">
        <f>IF(A517="","",YEAR(A517))</f>
        <v>0</v>
      </c>
    </row>
    <row r="518" spans="1:20">
      <c r="A518">
        <f>'Raw Data'!B518</f>
        <v>0</v>
      </c>
      <c r="B518">
        <f>'Raw Data'!A518</f>
        <v>0</v>
      </c>
      <c r="C518">
        <f>'Raw Data'!C518</f>
        <v>0</v>
      </c>
      <c r="D518">
        <f>'Raw Data'!D518</f>
        <v>0</v>
      </c>
      <c r="E518">
        <f>IFERROR(VLOOKUP(D518,'Lookup Tables'!$A:$B,2,FALSE),"Unknown")</f>
        <v>0</v>
      </c>
      <c r="F518">
        <f>'Raw Data'!E518</f>
        <v>0</v>
      </c>
      <c r="G518">
        <f>IFERROR(VLOOKUP(D518,'Lookup Tables'!$A:$C,3,FALSE),IF(ISNUMBER(SEARCH("STEEL",F518)),"Steel","Others"))</f>
        <v>0</v>
      </c>
      <c r="H518">
        <f>IF(ISNUMBER(SEARCH("scrubber",F518)) , "Scrubber", IF(ISNUMBER(SEARCH("container",F518)),"Container", IF(ISNUMBER(SEARCH("basket",F518)),"Basket", IF(ISNUMBER(SEARCH("lunch",F518)),"Lunch Box", IF(ISNUMBER(SEARCH("cutlery",F518)),"Cutlery","Other")))))</f>
        <v>0</v>
      </c>
      <c r="I518">
        <f>IF('Raw Data'!G518&lt;&gt;'','Raw Data'!G518,IFERROR(MID(F518,SEARCH("MODEL",F518)+6,20),""))</f>
        <v>0</v>
      </c>
      <c r="J518">
        <f>'Raw Data'!H518</f>
        <v>0</v>
      </c>
      <c r="K518">
        <f>'Raw Data'!I518</f>
        <v>0</v>
      </c>
      <c r="L518">
        <f>IF('Raw Data'!N518&lt;&gt;0,'Raw Data'!N518,IFERROR(VALUE(MID(F518,SEARCH("QTY",F518)+4,IFERROR(FIND(" ",F518,SEARCH("QTY",F518)+4)-(SEARCH("QTY",F518)+4),3))),""))</f>
        <v>0</v>
      </c>
      <c r="M518">
        <f>'Raw Data'!O518</f>
        <v>0</v>
      </c>
      <c r="N518">
        <f>'Raw Data'!P518</f>
        <v>0</v>
      </c>
      <c r="O518">
        <f>'Raw Data'!Q518</f>
        <v>0</v>
      </c>
      <c r="P518">
        <f>'Raw Data'!R518</f>
        <v>0</v>
      </c>
      <c r="Q518">
        <f>'Raw Data'!S518</f>
        <v>0</v>
      </c>
      <c r="R518">
        <f>'Raw Data'!T518</f>
        <v>0</v>
      </c>
      <c r="S518">
        <f>IFERROR(O518,0)+IFERROR(R518,0)</f>
        <v>0</v>
      </c>
      <c r="T518">
        <f>IF(A518="","",YEAR(A518))</f>
        <v>0</v>
      </c>
    </row>
    <row r="519" spans="1:20">
      <c r="A519">
        <f>'Raw Data'!B519</f>
        <v>0</v>
      </c>
      <c r="B519">
        <f>'Raw Data'!A519</f>
        <v>0</v>
      </c>
      <c r="C519">
        <f>'Raw Data'!C519</f>
        <v>0</v>
      </c>
      <c r="D519">
        <f>'Raw Data'!D519</f>
        <v>0</v>
      </c>
      <c r="E519">
        <f>IFERROR(VLOOKUP(D519,'Lookup Tables'!$A:$B,2,FALSE),"Unknown")</f>
        <v>0</v>
      </c>
      <c r="F519">
        <f>'Raw Data'!E519</f>
        <v>0</v>
      </c>
      <c r="G519">
        <f>IFERROR(VLOOKUP(D519,'Lookup Tables'!$A:$C,3,FALSE),IF(ISNUMBER(SEARCH("STEEL",F519)),"Steel","Others"))</f>
        <v>0</v>
      </c>
      <c r="H519">
        <f>IF(ISNUMBER(SEARCH("scrubber",F519)) , "Scrubber", IF(ISNUMBER(SEARCH("container",F519)),"Container", IF(ISNUMBER(SEARCH("basket",F519)),"Basket", IF(ISNUMBER(SEARCH("lunch",F519)),"Lunch Box", IF(ISNUMBER(SEARCH("cutlery",F519)),"Cutlery","Other")))))</f>
        <v>0</v>
      </c>
      <c r="I519">
        <f>IF('Raw Data'!G519&lt;&gt;'','Raw Data'!G519,IFERROR(MID(F519,SEARCH("MODEL",F519)+6,20),""))</f>
        <v>0</v>
      </c>
      <c r="J519">
        <f>'Raw Data'!H519</f>
        <v>0</v>
      </c>
      <c r="K519">
        <f>'Raw Data'!I519</f>
        <v>0</v>
      </c>
      <c r="L519">
        <f>IF('Raw Data'!N519&lt;&gt;0,'Raw Data'!N519,IFERROR(VALUE(MID(F519,SEARCH("QTY",F519)+4,IFERROR(FIND(" ",F519,SEARCH("QTY",F519)+4)-(SEARCH("QTY",F519)+4),3))),""))</f>
        <v>0</v>
      </c>
      <c r="M519">
        <f>'Raw Data'!O519</f>
        <v>0</v>
      </c>
      <c r="N519">
        <f>'Raw Data'!P519</f>
        <v>0</v>
      </c>
      <c r="O519">
        <f>'Raw Data'!Q519</f>
        <v>0</v>
      </c>
      <c r="P519">
        <f>'Raw Data'!R519</f>
        <v>0</v>
      </c>
      <c r="Q519">
        <f>'Raw Data'!S519</f>
        <v>0</v>
      </c>
      <c r="R519">
        <f>'Raw Data'!T519</f>
        <v>0</v>
      </c>
      <c r="S519">
        <f>IFERROR(O519,0)+IFERROR(R519,0)</f>
        <v>0</v>
      </c>
      <c r="T519">
        <f>IF(A519="","",YEAR(A519))</f>
        <v>0</v>
      </c>
    </row>
    <row r="520" spans="1:20">
      <c r="A520">
        <f>'Raw Data'!B520</f>
        <v>0</v>
      </c>
      <c r="B520">
        <f>'Raw Data'!A520</f>
        <v>0</v>
      </c>
      <c r="C520">
        <f>'Raw Data'!C520</f>
        <v>0</v>
      </c>
      <c r="D520">
        <f>'Raw Data'!D520</f>
        <v>0</v>
      </c>
      <c r="E520">
        <f>IFERROR(VLOOKUP(D520,'Lookup Tables'!$A:$B,2,FALSE),"Unknown")</f>
        <v>0</v>
      </c>
      <c r="F520">
        <f>'Raw Data'!E520</f>
        <v>0</v>
      </c>
      <c r="G520">
        <f>IFERROR(VLOOKUP(D520,'Lookup Tables'!$A:$C,3,FALSE),IF(ISNUMBER(SEARCH("STEEL",F520)),"Steel","Others"))</f>
        <v>0</v>
      </c>
      <c r="H520">
        <f>IF(ISNUMBER(SEARCH("scrubber",F520)) , "Scrubber", IF(ISNUMBER(SEARCH("container",F520)),"Container", IF(ISNUMBER(SEARCH("basket",F520)),"Basket", IF(ISNUMBER(SEARCH("lunch",F520)),"Lunch Box", IF(ISNUMBER(SEARCH("cutlery",F520)),"Cutlery","Other")))))</f>
        <v>0</v>
      </c>
      <c r="I520">
        <f>IF('Raw Data'!G520&lt;&gt;'','Raw Data'!G520,IFERROR(MID(F520,SEARCH("MODEL",F520)+6,20),""))</f>
        <v>0</v>
      </c>
      <c r="J520">
        <f>'Raw Data'!H520</f>
        <v>0</v>
      </c>
      <c r="K520">
        <f>'Raw Data'!I520</f>
        <v>0</v>
      </c>
      <c r="L520">
        <f>IF('Raw Data'!N520&lt;&gt;0,'Raw Data'!N520,IFERROR(VALUE(MID(F520,SEARCH("QTY",F520)+4,IFERROR(FIND(" ",F520,SEARCH("QTY",F520)+4)-(SEARCH("QTY",F520)+4),3))),""))</f>
        <v>0</v>
      </c>
      <c r="M520">
        <f>'Raw Data'!O520</f>
        <v>0</v>
      </c>
      <c r="N520">
        <f>'Raw Data'!P520</f>
        <v>0</v>
      </c>
      <c r="O520">
        <f>'Raw Data'!Q520</f>
        <v>0</v>
      </c>
      <c r="P520">
        <f>'Raw Data'!R520</f>
        <v>0</v>
      </c>
      <c r="Q520">
        <f>'Raw Data'!S520</f>
        <v>0</v>
      </c>
      <c r="R520">
        <f>'Raw Data'!T520</f>
        <v>0</v>
      </c>
      <c r="S520">
        <f>IFERROR(O520,0)+IFERROR(R520,0)</f>
        <v>0</v>
      </c>
      <c r="T520">
        <f>IF(A520="","",YEAR(A520))</f>
        <v>0</v>
      </c>
    </row>
    <row r="521" spans="1:20">
      <c r="A521">
        <f>'Raw Data'!B521</f>
        <v>0</v>
      </c>
      <c r="B521">
        <f>'Raw Data'!A521</f>
        <v>0</v>
      </c>
      <c r="C521">
        <f>'Raw Data'!C521</f>
        <v>0</v>
      </c>
      <c r="D521">
        <f>'Raw Data'!D521</f>
        <v>0</v>
      </c>
      <c r="E521">
        <f>IFERROR(VLOOKUP(D521,'Lookup Tables'!$A:$B,2,FALSE),"Unknown")</f>
        <v>0</v>
      </c>
      <c r="F521">
        <f>'Raw Data'!E521</f>
        <v>0</v>
      </c>
      <c r="G521">
        <f>IFERROR(VLOOKUP(D521,'Lookup Tables'!$A:$C,3,FALSE),IF(ISNUMBER(SEARCH("STEEL",F521)),"Steel","Others"))</f>
        <v>0</v>
      </c>
      <c r="H521">
        <f>IF(ISNUMBER(SEARCH("scrubber",F521)) , "Scrubber", IF(ISNUMBER(SEARCH("container",F521)),"Container", IF(ISNUMBER(SEARCH("basket",F521)),"Basket", IF(ISNUMBER(SEARCH("lunch",F521)),"Lunch Box", IF(ISNUMBER(SEARCH("cutlery",F521)),"Cutlery","Other")))))</f>
        <v>0</v>
      </c>
      <c r="I521">
        <f>IF('Raw Data'!G521&lt;&gt;'','Raw Data'!G521,IFERROR(MID(F521,SEARCH("MODEL",F521)+6,20),""))</f>
        <v>0</v>
      </c>
      <c r="J521">
        <f>'Raw Data'!H521</f>
        <v>0</v>
      </c>
      <c r="K521">
        <f>'Raw Data'!I521</f>
        <v>0</v>
      </c>
      <c r="L521">
        <f>IF('Raw Data'!N521&lt;&gt;0,'Raw Data'!N521,IFERROR(VALUE(MID(F521,SEARCH("QTY",F521)+4,IFERROR(FIND(" ",F521,SEARCH("QTY",F521)+4)-(SEARCH("QTY",F521)+4),3))),""))</f>
        <v>0</v>
      </c>
      <c r="M521">
        <f>'Raw Data'!O521</f>
        <v>0</v>
      </c>
      <c r="N521">
        <f>'Raw Data'!P521</f>
        <v>0</v>
      </c>
      <c r="O521">
        <f>'Raw Data'!Q521</f>
        <v>0</v>
      </c>
      <c r="P521">
        <f>'Raw Data'!R521</f>
        <v>0</v>
      </c>
      <c r="Q521">
        <f>'Raw Data'!S521</f>
        <v>0</v>
      </c>
      <c r="R521">
        <f>'Raw Data'!T521</f>
        <v>0</v>
      </c>
      <c r="S521">
        <f>IFERROR(O521,0)+IFERROR(R521,0)</f>
        <v>0</v>
      </c>
      <c r="T521">
        <f>IF(A521="","",YEAR(A521))</f>
        <v>0</v>
      </c>
    </row>
    <row r="522" spans="1:20">
      <c r="A522">
        <f>'Raw Data'!B522</f>
        <v>0</v>
      </c>
      <c r="B522">
        <f>'Raw Data'!A522</f>
        <v>0</v>
      </c>
      <c r="C522">
        <f>'Raw Data'!C522</f>
        <v>0</v>
      </c>
      <c r="D522">
        <f>'Raw Data'!D522</f>
        <v>0</v>
      </c>
      <c r="E522">
        <f>IFERROR(VLOOKUP(D522,'Lookup Tables'!$A:$B,2,FALSE),"Unknown")</f>
        <v>0</v>
      </c>
      <c r="F522">
        <f>'Raw Data'!E522</f>
        <v>0</v>
      </c>
      <c r="G522">
        <f>IFERROR(VLOOKUP(D522,'Lookup Tables'!$A:$C,3,FALSE),IF(ISNUMBER(SEARCH("STEEL",F522)),"Steel","Others"))</f>
        <v>0</v>
      </c>
      <c r="H522">
        <f>IF(ISNUMBER(SEARCH("scrubber",F522)) , "Scrubber", IF(ISNUMBER(SEARCH("container",F522)),"Container", IF(ISNUMBER(SEARCH("basket",F522)),"Basket", IF(ISNUMBER(SEARCH("lunch",F522)),"Lunch Box", IF(ISNUMBER(SEARCH("cutlery",F522)),"Cutlery","Other")))))</f>
        <v>0</v>
      </c>
      <c r="I522">
        <f>IF('Raw Data'!G522&lt;&gt;'','Raw Data'!G522,IFERROR(MID(F522,SEARCH("MODEL",F522)+6,20),""))</f>
        <v>0</v>
      </c>
      <c r="J522">
        <f>'Raw Data'!H522</f>
        <v>0</v>
      </c>
      <c r="K522">
        <f>'Raw Data'!I522</f>
        <v>0</v>
      </c>
      <c r="L522">
        <f>IF('Raw Data'!N522&lt;&gt;0,'Raw Data'!N522,IFERROR(VALUE(MID(F522,SEARCH("QTY",F522)+4,IFERROR(FIND(" ",F522,SEARCH("QTY",F522)+4)-(SEARCH("QTY",F522)+4),3))),""))</f>
        <v>0</v>
      </c>
      <c r="M522">
        <f>'Raw Data'!O522</f>
        <v>0</v>
      </c>
      <c r="N522">
        <f>'Raw Data'!P522</f>
        <v>0</v>
      </c>
      <c r="O522">
        <f>'Raw Data'!Q522</f>
        <v>0</v>
      </c>
      <c r="P522">
        <f>'Raw Data'!R522</f>
        <v>0</v>
      </c>
      <c r="Q522">
        <f>'Raw Data'!S522</f>
        <v>0</v>
      </c>
      <c r="R522">
        <f>'Raw Data'!T522</f>
        <v>0</v>
      </c>
      <c r="S522">
        <f>IFERROR(O522,0)+IFERROR(R522,0)</f>
        <v>0</v>
      </c>
      <c r="T522">
        <f>IF(A522="","",YEAR(A522))</f>
        <v>0</v>
      </c>
    </row>
    <row r="523" spans="1:20">
      <c r="A523">
        <f>'Raw Data'!B523</f>
        <v>0</v>
      </c>
      <c r="B523">
        <f>'Raw Data'!A523</f>
        <v>0</v>
      </c>
      <c r="C523">
        <f>'Raw Data'!C523</f>
        <v>0</v>
      </c>
      <c r="D523">
        <f>'Raw Data'!D523</f>
        <v>0</v>
      </c>
      <c r="E523">
        <f>IFERROR(VLOOKUP(D523,'Lookup Tables'!$A:$B,2,FALSE),"Unknown")</f>
        <v>0</v>
      </c>
      <c r="F523">
        <f>'Raw Data'!E523</f>
        <v>0</v>
      </c>
      <c r="G523">
        <f>IFERROR(VLOOKUP(D523,'Lookup Tables'!$A:$C,3,FALSE),IF(ISNUMBER(SEARCH("STEEL",F523)),"Steel","Others"))</f>
        <v>0</v>
      </c>
      <c r="H523">
        <f>IF(ISNUMBER(SEARCH("scrubber",F523)) , "Scrubber", IF(ISNUMBER(SEARCH("container",F523)),"Container", IF(ISNUMBER(SEARCH("basket",F523)),"Basket", IF(ISNUMBER(SEARCH("lunch",F523)),"Lunch Box", IF(ISNUMBER(SEARCH("cutlery",F523)),"Cutlery","Other")))))</f>
        <v>0</v>
      </c>
      <c r="I523">
        <f>IF('Raw Data'!G523&lt;&gt;'','Raw Data'!G523,IFERROR(MID(F523,SEARCH("MODEL",F523)+6,20),""))</f>
        <v>0</v>
      </c>
      <c r="J523">
        <f>'Raw Data'!H523</f>
        <v>0</v>
      </c>
      <c r="K523">
        <f>'Raw Data'!I523</f>
        <v>0</v>
      </c>
      <c r="L523">
        <f>IF('Raw Data'!N523&lt;&gt;0,'Raw Data'!N523,IFERROR(VALUE(MID(F523,SEARCH("QTY",F523)+4,IFERROR(FIND(" ",F523,SEARCH("QTY",F523)+4)-(SEARCH("QTY",F523)+4),3))),""))</f>
        <v>0</v>
      </c>
      <c r="M523">
        <f>'Raw Data'!O523</f>
        <v>0</v>
      </c>
      <c r="N523">
        <f>'Raw Data'!P523</f>
        <v>0</v>
      </c>
      <c r="O523">
        <f>'Raw Data'!Q523</f>
        <v>0</v>
      </c>
      <c r="P523">
        <f>'Raw Data'!R523</f>
        <v>0</v>
      </c>
      <c r="Q523">
        <f>'Raw Data'!S523</f>
        <v>0</v>
      </c>
      <c r="R523">
        <f>'Raw Data'!T523</f>
        <v>0</v>
      </c>
      <c r="S523">
        <f>IFERROR(O523,0)+IFERROR(R523,0)</f>
        <v>0</v>
      </c>
      <c r="T523">
        <f>IF(A523="","",YEAR(A523))</f>
        <v>0</v>
      </c>
    </row>
    <row r="524" spans="1:20">
      <c r="A524">
        <f>'Raw Data'!B524</f>
        <v>0</v>
      </c>
      <c r="B524">
        <f>'Raw Data'!A524</f>
        <v>0</v>
      </c>
      <c r="C524">
        <f>'Raw Data'!C524</f>
        <v>0</v>
      </c>
      <c r="D524">
        <f>'Raw Data'!D524</f>
        <v>0</v>
      </c>
      <c r="E524">
        <f>IFERROR(VLOOKUP(D524,'Lookup Tables'!$A:$B,2,FALSE),"Unknown")</f>
        <v>0</v>
      </c>
      <c r="F524">
        <f>'Raw Data'!E524</f>
        <v>0</v>
      </c>
      <c r="G524">
        <f>IFERROR(VLOOKUP(D524,'Lookup Tables'!$A:$C,3,FALSE),IF(ISNUMBER(SEARCH("STEEL",F524)),"Steel","Others"))</f>
        <v>0</v>
      </c>
      <c r="H524">
        <f>IF(ISNUMBER(SEARCH("scrubber",F524)) , "Scrubber", IF(ISNUMBER(SEARCH("container",F524)),"Container", IF(ISNUMBER(SEARCH("basket",F524)),"Basket", IF(ISNUMBER(SEARCH("lunch",F524)),"Lunch Box", IF(ISNUMBER(SEARCH("cutlery",F524)),"Cutlery","Other")))))</f>
        <v>0</v>
      </c>
      <c r="I524">
        <f>IF('Raw Data'!G524&lt;&gt;'','Raw Data'!G524,IFERROR(MID(F524,SEARCH("MODEL",F524)+6,20),""))</f>
        <v>0</v>
      </c>
      <c r="J524">
        <f>'Raw Data'!H524</f>
        <v>0</v>
      </c>
      <c r="K524">
        <f>'Raw Data'!I524</f>
        <v>0</v>
      </c>
      <c r="L524">
        <f>IF('Raw Data'!N524&lt;&gt;0,'Raw Data'!N524,IFERROR(VALUE(MID(F524,SEARCH("QTY",F524)+4,IFERROR(FIND(" ",F524,SEARCH("QTY",F524)+4)-(SEARCH("QTY",F524)+4),3))),""))</f>
        <v>0</v>
      </c>
      <c r="M524">
        <f>'Raw Data'!O524</f>
        <v>0</v>
      </c>
      <c r="N524">
        <f>'Raw Data'!P524</f>
        <v>0</v>
      </c>
      <c r="O524">
        <f>'Raw Data'!Q524</f>
        <v>0</v>
      </c>
      <c r="P524">
        <f>'Raw Data'!R524</f>
        <v>0</v>
      </c>
      <c r="Q524">
        <f>'Raw Data'!S524</f>
        <v>0</v>
      </c>
      <c r="R524">
        <f>'Raw Data'!T524</f>
        <v>0</v>
      </c>
      <c r="S524">
        <f>IFERROR(O524,0)+IFERROR(R524,0)</f>
        <v>0</v>
      </c>
      <c r="T524">
        <f>IF(A524="","",YEAR(A524))</f>
        <v>0</v>
      </c>
    </row>
    <row r="525" spans="1:20">
      <c r="A525">
        <f>'Raw Data'!B525</f>
        <v>0</v>
      </c>
      <c r="B525">
        <f>'Raw Data'!A525</f>
        <v>0</v>
      </c>
      <c r="C525">
        <f>'Raw Data'!C525</f>
        <v>0</v>
      </c>
      <c r="D525">
        <f>'Raw Data'!D525</f>
        <v>0</v>
      </c>
      <c r="E525">
        <f>IFERROR(VLOOKUP(D525,'Lookup Tables'!$A:$B,2,FALSE),"Unknown")</f>
        <v>0</v>
      </c>
      <c r="F525">
        <f>'Raw Data'!E525</f>
        <v>0</v>
      </c>
      <c r="G525">
        <f>IFERROR(VLOOKUP(D525,'Lookup Tables'!$A:$C,3,FALSE),IF(ISNUMBER(SEARCH("STEEL",F525)),"Steel","Others"))</f>
        <v>0</v>
      </c>
      <c r="H525">
        <f>IF(ISNUMBER(SEARCH("scrubber",F525)) , "Scrubber", IF(ISNUMBER(SEARCH("container",F525)),"Container", IF(ISNUMBER(SEARCH("basket",F525)),"Basket", IF(ISNUMBER(SEARCH("lunch",F525)),"Lunch Box", IF(ISNUMBER(SEARCH("cutlery",F525)),"Cutlery","Other")))))</f>
        <v>0</v>
      </c>
      <c r="I525">
        <f>IF('Raw Data'!G525&lt;&gt;'','Raw Data'!G525,IFERROR(MID(F525,SEARCH("MODEL",F525)+6,20),""))</f>
        <v>0</v>
      </c>
      <c r="J525">
        <f>'Raw Data'!H525</f>
        <v>0</v>
      </c>
      <c r="K525">
        <f>'Raw Data'!I525</f>
        <v>0</v>
      </c>
      <c r="L525">
        <f>IF('Raw Data'!N525&lt;&gt;0,'Raw Data'!N525,IFERROR(VALUE(MID(F525,SEARCH("QTY",F525)+4,IFERROR(FIND(" ",F525,SEARCH("QTY",F525)+4)-(SEARCH("QTY",F525)+4),3))),""))</f>
        <v>0</v>
      </c>
      <c r="M525">
        <f>'Raw Data'!O525</f>
        <v>0</v>
      </c>
      <c r="N525">
        <f>'Raw Data'!P525</f>
        <v>0</v>
      </c>
      <c r="O525">
        <f>'Raw Data'!Q525</f>
        <v>0</v>
      </c>
      <c r="P525">
        <f>'Raw Data'!R525</f>
        <v>0</v>
      </c>
      <c r="Q525">
        <f>'Raw Data'!S525</f>
        <v>0</v>
      </c>
      <c r="R525">
        <f>'Raw Data'!T525</f>
        <v>0</v>
      </c>
      <c r="S525">
        <f>IFERROR(O525,0)+IFERROR(R525,0)</f>
        <v>0</v>
      </c>
      <c r="T525">
        <f>IF(A525="","",YEAR(A525))</f>
        <v>0</v>
      </c>
    </row>
    <row r="526" spans="1:20">
      <c r="A526">
        <f>'Raw Data'!B526</f>
        <v>0</v>
      </c>
      <c r="B526">
        <f>'Raw Data'!A526</f>
        <v>0</v>
      </c>
      <c r="C526">
        <f>'Raw Data'!C526</f>
        <v>0</v>
      </c>
      <c r="D526">
        <f>'Raw Data'!D526</f>
        <v>0</v>
      </c>
      <c r="E526">
        <f>IFERROR(VLOOKUP(D526,'Lookup Tables'!$A:$B,2,FALSE),"Unknown")</f>
        <v>0</v>
      </c>
      <c r="F526">
        <f>'Raw Data'!E526</f>
        <v>0</v>
      </c>
      <c r="G526">
        <f>IFERROR(VLOOKUP(D526,'Lookup Tables'!$A:$C,3,FALSE),IF(ISNUMBER(SEARCH("STEEL",F526)),"Steel","Others"))</f>
        <v>0</v>
      </c>
      <c r="H526">
        <f>IF(ISNUMBER(SEARCH("scrubber",F526)) , "Scrubber", IF(ISNUMBER(SEARCH("container",F526)),"Container", IF(ISNUMBER(SEARCH("basket",F526)),"Basket", IF(ISNUMBER(SEARCH("lunch",F526)),"Lunch Box", IF(ISNUMBER(SEARCH("cutlery",F526)),"Cutlery","Other")))))</f>
        <v>0</v>
      </c>
      <c r="I526">
        <f>IF('Raw Data'!G526&lt;&gt;'','Raw Data'!G526,IFERROR(MID(F526,SEARCH("MODEL",F526)+6,20),""))</f>
        <v>0</v>
      </c>
      <c r="J526">
        <f>'Raw Data'!H526</f>
        <v>0</v>
      </c>
      <c r="K526">
        <f>'Raw Data'!I526</f>
        <v>0</v>
      </c>
      <c r="L526">
        <f>IF('Raw Data'!N526&lt;&gt;0,'Raw Data'!N526,IFERROR(VALUE(MID(F526,SEARCH("QTY",F526)+4,IFERROR(FIND(" ",F526,SEARCH("QTY",F526)+4)-(SEARCH("QTY",F526)+4),3))),""))</f>
        <v>0</v>
      </c>
      <c r="M526">
        <f>'Raw Data'!O526</f>
        <v>0</v>
      </c>
      <c r="N526">
        <f>'Raw Data'!P526</f>
        <v>0</v>
      </c>
      <c r="O526">
        <f>'Raw Data'!Q526</f>
        <v>0</v>
      </c>
      <c r="P526">
        <f>'Raw Data'!R526</f>
        <v>0</v>
      </c>
      <c r="Q526">
        <f>'Raw Data'!S526</f>
        <v>0</v>
      </c>
      <c r="R526">
        <f>'Raw Data'!T526</f>
        <v>0</v>
      </c>
      <c r="S526">
        <f>IFERROR(O526,0)+IFERROR(R526,0)</f>
        <v>0</v>
      </c>
      <c r="T526">
        <f>IF(A526="","",YEAR(A526))</f>
        <v>0</v>
      </c>
    </row>
    <row r="527" spans="1:20">
      <c r="A527">
        <f>'Raw Data'!B527</f>
        <v>0</v>
      </c>
      <c r="B527">
        <f>'Raw Data'!A527</f>
        <v>0</v>
      </c>
      <c r="C527">
        <f>'Raw Data'!C527</f>
        <v>0</v>
      </c>
      <c r="D527">
        <f>'Raw Data'!D527</f>
        <v>0</v>
      </c>
      <c r="E527">
        <f>IFERROR(VLOOKUP(D527,'Lookup Tables'!$A:$B,2,FALSE),"Unknown")</f>
        <v>0</v>
      </c>
      <c r="F527">
        <f>'Raw Data'!E527</f>
        <v>0</v>
      </c>
      <c r="G527">
        <f>IFERROR(VLOOKUP(D527,'Lookup Tables'!$A:$C,3,FALSE),IF(ISNUMBER(SEARCH("STEEL",F527)),"Steel","Others"))</f>
        <v>0</v>
      </c>
      <c r="H527">
        <f>IF(ISNUMBER(SEARCH("scrubber",F527)) , "Scrubber", IF(ISNUMBER(SEARCH("container",F527)),"Container", IF(ISNUMBER(SEARCH("basket",F527)),"Basket", IF(ISNUMBER(SEARCH("lunch",F527)),"Lunch Box", IF(ISNUMBER(SEARCH("cutlery",F527)),"Cutlery","Other")))))</f>
        <v>0</v>
      </c>
      <c r="I527">
        <f>IF('Raw Data'!G527&lt;&gt;'','Raw Data'!G527,IFERROR(MID(F527,SEARCH("MODEL",F527)+6,20),""))</f>
        <v>0</v>
      </c>
      <c r="J527">
        <f>'Raw Data'!H527</f>
        <v>0</v>
      </c>
      <c r="K527">
        <f>'Raw Data'!I527</f>
        <v>0</v>
      </c>
      <c r="L527">
        <f>IF('Raw Data'!N527&lt;&gt;0,'Raw Data'!N527,IFERROR(VALUE(MID(F527,SEARCH("QTY",F527)+4,IFERROR(FIND(" ",F527,SEARCH("QTY",F527)+4)-(SEARCH("QTY",F527)+4),3))),""))</f>
        <v>0</v>
      </c>
      <c r="M527">
        <f>'Raw Data'!O527</f>
        <v>0</v>
      </c>
      <c r="N527">
        <f>'Raw Data'!P527</f>
        <v>0</v>
      </c>
      <c r="O527">
        <f>'Raw Data'!Q527</f>
        <v>0</v>
      </c>
      <c r="P527">
        <f>'Raw Data'!R527</f>
        <v>0</v>
      </c>
      <c r="Q527">
        <f>'Raw Data'!S527</f>
        <v>0</v>
      </c>
      <c r="R527">
        <f>'Raw Data'!T527</f>
        <v>0</v>
      </c>
      <c r="S527">
        <f>IFERROR(O527,0)+IFERROR(R527,0)</f>
        <v>0</v>
      </c>
      <c r="T527">
        <f>IF(A527="","",YEAR(A527))</f>
        <v>0</v>
      </c>
    </row>
    <row r="528" spans="1:20">
      <c r="A528">
        <f>'Raw Data'!B528</f>
        <v>0</v>
      </c>
      <c r="B528">
        <f>'Raw Data'!A528</f>
        <v>0</v>
      </c>
      <c r="C528">
        <f>'Raw Data'!C528</f>
        <v>0</v>
      </c>
      <c r="D528">
        <f>'Raw Data'!D528</f>
        <v>0</v>
      </c>
      <c r="E528">
        <f>IFERROR(VLOOKUP(D528,'Lookup Tables'!$A:$B,2,FALSE),"Unknown")</f>
        <v>0</v>
      </c>
      <c r="F528">
        <f>'Raw Data'!E528</f>
        <v>0</v>
      </c>
      <c r="G528">
        <f>IFERROR(VLOOKUP(D528,'Lookup Tables'!$A:$C,3,FALSE),IF(ISNUMBER(SEARCH("STEEL",F528)),"Steel","Others"))</f>
        <v>0</v>
      </c>
      <c r="H528">
        <f>IF(ISNUMBER(SEARCH("scrubber",F528)) , "Scrubber", IF(ISNUMBER(SEARCH("container",F528)),"Container", IF(ISNUMBER(SEARCH("basket",F528)),"Basket", IF(ISNUMBER(SEARCH("lunch",F528)),"Lunch Box", IF(ISNUMBER(SEARCH("cutlery",F528)),"Cutlery","Other")))))</f>
        <v>0</v>
      </c>
      <c r="I528">
        <f>IF('Raw Data'!G528&lt;&gt;'','Raw Data'!G528,IFERROR(MID(F528,SEARCH("MODEL",F528)+6,20),""))</f>
        <v>0</v>
      </c>
      <c r="J528">
        <f>'Raw Data'!H528</f>
        <v>0</v>
      </c>
      <c r="K528">
        <f>'Raw Data'!I528</f>
        <v>0</v>
      </c>
      <c r="L528">
        <f>IF('Raw Data'!N528&lt;&gt;0,'Raw Data'!N528,IFERROR(VALUE(MID(F528,SEARCH("QTY",F528)+4,IFERROR(FIND(" ",F528,SEARCH("QTY",F528)+4)-(SEARCH("QTY",F528)+4),3))),""))</f>
        <v>0</v>
      </c>
      <c r="M528">
        <f>'Raw Data'!O528</f>
        <v>0</v>
      </c>
      <c r="N528">
        <f>'Raw Data'!P528</f>
        <v>0</v>
      </c>
      <c r="O528">
        <f>'Raw Data'!Q528</f>
        <v>0</v>
      </c>
      <c r="P528">
        <f>'Raw Data'!R528</f>
        <v>0</v>
      </c>
      <c r="Q528">
        <f>'Raw Data'!S528</f>
        <v>0</v>
      </c>
      <c r="R528">
        <f>'Raw Data'!T528</f>
        <v>0</v>
      </c>
      <c r="S528">
        <f>IFERROR(O528,0)+IFERROR(R528,0)</f>
        <v>0</v>
      </c>
      <c r="T528">
        <f>IF(A528="","",YEAR(A528))</f>
        <v>0</v>
      </c>
    </row>
    <row r="529" spans="1:20">
      <c r="A529">
        <f>'Raw Data'!B529</f>
        <v>0</v>
      </c>
      <c r="B529">
        <f>'Raw Data'!A529</f>
        <v>0</v>
      </c>
      <c r="C529">
        <f>'Raw Data'!C529</f>
        <v>0</v>
      </c>
      <c r="D529">
        <f>'Raw Data'!D529</f>
        <v>0</v>
      </c>
      <c r="E529">
        <f>IFERROR(VLOOKUP(D529,'Lookup Tables'!$A:$B,2,FALSE),"Unknown")</f>
        <v>0</v>
      </c>
      <c r="F529">
        <f>'Raw Data'!E529</f>
        <v>0</v>
      </c>
      <c r="G529">
        <f>IFERROR(VLOOKUP(D529,'Lookup Tables'!$A:$C,3,FALSE),IF(ISNUMBER(SEARCH("STEEL",F529)),"Steel","Others"))</f>
        <v>0</v>
      </c>
      <c r="H529">
        <f>IF(ISNUMBER(SEARCH("scrubber",F529)) , "Scrubber", IF(ISNUMBER(SEARCH("container",F529)),"Container", IF(ISNUMBER(SEARCH("basket",F529)),"Basket", IF(ISNUMBER(SEARCH("lunch",F529)),"Lunch Box", IF(ISNUMBER(SEARCH("cutlery",F529)),"Cutlery","Other")))))</f>
        <v>0</v>
      </c>
      <c r="I529">
        <f>IF('Raw Data'!G529&lt;&gt;'','Raw Data'!G529,IFERROR(MID(F529,SEARCH("MODEL",F529)+6,20),""))</f>
        <v>0</v>
      </c>
      <c r="J529">
        <f>'Raw Data'!H529</f>
        <v>0</v>
      </c>
      <c r="K529">
        <f>'Raw Data'!I529</f>
        <v>0</v>
      </c>
      <c r="L529">
        <f>IF('Raw Data'!N529&lt;&gt;0,'Raw Data'!N529,IFERROR(VALUE(MID(F529,SEARCH("QTY",F529)+4,IFERROR(FIND(" ",F529,SEARCH("QTY",F529)+4)-(SEARCH("QTY",F529)+4),3))),""))</f>
        <v>0</v>
      </c>
      <c r="M529">
        <f>'Raw Data'!O529</f>
        <v>0</v>
      </c>
      <c r="N529">
        <f>'Raw Data'!P529</f>
        <v>0</v>
      </c>
      <c r="O529">
        <f>'Raw Data'!Q529</f>
        <v>0</v>
      </c>
      <c r="P529">
        <f>'Raw Data'!R529</f>
        <v>0</v>
      </c>
      <c r="Q529">
        <f>'Raw Data'!S529</f>
        <v>0</v>
      </c>
      <c r="R529">
        <f>'Raw Data'!T529</f>
        <v>0</v>
      </c>
      <c r="S529">
        <f>IFERROR(O529,0)+IFERROR(R529,0)</f>
        <v>0</v>
      </c>
      <c r="T529">
        <f>IF(A529="","",YEAR(A529))</f>
        <v>0</v>
      </c>
    </row>
    <row r="530" spans="1:20">
      <c r="A530">
        <f>'Raw Data'!B530</f>
        <v>0</v>
      </c>
      <c r="B530">
        <f>'Raw Data'!A530</f>
        <v>0</v>
      </c>
      <c r="C530">
        <f>'Raw Data'!C530</f>
        <v>0</v>
      </c>
      <c r="D530">
        <f>'Raw Data'!D530</f>
        <v>0</v>
      </c>
      <c r="E530">
        <f>IFERROR(VLOOKUP(D530,'Lookup Tables'!$A:$B,2,FALSE),"Unknown")</f>
        <v>0</v>
      </c>
      <c r="F530">
        <f>'Raw Data'!E530</f>
        <v>0</v>
      </c>
      <c r="G530">
        <f>IFERROR(VLOOKUP(D530,'Lookup Tables'!$A:$C,3,FALSE),IF(ISNUMBER(SEARCH("STEEL",F530)),"Steel","Others"))</f>
        <v>0</v>
      </c>
      <c r="H530">
        <f>IF(ISNUMBER(SEARCH("scrubber",F530)) , "Scrubber", IF(ISNUMBER(SEARCH("container",F530)),"Container", IF(ISNUMBER(SEARCH("basket",F530)),"Basket", IF(ISNUMBER(SEARCH("lunch",F530)),"Lunch Box", IF(ISNUMBER(SEARCH("cutlery",F530)),"Cutlery","Other")))))</f>
        <v>0</v>
      </c>
      <c r="I530">
        <f>IF('Raw Data'!G530&lt;&gt;'','Raw Data'!G530,IFERROR(MID(F530,SEARCH("MODEL",F530)+6,20),""))</f>
        <v>0</v>
      </c>
      <c r="J530">
        <f>'Raw Data'!H530</f>
        <v>0</v>
      </c>
      <c r="K530">
        <f>'Raw Data'!I530</f>
        <v>0</v>
      </c>
      <c r="L530">
        <f>IF('Raw Data'!N530&lt;&gt;0,'Raw Data'!N530,IFERROR(VALUE(MID(F530,SEARCH("QTY",F530)+4,IFERROR(FIND(" ",F530,SEARCH("QTY",F530)+4)-(SEARCH("QTY",F530)+4),3))),""))</f>
        <v>0</v>
      </c>
      <c r="M530">
        <f>'Raw Data'!O530</f>
        <v>0</v>
      </c>
      <c r="N530">
        <f>'Raw Data'!P530</f>
        <v>0</v>
      </c>
      <c r="O530">
        <f>'Raw Data'!Q530</f>
        <v>0</v>
      </c>
      <c r="P530">
        <f>'Raw Data'!R530</f>
        <v>0</v>
      </c>
      <c r="Q530">
        <f>'Raw Data'!S530</f>
        <v>0</v>
      </c>
      <c r="R530">
        <f>'Raw Data'!T530</f>
        <v>0</v>
      </c>
      <c r="S530">
        <f>IFERROR(O530,0)+IFERROR(R530,0)</f>
        <v>0</v>
      </c>
      <c r="T530">
        <f>IF(A530="","",YEAR(A530))</f>
        <v>0</v>
      </c>
    </row>
    <row r="531" spans="1:20">
      <c r="A531">
        <f>'Raw Data'!B531</f>
        <v>0</v>
      </c>
      <c r="B531">
        <f>'Raw Data'!A531</f>
        <v>0</v>
      </c>
      <c r="C531">
        <f>'Raw Data'!C531</f>
        <v>0</v>
      </c>
      <c r="D531">
        <f>'Raw Data'!D531</f>
        <v>0</v>
      </c>
      <c r="E531">
        <f>IFERROR(VLOOKUP(D531,'Lookup Tables'!$A:$B,2,FALSE),"Unknown")</f>
        <v>0</v>
      </c>
      <c r="F531">
        <f>'Raw Data'!E531</f>
        <v>0</v>
      </c>
      <c r="G531">
        <f>IFERROR(VLOOKUP(D531,'Lookup Tables'!$A:$C,3,FALSE),IF(ISNUMBER(SEARCH("STEEL",F531)),"Steel","Others"))</f>
        <v>0</v>
      </c>
      <c r="H531">
        <f>IF(ISNUMBER(SEARCH("scrubber",F531)) , "Scrubber", IF(ISNUMBER(SEARCH("container",F531)),"Container", IF(ISNUMBER(SEARCH("basket",F531)),"Basket", IF(ISNUMBER(SEARCH("lunch",F531)),"Lunch Box", IF(ISNUMBER(SEARCH("cutlery",F531)),"Cutlery","Other")))))</f>
        <v>0</v>
      </c>
      <c r="I531">
        <f>IF('Raw Data'!G531&lt;&gt;'','Raw Data'!G531,IFERROR(MID(F531,SEARCH("MODEL",F531)+6,20),""))</f>
        <v>0</v>
      </c>
      <c r="J531">
        <f>'Raw Data'!H531</f>
        <v>0</v>
      </c>
      <c r="K531">
        <f>'Raw Data'!I531</f>
        <v>0</v>
      </c>
      <c r="L531">
        <f>IF('Raw Data'!N531&lt;&gt;0,'Raw Data'!N531,IFERROR(VALUE(MID(F531,SEARCH("QTY",F531)+4,IFERROR(FIND(" ",F531,SEARCH("QTY",F531)+4)-(SEARCH("QTY",F531)+4),3))),""))</f>
        <v>0</v>
      </c>
      <c r="M531">
        <f>'Raw Data'!O531</f>
        <v>0</v>
      </c>
      <c r="N531">
        <f>'Raw Data'!P531</f>
        <v>0</v>
      </c>
      <c r="O531">
        <f>'Raw Data'!Q531</f>
        <v>0</v>
      </c>
      <c r="P531">
        <f>'Raw Data'!R531</f>
        <v>0</v>
      </c>
      <c r="Q531">
        <f>'Raw Data'!S531</f>
        <v>0</v>
      </c>
      <c r="R531">
        <f>'Raw Data'!T531</f>
        <v>0</v>
      </c>
      <c r="S531">
        <f>IFERROR(O531,0)+IFERROR(R531,0)</f>
        <v>0</v>
      </c>
      <c r="T531">
        <f>IF(A531="","",YEAR(A531))</f>
        <v>0</v>
      </c>
    </row>
    <row r="532" spans="1:20">
      <c r="A532">
        <f>'Raw Data'!B532</f>
        <v>0</v>
      </c>
      <c r="B532">
        <f>'Raw Data'!A532</f>
        <v>0</v>
      </c>
      <c r="C532">
        <f>'Raw Data'!C532</f>
        <v>0</v>
      </c>
      <c r="D532">
        <f>'Raw Data'!D532</f>
        <v>0</v>
      </c>
      <c r="E532">
        <f>IFERROR(VLOOKUP(D532,'Lookup Tables'!$A:$B,2,FALSE),"Unknown")</f>
        <v>0</v>
      </c>
      <c r="F532">
        <f>'Raw Data'!E532</f>
        <v>0</v>
      </c>
      <c r="G532">
        <f>IFERROR(VLOOKUP(D532,'Lookup Tables'!$A:$C,3,FALSE),IF(ISNUMBER(SEARCH("STEEL",F532)),"Steel","Others"))</f>
        <v>0</v>
      </c>
      <c r="H532">
        <f>IF(ISNUMBER(SEARCH("scrubber",F532)) , "Scrubber", IF(ISNUMBER(SEARCH("container",F532)),"Container", IF(ISNUMBER(SEARCH("basket",F532)),"Basket", IF(ISNUMBER(SEARCH("lunch",F532)),"Lunch Box", IF(ISNUMBER(SEARCH("cutlery",F532)),"Cutlery","Other")))))</f>
        <v>0</v>
      </c>
      <c r="I532">
        <f>IF('Raw Data'!G532&lt;&gt;'','Raw Data'!G532,IFERROR(MID(F532,SEARCH("MODEL",F532)+6,20),""))</f>
        <v>0</v>
      </c>
      <c r="J532">
        <f>'Raw Data'!H532</f>
        <v>0</v>
      </c>
      <c r="K532">
        <f>'Raw Data'!I532</f>
        <v>0</v>
      </c>
      <c r="L532">
        <f>IF('Raw Data'!N532&lt;&gt;0,'Raw Data'!N532,IFERROR(VALUE(MID(F532,SEARCH("QTY",F532)+4,IFERROR(FIND(" ",F532,SEARCH("QTY",F532)+4)-(SEARCH("QTY",F532)+4),3))),""))</f>
        <v>0</v>
      </c>
      <c r="M532">
        <f>'Raw Data'!O532</f>
        <v>0</v>
      </c>
      <c r="N532">
        <f>'Raw Data'!P532</f>
        <v>0</v>
      </c>
      <c r="O532">
        <f>'Raw Data'!Q532</f>
        <v>0</v>
      </c>
      <c r="P532">
        <f>'Raw Data'!R532</f>
        <v>0</v>
      </c>
      <c r="Q532">
        <f>'Raw Data'!S532</f>
        <v>0</v>
      </c>
      <c r="R532">
        <f>'Raw Data'!T532</f>
        <v>0</v>
      </c>
      <c r="S532">
        <f>IFERROR(O532,0)+IFERROR(R532,0)</f>
        <v>0</v>
      </c>
      <c r="T532">
        <f>IF(A532="","",YEAR(A532))</f>
        <v>0</v>
      </c>
    </row>
    <row r="533" spans="1:20">
      <c r="A533">
        <f>'Raw Data'!B533</f>
        <v>0</v>
      </c>
      <c r="B533">
        <f>'Raw Data'!A533</f>
        <v>0</v>
      </c>
      <c r="C533">
        <f>'Raw Data'!C533</f>
        <v>0</v>
      </c>
      <c r="D533">
        <f>'Raw Data'!D533</f>
        <v>0</v>
      </c>
      <c r="E533">
        <f>IFERROR(VLOOKUP(D533,'Lookup Tables'!$A:$B,2,FALSE),"Unknown")</f>
        <v>0</v>
      </c>
      <c r="F533">
        <f>'Raw Data'!E533</f>
        <v>0</v>
      </c>
      <c r="G533">
        <f>IFERROR(VLOOKUP(D533,'Lookup Tables'!$A:$C,3,FALSE),IF(ISNUMBER(SEARCH("STEEL",F533)),"Steel","Others"))</f>
        <v>0</v>
      </c>
      <c r="H533">
        <f>IF(ISNUMBER(SEARCH("scrubber",F533)) , "Scrubber", IF(ISNUMBER(SEARCH("container",F533)),"Container", IF(ISNUMBER(SEARCH("basket",F533)),"Basket", IF(ISNUMBER(SEARCH("lunch",F533)),"Lunch Box", IF(ISNUMBER(SEARCH("cutlery",F533)),"Cutlery","Other")))))</f>
        <v>0</v>
      </c>
      <c r="I533">
        <f>IF('Raw Data'!G533&lt;&gt;'','Raw Data'!G533,IFERROR(MID(F533,SEARCH("MODEL",F533)+6,20),""))</f>
        <v>0</v>
      </c>
      <c r="J533">
        <f>'Raw Data'!H533</f>
        <v>0</v>
      </c>
      <c r="K533">
        <f>'Raw Data'!I533</f>
        <v>0</v>
      </c>
      <c r="L533">
        <f>IF('Raw Data'!N533&lt;&gt;0,'Raw Data'!N533,IFERROR(VALUE(MID(F533,SEARCH("QTY",F533)+4,IFERROR(FIND(" ",F533,SEARCH("QTY",F533)+4)-(SEARCH("QTY",F533)+4),3))),""))</f>
        <v>0</v>
      </c>
      <c r="M533">
        <f>'Raw Data'!O533</f>
        <v>0</v>
      </c>
      <c r="N533">
        <f>'Raw Data'!P533</f>
        <v>0</v>
      </c>
      <c r="O533">
        <f>'Raw Data'!Q533</f>
        <v>0</v>
      </c>
      <c r="P533">
        <f>'Raw Data'!R533</f>
        <v>0</v>
      </c>
      <c r="Q533">
        <f>'Raw Data'!S533</f>
        <v>0</v>
      </c>
      <c r="R533">
        <f>'Raw Data'!T533</f>
        <v>0</v>
      </c>
      <c r="S533">
        <f>IFERROR(O533,0)+IFERROR(R533,0)</f>
        <v>0</v>
      </c>
      <c r="T533">
        <f>IF(A533="","",YEAR(A533))</f>
        <v>0</v>
      </c>
    </row>
    <row r="534" spans="1:20">
      <c r="A534">
        <f>'Raw Data'!B534</f>
        <v>0</v>
      </c>
      <c r="B534">
        <f>'Raw Data'!A534</f>
        <v>0</v>
      </c>
      <c r="C534">
        <f>'Raw Data'!C534</f>
        <v>0</v>
      </c>
      <c r="D534">
        <f>'Raw Data'!D534</f>
        <v>0</v>
      </c>
      <c r="E534">
        <f>IFERROR(VLOOKUP(D534,'Lookup Tables'!$A:$B,2,FALSE),"Unknown")</f>
        <v>0</v>
      </c>
      <c r="F534">
        <f>'Raw Data'!E534</f>
        <v>0</v>
      </c>
      <c r="G534">
        <f>IFERROR(VLOOKUP(D534,'Lookup Tables'!$A:$C,3,FALSE),IF(ISNUMBER(SEARCH("STEEL",F534)),"Steel","Others"))</f>
        <v>0</v>
      </c>
      <c r="H534">
        <f>IF(ISNUMBER(SEARCH("scrubber",F534)) , "Scrubber", IF(ISNUMBER(SEARCH("container",F534)),"Container", IF(ISNUMBER(SEARCH("basket",F534)),"Basket", IF(ISNUMBER(SEARCH("lunch",F534)),"Lunch Box", IF(ISNUMBER(SEARCH("cutlery",F534)),"Cutlery","Other")))))</f>
        <v>0</v>
      </c>
      <c r="I534">
        <f>IF('Raw Data'!G534&lt;&gt;'','Raw Data'!G534,IFERROR(MID(F534,SEARCH("MODEL",F534)+6,20),""))</f>
        <v>0</v>
      </c>
      <c r="J534">
        <f>'Raw Data'!H534</f>
        <v>0</v>
      </c>
      <c r="K534">
        <f>'Raw Data'!I534</f>
        <v>0</v>
      </c>
      <c r="L534">
        <f>IF('Raw Data'!N534&lt;&gt;0,'Raw Data'!N534,IFERROR(VALUE(MID(F534,SEARCH("QTY",F534)+4,IFERROR(FIND(" ",F534,SEARCH("QTY",F534)+4)-(SEARCH("QTY",F534)+4),3))),""))</f>
        <v>0</v>
      </c>
      <c r="M534">
        <f>'Raw Data'!O534</f>
        <v>0</v>
      </c>
      <c r="N534">
        <f>'Raw Data'!P534</f>
        <v>0</v>
      </c>
      <c r="O534">
        <f>'Raw Data'!Q534</f>
        <v>0</v>
      </c>
      <c r="P534">
        <f>'Raw Data'!R534</f>
        <v>0</v>
      </c>
      <c r="Q534">
        <f>'Raw Data'!S534</f>
        <v>0</v>
      </c>
      <c r="R534">
        <f>'Raw Data'!T534</f>
        <v>0</v>
      </c>
      <c r="S534">
        <f>IFERROR(O534,0)+IFERROR(R534,0)</f>
        <v>0</v>
      </c>
      <c r="T534">
        <f>IF(A534="","",YEAR(A534))</f>
        <v>0</v>
      </c>
    </row>
    <row r="535" spans="1:20">
      <c r="A535">
        <f>'Raw Data'!B535</f>
        <v>0</v>
      </c>
      <c r="B535">
        <f>'Raw Data'!A535</f>
        <v>0</v>
      </c>
      <c r="C535">
        <f>'Raw Data'!C535</f>
        <v>0</v>
      </c>
      <c r="D535">
        <f>'Raw Data'!D535</f>
        <v>0</v>
      </c>
      <c r="E535">
        <f>IFERROR(VLOOKUP(D535,'Lookup Tables'!$A:$B,2,FALSE),"Unknown")</f>
        <v>0</v>
      </c>
      <c r="F535">
        <f>'Raw Data'!E535</f>
        <v>0</v>
      </c>
      <c r="G535">
        <f>IFERROR(VLOOKUP(D535,'Lookup Tables'!$A:$C,3,FALSE),IF(ISNUMBER(SEARCH("STEEL",F535)),"Steel","Others"))</f>
        <v>0</v>
      </c>
      <c r="H535">
        <f>IF(ISNUMBER(SEARCH("scrubber",F535)) , "Scrubber", IF(ISNUMBER(SEARCH("container",F535)),"Container", IF(ISNUMBER(SEARCH("basket",F535)),"Basket", IF(ISNUMBER(SEARCH("lunch",F535)),"Lunch Box", IF(ISNUMBER(SEARCH("cutlery",F535)),"Cutlery","Other")))))</f>
        <v>0</v>
      </c>
      <c r="I535">
        <f>IF('Raw Data'!G535&lt;&gt;'','Raw Data'!G535,IFERROR(MID(F535,SEARCH("MODEL",F535)+6,20),""))</f>
        <v>0</v>
      </c>
      <c r="J535">
        <f>'Raw Data'!H535</f>
        <v>0</v>
      </c>
      <c r="K535">
        <f>'Raw Data'!I535</f>
        <v>0</v>
      </c>
      <c r="L535">
        <f>IF('Raw Data'!N535&lt;&gt;0,'Raw Data'!N535,IFERROR(VALUE(MID(F535,SEARCH("QTY",F535)+4,IFERROR(FIND(" ",F535,SEARCH("QTY",F535)+4)-(SEARCH("QTY",F535)+4),3))),""))</f>
        <v>0</v>
      </c>
      <c r="M535">
        <f>'Raw Data'!O535</f>
        <v>0</v>
      </c>
      <c r="N535">
        <f>'Raw Data'!P535</f>
        <v>0</v>
      </c>
      <c r="O535">
        <f>'Raw Data'!Q535</f>
        <v>0</v>
      </c>
      <c r="P535">
        <f>'Raw Data'!R535</f>
        <v>0</v>
      </c>
      <c r="Q535">
        <f>'Raw Data'!S535</f>
        <v>0</v>
      </c>
      <c r="R535">
        <f>'Raw Data'!T535</f>
        <v>0</v>
      </c>
      <c r="S535">
        <f>IFERROR(O535,0)+IFERROR(R535,0)</f>
        <v>0</v>
      </c>
      <c r="T535">
        <f>IF(A535="","",YEAR(A535))</f>
        <v>0</v>
      </c>
    </row>
    <row r="536" spans="1:20">
      <c r="A536">
        <f>'Raw Data'!B536</f>
        <v>0</v>
      </c>
      <c r="B536">
        <f>'Raw Data'!A536</f>
        <v>0</v>
      </c>
      <c r="C536">
        <f>'Raw Data'!C536</f>
        <v>0</v>
      </c>
      <c r="D536">
        <f>'Raw Data'!D536</f>
        <v>0</v>
      </c>
      <c r="E536">
        <f>IFERROR(VLOOKUP(D536,'Lookup Tables'!$A:$B,2,FALSE),"Unknown")</f>
        <v>0</v>
      </c>
      <c r="F536">
        <f>'Raw Data'!E536</f>
        <v>0</v>
      </c>
      <c r="G536">
        <f>IFERROR(VLOOKUP(D536,'Lookup Tables'!$A:$C,3,FALSE),IF(ISNUMBER(SEARCH("STEEL",F536)),"Steel","Others"))</f>
        <v>0</v>
      </c>
      <c r="H536">
        <f>IF(ISNUMBER(SEARCH("scrubber",F536)) , "Scrubber", IF(ISNUMBER(SEARCH("container",F536)),"Container", IF(ISNUMBER(SEARCH("basket",F536)),"Basket", IF(ISNUMBER(SEARCH("lunch",F536)),"Lunch Box", IF(ISNUMBER(SEARCH("cutlery",F536)),"Cutlery","Other")))))</f>
        <v>0</v>
      </c>
      <c r="I536">
        <f>IF('Raw Data'!G536&lt;&gt;'','Raw Data'!G536,IFERROR(MID(F536,SEARCH("MODEL",F536)+6,20),""))</f>
        <v>0</v>
      </c>
      <c r="J536">
        <f>'Raw Data'!H536</f>
        <v>0</v>
      </c>
      <c r="K536">
        <f>'Raw Data'!I536</f>
        <v>0</v>
      </c>
      <c r="L536">
        <f>IF('Raw Data'!N536&lt;&gt;0,'Raw Data'!N536,IFERROR(VALUE(MID(F536,SEARCH("QTY",F536)+4,IFERROR(FIND(" ",F536,SEARCH("QTY",F536)+4)-(SEARCH("QTY",F536)+4),3))),""))</f>
        <v>0</v>
      </c>
      <c r="M536">
        <f>'Raw Data'!O536</f>
        <v>0</v>
      </c>
      <c r="N536">
        <f>'Raw Data'!P536</f>
        <v>0</v>
      </c>
      <c r="O536">
        <f>'Raw Data'!Q536</f>
        <v>0</v>
      </c>
      <c r="P536">
        <f>'Raw Data'!R536</f>
        <v>0</v>
      </c>
      <c r="Q536">
        <f>'Raw Data'!S536</f>
        <v>0</v>
      </c>
      <c r="R536">
        <f>'Raw Data'!T536</f>
        <v>0</v>
      </c>
      <c r="S536">
        <f>IFERROR(O536,0)+IFERROR(R536,0)</f>
        <v>0</v>
      </c>
      <c r="T536">
        <f>IF(A536="","",YEAR(A536))</f>
        <v>0</v>
      </c>
    </row>
    <row r="537" spans="1:20">
      <c r="A537">
        <f>'Raw Data'!B537</f>
        <v>0</v>
      </c>
      <c r="B537">
        <f>'Raw Data'!A537</f>
        <v>0</v>
      </c>
      <c r="C537">
        <f>'Raw Data'!C537</f>
        <v>0</v>
      </c>
      <c r="D537">
        <f>'Raw Data'!D537</f>
        <v>0</v>
      </c>
      <c r="E537">
        <f>IFERROR(VLOOKUP(D537,'Lookup Tables'!$A:$B,2,FALSE),"Unknown")</f>
        <v>0</v>
      </c>
      <c r="F537">
        <f>'Raw Data'!E537</f>
        <v>0</v>
      </c>
      <c r="G537">
        <f>IFERROR(VLOOKUP(D537,'Lookup Tables'!$A:$C,3,FALSE),IF(ISNUMBER(SEARCH("STEEL",F537)),"Steel","Others"))</f>
        <v>0</v>
      </c>
      <c r="H537">
        <f>IF(ISNUMBER(SEARCH("scrubber",F537)) , "Scrubber", IF(ISNUMBER(SEARCH("container",F537)),"Container", IF(ISNUMBER(SEARCH("basket",F537)),"Basket", IF(ISNUMBER(SEARCH("lunch",F537)),"Lunch Box", IF(ISNUMBER(SEARCH("cutlery",F537)),"Cutlery","Other")))))</f>
        <v>0</v>
      </c>
      <c r="I537">
        <f>IF('Raw Data'!G537&lt;&gt;'','Raw Data'!G537,IFERROR(MID(F537,SEARCH("MODEL",F537)+6,20),""))</f>
        <v>0</v>
      </c>
      <c r="J537">
        <f>'Raw Data'!H537</f>
        <v>0</v>
      </c>
      <c r="K537">
        <f>'Raw Data'!I537</f>
        <v>0</v>
      </c>
      <c r="L537">
        <f>IF('Raw Data'!N537&lt;&gt;0,'Raw Data'!N537,IFERROR(VALUE(MID(F537,SEARCH("QTY",F537)+4,IFERROR(FIND(" ",F537,SEARCH("QTY",F537)+4)-(SEARCH("QTY",F537)+4),3))),""))</f>
        <v>0</v>
      </c>
      <c r="M537">
        <f>'Raw Data'!O537</f>
        <v>0</v>
      </c>
      <c r="N537">
        <f>'Raw Data'!P537</f>
        <v>0</v>
      </c>
      <c r="O537">
        <f>'Raw Data'!Q537</f>
        <v>0</v>
      </c>
      <c r="P537">
        <f>'Raw Data'!R537</f>
        <v>0</v>
      </c>
      <c r="Q537">
        <f>'Raw Data'!S537</f>
        <v>0</v>
      </c>
      <c r="R537">
        <f>'Raw Data'!T537</f>
        <v>0</v>
      </c>
      <c r="S537">
        <f>IFERROR(O537,0)+IFERROR(R537,0)</f>
        <v>0</v>
      </c>
      <c r="T537">
        <f>IF(A537="","",YEAR(A537))</f>
        <v>0</v>
      </c>
    </row>
    <row r="538" spans="1:20">
      <c r="A538">
        <f>'Raw Data'!B538</f>
        <v>0</v>
      </c>
      <c r="B538">
        <f>'Raw Data'!A538</f>
        <v>0</v>
      </c>
      <c r="C538">
        <f>'Raw Data'!C538</f>
        <v>0</v>
      </c>
      <c r="D538">
        <f>'Raw Data'!D538</f>
        <v>0</v>
      </c>
      <c r="E538">
        <f>IFERROR(VLOOKUP(D538,'Lookup Tables'!$A:$B,2,FALSE),"Unknown")</f>
        <v>0</v>
      </c>
      <c r="F538">
        <f>'Raw Data'!E538</f>
        <v>0</v>
      </c>
      <c r="G538">
        <f>IFERROR(VLOOKUP(D538,'Lookup Tables'!$A:$C,3,FALSE),IF(ISNUMBER(SEARCH("STEEL",F538)),"Steel","Others"))</f>
        <v>0</v>
      </c>
      <c r="H538">
        <f>IF(ISNUMBER(SEARCH("scrubber",F538)) , "Scrubber", IF(ISNUMBER(SEARCH("container",F538)),"Container", IF(ISNUMBER(SEARCH("basket",F538)),"Basket", IF(ISNUMBER(SEARCH("lunch",F538)),"Lunch Box", IF(ISNUMBER(SEARCH("cutlery",F538)),"Cutlery","Other")))))</f>
        <v>0</v>
      </c>
      <c r="I538">
        <f>IF('Raw Data'!G538&lt;&gt;'','Raw Data'!G538,IFERROR(MID(F538,SEARCH("MODEL",F538)+6,20),""))</f>
        <v>0</v>
      </c>
      <c r="J538">
        <f>'Raw Data'!H538</f>
        <v>0</v>
      </c>
      <c r="K538">
        <f>'Raw Data'!I538</f>
        <v>0</v>
      </c>
      <c r="L538">
        <f>IF('Raw Data'!N538&lt;&gt;0,'Raw Data'!N538,IFERROR(VALUE(MID(F538,SEARCH("QTY",F538)+4,IFERROR(FIND(" ",F538,SEARCH("QTY",F538)+4)-(SEARCH("QTY",F538)+4),3))),""))</f>
        <v>0</v>
      </c>
      <c r="M538">
        <f>'Raw Data'!O538</f>
        <v>0</v>
      </c>
      <c r="N538">
        <f>'Raw Data'!P538</f>
        <v>0</v>
      </c>
      <c r="O538">
        <f>'Raw Data'!Q538</f>
        <v>0</v>
      </c>
      <c r="P538">
        <f>'Raw Data'!R538</f>
        <v>0</v>
      </c>
      <c r="Q538">
        <f>'Raw Data'!S538</f>
        <v>0</v>
      </c>
      <c r="R538">
        <f>'Raw Data'!T538</f>
        <v>0</v>
      </c>
      <c r="S538">
        <f>IFERROR(O538,0)+IFERROR(R538,0)</f>
        <v>0</v>
      </c>
      <c r="T538">
        <f>IF(A538="","",YEAR(A538))</f>
        <v>0</v>
      </c>
    </row>
    <row r="539" spans="1:20">
      <c r="A539">
        <f>'Raw Data'!B539</f>
        <v>0</v>
      </c>
      <c r="B539">
        <f>'Raw Data'!A539</f>
        <v>0</v>
      </c>
      <c r="C539">
        <f>'Raw Data'!C539</f>
        <v>0</v>
      </c>
      <c r="D539">
        <f>'Raw Data'!D539</f>
        <v>0</v>
      </c>
      <c r="E539">
        <f>IFERROR(VLOOKUP(D539,'Lookup Tables'!$A:$B,2,FALSE),"Unknown")</f>
        <v>0</v>
      </c>
      <c r="F539">
        <f>'Raw Data'!E539</f>
        <v>0</v>
      </c>
      <c r="G539">
        <f>IFERROR(VLOOKUP(D539,'Lookup Tables'!$A:$C,3,FALSE),IF(ISNUMBER(SEARCH("STEEL",F539)),"Steel","Others"))</f>
        <v>0</v>
      </c>
      <c r="H539">
        <f>IF(ISNUMBER(SEARCH("scrubber",F539)) , "Scrubber", IF(ISNUMBER(SEARCH("container",F539)),"Container", IF(ISNUMBER(SEARCH("basket",F539)),"Basket", IF(ISNUMBER(SEARCH("lunch",F539)),"Lunch Box", IF(ISNUMBER(SEARCH("cutlery",F539)),"Cutlery","Other")))))</f>
        <v>0</v>
      </c>
      <c r="I539">
        <f>IF('Raw Data'!G539&lt;&gt;'','Raw Data'!G539,IFERROR(MID(F539,SEARCH("MODEL",F539)+6,20),""))</f>
        <v>0</v>
      </c>
      <c r="J539">
        <f>'Raw Data'!H539</f>
        <v>0</v>
      </c>
      <c r="K539">
        <f>'Raw Data'!I539</f>
        <v>0</v>
      </c>
      <c r="L539">
        <f>IF('Raw Data'!N539&lt;&gt;0,'Raw Data'!N539,IFERROR(VALUE(MID(F539,SEARCH("QTY",F539)+4,IFERROR(FIND(" ",F539,SEARCH("QTY",F539)+4)-(SEARCH("QTY",F539)+4),3))),""))</f>
        <v>0</v>
      </c>
      <c r="M539">
        <f>'Raw Data'!O539</f>
        <v>0</v>
      </c>
      <c r="N539">
        <f>'Raw Data'!P539</f>
        <v>0</v>
      </c>
      <c r="O539">
        <f>'Raw Data'!Q539</f>
        <v>0</v>
      </c>
      <c r="P539">
        <f>'Raw Data'!R539</f>
        <v>0</v>
      </c>
      <c r="Q539">
        <f>'Raw Data'!S539</f>
        <v>0</v>
      </c>
      <c r="R539">
        <f>'Raw Data'!T539</f>
        <v>0</v>
      </c>
      <c r="S539">
        <f>IFERROR(O539,0)+IFERROR(R539,0)</f>
        <v>0</v>
      </c>
      <c r="T539">
        <f>IF(A539="","",YEAR(A539))</f>
        <v>0</v>
      </c>
    </row>
    <row r="540" spans="1:20">
      <c r="A540">
        <f>'Raw Data'!B540</f>
        <v>0</v>
      </c>
      <c r="B540">
        <f>'Raw Data'!A540</f>
        <v>0</v>
      </c>
      <c r="C540">
        <f>'Raw Data'!C540</f>
        <v>0</v>
      </c>
      <c r="D540">
        <f>'Raw Data'!D540</f>
        <v>0</v>
      </c>
      <c r="E540">
        <f>IFERROR(VLOOKUP(D540,'Lookup Tables'!$A:$B,2,FALSE),"Unknown")</f>
        <v>0</v>
      </c>
      <c r="F540">
        <f>'Raw Data'!E540</f>
        <v>0</v>
      </c>
      <c r="G540">
        <f>IFERROR(VLOOKUP(D540,'Lookup Tables'!$A:$C,3,FALSE),IF(ISNUMBER(SEARCH("STEEL",F540)),"Steel","Others"))</f>
        <v>0</v>
      </c>
      <c r="H540">
        <f>IF(ISNUMBER(SEARCH("scrubber",F540)) , "Scrubber", IF(ISNUMBER(SEARCH("container",F540)),"Container", IF(ISNUMBER(SEARCH("basket",F540)),"Basket", IF(ISNUMBER(SEARCH("lunch",F540)),"Lunch Box", IF(ISNUMBER(SEARCH("cutlery",F540)),"Cutlery","Other")))))</f>
        <v>0</v>
      </c>
      <c r="I540">
        <f>IF('Raw Data'!G540&lt;&gt;'','Raw Data'!G540,IFERROR(MID(F540,SEARCH("MODEL",F540)+6,20),""))</f>
        <v>0</v>
      </c>
      <c r="J540">
        <f>'Raw Data'!H540</f>
        <v>0</v>
      </c>
      <c r="K540">
        <f>'Raw Data'!I540</f>
        <v>0</v>
      </c>
      <c r="L540">
        <f>IF('Raw Data'!N540&lt;&gt;0,'Raw Data'!N540,IFERROR(VALUE(MID(F540,SEARCH("QTY",F540)+4,IFERROR(FIND(" ",F540,SEARCH("QTY",F540)+4)-(SEARCH("QTY",F540)+4),3))),""))</f>
        <v>0</v>
      </c>
      <c r="M540">
        <f>'Raw Data'!O540</f>
        <v>0</v>
      </c>
      <c r="N540">
        <f>'Raw Data'!P540</f>
        <v>0</v>
      </c>
      <c r="O540">
        <f>'Raw Data'!Q540</f>
        <v>0</v>
      </c>
      <c r="P540">
        <f>'Raw Data'!R540</f>
        <v>0</v>
      </c>
      <c r="Q540">
        <f>'Raw Data'!S540</f>
        <v>0</v>
      </c>
      <c r="R540">
        <f>'Raw Data'!T540</f>
        <v>0</v>
      </c>
      <c r="S540">
        <f>IFERROR(O540,0)+IFERROR(R540,0)</f>
        <v>0</v>
      </c>
      <c r="T540">
        <f>IF(A540="","",YEAR(A540))</f>
        <v>0</v>
      </c>
    </row>
    <row r="541" spans="1:20">
      <c r="A541">
        <f>'Raw Data'!B541</f>
        <v>0</v>
      </c>
      <c r="B541">
        <f>'Raw Data'!A541</f>
        <v>0</v>
      </c>
      <c r="C541">
        <f>'Raw Data'!C541</f>
        <v>0</v>
      </c>
      <c r="D541">
        <f>'Raw Data'!D541</f>
        <v>0</v>
      </c>
      <c r="E541">
        <f>IFERROR(VLOOKUP(D541,'Lookup Tables'!$A:$B,2,FALSE),"Unknown")</f>
        <v>0</v>
      </c>
      <c r="F541">
        <f>'Raw Data'!E541</f>
        <v>0</v>
      </c>
      <c r="G541">
        <f>IFERROR(VLOOKUP(D541,'Lookup Tables'!$A:$C,3,FALSE),IF(ISNUMBER(SEARCH("STEEL",F541)),"Steel","Others"))</f>
        <v>0</v>
      </c>
      <c r="H541">
        <f>IF(ISNUMBER(SEARCH("scrubber",F541)) , "Scrubber", IF(ISNUMBER(SEARCH("container",F541)),"Container", IF(ISNUMBER(SEARCH("basket",F541)),"Basket", IF(ISNUMBER(SEARCH("lunch",F541)),"Lunch Box", IF(ISNUMBER(SEARCH("cutlery",F541)),"Cutlery","Other")))))</f>
        <v>0</v>
      </c>
      <c r="I541">
        <f>IF('Raw Data'!G541&lt;&gt;'','Raw Data'!G541,IFERROR(MID(F541,SEARCH("MODEL",F541)+6,20),""))</f>
        <v>0</v>
      </c>
      <c r="J541">
        <f>'Raw Data'!H541</f>
        <v>0</v>
      </c>
      <c r="K541">
        <f>'Raw Data'!I541</f>
        <v>0</v>
      </c>
      <c r="L541">
        <f>IF('Raw Data'!N541&lt;&gt;0,'Raw Data'!N541,IFERROR(VALUE(MID(F541,SEARCH("QTY",F541)+4,IFERROR(FIND(" ",F541,SEARCH("QTY",F541)+4)-(SEARCH("QTY",F541)+4),3))),""))</f>
        <v>0</v>
      </c>
      <c r="M541">
        <f>'Raw Data'!O541</f>
        <v>0</v>
      </c>
      <c r="N541">
        <f>'Raw Data'!P541</f>
        <v>0</v>
      </c>
      <c r="O541">
        <f>'Raw Data'!Q541</f>
        <v>0</v>
      </c>
      <c r="P541">
        <f>'Raw Data'!R541</f>
        <v>0</v>
      </c>
      <c r="Q541">
        <f>'Raw Data'!S541</f>
        <v>0</v>
      </c>
      <c r="R541">
        <f>'Raw Data'!T541</f>
        <v>0</v>
      </c>
      <c r="S541">
        <f>IFERROR(O541,0)+IFERROR(R541,0)</f>
        <v>0</v>
      </c>
      <c r="T541">
        <f>IF(A541="","",YEAR(A541))</f>
        <v>0</v>
      </c>
    </row>
    <row r="542" spans="1:20">
      <c r="A542">
        <f>'Raw Data'!B542</f>
        <v>0</v>
      </c>
      <c r="B542">
        <f>'Raw Data'!A542</f>
        <v>0</v>
      </c>
      <c r="C542">
        <f>'Raw Data'!C542</f>
        <v>0</v>
      </c>
      <c r="D542">
        <f>'Raw Data'!D542</f>
        <v>0</v>
      </c>
      <c r="E542">
        <f>IFERROR(VLOOKUP(D542,'Lookup Tables'!$A:$B,2,FALSE),"Unknown")</f>
        <v>0</v>
      </c>
      <c r="F542">
        <f>'Raw Data'!E542</f>
        <v>0</v>
      </c>
      <c r="G542">
        <f>IFERROR(VLOOKUP(D542,'Lookup Tables'!$A:$C,3,FALSE),IF(ISNUMBER(SEARCH("STEEL",F542)),"Steel","Others"))</f>
        <v>0</v>
      </c>
      <c r="H542">
        <f>IF(ISNUMBER(SEARCH("scrubber",F542)) , "Scrubber", IF(ISNUMBER(SEARCH("container",F542)),"Container", IF(ISNUMBER(SEARCH("basket",F542)),"Basket", IF(ISNUMBER(SEARCH("lunch",F542)),"Lunch Box", IF(ISNUMBER(SEARCH("cutlery",F542)),"Cutlery","Other")))))</f>
        <v>0</v>
      </c>
      <c r="I542">
        <f>IF('Raw Data'!G542&lt;&gt;'','Raw Data'!G542,IFERROR(MID(F542,SEARCH("MODEL",F542)+6,20),""))</f>
        <v>0</v>
      </c>
      <c r="J542">
        <f>'Raw Data'!H542</f>
        <v>0</v>
      </c>
      <c r="K542">
        <f>'Raw Data'!I542</f>
        <v>0</v>
      </c>
      <c r="L542">
        <f>IF('Raw Data'!N542&lt;&gt;0,'Raw Data'!N542,IFERROR(VALUE(MID(F542,SEARCH("QTY",F542)+4,IFERROR(FIND(" ",F542,SEARCH("QTY",F542)+4)-(SEARCH("QTY",F542)+4),3))),""))</f>
        <v>0</v>
      </c>
      <c r="M542">
        <f>'Raw Data'!O542</f>
        <v>0</v>
      </c>
      <c r="N542">
        <f>'Raw Data'!P542</f>
        <v>0</v>
      </c>
      <c r="O542">
        <f>'Raw Data'!Q542</f>
        <v>0</v>
      </c>
      <c r="P542">
        <f>'Raw Data'!R542</f>
        <v>0</v>
      </c>
      <c r="Q542">
        <f>'Raw Data'!S542</f>
        <v>0</v>
      </c>
      <c r="R542">
        <f>'Raw Data'!T542</f>
        <v>0</v>
      </c>
      <c r="S542">
        <f>IFERROR(O542,0)+IFERROR(R542,0)</f>
        <v>0</v>
      </c>
      <c r="T542">
        <f>IF(A542="","",YEAR(A542))</f>
        <v>0</v>
      </c>
    </row>
    <row r="543" spans="1:20">
      <c r="A543">
        <f>'Raw Data'!B543</f>
        <v>0</v>
      </c>
      <c r="B543">
        <f>'Raw Data'!A543</f>
        <v>0</v>
      </c>
      <c r="C543">
        <f>'Raw Data'!C543</f>
        <v>0</v>
      </c>
      <c r="D543">
        <f>'Raw Data'!D543</f>
        <v>0</v>
      </c>
      <c r="E543">
        <f>IFERROR(VLOOKUP(D543,'Lookup Tables'!$A:$B,2,FALSE),"Unknown")</f>
        <v>0</v>
      </c>
      <c r="F543">
        <f>'Raw Data'!E543</f>
        <v>0</v>
      </c>
      <c r="G543">
        <f>IFERROR(VLOOKUP(D543,'Lookup Tables'!$A:$C,3,FALSE),IF(ISNUMBER(SEARCH("STEEL",F543)),"Steel","Others"))</f>
        <v>0</v>
      </c>
      <c r="H543">
        <f>IF(ISNUMBER(SEARCH("scrubber",F543)) , "Scrubber", IF(ISNUMBER(SEARCH("container",F543)),"Container", IF(ISNUMBER(SEARCH("basket",F543)),"Basket", IF(ISNUMBER(SEARCH("lunch",F543)),"Lunch Box", IF(ISNUMBER(SEARCH("cutlery",F543)),"Cutlery","Other")))))</f>
        <v>0</v>
      </c>
      <c r="I543">
        <f>IF('Raw Data'!G543&lt;&gt;'','Raw Data'!G543,IFERROR(MID(F543,SEARCH("MODEL",F543)+6,20),""))</f>
        <v>0</v>
      </c>
      <c r="J543">
        <f>'Raw Data'!H543</f>
        <v>0</v>
      </c>
      <c r="K543">
        <f>'Raw Data'!I543</f>
        <v>0</v>
      </c>
      <c r="L543">
        <f>IF('Raw Data'!N543&lt;&gt;0,'Raw Data'!N543,IFERROR(VALUE(MID(F543,SEARCH("QTY",F543)+4,IFERROR(FIND(" ",F543,SEARCH("QTY",F543)+4)-(SEARCH("QTY",F543)+4),3))),""))</f>
        <v>0</v>
      </c>
      <c r="M543">
        <f>'Raw Data'!O543</f>
        <v>0</v>
      </c>
      <c r="N543">
        <f>'Raw Data'!P543</f>
        <v>0</v>
      </c>
      <c r="O543">
        <f>'Raw Data'!Q543</f>
        <v>0</v>
      </c>
      <c r="P543">
        <f>'Raw Data'!R543</f>
        <v>0</v>
      </c>
      <c r="Q543">
        <f>'Raw Data'!S543</f>
        <v>0</v>
      </c>
      <c r="R543">
        <f>'Raw Data'!T543</f>
        <v>0</v>
      </c>
      <c r="S543">
        <f>IFERROR(O543,0)+IFERROR(R543,0)</f>
        <v>0</v>
      </c>
      <c r="T543">
        <f>IF(A543="","",YEAR(A543))</f>
        <v>0</v>
      </c>
    </row>
    <row r="544" spans="1:20">
      <c r="A544">
        <f>'Raw Data'!B544</f>
        <v>0</v>
      </c>
      <c r="B544">
        <f>'Raw Data'!A544</f>
        <v>0</v>
      </c>
      <c r="C544">
        <f>'Raw Data'!C544</f>
        <v>0</v>
      </c>
      <c r="D544">
        <f>'Raw Data'!D544</f>
        <v>0</v>
      </c>
      <c r="E544">
        <f>IFERROR(VLOOKUP(D544,'Lookup Tables'!$A:$B,2,FALSE),"Unknown")</f>
        <v>0</v>
      </c>
      <c r="F544">
        <f>'Raw Data'!E544</f>
        <v>0</v>
      </c>
      <c r="G544">
        <f>IFERROR(VLOOKUP(D544,'Lookup Tables'!$A:$C,3,FALSE),IF(ISNUMBER(SEARCH("STEEL",F544)),"Steel","Others"))</f>
        <v>0</v>
      </c>
      <c r="H544">
        <f>IF(ISNUMBER(SEARCH("scrubber",F544)) , "Scrubber", IF(ISNUMBER(SEARCH("container",F544)),"Container", IF(ISNUMBER(SEARCH("basket",F544)),"Basket", IF(ISNUMBER(SEARCH("lunch",F544)),"Lunch Box", IF(ISNUMBER(SEARCH("cutlery",F544)),"Cutlery","Other")))))</f>
        <v>0</v>
      </c>
      <c r="I544">
        <f>IF('Raw Data'!G544&lt;&gt;'','Raw Data'!G544,IFERROR(MID(F544,SEARCH("MODEL",F544)+6,20),""))</f>
        <v>0</v>
      </c>
      <c r="J544">
        <f>'Raw Data'!H544</f>
        <v>0</v>
      </c>
      <c r="K544">
        <f>'Raw Data'!I544</f>
        <v>0</v>
      </c>
      <c r="L544">
        <f>IF('Raw Data'!N544&lt;&gt;0,'Raw Data'!N544,IFERROR(VALUE(MID(F544,SEARCH("QTY",F544)+4,IFERROR(FIND(" ",F544,SEARCH("QTY",F544)+4)-(SEARCH("QTY",F544)+4),3))),""))</f>
        <v>0</v>
      </c>
      <c r="M544">
        <f>'Raw Data'!O544</f>
        <v>0</v>
      </c>
      <c r="N544">
        <f>'Raw Data'!P544</f>
        <v>0</v>
      </c>
      <c r="O544">
        <f>'Raw Data'!Q544</f>
        <v>0</v>
      </c>
      <c r="P544">
        <f>'Raw Data'!R544</f>
        <v>0</v>
      </c>
      <c r="Q544">
        <f>'Raw Data'!S544</f>
        <v>0</v>
      </c>
      <c r="R544">
        <f>'Raw Data'!T544</f>
        <v>0</v>
      </c>
      <c r="S544">
        <f>IFERROR(O544,0)+IFERROR(R544,0)</f>
        <v>0</v>
      </c>
      <c r="T544">
        <f>IF(A544="","",YEAR(A544))</f>
        <v>0</v>
      </c>
    </row>
    <row r="545" spans="1:20">
      <c r="A545">
        <f>'Raw Data'!B545</f>
        <v>0</v>
      </c>
      <c r="B545">
        <f>'Raw Data'!A545</f>
        <v>0</v>
      </c>
      <c r="C545">
        <f>'Raw Data'!C545</f>
        <v>0</v>
      </c>
      <c r="D545">
        <f>'Raw Data'!D545</f>
        <v>0</v>
      </c>
      <c r="E545">
        <f>IFERROR(VLOOKUP(D545,'Lookup Tables'!$A:$B,2,FALSE),"Unknown")</f>
        <v>0</v>
      </c>
      <c r="F545">
        <f>'Raw Data'!E545</f>
        <v>0</v>
      </c>
      <c r="G545">
        <f>IFERROR(VLOOKUP(D545,'Lookup Tables'!$A:$C,3,FALSE),IF(ISNUMBER(SEARCH("STEEL",F545)),"Steel","Others"))</f>
        <v>0</v>
      </c>
      <c r="H545">
        <f>IF(ISNUMBER(SEARCH("scrubber",F545)) , "Scrubber", IF(ISNUMBER(SEARCH("container",F545)),"Container", IF(ISNUMBER(SEARCH("basket",F545)),"Basket", IF(ISNUMBER(SEARCH("lunch",F545)),"Lunch Box", IF(ISNUMBER(SEARCH("cutlery",F545)),"Cutlery","Other")))))</f>
        <v>0</v>
      </c>
      <c r="I545">
        <f>IF('Raw Data'!G545&lt;&gt;'','Raw Data'!G545,IFERROR(MID(F545,SEARCH("MODEL",F545)+6,20),""))</f>
        <v>0</v>
      </c>
      <c r="J545">
        <f>'Raw Data'!H545</f>
        <v>0</v>
      </c>
      <c r="K545">
        <f>'Raw Data'!I545</f>
        <v>0</v>
      </c>
      <c r="L545">
        <f>IF('Raw Data'!N545&lt;&gt;0,'Raw Data'!N545,IFERROR(VALUE(MID(F545,SEARCH("QTY",F545)+4,IFERROR(FIND(" ",F545,SEARCH("QTY",F545)+4)-(SEARCH("QTY",F545)+4),3))),""))</f>
        <v>0</v>
      </c>
      <c r="M545">
        <f>'Raw Data'!O545</f>
        <v>0</v>
      </c>
      <c r="N545">
        <f>'Raw Data'!P545</f>
        <v>0</v>
      </c>
      <c r="O545">
        <f>'Raw Data'!Q545</f>
        <v>0</v>
      </c>
      <c r="P545">
        <f>'Raw Data'!R545</f>
        <v>0</v>
      </c>
      <c r="Q545">
        <f>'Raw Data'!S545</f>
        <v>0</v>
      </c>
      <c r="R545">
        <f>'Raw Data'!T545</f>
        <v>0</v>
      </c>
      <c r="S545">
        <f>IFERROR(O545,0)+IFERROR(R545,0)</f>
        <v>0</v>
      </c>
      <c r="T545">
        <f>IF(A545="","",YEAR(A545))</f>
        <v>0</v>
      </c>
    </row>
    <row r="546" spans="1:20">
      <c r="A546">
        <f>'Raw Data'!B546</f>
        <v>0</v>
      </c>
      <c r="B546">
        <f>'Raw Data'!A546</f>
        <v>0</v>
      </c>
      <c r="C546">
        <f>'Raw Data'!C546</f>
        <v>0</v>
      </c>
      <c r="D546">
        <f>'Raw Data'!D546</f>
        <v>0</v>
      </c>
      <c r="E546">
        <f>IFERROR(VLOOKUP(D546,'Lookup Tables'!$A:$B,2,FALSE),"Unknown")</f>
        <v>0</v>
      </c>
      <c r="F546">
        <f>'Raw Data'!E546</f>
        <v>0</v>
      </c>
      <c r="G546">
        <f>IFERROR(VLOOKUP(D546,'Lookup Tables'!$A:$C,3,FALSE),IF(ISNUMBER(SEARCH("STEEL",F546)),"Steel","Others"))</f>
        <v>0</v>
      </c>
      <c r="H546">
        <f>IF(ISNUMBER(SEARCH("scrubber",F546)) , "Scrubber", IF(ISNUMBER(SEARCH("container",F546)),"Container", IF(ISNUMBER(SEARCH("basket",F546)),"Basket", IF(ISNUMBER(SEARCH("lunch",F546)),"Lunch Box", IF(ISNUMBER(SEARCH("cutlery",F546)),"Cutlery","Other")))))</f>
        <v>0</v>
      </c>
      <c r="I546">
        <f>IF('Raw Data'!G546&lt;&gt;'','Raw Data'!G546,IFERROR(MID(F546,SEARCH("MODEL",F546)+6,20),""))</f>
        <v>0</v>
      </c>
      <c r="J546">
        <f>'Raw Data'!H546</f>
        <v>0</v>
      </c>
      <c r="K546">
        <f>'Raw Data'!I546</f>
        <v>0</v>
      </c>
      <c r="L546">
        <f>IF('Raw Data'!N546&lt;&gt;0,'Raw Data'!N546,IFERROR(VALUE(MID(F546,SEARCH("QTY",F546)+4,IFERROR(FIND(" ",F546,SEARCH("QTY",F546)+4)-(SEARCH("QTY",F546)+4),3))),""))</f>
        <v>0</v>
      </c>
      <c r="M546">
        <f>'Raw Data'!O546</f>
        <v>0</v>
      </c>
      <c r="N546">
        <f>'Raw Data'!P546</f>
        <v>0</v>
      </c>
      <c r="O546">
        <f>'Raw Data'!Q546</f>
        <v>0</v>
      </c>
      <c r="P546">
        <f>'Raw Data'!R546</f>
        <v>0</v>
      </c>
      <c r="Q546">
        <f>'Raw Data'!S546</f>
        <v>0</v>
      </c>
      <c r="R546">
        <f>'Raw Data'!T546</f>
        <v>0</v>
      </c>
      <c r="S546">
        <f>IFERROR(O546,0)+IFERROR(R546,0)</f>
        <v>0</v>
      </c>
      <c r="T546">
        <f>IF(A546="","",YEAR(A546))</f>
        <v>0</v>
      </c>
    </row>
    <row r="547" spans="1:20">
      <c r="A547">
        <f>'Raw Data'!B547</f>
        <v>0</v>
      </c>
      <c r="B547">
        <f>'Raw Data'!A547</f>
        <v>0</v>
      </c>
      <c r="C547">
        <f>'Raw Data'!C547</f>
        <v>0</v>
      </c>
      <c r="D547">
        <f>'Raw Data'!D547</f>
        <v>0</v>
      </c>
      <c r="E547">
        <f>IFERROR(VLOOKUP(D547,'Lookup Tables'!$A:$B,2,FALSE),"Unknown")</f>
        <v>0</v>
      </c>
      <c r="F547">
        <f>'Raw Data'!E547</f>
        <v>0</v>
      </c>
      <c r="G547">
        <f>IFERROR(VLOOKUP(D547,'Lookup Tables'!$A:$C,3,FALSE),IF(ISNUMBER(SEARCH("STEEL",F547)),"Steel","Others"))</f>
        <v>0</v>
      </c>
      <c r="H547">
        <f>IF(ISNUMBER(SEARCH("scrubber",F547)) , "Scrubber", IF(ISNUMBER(SEARCH("container",F547)),"Container", IF(ISNUMBER(SEARCH("basket",F547)),"Basket", IF(ISNUMBER(SEARCH("lunch",F547)),"Lunch Box", IF(ISNUMBER(SEARCH("cutlery",F547)),"Cutlery","Other")))))</f>
        <v>0</v>
      </c>
      <c r="I547">
        <f>IF('Raw Data'!G547&lt;&gt;'','Raw Data'!G547,IFERROR(MID(F547,SEARCH("MODEL",F547)+6,20),""))</f>
        <v>0</v>
      </c>
      <c r="J547">
        <f>'Raw Data'!H547</f>
        <v>0</v>
      </c>
      <c r="K547">
        <f>'Raw Data'!I547</f>
        <v>0</v>
      </c>
      <c r="L547">
        <f>IF('Raw Data'!N547&lt;&gt;0,'Raw Data'!N547,IFERROR(VALUE(MID(F547,SEARCH("QTY",F547)+4,IFERROR(FIND(" ",F547,SEARCH("QTY",F547)+4)-(SEARCH("QTY",F547)+4),3))),""))</f>
        <v>0</v>
      </c>
      <c r="M547">
        <f>'Raw Data'!O547</f>
        <v>0</v>
      </c>
      <c r="N547">
        <f>'Raw Data'!P547</f>
        <v>0</v>
      </c>
      <c r="O547">
        <f>'Raw Data'!Q547</f>
        <v>0</v>
      </c>
      <c r="P547">
        <f>'Raw Data'!R547</f>
        <v>0</v>
      </c>
      <c r="Q547">
        <f>'Raw Data'!S547</f>
        <v>0</v>
      </c>
      <c r="R547">
        <f>'Raw Data'!T547</f>
        <v>0</v>
      </c>
      <c r="S547">
        <f>IFERROR(O547,0)+IFERROR(R547,0)</f>
        <v>0</v>
      </c>
      <c r="T547">
        <f>IF(A547="","",YEAR(A547))</f>
        <v>0</v>
      </c>
    </row>
    <row r="548" spans="1:20">
      <c r="A548">
        <f>'Raw Data'!B548</f>
        <v>0</v>
      </c>
      <c r="B548">
        <f>'Raw Data'!A548</f>
        <v>0</v>
      </c>
      <c r="C548">
        <f>'Raw Data'!C548</f>
        <v>0</v>
      </c>
      <c r="D548">
        <f>'Raw Data'!D548</f>
        <v>0</v>
      </c>
      <c r="E548">
        <f>IFERROR(VLOOKUP(D548,'Lookup Tables'!$A:$B,2,FALSE),"Unknown")</f>
        <v>0</v>
      </c>
      <c r="F548">
        <f>'Raw Data'!E548</f>
        <v>0</v>
      </c>
      <c r="G548">
        <f>IFERROR(VLOOKUP(D548,'Lookup Tables'!$A:$C,3,FALSE),IF(ISNUMBER(SEARCH("STEEL",F548)),"Steel","Others"))</f>
        <v>0</v>
      </c>
      <c r="H548">
        <f>IF(ISNUMBER(SEARCH("scrubber",F548)) , "Scrubber", IF(ISNUMBER(SEARCH("container",F548)),"Container", IF(ISNUMBER(SEARCH("basket",F548)),"Basket", IF(ISNUMBER(SEARCH("lunch",F548)),"Lunch Box", IF(ISNUMBER(SEARCH("cutlery",F548)),"Cutlery","Other")))))</f>
        <v>0</v>
      </c>
      <c r="I548">
        <f>IF('Raw Data'!G548&lt;&gt;'','Raw Data'!G548,IFERROR(MID(F548,SEARCH("MODEL",F548)+6,20),""))</f>
        <v>0</v>
      </c>
      <c r="J548">
        <f>'Raw Data'!H548</f>
        <v>0</v>
      </c>
      <c r="K548">
        <f>'Raw Data'!I548</f>
        <v>0</v>
      </c>
      <c r="L548">
        <f>IF('Raw Data'!N548&lt;&gt;0,'Raw Data'!N548,IFERROR(VALUE(MID(F548,SEARCH("QTY",F548)+4,IFERROR(FIND(" ",F548,SEARCH("QTY",F548)+4)-(SEARCH("QTY",F548)+4),3))),""))</f>
        <v>0</v>
      </c>
      <c r="M548">
        <f>'Raw Data'!O548</f>
        <v>0</v>
      </c>
      <c r="N548">
        <f>'Raw Data'!P548</f>
        <v>0</v>
      </c>
      <c r="O548">
        <f>'Raw Data'!Q548</f>
        <v>0</v>
      </c>
      <c r="P548">
        <f>'Raw Data'!R548</f>
        <v>0</v>
      </c>
      <c r="Q548">
        <f>'Raw Data'!S548</f>
        <v>0</v>
      </c>
      <c r="R548">
        <f>'Raw Data'!T548</f>
        <v>0</v>
      </c>
      <c r="S548">
        <f>IFERROR(O548,0)+IFERROR(R548,0)</f>
        <v>0</v>
      </c>
      <c r="T548">
        <f>IF(A548="","",YEAR(A548))</f>
        <v>0</v>
      </c>
    </row>
    <row r="549" spans="1:20">
      <c r="A549">
        <f>'Raw Data'!B549</f>
        <v>0</v>
      </c>
      <c r="B549">
        <f>'Raw Data'!A549</f>
        <v>0</v>
      </c>
      <c r="C549">
        <f>'Raw Data'!C549</f>
        <v>0</v>
      </c>
      <c r="D549">
        <f>'Raw Data'!D549</f>
        <v>0</v>
      </c>
      <c r="E549">
        <f>IFERROR(VLOOKUP(D549,'Lookup Tables'!$A:$B,2,FALSE),"Unknown")</f>
        <v>0</v>
      </c>
      <c r="F549">
        <f>'Raw Data'!E549</f>
        <v>0</v>
      </c>
      <c r="G549">
        <f>IFERROR(VLOOKUP(D549,'Lookup Tables'!$A:$C,3,FALSE),IF(ISNUMBER(SEARCH("STEEL",F549)),"Steel","Others"))</f>
        <v>0</v>
      </c>
      <c r="H549">
        <f>IF(ISNUMBER(SEARCH("scrubber",F549)) , "Scrubber", IF(ISNUMBER(SEARCH("container",F549)),"Container", IF(ISNUMBER(SEARCH("basket",F549)),"Basket", IF(ISNUMBER(SEARCH("lunch",F549)),"Lunch Box", IF(ISNUMBER(SEARCH("cutlery",F549)),"Cutlery","Other")))))</f>
        <v>0</v>
      </c>
      <c r="I549">
        <f>IF('Raw Data'!G549&lt;&gt;'','Raw Data'!G549,IFERROR(MID(F549,SEARCH("MODEL",F549)+6,20),""))</f>
        <v>0</v>
      </c>
      <c r="J549">
        <f>'Raw Data'!H549</f>
        <v>0</v>
      </c>
      <c r="K549">
        <f>'Raw Data'!I549</f>
        <v>0</v>
      </c>
      <c r="L549">
        <f>IF('Raw Data'!N549&lt;&gt;0,'Raw Data'!N549,IFERROR(VALUE(MID(F549,SEARCH("QTY",F549)+4,IFERROR(FIND(" ",F549,SEARCH("QTY",F549)+4)-(SEARCH("QTY",F549)+4),3))),""))</f>
        <v>0</v>
      </c>
      <c r="M549">
        <f>'Raw Data'!O549</f>
        <v>0</v>
      </c>
      <c r="N549">
        <f>'Raw Data'!P549</f>
        <v>0</v>
      </c>
      <c r="O549">
        <f>'Raw Data'!Q549</f>
        <v>0</v>
      </c>
      <c r="P549">
        <f>'Raw Data'!R549</f>
        <v>0</v>
      </c>
      <c r="Q549">
        <f>'Raw Data'!S549</f>
        <v>0</v>
      </c>
      <c r="R549">
        <f>'Raw Data'!T549</f>
        <v>0</v>
      </c>
      <c r="S549">
        <f>IFERROR(O549,0)+IFERROR(R549,0)</f>
        <v>0</v>
      </c>
      <c r="T549">
        <f>IF(A549="","",YEAR(A549))</f>
        <v>0</v>
      </c>
    </row>
    <row r="550" spans="1:20">
      <c r="A550">
        <f>'Raw Data'!B550</f>
        <v>0</v>
      </c>
      <c r="B550">
        <f>'Raw Data'!A550</f>
        <v>0</v>
      </c>
      <c r="C550">
        <f>'Raw Data'!C550</f>
        <v>0</v>
      </c>
      <c r="D550">
        <f>'Raw Data'!D550</f>
        <v>0</v>
      </c>
      <c r="E550">
        <f>IFERROR(VLOOKUP(D550,'Lookup Tables'!$A:$B,2,FALSE),"Unknown")</f>
        <v>0</v>
      </c>
      <c r="F550">
        <f>'Raw Data'!E550</f>
        <v>0</v>
      </c>
      <c r="G550">
        <f>IFERROR(VLOOKUP(D550,'Lookup Tables'!$A:$C,3,FALSE),IF(ISNUMBER(SEARCH("STEEL",F550)),"Steel","Others"))</f>
        <v>0</v>
      </c>
      <c r="H550">
        <f>IF(ISNUMBER(SEARCH("scrubber",F550)) , "Scrubber", IF(ISNUMBER(SEARCH("container",F550)),"Container", IF(ISNUMBER(SEARCH("basket",F550)),"Basket", IF(ISNUMBER(SEARCH("lunch",F550)),"Lunch Box", IF(ISNUMBER(SEARCH("cutlery",F550)),"Cutlery","Other")))))</f>
        <v>0</v>
      </c>
      <c r="I550">
        <f>IF('Raw Data'!G550&lt;&gt;'','Raw Data'!G550,IFERROR(MID(F550,SEARCH("MODEL",F550)+6,20),""))</f>
        <v>0</v>
      </c>
      <c r="J550">
        <f>'Raw Data'!H550</f>
        <v>0</v>
      </c>
      <c r="K550">
        <f>'Raw Data'!I550</f>
        <v>0</v>
      </c>
      <c r="L550">
        <f>IF('Raw Data'!N550&lt;&gt;0,'Raw Data'!N550,IFERROR(VALUE(MID(F550,SEARCH("QTY",F550)+4,IFERROR(FIND(" ",F550,SEARCH("QTY",F550)+4)-(SEARCH("QTY",F550)+4),3))),""))</f>
        <v>0</v>
      </c>
      <c r="M550">
        <f>'Raw Data'!O550</f>
        <v>0</v>
      </c>
      <c r="N550">
        <f>'Raw Data'!P550</f>
        <v>0</v>
      </c>
      <c r="O550">
        <f>'Raw Data'!Q550</f>
        <v>0</v>
      </c>
      <c r="P550">
        <f>'Raw Data'!R550</f>
        <v>0</v>
      </c>
      <c r="Q550">
        <f>'Raw Data'!S550</f>
        <v>0</v>
      </c>
      <c r="R550">
        <f>'Raw Data'!T550</f>
        <v>0</v>
      </c>
      <c r="S550">
        <f>IFERROR(O550,0)+IFERROR(R550,0)</f>
        <v>0</v>
      </c>
      <c r="T550">
        <f>IF(A550="","",YEAR(A550))</f>
        <v>0</v>
      </c>
    </row>
    <row r="551" spans="1:20">
      <c r="A551">
        <f>'Raw Data'!B551</f>
        <v>0</v>
      </c>
      <c r="B551">
        <f>'Raw Data'!A551</f>
        <v>0</v>
      </c>
      <c r="C551">
        <f>'Raw Data'!C551</f>
        <v>0</v>
      </c>
      <c r="D551">
        <f>'Raw Data'!D551</f>
        <v>0</v>
      </c>
      <c r="E551">
        <f>IFERROR(VLOOKUP(D551,'Lookup Tables'!$A:$B,2,FALSE),"Unknown")</f>
        <v>0</v>
      </c>
      <c r="F551">
        <f>'Raw Data'!E551</f>
        <v>0</v>
      </c>
      <c r="G551">
        <f>IFERROR(VLOOKUP(D551,'Lookup Tables'!$A:$C,3,FALSE),IF(ISNUMBER(SEARCH("STEEL",F551)),"Steel","Others"))</f>
        <v>0</v>
      </c>
      <c r="H551">
        <f>IF(ISNUMBER(SEARCH("scrubber",F551)) , "Scrubber", IF(ISNUMBER(SEARCH("container",F551)),"Container", IF(ISNUMBER(SEARCH("basket",F551)),"Basket", IF(ISNUMBER(SEARCH("lunch",F551)),"Lunch Box", IF(ISNUMBER(SEARCH("cutlery",F551)),"Cutlery","Other")))))</f>
        <v>0</v>
      </c>
      <c r="I551">
        <f>IF('Raw Data'!G551&lt;&gt;'','Raw Data'!G551,IFERROR(MID(F551,SEARCH("MODEL",F551)+6,20),""))</f>
        <v>0</v>
      </c>
      <c r="J551">
        <f>'Raw Data'!H551</f>
        <v>0</v>
      </c>
      <c r="K551">
        <f>'Raw Data'!I551</f>
        <v>0</v>
      </c>
      <c r="L551">
        <f>IF('Raw Data'!N551&lt;&gt;0,'Raw Data'!N551,IFERROR(VALUE(MID(F551,SEARCH("QTY",F551)+4,IFERROR(FIND(" ",F551,SEARCH("QTY",F551)+4)-(SEARCH("QTY",F551)+4),3))),""))</f>
        <v>0</v>
      </c>
      <c r="M551">
        <f>'Raw Data'!O551</f>
        <v>0</v>
      </c>
      <c r="N551">
        <f>'Raw Data'!P551</f>
        <v>0</v>
      </c>
      <c r="O551">
        <f>'Raw Data'!Q551</f>
        <v>0</v>
      </c>
      <c r="P551">
        <f>'Raw Data'!R551</f>
        <v>0</v>
      </c>
      <c r="Q551">
        <f>'Raw Data'!S551</f>
        <v>0</v>
      </c>
      <c r="R551">
        <f>'Raw Data'!T551</f>
        <v>0</v>
      </c>
      <c r="S551">
        <f>IFERROR(O551,0)+IFERROR(R551,0)</f>
        <v>0</v>
      </c>
      <c r="T551">
        <f>IF(A551="","",YEAR(A551))</f>
        <v>0</v>
      </c>
    </row>
    <row r="552" spans="1:20">
      <c r="A552">
        <f>'Raw Data'!B552</f>
        <v>0</v>
      </c>
      <c r="B552">
        <f>'Raw Data'!A552</f>
        <v>0</v>
      </c>
      <c r="C552">
        <f>'Raw Data'!C552</f>
        <v>0</v>
      </c>
      <c r="D552">
        <f>'Raw Data'!D552</f>
        <v>0</v>
      </c>
      <c r="E552">
        <f>IFERROR(VLOOKUP(D552,'Lookup Tables'!$A:$B,2,FALSE),"Unknown")</f>
        <v>0</v>
      </c>
      <c r="F552">
        <f>'Raw Data'!E552</f>
        <v>0</v>
      </c>
      <c r="G552">
        <f>IFERROR(VLOOKUP(D552,'Lookup Tables'!$A:$C,3,FALSE),IF(ISNUMBER(SEARCH("STEEL",F552)),"Steel","Others"))</f>
        <v>0</v>
      </c>
      <c r="H552">
        <f>IF(ISNUMBER(SEARCH("scrubber",F552)) , "Scrubber", IF(ISNUMBER(SEARCH("container",F552)),"Container", IF(ISNUMBER(SEARCH("basket",F552)),"Basket", IF(ISNUMBER(SEARCH("lunch",F552)),"Lunch Box", IF(ISNUMBER(SEARCH("cutlery",F552)),"Cutlery","Other")))))</f>
        <v>0</v>
      </c>
      <c r="I552">
        <f>IF('Raw Data'!G552&lt;&gt;'','Raw Data'!G552,IFERROR(MID(F552,SEARCH("MODEL",F552)+6,20),""))</f>
        <v>0</v>
      </c>
      <c r="J552">
        <f>'Raw Data'!H552</f>
        <v>0</v>
      </c>
      <c r="K552">
        <f>'Raw Data'!I552</f>
        <v>0</v>
      </c>
      <c r="L552">
        <f>IF('Raw Data'!N552&lt;&gt;0,'Raw Data'!N552,IFERROR(VALUE(MID(F552,SEARCH("QTY",F552)+4,IFERROR(FIND(" ",F552,SEARCH("QTY",F552)+4)-(SEARCH("QTY",F552)+4),3))),""))</f>
        <v>0</v>
      </c>
      <c r="M552">
        <f>'Raw Data'!O552</f>
        <v>0</v>
      </c>
      <c r="N552">
        <f>'Raw Data'!P552</f>
        <v>0</v>
      </c>
      <c r="O552">
        <f>'Raw Data'!Q552</f>
        <v>0</v>
      </c>
      <c r="P552">
        <f>'Raw Data'!R552</f>
        <v>0</v>
      </c>
      <c r="Q552">
        <f>'Raw Data'!S552</f>
        <v>0</v>
      </c>
      <c r="R552">
        <f>'Raw Data'!T552</f>
        <v>0</v>
      </c>
      <c r="S552">
        <f>IFERROR(O552,0)+IFERROR(R552,0)</f>
        <v>0</v>
      </c>
      <c r="T552">
        <f>IF(A552="","",YEAR(A552))</f>
        <v>0</v>
      </c>
    </row>
    <row r="553" spans="1:20">
      <c r="A553">
        <f>'Raw Data'!B553</f>
        <v>0</v>
      </c>
      <c r="B553">
        <f>'Raw Data'!A553</f>
        <v>0</v>
      </c>
      <c r="C553">
        <f>'Raw Data'!C553</f>
        <v>0</v>
      </c>
      <c r="D553">
        <f>'Raw Data'!D553</f>
        <v>0</v>
      </c>
      <c r="E553">
        <f>IFERROR(VLOOKUP(D553,'Lookup Tables'!$A:$B,2,FALSE),"Unknown")</f>
        <v>0</v>
      </c>
      <c r="F553">
        <f>'Raw Data'!E553</f>
        <v>0</v>
      </c>
      <c r="G553">
        <f>IFERROR(VLOOKUP(D553,'Lookup Tables'!$A:$C,3,FALSE),IF(ISNUMBER(SEARCH("STEEL",F553)),"Steel","Others"))</f>
        <v>0</v>
      </c>
      <c r="H553">
        <f>IF(ISNUMBER(SEARCH("scrubber",F553)) , "Scrubber", IF(ISNUMBER(SEARCH("container",F553)),"Container", IF(ISNUMBER(SEARCH("basket",F553)),"Basket", IF(ISNUMBER(SEARCH("lunch",F553)),"Lunch Box", IF(ISNUMBER(SEARCH("cutlery",F553)),"Cutlery","Other")))))</f>
        <v>0</v>
      </c>
      <c r="I553">
        <f>IF('Raw Data'!G553&lt;&gt;'','Raw Data'!G553,IFERROR(MID(F553,SEARCH("MODEL",F553)+6,20),""))</f>
        <v>0</v>
      </c>
      <c r="J553">
        <f>'Raw Data'!H553</f>
        <v>0</v>
      </c>
      <c r="K553">
        <f>'Raw Data'!I553</f>
        <v>0</v>
      </c>
      <c r="L553">
        <f>IF('Raw Data'!N553&lt;&gt;0,'Raw Data'!N553,IFERROR(VALUE(MID(F553,SEARCH("QTY",F553)+4,IFERROR(FIND(" ",F553,SEARCH("QTY",F553)+4)-(SEARCH("QTY",F553)+4),3))),""))</f>
        <v>0</v>
      </c>
      <c r="M553">
        <f>'Raw Data'!O553</f>
        <v>0</v>
      </c>
      <c r="N553">
        <f>'Raw Data'!P553</f>
        <v>0</v>
      </c>
      <c r="O553">
        <f>'Raw Data'!Q553</f>
        <v>0</v>
      </c>
      <c r="P553">
        <f>'Raw Data'!R553</f>
        <v>0</v>
      </c>
      <c r="Q553">
        <f>'Raw Data'!S553</f>
        <v>0</v>
      </c>
      <c r="R553">
        <f>'Raw Data'!T553</f>
        <v>0</v>
      </c>
      <c r="S553">
        <f>IFERROR(O553,0)+IFERROR(R553,0)</f>
        <v>0</v>
      </c>
      <c r="T553">
        <f>IF(A553="","",YEAR(A553))</f>
        <v>0</v>
      </c>
    </row>
    <row r="554" spans="1:20">
      <c r="A554">
        <f>'Raw Data'!B554</f>
        <v>0</v>
      </c>
      <c r="B554">
        <f>'Raw Data'!A554</f>
        <v>0</v>
      </c>
      <c r="C554">
        <f>'Raw Data'!C554</f>
        <v>0</v>
      </c>
      <c r="D554">
        <f>'Raw Data'!D554</f>
        <v>0</v>
      </c>
      <c r="E554">
        <f>IFERROR(VLOOKUP(D554,'Lookup Tables'!$A:$B,2,FALSE),"Unknown")</f>
        <v>0</v>
      </c>
      <c r="F554">
        <f>'Raw Data'!E554</f>
        <v>0</v>
      </c>
      <c r="G554">
        <f>IFERROR(VLOOKUP(D554,'Lookup Tables'!$A:$C,3,FALSE),IF(ISNUMBER(SEARCH("STEEL",F554)),"Steel","Others"))</f>
        <v>0</v>
      </c>
      <c r="H554">
        <f>IF(ISNUMBER(SEARCH("scrubber",F554)) , "Scrubber", IF(ISNUMBER(SEARCH("container",F554)),"Container", IF(ISNUMBER(SEARCH("basket",F554)),"Basket", IF(ISNUMBER(SEARCH("lunch",F554)),"Lunch Box", IF(ISNUMBER(SEARCH("cutlery",F554)),"Cutlery","Other")))))</f>
        <v>0</v>
      </c>
      <c r="I554">
        <f>IF('Raw Data'!G554&lt;&gt;'','Raw Data'!G554,IFERROR(MID(F554,SEARCH("MODEL",F554)+6,20),""))</f>
        <v>0</v>
      </c>
      <c r="J554">
        <f>'Raw Data'!H554</f>
        <v>0</v>
      </c>
      <c r="K554">
        <f>'Raw Data'!I554</f>
        <v>0</v>
      </c>
      <c r="L554">
        <f>IF('Raw Data'!N554&lt;&gt;0,'Raw Data'!N554,IFERROR(VALUE(MID(F554,SEARCH("QTY",F554)+4,IFERROR(FIND(" ",F554,SEARCH("QTY",F554)+4)-(SEARCH("QTY",F554)+4),3))),""))</f>
        <v>0</v>
      </c>
      <c r="M554">
        <f>'Raw Data'!O554</f>
        <v>0</v>
      </c>
      <c r="N554">
        <f>'Raw Data'!P554</f>
        <v>0</v>
      </c>
      <c r="O554">
        <f>'Raw Data'!Q554</f>
        <v>0</v>
      </c>
      <c r="P554">
        <f>'Raw Data'!R554</f>
        <v>0</v>
      </c>
      <c r="Q554">
        <f>'Raw Data'!S554</f>
        <v>0</v>
      </c>
      <c r="R554">
        <f>'Raw Data'!T554</f>
        <v>0</v>
      </c>
      <c r="S554">
        <f>IFERROR(O554,0)+IFERROR(R554,0)</f>
        <v>0</v>
      </c>
      <c r="T554">
        <f>IF(A554="","",YEAR(A554))</f>
        <v>0</v>
      </c>
    </row>
    <row r="555" spans="1:20">
      <c r="A555">
        <f>'Raw Data'!B555</f>
        <v>0</v>
      </c>
      <c r="B555">
        <f>'Raw Data'!A555</f>
        <v>0</v>
      </c>
      <c r="C555">
        <f>'Raw Data'!C555</f>
        <v>0</v>
      </c>
      <c r="D555">
        <f>'Raw Data'!D555</f>
        <v>0</v>
      </c>
      <c r="E555">
        <f>IFERROR(VLOOKUP(D555,'Lookup Tables'!$A:$B,2,FALSE),"Unknown")</f>
        <v>0</v>
      </c>
      <c r="F555">
        <f>'Raw Data'!E555</f>
        <v>0</v>
      </c>
      <c r="G555">
        <f>IFERROR(VLOOKUP(D555,'Lookup Tables'!$A:$C,3,FALSE),IF(ISNUMBER(SEARCH("STEEL",F555)),"Steel","Others"))</f>
        <v>0</v>
      </c>
      <c r="H555">
        <f>IF(ISNUMBER(SEARCH("scrubber",F555)) , "Scrubber", IF(ISNUMBER(SEARCH("container",F555)),"Container", IF(ISNUMBER(SEARCH("basket",F555)),"Basket", IF(ISNUMBER(SEARCH("lunch",F555)),"Lunch Box", IF(ISNUMBER(SEARCH("cutlery",F555)),"Cutlery","Other")))))</f>
        <v>0</v>
      </c>
      <c r="I555">
        <f>IF('Raw Data'!G555&lt;&gt;'','Raw Data'!G555,IFERROR(MID(F555,SEARCH("MODEL",F555)+6,20),""))</f>
        <v>0</v>
      </c>
      <c r="J555">
        <f>'Raw Data'!H555</f>
        <v>0</v>
      </c>
      <c r="K555">
        <f>'Raw Data'!I555</f>
        <v>0</v>
      </c>
      <c r="L555">
        <f>IF('Raw Data'!N555&lt;&gt;0,'Raw Data'!N555,IFERROR(VALUE(MID(F555,SEARCH("QTY",F555)+4,IFERROR(FIND(" ",F555,SEARCH("QTY",F555)+4)-(SEARCH("QTY",F555)+4),3))),""))</f>
        <v>0</v>
      </c>
      <c r="M555">
        <f>'Raw Data'!O555</f>
        <v>0</v>
      </c>
      <c r="N555">
        <f>'Raw Data'!P555</f>
        <v>0</v>
      </c>
      <c r="O555">
        <f>'Raw Data'!Q555</f>
        <v>0</v>
      </c>
      <c r="P555">
        <f>'Raw Data'!R555</f>
        <v>0</v>
      </c>
      <c r="Q555">
        <f>'Raw Data'!S555</f>
        <v>0</v>
      </c>
      <c r="R555">
        <f>'Raw Data'!T555</f>
        <v>0</v>
      </c>
      <c r="S555">
        <f>IFERROR(O555,0)+IFERROR(R555,0)</f>
        <v>0</v>
      </c>
      <c r="T555">
        <f>IF(A555="","",YEAR(A555))</f>
        <v>0</v>
      </c>
    </row>
    <row r="556" spans="1:20">
      <c r="A556">
        <f>'Raw Data'!B556</f>
        <v>0</v>
      </c>
      <c r="B556">
        <f>'Raw Data'!A556</f>
        <v>0</v>
      </c>
      <c r="C556">
        <f>'Raw Data'!C556</f>
        <v>0</v>
      </c>
      <c r="D556">
        <f>'Raw Data'!D556</f>
        <v>0</v>
      </c>
      <c r="E556">
        <f>IFERROR(VLOOKUP(D556,'Lookup Tables'!$A:$B,2,FALSE),"Unknown")</f>
        <v>0</v>
      </c>
      <c r="F556">
        <f>'Raw Data'!E556</f>
        <v>0</v>
      </c>
      <c r="G556">
        <f>IFERROR(VLOOKUP(D556,'Lookup Tables'!$A:$C,3,FALSE),IF(ISNUMBER(SEARCH("STEEL",F556)),"Steel","Others"))</f>
        <v>0</v>
      </c>
      <c r="H556">
        <f>IF(ISNUMBER(SEARCH("scrubber",F556)) , "Scrubber", IF(ISNUMBER(SEARCH("container",F556)),"Container", IF(ISNUMBER(SEARCH("basket",F556)),"Basket", IF(ISNUMBER(SEARCH("lunch",F556)),"Lunch Box", IF(ISNUMBER(SEARCH("cutlery",F556)),"Cutlery","Other")))))</f>
        <v>0</v>
      </c>
      <c r="I556">
        <f>IF('Raw Data'!G556&lt;&gt;'','Raw Data'!G556,IFERROR(MID(F556,SEARCH("MODEL",F556)+6,20),""))</f>
        <v>0</v>
      </c>
      <c r="J556">
        <f>'Raw Data'!H556</f>
        <v>0</v>
      </c>
      <c r="K556">
        <f>'Raw Data'!I556</f>
        <v>0</v>
      </c>
      <c r="L556">
        <f>IF('Raw Data'!N556&lt;&gt;0,'Raw Data'!N556,IFERROR(VALUE(MID(F556,SEARCH("QTY",F556)+4,IFERROR(FIND(" ",F556,SEARCH("QTY",F556)+4)-(SEARCH("QTY",F556)+4),3))),""))</f>
        <v>0</v>
      </c>
      <c r="M556">
        <f>'Raw Data'!O556</f>
        <v>0</v>
      </c>
      <c r="N556">
        <f>'Raw Data'!P556</f>
        <v>0</v>
      </c>
      <c r="O556">
        <f>'Raw Data'!Q556</f>
        <v>0</v>
      </c>
      <c r="P556">
        <f>'Raw Data'!R556</f>
        <v>0</v>
      </c>
      <c r="Q556">
        <f>'Raw Data'!S556</f>
        <v>0</v>
      </c>
      <c r="R556">
        <f>'Raw Data'!T556</f>
        <v>0</v>
      </c>
      <c r="S556">
        <f>IFERROR(O556,0)+IFERROR(R556,0)</f>
        <v>0</v>
      </c>
      <c r="T556">
        <f>IF(A556="","",YEAR(A556))</f>
        <v>0</v>
      </c>
    </row>
    <row r="557" spans="1:20">
      <c r="A557">
        <f>'Raw Data'!B557</f>
        <v>0</v>
      </c>
      <c r="B557">
        <f>'Raw Data'!A557</f>
        <v>0</v>
      </c>
      <c r="C557">
        <f>'Raw Data'!C557</f>
        <v>0</v>
      </c>
      <c r="D557">
        <f>'Raw Data'!D557</f>
        <v>0</v>
      </c>
      <c r="E557">
        <f>IFERROR(VLOOKUP(D557,'Lookup Tables'!$A:$B,2,FALSE),"Unknown")</f>
        <v>0</v>
      </c>
      <c r="F557">
        <f>'Raw Data'!E557</f>
        <v>0</v>
      </c>
      <c r="G557">
        <f>IFERROR(VLOOKUP(D557,'Lookup Tables'!$A:$C,3,FALSE),IF(ISNUMBER(SEARCH("STEEL",F557)),"Steel","Others"))</f>
        <v>0</v>
      </c>
      <c r="H557">
        <f>IF(ISNUMBER(SEARCH("scrubber",F557)) , "Scrubber", IF(ISNUMBER(SEARCH("container",F557)),"Container", IF(ISNUMBER(SEARCH("basket",F557)),"Basket", IF(ISNUMBER(SEARCH("lunch",F557)),"Lunch Box", IF(ISNUMBER(SEARCH("cutlery",F557)),"Cutlery","Other")))))</f>
        <v>0</v>
      </c>
      <c r="I557">
        <f>IF('Raw Data'!G557&lt;&gt;'','Raw Data'!G557,IFERROR(MID(F557,SEARCH("MODEL",F557)+6,20),""))</f>
        <v>0</v>
      </c>
      <c r="J557">
        <f>'Raw Data'!H557</f>
        <v>0</v>
      </c>
      <c r="K557">
        <f>'Raw Data'!I557</f>
        <v>0</v>
      </c>
      <c r="L557">
        <f>IF('Raw Data'!N557&lt;&gt;0,'Raw Data'!N557,IFERROR(VALUE(MID(F557,SEARCH("QTY",F557)+4,IFERROR(FIND(" ",F557,SEARCH("QTY",F557)+4)-(SEARCH("QTY",F557)+4),3))),""))</f>
        <v>0</v>
      </c>
      <c r="M557">
        <f>'Raw Data'!O557</f>
        <v>0</v>
      </c>
      <c r="N557">
        <f>'Raw Data'!P557</f>
        <v>0</v>
      </c>
      <c r="O557">
        <f>'Raw Data'!Q557</f>
        <v>0</v>
      </c>
      <c r="P557">
        <f>'Raw Data'!R557</f>
        <v>0</v>
      </c>
      <c r="Q557">
        <f>'Raw Data'!S557</f>
        <v>0</v>
      </c>
      <c r="R557">
        <f>'Raw Data'!T557</f>
        <v>0</v>
      </c>
      <c r="S557">
        <f>IFERROR(O557,0)+IFERROR(R557,0)</f>
        <v>0</v>
      </c>
      <c r="T557">
        <f>IF(A557="","",YEAR(A557))</f>
        <v>0</v>
      </c>
    </row>
    <row r="558" spans="1:20">
      <c r="A558">
        <f>'Raw Data'!B558</f>
        <v>0</v>
      </c>
      <c r="B558">
        <f>'Raw Data'!A558</f>
        <v>0</v>
      </c>
      <c r="C558">
        <f>'Raw Data'!C558</f>
        <v>0</v>
      </c>
      <c r="D558">
        <f>'Raw Data'!D558</f>
        <v>0</v>
      </c>
      <c r="E558">
        <f>IFERROR(VLOOKUP(D558,'Lookup Tables'!$A:$B,2,FALSE),"Unknown")</f>
        <v>0</v>
      </c>
      <c r="F558">
        <f>'Raw Data'!E558</f>
        <v>0</v>
      </c>
      <c r="G558">
        <f>IFERROR(VLOOKUP(D558,'Lookup Tables'!$A:$C,3,FALSE),IF(ISNUMBER(SEARCH("STEEL",F558)),"Steel","Others"))</f>
        <v>0</v>
      </c>
      <c r="H558">
        <f>IF(ISNUMBER(SEARCH("scrubber",F558)) , "Scrubber", IF(ISNUMBER(SEARCH("container",F558)),"Container", IF(ISNUMBER(SEARCH("basket",F558)),"Basket", IF(ISNUMBER(SEARCH("lunch",F558)),"Lunch Box", IF(ISNUMBER(SEARCH("cutlery",F558)),"Cutlery","Other")))))</f>
        <v>0</v>
      </c>
      <c r="I558">
        <f>IF('Raw Data'!G558&lt;&gt;'','Raw Data'!G558,IFERROR(MID(F558,SEARCH("MODEL",F558)+6,20),""))</f>
        <v>0</v>
      </c>
      <c r="J558">
        <f>'Raw Data'!H558</f>
        <v>0</v>
      </c>
      <c r="K558">
        <f>'Raw Data'!I558</f>
        <v>0</v>
      </c>
      <c r="L558">
        <f>IF('Raw Data'!N558&lt;&gt;0,'Raw Data'!N558,IFERROR(VALUE(MID(F558,SEARCH("QTY",F558)+4,IFERROR(FIND(" ",F558,SEARCH("QTY",F558)+4)-(SEARCH("QTY",F558)+4),3))),""))</f>
        <v>0</v>
      </c>
      <c r="M558">
        <f>'Raw Data'!O558</f>
        <v>0</v>
      </c>
      <c r="N558">
        <f>'Raw Data'!P558</f>
        <v>0</v>
      </c>
      <c r="O558">
        <f>'Raw Data'!Q558</f>
        <v>0</v>
      </c>
      <c r="P558">
        <f>'Raw Data'!R558</f>
        <v>0</v>
      </c>
      <c r="Q558">
        <f>'Raw Data'!S558</f>
        <v>0</v>
      </c>
      <c r="R558">
        <f>'Raw Data'!T558</f>
        <v>0</v>
      </c>
      <c r="S558">
        <f>IFERROR(O558,0)+IFERROR(R558,0)</f>
        <v>0</v>
      </c>
      <c r="T558">
        <f>IF(A558="","",YEAR(A558))</f>
        <v>0</v>
      </c>
    </row>
    <row r="559" spans="1:20">
      <c r="A559">
        <f>'Raw Data'!B559</f>
        <v>0</v>
      </c>
      <c r="B559">
        <f>'Raw Data'!A559</f>
        <v>0</v>
      </c>
      <c r="C559">
        <f>'Raw Data'!C559</f>
        <v>0</v>
      </c>
      <c r="D559">
        <f>'Raw Data'!D559</f>
        <v>0</v>
      </c>
      <c r="E559">
        <f>IFERROR(VLOOKUP(D559,'Lookup Tables'!$A:$B,2,FALSE),"Unknown")</f>
        <v>0</v>
      </c>
      <c r="F559">
        <f>'Raw Data'!E559</f>
        <v>0</v>
      </c>
      <c r="G559">
        <f>IFERROR(VLOOKUP(D559,'Lookup Tables'!$A:$C,3,FALSE),IF(ISNUMBER(SEARCH("STEEL",F559)),"Steel","Others"))</f>
        <v>0</v>
      </c>
      <c r="H559">
        <f>IF(ISNUMBER(SEARCH("scrubber",F559)) , "Scrubber", IF(ISNUMBER(SEARCH("container",F559)),"Container", IF(ISNUMBER(SEARCH("basket",F559)),"Basket", IF(ISNUMBER(SEARCH("lunch",F559)),"Lunch Box", IF(ISNUMBER(SEARCH("cutlery",F559)),"Cutlery","Other")))))</f>
        <v>0</v>
      </c>
      <c r="I559">
        <f>IF('Raw Data'!G559&lt;&gt;'','Raw Data'!G559,IFERROR(MID(F559,SEARCH("MODEL",F559)+6,20),""))</f>
        <v>0</v>
      </c>
      <c r="J559">
        <f>'Raw Data'!H559</f>
        <v>0</v>
      </c>
      <c r="K559">
        <f>'Raw Data'!I559</f>
        <v>0</v>
      </c>
      <c r="L559">
        <f>IF('Raw Data'!N559&lt;&gt;0,'Raw Data'!N559,IFERROR(VALUE(MID(F559,SEARCH("QTY",F559)+4,IFERROR(FIND(" ",F559,SEARCH("QTY",F559)+4)-(SEARCH("QTY",F559)+4),3))),""))</f>
        <v>0</v>
      </c>
      <c r="M559">
        <f>'Raw Data'!O559</f>
        <v>0</v>
      </c>
      <c r="N559">
        <f>'Raw Data'!P559</f>
        <v>0</v>
      </c>
      <c r="O559">
        <f>'Raw Data'!Q559</f>
        <v>0</v>
      </c>
      <c r="P559">
        <f>'Raw Data'!R559</f>
        <v>0</v>
      </c>
      <c r="Q559">
        <f>'Raw Data'!S559</f>
        <v>0</v>
      </c>
      <c r="R559">
        <f>'Raw Data'!T559</f>
        <v>0</v>
      </c>
      <c r="S559">
        <f>IFERROR(O559,0)+IFERROR(R559,0)</f>
        <v>0</v>
      </c>
      <c r="T559">
        <f>IF(A559="","",YEAR(A559))</f>
        <v>0</v>
      </c>
    </row>
    <row r="560" spans="1:20">
      <c r="A560">
        <f>'Raw Data'!B560</f>
        <v>0</v>
      </c>
      <c r="B560">
        <f>'Raw Data'!A560</f>
        <v>0</v>
      </c>
      <c r="C560">
        <f>'Raw Data'!C560</f>
        <v>0</v>
      </c>
      <c r="D560">
        <f>'Raw Data'!D560</f>
        <v>0</v>
      </c>
      <c r="E560">
        <f>IFERROR(VLOOKUP(D560,'Lookup Tables'!$A:$B,2,FALSE),"Unknown")</f>
        <v>0</v>
      </c>
      <c r="F560">
        <f>'Raw Data'!E560</f>
        <v>0</v>
      </c>
      <c r="G560">
        <f>IFERROR(VLOOKUP(D560,'Lookup Tables'!$A:$C,3,FALSE),IF(ISNUMBER(SEARCH("STEEL",F560)),"Steel","Others"))</f>
        <v>0</v>
      </c>
      <c r="H560">
        <f>IF(ISNUMBER(SEARCH("scrubber",F560)) , "Scrubber", IF(ISNUMBER(SEARCH("container",F560)),"Container", IF(ISNUMBER(SEARCH("basket",F560)),"Basket", IF(ISNUMBER(SEARCH("lunch",F560)),"Lunch Box", IF(ISNUMBER(SEARCH("cutlery",F560)),"Cutlery","Other")))))</f>
        <v>0</v>
      </c>
      <c r="I560">
        <f>IF('Raw Data'!G560&lt;&gt;'','Raw Data'!G560,IFERROR(MID(F560,SEARCH("MODEL",F560)+6,20),""))</f>
        <v>0</v>
      </c>
      <c r="J560">
        <f>'Raw Data'!H560</f>
        <v>0</v>
      </c>
      <c r="K560">
        <f>'Raw Data'!I560</f>
        <v>0</v>
      </c>
      <c r="L560">
        <f>IF('Raw Data'!N560&lt;&gt;0,'Raw Data'!N560,IFERROR(VALUE(MID(F560,SEARCH("QTY",F560)+4,IFERROR(FIND(" ",F560,SEARCH("QTY",F560)+4)-(SEARCH("QTY",F560)+4),3))),""))</f>
        <v>0</v>
      </c>
      <c r="M560">
        <f>'Raw Data'!O560</f>
        <v>0</v>
      </c>
      <c r="N560">
        <f>'Raw Data'!P560</f>
        <v>0</v>
      </c>
      <c r="O560">
        <f>'Raw Data'!Q560</f>
        <v>0</v>
      </c>
      <c r="P560">
        <f>'Raw Data'!R560</f>
        <v>0</v>
      </c>
      <c r="Q560">
        <f>'Raw Data'!S560</f>
        <v>0</v>
      </c>
      <c r="R560">
        <f>'Raw Data'!T560</f>
        <v>0</v>
      </c>
      <c r="S560">
        <f>IFERROR(O560,0)+IFERROR(R560,0)</f>
        <v>0</v>
      </c>
      <c r="T560">
        <f>IF(A560="","",YEAR(A560))</f>
        <v>0</v>
      </c>
    </row>
    <row r="561" spans="1:20">
      <c r="A561">
        <f>'Raw Data'!B561</f>
        <v>0</v>
      </c>
      <c r="B561">
        <f>'Raw Data'!A561</f>
        <v>0</v>
      </c>
      <c r="C561">
        <f>'Raw Data'!C561</f>
        <v>0</v>
      </c>
      <c r="D561">
        <f>'Raw Data'!D561</f>
        <v>0</v>
      </c>
      <c r="E561">
        <f>IFERROR(VLOOKUP(D561,'Lookup Tables'!$A:$B,2,FALSE),"Unknown")</f>
        <v>0</v>
      </c>
      <c r="F561">
        <f>'Raw Data'!E561</f>
        <v>0</v>
      </c>
      <c r="G561">
        <f>IFERROR(VLOOKUP(D561,'Lookup Tables'!$A:$C,3,FALSE),IF(ISNUMBER(SEARCH("STEEL",F561)),"Steel","Others"))</f>
        <v>0</v>
      </c>
      <c r="H561">
        <f>IF(ISNUMBER(SEARCH("scrubber",F561)) , "Scrubber", IF(ISNUMBER(SEARCH("container",F561)),"Container", IF(ISNUMBER(SEARCH("basket",F561)),"Basket", IF(ISNUMBER(SEARCH("lunch",F561)),"Lunch Box", IF(ISNUMBER(SEARCH("cutlery",F561)),"Cutlery","Other")))))</f>
        <v>0</v>
      </c>
      <c r="I561">
        <f>IF('Raw Data'!G561&lt;&gt;'','Raw Data'!G561,IFERROR(MID(F561,SEARCH("MODEL",F561)+6,20),""))</f>
        <v>0</v>
      </c>
      <c r="J561">
        <f>'Raw Data'!H561</f>
        <v>0</v>
      </c>
      <c r="K561">
        <f>'Raw Data'!I561</f>
        <v>0</v>
      </c>
      <c r="L561">
        <f>IF('Raw Data'!N561&lt;&gt;0,'Raw Data'!N561,IFERROR(VALUE(MID(F561,SEARCH("QTY",F561)+4,IFERROR(FIND(" ",F561,SEARCH("QTY",F561)+4)-(SEARCH("QTY",F561)+4),3))),""))</f>
        <v>0</v>
      </c>
      <c r="M561">
        <f>'Raw Data'!O561</f>
        <v>0</v>
      </c>
      <c r="N561">
        <f>'Raw Data'!P561</f>
        <v>0</v>
      </c>
      <c r="O561">
        <f>'Raw Data'!Q561</f>
        <v>0</v>
      </c>
      <c r="P561">
        <f>'Raw Data'!R561</f>
        <v>0</v>
      </c>
      <c r="Q561">
        <f>'Raw Data'!S561</f>
        <v>0</v>
      </c>
      <c r="R561">
        <f>'Raw Data'!T561</f>
        <v>0</v>
      </c>
      <c r="S561">
        <f>IFERROR(O561,0)+IFERROR(R561,0)</f>
        <v>0</v>
      </c>
      <c r="T561">
        <f>IF(A561="","",YEAR(A561))</f>
        <v>0</v>
      </c>
    </row>
    <row r="562" spans="1:20">
      <c r="A562">
        <f>'Raw Data'!B562</f>
        <v>0</v>
      </c>
      <c r="B562">
        <f>'Raw Data'!A562</f>
        <v>0</v>
      </c>
      <c r="C562">
        <f>'Raw Data'!C562</f>
        <v>0</v>
      </c>
      <c r="D562">
        <f>'Raw Data'!D562</f>
        <v>0</v>
      </c>
      <c r="E562">
        <f>IFERROR(VLOOKUP(D562,'Lookup Tables'!$A:$B,2,FALSE),"Unknown")</f>
        <v>0</v>
      </c>
      <c r="F562">
        <f>'Raw Data'!E562</f>
        <v>0</v>
      </c>
      <c r="G562">
        <f>IFERROR(VLOOKUP(D562,'Lookup Tables'!$A:$C,3,FALSE),IF(ISNUMBER(SEARCH("STEEL",F562)),"Steel","Others"))</f>
        <v>0</v>
      </c>
      <c r="H562">
        <f>IF(ISNUMBER(SEARCH("scrubber",F562)) , "Scrubber", IF(ISNUMBER(SEARCH("container",F562)),"Container", IF(ISNUMBER(SEARCH("basket",F562)),"Basket", IF(ISNUMBER(SEARCH("lunch",F562)),"Lunch Box", IF(ISNUMBER(SEARCH("cutlery",F562)),"Cutlery","Other")))))</f>
        <v>0</v>
      </c>
      <c r="I562">
        <f>IF('Raw Data'!G562&lt;&gt;'','Raw Data'!G562,IFERROR(MID(F562,SEARCH("MODEL",F562)+6,20),""))</f>
        <v>0</v>
      </c>
      <c r="J562">
        <f>'Raw Data'!H562</f>
        <v>0</v>
      </c>
      <c r="K562">
        <f>'Raw Data'!I562</f>
        <v>0</v>
      </c>
      <c r="L562">
        <f>IF('Raw Data'!N562&lt;&gt;0,'Raw Data'!N562,IFERROR(VALUE(MID(F562,SEARCH("QTY",F562)+4,IFERROR(FIND(" ",F562,SEARCH("QTY",F562)+4)-(SEARCH("QTY",F562)+4),3))),""))</f>
        <v>0</v>
      </c>
      <c r="M562">
        <f>'Raw Data'!O562</f>
        <v>0</v>
      </c>
      <c r="N562">
        <f>'Raw Data'!P562</f>
        <v>0</v>
      </c>
      <c r="O562">
        <f>'Raw Data'!Q562</f>
        <v>0</v>
      </c>
      <c r="P562">
        <f>'Raw Data'!R562</f>
        <v>0</v>
      </c>
      <c r="Q562">
        <f>'Raw Data'!S562</f>
        <v>0</v>
      </c>
      <c r="R562">
        <f>'Raw Data'!T562</f>
        <v>0</v>
      </c>
      <c r="S562">
        <f>IFERROR(O562,0)+IFERROR(R562,0)</f>
        <v>0</v>
      </c>
      <c r="T562">
        <f>IF(A562="","",YEAR(A562))</f>
        <v>0</v>
      </c>
    </row>
    <row r="563" spans="1:20">
      <c r="A563">
        <f>'Raw Data'!B563</f>
        <v>0</v>
      </c>
      <c r="B563">
        <f>'Raw Data'!A563</f>
        <v>0</v>
      </c>
      <c r="C563">
        <f>'Raw Data'!C563</f>
        <v>0</v>
      </c>
      <c r="D563">
        <f>'Raw Data'!D563</f>
        <v>0</v>
      </c>
      <c r="E563">
        <f>IFERROR(VLOOKUP(D563,'Lookup Tables'!$A:$B,2,FALSE),"Unknown")</f>
        <v>0</v>
      </c>
      <c r="F563">
        <f>'Raw Data'!E563</f>
        <v>0</v>
      </c>
      <c r="G563">
        <f>IFERROR(VLOOKUP(D563,'Lookup Tables'!$A:$C,3,FALSE),IF(ISNUMBER(SEARCH("STEEL",F563)),"Steel","Others"))</f>
        <v>0</v>
      </c>
      <c r="H563">
        <f>IF(ISNUMBER(SEARCH("scrubber",F563)) , "Scrubber", IF(ISNUMBER(SEARCH("container",F563)),"Container", IF(ISNUMBER(SEARCH("basket",F563)),"Basket", IF(ISNUMBER(SEARCH("lunch",F563)),"Lunch Box", IF(ISNUMBER(SEARCH("cutlery",F563)),"Cutlery","Other")))))</f>
        <v>0</v>
      </c>
      <c r="I563">
        <f>IF('Raw Data'!G563&lt;&gt;'','Raw Data'!G563,IFERROR(MID(F563,SEARCH("MODEL",F563)+6,20),""))</f>
        <v>0</v>
      </c>
      <c r="J563">
        <f>'Raw Data'!H563</f>
        <v>0</v>
      </c>
      <c r="K563">
        <f>'Raw Data'!I563</f>
        <v>0</v>
      </c>
      <c r="L563">
        <f>IF('Raw Data'!N563&lt;&gt;0,'Raw Data'!N563,IFERROR(VALUE(MID(F563,SEARCH("QTY",F563)+4,IFERROR(FIND(" ",F563,SEARCH("QTY",F563)+4)-(SEARCH("QTY",F563)+4),3))),""))</f>
        <v>0</v>
      </c>
      <c r="M563">
        <f>'Raw Data'!O563</f>
        <v>0</v>
      </c>
      <c r="N563">
        <f>'Raw Data'!P563</f>
        <v>0</v>
      </c>
      <c r="O563">
        <f>'Raw Data'!Q563</f>
        <v>0</v>
      </c>
      <c r="P563">
        <f>'Raw Data'!R563</f>
        <v>0</v>
      </c>
      <c r="Q563">
        <f>'Raw Data'!S563</f>
        <v>0</v>
      </c>
      <c r="R563">
        <f>'Raw Data'!T563</f>
        <v>0</v>
      </c>
      <c r="S563">
        <f>IFERROR(O563,0)+IFERROR(R563,0)</f>
        <v>0</v>
      </c>
      <c r="T563">
        <f>IF(A563="","",YEAR(A563))</f>
        <v>0</v>
      </c>
    </row>
    <row r="564" spans="1:20">
      <c r="A564">
        <f>'Raw Data'!B564</f>
        <v>0</v>
      </c>
      <c r="B564">
        <f>'Raw Data'!A564</f>
        <v>0</v>
      </c>
      <c r="C564">
        <f>'Raw Data'!C564</f>
        <v>0</v>
      </c>
      <c r="D564">
        <f>'Raw Data'!D564</f>
        <v>0</v>
      </c>
      <c r="E564">
        <f>IFERROR(VLOOKUP(D564,'Lookup Tables'!$A:$B,2,FALSE),"Unknown")</f>
        <v>0</v>
      </c>
      <c r="F564">
        <f>'Raw Data'!E564</f>
        <v>0</v>
      </c>
      <c r="G564">
        <f>IFERROR(VLOOKUP(D564,'Lookup Tables'!$A:$C,3,FALSE),IF(ISNUMBER(SEARCH("STEEL",F564)),"Steel","Others"))</f>
        <v>0</v>
      </c>
      <c r="H564">
        <f>IF(ISNUMBER(SEARCH("scrubber",F564)) , "Scrubber", IF(ISNUMBER(SEARCH("container",F564)),"Container", IF(ISNUMBER(SEARCH("basket",F564)),"Basket", IF(ISNUMBER(SEARCH("lunch",F564)),"Lunch Box", IF(ISNUMBER(SEARCH("cutlery",F564)),"Cutlery","Other")))))</f>
        <v>0</v>
      </c>
      <c r="I564">
        <f>IF('Raw Data'!G564&lt;&gt;'','Raw Data'!G564,IFERROR(MID(F564,SEARCH("MODEL",F564)+6,20),""))</f>
        <v>0</v>
      </c>
      <c r="J564">
        <f>'Raw Data'!H564</f>
        <v>0</v>
      </c>
      <c r="K564">
        <f>'Raw Data'!I564</f>
        <v>0</v>
      </c>
      <c r="L564">
        <f>IF('Raw Data'!N564&lt;&gt;0,'Raw Data'!N564,IFERROR(VALUE(MID(F564,SEARCH("QTY",F564)+4,IFERROR(FIND(" ",F564,SEARCH("QTY",F564)+4)-(SEARCH("QTY",F564)+4),3))),""))</f>
        <v>0</v>
      </c>
      <c r="M564">
        <f>'Raw Data'!O564</f>
        <v>0</v>
      </c>
      <c r="N564">
        <f>'Raw Data'!P564</f>
        <v>0</v>
      </c>
      <c r="O564">
        <f>'Raw Data'!Q564</f>
        <v>0</v>
      </c>
      <c r="P564">
        <f>'Raw Data'!R564</f>
        <v>0</v>
      </c>
      <c r="Q564">
        <f>'Raw Data'!S564</f>
        <v>0</v>
      </c>
      <c r="R564">
        <f>'Raw Data'!T564</f>
        <v>0</v>
      </c>
      <c r="S564">
        <f>IFERROR(O564,0)+IFERROR(R564,0)</f>
        <v>0</v>
      </c>
      <c r="T564">
        <f>IF(A564="","",YEAR(A564))</f>
        <v>0</v>
      </c>
    </row>
    <row r="565" spans="1:20">
      <c r="A565">
        <f>'Raw Data'!B565</f>
        <v>0</v>
      </c>
      <c r="B565">
        <f>'Raw Data'!A565</f>
        <v>0</v>
      </c>
      <c r="C565">
        <f>'Raw Data'!C565</f>
        <v>0</v>
      </c>
      <c r="D565">
        <f>'Raw Data'!D565</f>
        <v>0</v>
      </c>
      <c r="E565">
        <f>IFERROR(VLOOKUP(D565,'Lookup Tables'!$A:$B,2,FALSE),"Unknown")</f>
        <v>0</v>
      </c>
      <c r="F565">
        <f>'Raw Data'!E565</f>
        <v>0</v>
      </c>
      <c r="G565">
        <f>IFERROR(VLOOKUP(D565,'Lookup Tables'!$A:$C,3,FALSE),IF(ISNUMBER(SEARCH("STEEL",F565)),"Steel","Others"))</f>
        <v>0</v>
      </c>
      <c r="H565">
        <f>IF(ISNUMBER(SEARCH("scrubber",F565)) , "Scrubber", IF(ISNUMBER(SEARCH("container",F565)),"Container", IF(ISNUMBER(SEARCH("basket",F565)),"Basket", IF(ISNUMBER(SEARCH("lunch",F565)),"Lunch Box", IF(ISNUMBER(SEARCH("cutlery",F565)),"Cutlery","Other")))))</f>
        <v>0</v>
      </c>
      <c r="I565">
        <f>IF('Raw Data'!G565&lt;&gt;'','Raw Data'!G565,IFERROR(MID(F565,SEARCH("MODEL",F565)+6,20),""))</f>
        <v>0</v>
      </c>
      <c r="J565">
        <f>'Raw Data'!H565</f>
        <v>0</v>
      </c>
      <c r="K565">
        <f>'Raw Data'!I565</f>
        <v>0</v>
      </c>
      <c r="L565">
        <f>IF('Raw Data'!N565&lt;&gt;0,'Raw Data'!N565,IFERROR(VALUE(MID(F565,SEARCH("QTY",F565)+4,IFERROR(FIND(" ",F565,SEARCH("QTY",F565)+4)-(SEARCH("QTY",F565)+4),3))),""))</f>
        <v>0</v>
      </c>
      <c r="M565">
        <f>'Raw Data'!O565</f>
        <v>0</v>
      </c>
      <c r="N565">
        <f>'Raw Data'!P565</f>
        <v>0</v>
      </c>
      <c r="O565">
        <f>'Raw Data'!Q565</f>
        <v>0</v>
      </c>
      <c r="P565">
        <f>'Raw Data'!R565</f>
        <v>0</v>
      </c>
      <c r="Q565">
        <f>'Raw Data'!S565</f>
        <v>0</v>
      </c>
      <c r="R565">
        <f>'Raw Data'!T565</f>
        <v>0</v>
      </c>
      <c r="S565">
        <f>IFERROR(O565,0)+IFERROR(R565,0)</f>
        <v>0</v>
      </c>
      <c r="T565">
        <f>IF(A565="","",YEAR(A565))</f>
        <v>0</v>
      </c>
    </row>
    <row r="566" spans="1:20">
      <c r="A566">
        <f>'Raw Data'!B566</f>
        <v>0</v>
      </c>
      <c r="B566">
        <f>'Raw Data'!A566</f>
        <v>0</v>
      </c>
      <c r="C566">
        <f>'Raw Data'!C566</f>
        <v>0</v>
      </c>
      <c r="D566">
        <f>'Raw Data'!D566</f>
        <v>0</v>
      </c>
      <c r="E566">
        <f>IFERROR(VLOOKUP(D566,'Lookup Tables'!$A:$B,2,FALSE),"Unknown")</f>
        <v>0</v>
      </c>
      <c r="F566">
        <f>'Raw Data'!E566</f>
        <v>0</v>
      </c>
      <c r="G566">
        <f>IFERROR(VLOOKUP(D566,'Lookup Tables'!$A:$C,3,FALSE),IF(ISNUMBER(SEARCH("STEEL",F566)),"Steel","Others"))</f>
        <v>0</v>
      </c>
      <c r="H566">
        <f>IF(ISNUMBER(SEARCH("scrubber",F566)) , "Scrubber", IF(ISNUMBER(SEARCH("container",F566)),"Container", IF(ISNUMBER(SEARCH("basket",F566)),"Basket", IF(ISNUMBER(SEARCH("lunch",F566)),"Lunch Box", IF(ISNUMBER(SEARCH("cutlery",F566)),"Cutlery","Other")))))</f>
        <v>0</v>
      </c>
      <c r="I566">
        <f>IF('Raw Data'!G566&lt;&gt;'','Raw Data'!G566,IFERROR(MID(F566,SEARCH("MODEL",F566)+6,20),""))</f>
        <v>0</v>
      </c>
      <c r="J566">
        <f>'Raw Data'!H566</f>
        <v>0</v>
      </c>
      <c r="K566">
        <f>'Raw Data'!I566</f>
        <v>0</v>
      </c>
      <c r="L566">
        <f>IF('Raw Data'!N566&lt;&gt;0,'Raw Data'!N566,IFERROR(VALUE(MID(F566,SEARCH("QTY",F566)+4,IFERROR(FIND(" ",F566,SEARCH("QTY",F566)+4)-(SEARCH("QTY",F566)+4),3))),""))</f>
        <v>0</v>
      </c>
      <c r="M566">
        <f>'Raw Data'!O566</f>
        <v>0</v>
      </c>
      <c r="N566">
        <f>'Raw Data'!P566</f>
        <v>0</v>
      </c>
      <c r="O566">
        <f>'Raw Data'!Q566</f>
        <v>0</v>
      </c>
      <c r="P566">
        <f>'Raw Data'!R566</f>
        <v>0</v>
      </c>
      <c r="Q566">
        <f>'Raw Data'!S566</f>
        <v>0</v>
      </c>
      <c r="R566">
        <f>'Raw Data'!T566</f>
        <v>0</v>
      </c>
      <c r="S566">
        <f>IFERROR(O566,0)+IFERROR(R566,0)</f>
        <v>0</v>
      </c>
      <c r="T566">
        <f>IF(A566="","",YEAR(A566))</f>
        <v>0</v>
      </c>
    </row>
    <row r="567" spans="1:20">
      <c r="A567">
        <f>'Raw Data'!B567</f>
        <v>0</v>
      </c>
      <c r="B567">
        <f>'Raw Data'!A567</f>
        <v>0</v>
      </c>
      <c r="C567">
        <f>'Raw Data'!C567</f>
        <v>0</v>
      </c>
      <c r="D567">
        <f>'Raw Data'!D567</f>
        <v>0</v>
      </c>
      <c r="E567">
        <f>IFERROR(VLOOKUP(D567,'Lookup Tables'!$A:$B,2,FALSE),"Unknown")</f>
        <v>0</v>
      </c>
      <c r="F567">
        <f>'Raw Data'!E567</f>
        <v>0</v>
      </c>
      <c r="G567">
        <f>IFERROR(VLOOKUP(D567,'Lookup Tables'!$A:$C,3,FALSE),IF(ISNUMBER(SEARCH("STEEL",F567)),"Steel","Others"))</f>
        <v>0</v>
      </c>
      <c r="H567">
        <f>IF(ISNUMBER(SEARCH("scrubber",F567)) , "Scrubber", IF(ISNUMBER(SEARCH("container",F567)),"Container", IF(ISNUMBER(SEARCH("basket",F567)),"Basket", IF(ISNUMBER(SEARCH("lunch",F567)),"Lunch Box", IF(ISNUMBER(SEARCH("cutlery",F567)),"Cutlery","Other")))))</f>
        <v>0</v>
      </c>
      <c r="I567">
        <f>IF('Raw Data'!G567&lt;&gt;'','Raw Data'!G567,IFERROR(MID(F567,SEARCH("MODEL",F567)+6,20),""))</f>
        <v>0</v>
      </c>
      <c r="J567">
        <f>'Raw Data'!H567</f>
        <v>0</v>
      </c>
      <c r="K567">
        <f>'Raw Data'!I567</f>
        <v>0</v>
      </c>
      <c r="L567">
        <f>IF('Raw Data'!N567&lt;&gt;0,'Raw Data'!N567,IFERROR(VALUE(MID(F567,SEARCH("QTY",F567)+4,IFERROR(FIND(" ",F567,SEARCH("QTY",F567)+4)-(SEARCH("QTY",F567)+4),3))),""))</f>
        <v>0</v>
      </c>
      <c r="M567">
        <f>'Raw Data'!O567</f>
        <v>0</v>
      </c>
      <c r="N567">
        <f>'Raw Data'!P567</f>
        <v>0</v>
      </c>
      <c r="O567">
        <f>'Raw Data'!Q567</f>
        <v>0</v>
      </c>
      <c r="P567">
        <f>'Raw Data'!R567</f>
        <v>0</v>
      </c>
      <c r="Q567">
        <f>'Raw Data'!S567</f>
        <v>0</v>
      </c>
      <c r="R567">
        <f>'Raw Data'!T567</f>
        <v>0</v>
      </c>
      <c r="S567">
        <f>IFERROR(O567,0)+IFERROR(R567,0)</f>
        <v>0</v>
      </c>
      <c r="T567">
        <f>IF(A567="","",YEAR(A567))</f>
        <v>0</v>
      </c>
    </row>
    <row r="568" spans="1:20">
      <c r="A568">
        <f>'Raw Data'!B568</f>
        <v>0</v>
      </c>
      <c r="B568">
        <f>'Raw Data'!A568</f>
        <v>0</v>
      </c>
      <c r="C568">
        <f>'Raw Data'!C568</f>
        <v>0</v>
      </c>
      <c r="D568">
        <f>'Raw Data'!D568</f>
        <v>0</v>
      </c>
      <c r="E568">
        <f>IFERROR(VLOOKUP(D568,'Lookup Tables'!$A:$B,2,FALSE),"Unknown")</f>
        <v>0</v>
      </c>
      <c r="F568">
        <f>'Raw Data'!E568</f>
        <v>0</v>
      </c>
      <c r="G568">
        <f>IFERROR(VLOOKUP(D568,'Lookup Tables'!$A:$C,3,FALSE),IF(ISNUMBER(SEARCH("STEEL",F568)),"Steel","Others"))</f>
        <v>0</v>
      </c>
      <c r="H568">
        <f>IF(ISNUMBER(SEARCH("scrubber",F568)) , "Scrubber", IF(ISNUMBER(SEARCH("container",F568)),"Container", IF(ISNUMBER(SEARCH("basket",F568)),"Basket", IF(ISNUMBER(SEARCH("lunch",F568)),"Lunch Box", IF(ISNUMBER(SEARCH("cutlery",F568)),"Cutlery","Other")))))</f>
        <v>0</v>
      </c>
      <c r="I568">
        <f>IF('Raw Data'!G568&lt;&gt;'','Raw Data'!G568,IFERROR(MID(F568,SEARCH("MODEL",F568)+6,20),""))</f>
        <v>0</v>
      </c>
      <c r="J568">
        <f>'Raw Data'!H568</f>
        <v>0</v>
      </c>
      <c r="K568">
        <f>'Raw Data'!I568</f>
        <v>0</v>
      </c>
      <c r="L568">
        <f>IF('Raw Data'!N568&lt;&gt;0,'Raw Data'!N568,IFERROR(VALUE(MID(F568,SEARCH("QTY",F568)+4,IFERROR(FIND(" ",F568,SEARCH("QTY",F568)+4)-(SEARCH("QTY",F568)+4),3))),""))</f>
        <v>0</v>
      </c>
      <c r="M568">
        <f>'Raw Data'!O568</f>
        <v>0</v>
      </c>
      <c r="N568">
        <f>'Raw Data'!P568</f>
        <v>0</v>
      </c>
      <c r="O568">
        <f>'Raw Data'!Q568</f>
        <v>0</v>
      </c>
      <c r="P568">
        <f>'Raw Data'!R568</f>
        <v>0</v>
      </c>
      <c r="Q568">
        <f>'Raw Data'!S568</f>
        <v>0</v>
      </c>
      <c r="R568">
        <f>'Raw Data'!T568</f>
        <v>0</v>
      </c>
      <c r="S568">
        <f>IFERROR(O568,0)+IFERROR(R568,0)</f>
        <v>0</v>
      </c>
      <c r="T568">
        <f>IF(A568="","",YEAR(A568))</f>
        <v>0</v>
      </c>
    </row>
    <row r="569" spans="1:20">
      <c r="A569">
        <f>'Raw Data'!B569</f>
        <v>0</v>
      </c>
      <c r="B569">
        <f>'Raw Data'!A569</f>
        <v>0</v>
      </c>
      <c r="C569">
        <f>'Raw Data'!C569</f>
        <v>0</v>
      </c>
      <c r="D569">
        <f>'Raw Data'!D569</f>
        <v>0</v>
      </c>
      <c r="E569">
        <f>IFERROR(VLOOKUP(D569,'Lookup Tables'!$A:$B,2,FALSE),"Unknown")</f>
        <v>0</v>
      </c>
      <c r="F569">
        <f>'Raw Data'!E569</f>
        <v>0</v>
      </c>
      <c r="G569">
        <f>IFERROR(VLOOKUP(D569,'Lookup Tables'!$A:$C,3,FALSE),IF(ISNUMBER(SEARCH("STEEL",F569)),"Steel","Others"))</f>
        <v>0</v>
      </c>
      <c r="H569">
        <f>IF(ISNUMBER(SEARCH("scrubber",F569)) , "Scrubber", IF(ISNUMBER(SEARCH("container",F569)),"Container", IF(ISNUMBER(SEARCH("basket",F569)),"Basket", IF(ISNUMBER(SEARCH("lunch",F569)),"Lunch Box", IF(ISNUMBER(SEARCH("cutlery",F569)),"Cutlery","Other")))))</f>
        <v>0</v>
      </c>
      <c r="I569">
        <f>IF('Raw Data'!G569&lt;&gt;'','Raw Data'!G569,IFERROR(MID(F569,SEARCH("MODEL",F569)+6,20),""))</f>
        <v>0</v>
      </c>
      <c r="J569">
        <f>'Raw Data'!H569</f>
        <v>0</v>
      </c>
      <c r="K569">
        <f>'Raw Data'!I569</f>
        <v>0</v>
      </c>
      <c r="L569">
        <f>IF('Raw Data'!N569&lt;&gt;0,'Raw Data'!N569,IFERROR(VALUE(MID(F569,SEARCH("QTY",F569)+4,IFERROR(FIND(" ",F569,SEARCH("QTY",F569)+4)-(SEARCH("QTY",F569)+4),3))),""))</f>
        <v>0</v>
      </c>
      <c r="M569">
        <f>'Raw Data'!O569</f>
        <v>0</v>
      </c>
      <c r="N569">
        <f>'Raw Data'!P569</f>
        <v>0</v>
      </c>
      <c r="O569">
        <f>'Raw Data'!Q569</f>
        <v>0</v>
      </c>
      <c r="P569">
        <f>'Raw Data'!R569</f>
        <v>0</v>
      </c>
      <c r="Q569">
        <f>'Raw Data'!S569</f>
        <v>0</v>
      </c>
      <c r="R569">
        <f>'Raw Data'!T569</f>
        <v>0</v>
      </c>
      <c r="S569">
        <f>IFERROR(O569,0)+IFERROR(R569,0)</f>
        <v>0</v>
      </c>
      <c r="T569">
        <f>IF(A569="","",YEAR(A569))</f>
        <v>0</v>
      </c>
    </row>
    <row r="570" spans="1:20">
      <c r="A570">
        <f>'Raw Data'!B570</f>
        <v>0</v>
      </c>
      <c r="B570">
        <f>'Raw Data'!A570</f>
        <v>0</v>
      </c>
      <c r="C570">
        <f>'Raw Data'!C570</f>
        <v>0</v>
      </c>
      <c r="D570">
        <f>'Raw Data'!D570</f>
        <v>0</v>
      </c>
      <c r="E570">
        <f>IFERROR(VLOOKUP(D570,'Lookup Tables'!$A:$B,2,FALSE),"Unknown")</f>
        <v>0</v>
      </c>
      <c r="F570">
        <f>'Raw Data'!E570</f>
        <v>0</v>
      </c>
      <c r="G570">
        <f>IFERROR(VLOOKUP(D570,'Lookup Tables'!$A:$C,3,FALSE),IF(ISNUMBER(SEARCH("STEEL",F570)),"Steel","Others"))</f>
        <v>0</v>
      </c>
      <c r="H570">
        <f>IF(ISNUMBER(SEARCH("scrubber",F570)) , "Scrubber", IF(ISNUMBER(SEARCH("container",F570)),"Container", IF(ISNUMBER(SEARCH("basket",F570)),"Basket", IF(ISNUMBER(SEARCH("lunch",F570)),"Lunch Box", IF(ISNUMBER(SEARCH("cutlery",F570)),"Cutlery","Other")))))</f>
        <v>0</v>
      </c>
      <c r="I570">
        <f>IF('Raw Data'!G570&lt;&gt;'','Raw Data'!G570,IFERROR(MID(F570,SEARCH("MODEL",F570)+6,20),""))</f>
        <v>0</v>
      </c>
      <c r="J570">
        <f>'Raw Data'!H570</f>
        <v>0</v>
      </c>
      <c r="K570">
        <f>'Raw Data'!I570</f>
        <v>0</v>
      </c>
      <c r="L570">
        <f>IF('Raw Data'!N570&lt;&gt;0,'Raw Data'!N570,IFERROR(VALUE(MID(F570,SEARCH("QTY",F570)+4,IFERROR(FIND(" ",F570,SEARCH("QTY",F570)+4)-(SEARCH("QTY",F570)+4),3))),""))</f>
        <v>0</v>
      </c>
      <c r="M570">
        <f>'Raw Data'!O570</f>
        <v>0</v>
      </c>
      <c r="N570">
        <f>'Raw Data'!P570</f>
        <v>0</v>
      </c>
      <c r="O570">
        <f>'Raw Data'!Q570</f>
        <v>0</v>
      </c>
      <c r="P570">
        <f>'Raw Data'!R570</f>
        <v>0</v>
      </c>
      <c r="Q570">
        <f>'Raw Data'!S570</f>
        <v>0</v>
      </c>
      <c r="R570">
        <f>'Raw Data'!T570</f>
        <v>0</v>
      </c>
      <c r="S570">
        <f>IFERROR(O570,0)+IFERROR(R570,0)</f>
        <v>0</v>
      </c>
      <c r="T570">
        <f>IF(A570="","",YEAR(A570))</f>
        <v>0</v>
      </c>
    </row>
    <row r="571" spans="1:20">
      <c r="A571">
        <f>'Raw Data'!B571</f>
        <v>0</v>
      </c>
      <c r="B571">
        <f>'Raw Data'!A571</f>
        <v>0</v>
      </c>
      <c r="C571">
        <f>'Raw Data'!C571</f>
        <v>0</v>
      </c>
      <c r="D571">
        <f>'Raw Data'!D571</f>
        <v>0</v>
      </c>
      <c r="E571">
        <f>IFERROR(VLOOKUP(D571,'Lookup Tables'!$A:$B,2,FALSE),"Unknown")</f>
        <v>0</v>
      </c>
      <c r="F571">
        <f>'Raw Data'!E571</f>
        <v>0</v>
      </c>
      <c r="G571">
        <f>IFERROR(VLOOKUP(D571,'Lookup Tables'!$A:$C,3,FALSE),IF(ISNUMBER(SEARCH("STEEL",F571)),"Steel","Others"))</f>
        <v>0</v>
      </c>
      <c r="H571">
        <f>IF(ISNUMBER(SEARCH("scrubber",F571)) , "Scrubber", IF(ISNUMBER(SEARCH("container",F571)),"Container", IF(ISNUMBER(SEARCH("basket",F571)),"Basket", IF(ISNUMBER(SEARCH("lunch",F571)),"Lunch Box", IF(ISNUMBER(SEARCH("cutlery",F571)),"Cutlery","Other")))))</f>
        <v>0</v>
      </c>
      <c r="I571">
        <f>IF('Raw Data'!G571&lt;&gt;'','Raw Data'!G571,IFERROR(MID(F571,SEARCH("MODEL",F571)+6,20),""))</f>
        <v>0</v>
      </c>
      <c r="J571">
        <f>'Raw Data'!H571</f>
        <v>0</v>
      </c>
      <c r="K571">
        <f>'Raw Data'!I571</f>
        <v>0</v>
      </c>
      <c r="L571">
        <f>IF('Raw Data'!N571&lt;&gt;0,'Raw Data'!N571,IFERROR(VALUE(MID(F571,SEARCH("QTY",F571)+4,IFERROR(FIND(" ",F571,SEARCH("QTY",F571)+4)-(SEARCH("QTY",F571)+4),3))),""))</f>
        <v>0</v>
      </c>
      <c r="M571">
        <f>'Raw Data'!O571</f>
        <v>0</v>
      </c>
      <c r="N571">
        <f>'Raw Data'!P571</f>
        <v>0</v>
      </c>
      <c r="O571">
        <f>'Raw Data'!Q571</f>
        <v>0</v>
      </c>
      <c r="P571">
        <f>'Raw Data'!R571</f>
        <v>0</v>
      </c>
      <c r="Q571">
        <f>'Raw Data'!S571</f>
        <v>0</v>
      </c>
      <c r="R571">
        <f>'Raw Data'!T571</f>
        <v>0</v>
      </c>
      <c r="S571">
        <f>IFERROR(O571,0)+IFERROR(R571,0)</f>
        <v>0</v>
      </c>
      <c r="T571">
        <f>IF(A571="","",YEAR(A571))</f>
        <v>0</v>
      </c>
    </row>
    <row r="572" spans="1:20">
      <c r="A572">
        <f>'Raw Data'!B572</f>
        <v>0</v>
      </c>
      <c r="B572">
        <f>'Raw Data'!A572</f>
        <v>0</v>
      </c>
      <c r="C572">
        <f>'Raw Data'!C572</f>
        <v>0</v>
      </c>
      <c r="D572">
        <f>'Raw Data'!D572</f>
        <v>0</v>
      </c>
      <c r="E572">
        <f>IFERROR(VLOOKUP(D572,'Lookup Tables'!$A:$B,2,FALSE),"Unknown")</f>
        <v>0</v>
      </c>
      <c r="F572">
        <f>'Raw Data'!E572</f>
        <v>0</v>
      </c>
      <c r="G572">
        <f>IFERROR(VLOOKUP(D572,'Lookup Tables'!$A:$C,3,FALSE),IF(ISNUMBER(SEARCH("STEEL",F572)),"Steel","Others"))</f>
        <v>0</v>
      </c>
      <c r="H572">
        <f>IF(ISNUMBER(SEARCH("scrubber",F572)) , "Scrubber", IF(ISNUMBER(SEARCH("container",F572)),"Container", IF(ISNUMBER(SEARCH("basket",F572)),"Basket", IF(ISNUMBER(SEARCH("lunch",F572)),"Lunch Box", IF(ISNUMBER(SEARCH("cutlery",F572)),"Cutlery","Other")))))</f>
        <v>0</v>
      </c>
      <c r="I572">
        <f>IF('Raw Data'!G572&lt;&gt;'','Raw Data'!G572,IFERROR(MID(F572,SEARCH("MODEL",F572)+6,20),""))</f>
        <v>0</v>
      </c>
      <c r="J572">
        <f>'Raw Data'!H572</f>
        <v>0</v>
      </c>
      <c r="K572">
        <f>'Raw Data'!I572</f>
        <v>0</v>
      </c>
      <c r="L572">
        <f>IF('Raw Data'!N572&lt;&gt;0,'Raw Data'!N572,IFERROR(VALUE(MID(F572,SEARCH("QTY",F572)+4,IFERROR(FIND(" ",F572,SEARCH("QTY",F572)+4)-(SEARCH("QTY",F572)+4),3))),""))</f>
        <v>0</v>
      </c>
      <c r="M572">
        <f>'Raw Data'!O572</f>
        <v>0</v>
      </c>
      <c r="N572">
        <f>'Raw Data'!P572</f>
        <v>0</v>
      </c>
      <c r="O572">
        <f>'Raw Data'!Q572</f>
        <v>0</v>
      </c>
      <c r="P572">
        <f>'Raw Data'!R572</f>
        <v>0</v>
      </c>
      <c r="Q572">
        <f>'Raw Data'!S572</f>
        <v>0</v>
      </c>
      <c r="R572">
        <f>'Raw Data'!T572</f>
        <v>0</v>
      </c>
      <c r="S572">
        <f>IFERROR(O572,0)+IFERROR(R572,0)</f>
        <v>0</v>
      </c>
      <c r="T572">
        <f>IF(A572="","",YEAR(A572))</f>
        <v>0</v>
      </c>
    </row>
    <row r="573" spans="1:20">
      <c r="A573">
        <f>'Raw Data'!B573</f>
        <v>0</v>
      </c>
      <c r="B573">
        <f>'Raw Data'!A573</f>
        <v>0</v>
      </c>
      <c r="C573">
        <f>'Raw Data'!C573</f>
        <v>0</v>
      </c>
      <c r="D573">
        <f>'Raw Data'!D573</f>
        <v>0</v>
      </c>
      <c r="E573">
        <f>IFERROR(VLOOKUP(D573,'Lookup Tables'!$A:$B,2,FALSE),"Unknown")</f>
        <v>0</v>
      </c>
      <c r="F573">
        <f>'Raw Data'!E573</f>
        <v>0</v>
      </c>
      <c r="G573">
        <f>IFERROR(VLOOKUP(D573,'Lookup Tables'!$A:$C,3,FALSE),IF(ISNUMBER(SEARCH("STEEL",F573)),"Steel","Others"))</f>
        <v>0</v>
      </c>
      <c r="H573">
        <f>IF(ISNUMBER(SEARCH("scrubber",F573)) , "Scrubber", IF(ISNUMBER(SEARCH("container",F573)),"Container", IF(ISNUMBER(SEARCH("basket",F573)),"Basket", IF(ISNUMBER(SEARCH("lunch",F573)),"Lunch Box", IF(ISNUMBER(SEARCH("cutlery",F573)),"Cutlery","Other")))))</f>
        <v>0</v>
      </c>
      <c r="I573">
        <f>IF('Raw Data'!G573&lt;&gt;'','Raw Data'!G573,IFERROR(MID(F573,SEARCH("MODEL",F573)+6,20),""))</f>
        <v>0</v>
      </c>
      <c r="J573">
        <f>'Raw Data'!H573</f>
        <v>0</v>
      </c>
      <c r="K573">
        <f>'Raw Data'!I573</f>
        <v>0</v>
      </c>
      <c r="L573">
        <f>IF('Raw Data'!N573&lt;&gt;0,'Raw Data'!N573,IFERROR(VALUE(MID(F573,SEARCH("QTY",F573)+4,IFERROR(FIND(" ",F573,SEARCH("QTY",F573)+4)-(SEARCH("QTY",F573)+4),3))),""))</f>
        <v>0</v>
      </c>
      <c r="M573">
        <f>'Raw Data'!O573</f>
        <v>0</v>
      </c>
      <c r="N573">
        <f>'Raw Data'!P573</f>
        <v>0</v>
      </c>
      <c r="O573">
        <f>'Raw Data'!Q573</f>
        <v>0</v>
      </c>
      <c r="P573">
        <f>'Raw Data'!R573</f>
        <v>0</v>
      </c>
      <c r="Q573">
        <f>'Raw Data'!S573</f>
        <v>0</v>
      </c>
      <c r="R573">
        <f>'Raw Data'!T573</f>
        <v>0</v>
      </c>
      <c r="S573">
        <f>IFERROR(O573,0)+IFERROR(R573,0)</f>
        <v>0</v>
      </c>
      <c r="T573">
        <f>IF(A573="","",YEAR(A573))</f>
        <v>0</v>
      </c>
    </row>
    <row r="574" spans="1:20">
      <c r="A574">
        <f>'Raw Data'!B574</f>
        <v>0</v>
      </c>
      <c r="B574">
        <f>'Raw Data'!A574</f>
        <v>0</v>
      </c>
      <c r="C574">
        <f>'Raw Data'!C574</f>
        <v>0</v>
      </c>
      <c r="D574">
        <f>'Raw Data'!D574</f>
        <v>0</v>
      </c>
      <c r="E574">
        <f>IFERROR(VLOOKUP(D574,'Lookup Tables'!$A:$B,2,FALSE),"Unknown")</f>
        <v>0</v>
      </c>
      <c r="F574">
        <f>'Raw Data'!E574</f>
        <v>0</v>
      </c>
      <c r="G574">
        <f>IFERROR(VLOOKUP(D574,'Lookup Tables'!$A:$C,3,FALSE),IF(ISNUMBER(SEARCH("STEEL",F574)),"Steel","Others"))</f>
        <v>0</v>
      </c>
      <c r="H574">
        <f>IF(ISNUMBER(SEARCH("scrubber",F574)) , "Scrubber", IF(ISNUMBER(SEARCH("container",F574)),"Container", IF(ISNUMBER(SEARCH("basket",F574)),"Basket", IF(ISNUMBER(SEARCH("lunch",F574)),"Lunch Box", IF(ISNUMBER(SEARCH("cutlery",F574)),"Cutlery","Other")))))</f>
        <v>0</v>
      </c>
      <c r="I574">
        <f>IF('Raw Data'!G574&lt;&gt;'','Raw Data'!G574,IFERROR(MID(F574,SEARCH("MODEL",F574)+6,20),""))</f>
        <v>0</v>
      </c>
      <c r="J574">
        <f>'Raw Data'!H574</f>
        <v>0</v>
      </c>
      <c r="K574">
        <f>'Raw Data'!I574</f>
        <v>0</v>
      </c>
      <c r="L574">
        <f>IF('Raw Data'!N574&lt;&gt;0,'Raw Data'!N574,IFERROR(VALUE(MID(F574,SEARCH("QTY",F574)+4,IFERROR(FIND(" ",F574,SEARCH("QTY",F574)+4)-(SEARCH("QTY",F574)+4),3))),""))</f>
        <v>0</v>
      </c>
      <c r="M574">
        <f>'Raw Data'!O574</f>
        <v>0</v>
      </c>
      <c r="N574">
        <f>'Raw Data'!P574</f>
        <v>0</v>
      </c>
      <c r="O574">
        <f>'Raw Data'!Q574</f>
        <v>0</v>
      </c>
      <c r="P574">
        <f>'Raw Data'!R574</f>
        <v>0</v>
      </c>
      <c r="Q574">
        <f>'Raw Data'!S574</f>
        <v>0</v>
      </c>
      <c r="R574">
        <f>'Raw Data'!T574</f>
        <v>0</v>
      </c>
      <c r="S574">
        <f>IFERROR(O574,0)+IFERROR(R574,0)</f>
        <v>0</v>
      </c>
      <c r="T574">
        <f>IF(A574="","",YEAR(A574))</f>
        <v>0</v>
      </c>
    </row>
    <row r="575" spans="1:20">
      <c r="A575">
        <f>'Raw Data'!B575</f>
        <v>0</v>
      </c>
      <c r="B575">
        <f>'Raw Data'!A575</f>
        <v>0</v>
      </c>
      <c r="C575">
        <f>'Raw Data'!C575</f>
        <v>0</v>
      </c>
      <c r="D575">
        <f>'Raw Data'!D575</f>
        <v>0</v>
      </c>
      <c r="E575">
        <f>IFERROR(VLOOKUP(D575,'Lookup Tables'!$A:$B,2,FALSE),"Unknown")</f>
        <v>0</v>
      </c>
      <c r="F575">
        <f>'Raw Data'!E575</f>
        <v>0</v>
      </c>
      <c r="G575">
        <f>IFERROR(VLOOKUP(D575,'Lookup Tables'!$A:$C,3,FALSE),IF(ISNUMBER(SEARCH("STEEL",F575)),"Steel","Others"))</f>
        <v>0</v>
      </c>
      <c r="H575">
        <f>IF(ISNUMBER(SEARCH("scrubber",F575)) , "Scrubber", IF(ISNUMBER(SEARCH("container",F575)),"Container", IF(ISNUMBER(SEARCH("basket",F575)),"Basket", IF(ISNUMBER(SEARCH("lunch",F575)),"Lunch Box", IF(ISNUMBER(SEARCH("cutlery",F575)),"Cutlery","Other")))))</f>
        <v>0</v>
      </c>
      <c r="I575">
        <f>IF('Raw Data'!G575&lt;&gt;'','Raw Data'!G575,IFERROR(MID(F575,SEARCH("MODEL",F575)+6,20),""))</f>
        <v>0</v>
      </c>
      <c r="J575">
        <f>'Raw Data'!H575</f>
        <v>0</v>
      </c>
      <c r="K575">
        <f>'Raw Data'!I575</f>
        <v>0</v>
      </c>
      <c r="L575">
        <f>IF('Raw Data'!N575&lt;&gt;0,'Raw Data'!N575,IFERROR(VALUE(MID(F575,SEARCH("QTY",F575)+4,IFERROR(FIND(" ",F575,SEARCH("QTY",F575)+4)-(SEARCH("QTY",F575)+4),3))),""))</f>
        <v>0</v>
      </c>
      <c r="M575">
        <f>'Raw Data'!O575</f>
        <v>0</v>
      </c>
      <c r="N575">
        <f>'Raw Data'!P575</f>
        <v>0</v>
      </c>
      <c r="O575">
        <f>'Raw Data'!Q575</f>
        <v>0</v>
      </c>
      <c r="P575">
        <f>'Raw Data'!R575</f>
        <v>0</v>
      </c>
      <c r="Q575">
        <f>'Raw Data'!S575</f>
        <v>0</v>
      </c>
      <c r="R575">
        <f>'Raw Data'!T575</f>
        <v>0</v>
      </c>
      <c r="S575">
        <f>IFERROR(O575,0)+IFERROR(R575,0)</f>
        <v>0</v>
      </c>
      <c r="T575">
        <f>IF(A575="","",YEAR(A575))</f>
        <v>0</v>
      </c>
    </row>
    <row r="576" spans="1:20">
      <c r="A576">
        <f>'Raw Data'!B576</f>
        <v>0</v>
      </c>
      <c r="B576">
        <f>'Raw Data'!A576</f>
        <v>0</v>
      </c>
      <c r="C576">
        <f>'Raw Data'!C576</f>
        <v>0</v>
      </c>
      <c r="D576">
        <f>'Raw Data'!D576</f>
        <v>0</v>
      </c>
      <c r="E576">
        <f>IFERROR(VLOOKUP(D576,'Lookup Tables'!$A:$B,2,FALSE),"Unknown")</f>
        <v>0</v>
      </c>
      <c r="F576">
        <f>'Raw Data'!E576</f>
        <v>0</v>
      </c>
      <c r="G576">
        <f>IFERROR(VLOOKUP(D576,'Lookup Tables'!$A:$C,3,FALSE),IF(ISNUMBER(SEARCH("STEEL",F576)),"Steel","Others"))</f>
        <v>0</v>
      </c>
      <c r="H576">
        <f>IF(ISNUMBER(SEARCH("scrubber",F576)) , "Scrubber", IF(ISNUMBER(SEARCH("container",F576)),"Container", IF(ISNUMBER(SEARCH("basket",F576)),"Basket", IF(ISNUMBER(SEARCH("lunch",F576)),"Lunch Box", IF(ISNUMBER(SEARCH("cutlery",F576)),"Cutlery","Other")))))</f>
        <v>0</v>
      </c>
      <c r="I576">
        <f>IF('Raw Data'!G576&lt;&gt;'','Raw Data'!G576,IFERROR(MID(F576,SEARCH("MODEL",F576)+6,20),""))</f>
        <v>0</v>
      </c>
      <c r="J576">
        <f>'Raw Data'!H576</f>
        <v>0</v>
      </c>
      <c r="K576">
        <f>'Raw Data'!I576</f>
        <v>0</v>
      </c>
      <c r="L576">
        <f>IF('Raw Data'!N576&lt;&gt;0,'Raw Data'!N576,IFERROR(VALUE(MID(F576,SEARCH("QTY",F576)+4,IFERROR(FIND(" ",F576,SEARCH("QTY",F576)+4)-(SEARCH("QTY",F576)+4),3))),""))</f>
        <v>0</v>
      </c>
      <c r="M576">
        <f>'Raw Data'!O576</f>
        <v>0</v>
      </c>
      <c r="N576">
        <f>'Raw Data'!P576</f>
        <v>0</v>
      </c>
      <c r="O576">
        <f>'Raw Data'!Q576</f>
        <v>0</v>
      </c>
      <c r="P576">
        <f>'Raw Data'!R576</f>
        <v>0</v>
      </c>
      <c r="Q576">
        <f>'Raw Data'!S576</f>
        <v>0</v>
      </c>
      <c r="R576">
        <f>'Raw Data'!T576</f>
        <v>0</v>
      </c>
      <c r="S576">
        <f>IFERROR(O576,0)+IFERROR(R576,0)</f>
        <v>0</v>
      </c>
      <c r="T576">
        <f>IF(A576="","",YEAR(A576))</f>
        <v>0</v>
      </c>
    </row>
    <row r="577" spans="1:20">
      <c r="A577">
        <f>'Raw Data'!B577</f>
        <v>0</v>
      </c>
      <c r="B577">
        <f>'Raw Data'!A577</f>
        <v>0</v>
      </c>
      <c r="C577">
        <f>'Raw Data'!C577</f>
        <v>0</v>
      </c>
      <c r="D577">
        <f>'Raw Data'!D577</f>
        <v>0</v>
      </c>
      <c r="E577">
        <f>IFERROR(VLOOKUP(D577,'Lookup Tables'!$A:$B,2,FALSE),"Unknown")</f>
        <v>0</v>
      </c>
      <c r="F577">
        <f>'Raw Data'!E577</f>
        <v>0</v>
      </c>
      <c r="G577">
        <f>IFERROR(VLOOKUP(D577,'Lookup Tables'!$A:$C,3,FALSE),IF(ISNUMBER(SEARCH("STEEL",F577)),"Steel","Others"))</f>
        <v>0</v>
      </c>
      <c r="H577">
        <f>IF(ISNUMBER(SEARCH("scrubber",F577)) , "Scrubber", IF(ISNUMBER(SEARCH("container",F577)),"Container", IF(ISNUMBER(SEARCH("basket",F577)),"Basket", IF(ISNUMBER(SEARCH("lunch",F577)),"Lunch Box", IF(ISNUMBER(SEARCH("cutlery",F577)),"Cutlery","Other")))))</f>
        <v>0</v>
      </c>
      <c r="I577">
        <f>IF('Raw Data'!G577&lt;&gt;'','Raw Data'!G577,IFERROR(MID(F577,SEARCH("MODEL",F577)+6,20),""))</f>
        <v>0</v>
      </c>
      <c r="J577">
        <f>'Raw Data'!H577</f>
        <v>0</v>
      </c>
      <c r="K577">
        <f>'Raw Data'!I577</f>
        <v>0</v>
      </c>
      <c r="L577">
        <f>IF('Raw Data'!N577&lt;&gt;0,'Raw Data'!N577,IFERROR(VALUE(MID(F577,SEARCH("QTY",F577)+4,IFERROR(FIND(" ",F577,SEARCH("QTY",F577)+4)-(SEARCH("QTY",F577)+4),3))),""))</f>
        <v>0</v>
      </c>
      <c r="M577">
        <f>'Raw Data'!O577</f>
        <v>0</v>
      </c>
      <c r="N577">
        <f>'Raw Data'!P577</f>
        <v>0</v>
      </c>
      <c r="O577">
        <f>'Raw Data'!Q577</f>
        <v>0</v>
      </c>
      <c r="P577">
        <f>'Raw Data'!R577</f>
        <v>0</v>
      </c>
      <c r="Q577">
        <f>'Raw Data'!S577</f>
        <v>0</v>
      </c>
      <c r="R577">
        <f>'Raw Data'!T577</f>
        <v>0</v>
      </c>
      <c r="S577">
        <f>IFERROR(O577,0)+IFERROR(R577,0)</f>
        <v>0</v>
      </c>
      <c r="T577">
        <f>IF(A577="","",YEAR(A577))</f>
        <v>0</v>
      </c>
    </row>
    <row r="578" spans="1:20">
      <c r="A578">
        <f>'Raw Data'!B578</f>
        <v>0</v>
      </c>
      <c r="B578">
        <f>'Raw Data'!A578</f>
        <v>0</v>
      </c>
      <c r="C578">
        <f>'Raw Data'!C578</f>
        <v>0</v>
      </c>
      <c r="D578">
        <f>'Raw Data'!D578</f>
        <v>0</v>
      </c>
      <c r="E578">
        <f>IFERROR(VLOOKUP(D578,'Lookup Tables'!$A:$B,2,FALSE),"Unknown")</f>
        <v>0</v>
      </c>
      <c r="F578">
        <f>'Raw Data'!E578</f>
        <v>0</v>
      </c>
      <c r="G578">
        <f>IFERROR(VLOOKUP(D578,'Lookup Tables'!$A:$C,3,FALSE),IF(ISNUMBER(SEARCH("STEEL",F578)),"Steel","Others"))</f>
        <v>0</v>
      </c>
      <c r="H578">
        <f>IF(ISNUMBER(SEARCH("scrubber",F578)) , "Scrubber", IF(ISNUMBER(SEARCH("container",F578)),"Container", IF(ISNUMBER(SEARCH("basket",F578)),"Basket", IF(ISNUMBER(SEARCH("lunch",F578)),"Lunch Box", IF(ISNUMBER(SEARCH("cutlery",F578)),"Cutlery","Other")))))</f>
        <v>0</v>
      </c>
      <c r="I578">
        <f>IF('Raw Data'!G578&lt;&gt;'','Raw Data'!G578,IFERROR(MID(F578,SEARCH("MODEL",F578)+6,20),""))</f>
        <v>0</v>
      </c>
      <c r="J578">
        <f>'Raw Data'!H578</f>
        <v>0</v>
      </c>
      <c r="K578">
        <f>'Raw Data'!I578</f>
        <v>0</v>
      </c>
      <c r="L578">
        <f>IF('Raw Data'!N578&lt;&gt;0,'Raw Data'!N578,IFERROR(VALUE(MID(F578,SEARCH("QTY",F578)+4,IFERROR(FIND(" ",F578,SEARCH("QTY",F578)+4)-(SEARCH("QTY",F578)+4),3))),""))</f>
        <v>0</v>
      </c>
      <c r="M578">
        <f>'Raw Data'!O578</f>
        <v>0</v>
      </c>
      <c r="N578">
        <f>'Raw Data'!P578</f>
        <v>0</v>
      </c>
      <c r="O578">
        <f>'Raw Data'!Q578</f>
        <v>0</v>
      </c>
      <c r="P578">
        <f>'Raw Data'!R578</f>
        <v>0</v>
      </c>
      <c r="Q578">
        <f>'Raw Data'!S578</f>
        <v>0</v>
      </c>
      <c r="R578">
        <f>'Raw Data'!T578</f>
        <v>0</v>
      </c>
      <c r="S578">
        <f>IFERROR(O578,0)+IFERROR(R578,0)</f>
        <v>0</v>
      </c>
      <c r="T578">
        <f>IF(A578="","",YEAR(A578))</f>
        <v>0</v>
      </c>
    </row>
    <row r="579" spans="1:20">
      <c r="A579">
        <f>'Raw Data'!B579</f>
        <v>0</v>
      </c>
      <c r="B579">
        <f>'Raw Data'!A579</f>
        <v>0</v>
      </c>
      <c r="C579">
        <f>'Raw Data'!C579</f>
        <v>0</v>
      </c>
      <c r="D579">
        <f>'Raw Data'!D579</f>
        <v>0</v>
      </c>
      <c r="E579">
        <f>IFERROR(VLOOKUP(D579,'Lookup Tables'!$A:$B,2,FALSE),"Unknown")</f>
        <v>0</v>
      </c>
      <c r="F579">
        <f>'Raw Data'!E579</f>
        <v>0</v>
      </c>
      <c r="G579">
        <f>IFERROR(VLOOKUP(D579,'Lookup Tables'!$A:$C,3,FALSE),IF(ISNUMBER(SEARCH("STEEL",F579)),"Steel","Others"))</f>
        <v>0</v>
      </c>
      <c r="H579">
        <f>IF(ISNUMBER(SEARCH("scrubber",F579)) , "Scrubber", IF(ISNUMBER(SEARCH("container",F579)),"Container", IF(ISNUMBER(SEARCH("basket",F579)),"Basket", IF(ISNUMBER(SEARCH("lunch",F579)),"Lunch Box", IF(ISNUMBER(SEARCH("cutlery",F579)),"Cutlery","Other")))))</f>
        <v>0</v>
      </c>
      <c r="I579">
        <f>IF('Raw Data'!G579&lt;&gt;'','Raw Data'!G579,IFERROR(MID(F579,SEARCH("MODEL",F579)+6,20),""))</f>
        <v>0</v>
      </c>
      <c r="J579">
        <f>'Raw Data'!H579</f>
        <v>0</v>
      </c>
      <c r="K579">
        <f>'Raw Data'!I579</f>
        <v>0</v>
      </c>
      <c r="L579">
        <f>IF('Raw Data'!N579&lt;&gt;0,'Raw Data'!N579,IFERROR(VALUE(MID(F579,SEARCH("QTY",F579)+4,IFERROR(FIND(" ",F579,SEARCH("QTY",F579)+4)-(SEARCH("QTY",F579)+4),3))),""))</f>
        <v>0</v>
      </c>
      <c r="M579">
        <f>'Raw Data'!O579</f>
        <v>0</v>
      </c>
      <c r="N579">
        <f>'Raw Data'!P579</f>
        <v>0</v>
      </c>
      <c r="O579">
        <f>'Raw Data'!Q579</f>
        <v>0</v>
      </c>
      <c r="P579">
        <f>'Raw Data'!R579</f>
        <v>0</v>
      </c>
      <c r="Q579">
        <f>'Raw Data'!S579</f>
        <v>0</v>
      </c>
      <c r="R579">
        <f>'Raw Data'!T579</f>
        <v>0</v>
      </c>
      <c r="S579">
        <f>IFERROR(O579,0)+IFERROR(R579,0)</f>
        <v>0</v>
      </c>
      <c r="T579">
        <f>IF(A579="","",YEAR(A579))</f>
        <v>0</v>
      </c>
    </row>
    <row r="580" spans="1:20">
      <c r="A580">
        <f>'Raw Data'!B580</f>
        <v>0</v>
      </c>
      <c r="B580">
        <f>'Raw Data'!A580</f>
        <v>0</v>
      </c>
      <c r="C580">
        <f>'Raw Data'!C580</f>
        <v>0</v>
      </c>
      <c r="D580">
        <f>'Raw Data'!D580</f>
        <v>0</v>
      </c>
      <c r="E580">
        <f>IFERROR(VLOOKUP(D580,'Lookup Tables'!$A:$B,2,FALSE),"Unknown")</f>
        <v>0</v>
      </c>
      <c r="F580">
        <f>'Raw Data'!E580</f>
        <v>0</v>
      </c>
      <c r="G580">
        <f>IFERROR(VLOOKUP(D580,'Lookup Tables'!$A:$C,3,FALSE),IF(ISNUMBER(SEARCH("STEEL",F580)),"Steel","Others"))</f>
        <v>0</v>
      </c>
      <c r="H580">
        <f>IF(ISNUMBER(SEARCH("scrubber",F580)) , "Scrubber", IF(ISNUMBER(SEARCH("container",F580)),"Container", IF(ISNUMBER(SEARCH("basket",F580)),"Basket", IF(ISNUMBER(SEARCH("lunch",F580)),"Lunch Box", IF(ISNUMBER(SEARCH("cutlery",F580)),"Cutlery","Other")))))</f>
        <v>0</v>
      </c>
      <c r="I580">
        <f>IF('Raw Data'!G580&lt;&gt;'','Raw Data'!G580,IFERROR(MID(F580,SEARCH("MODEL",F580)+6,20),""))</f>
        <v>0</v>
      </c>
      <c r="J580">
        <f>'Raw Data'!H580</f>
        <v>0</v>
      </c>
      <c r="K580">
        <f>'Raw Data'!I580</f>
        <v>0</v>
      </c>
      <c r="L580">
        <f>IF('Raw Data'!N580&lt;&gt;0,'Raw Data'!N580,IFERROR(VALUE(MID(F580,SEARCH("QTY",F580)+4,IFERROR(FIND(" ",F580,SEARCH("QTY",F580)+4)-(SEARCH("QTY",F580)+4),3))),""))</f>
        <v>0</v>
      </c>
      <c r="M580">
        <f>'Raw Data'!O580</f>
        <v>0</v>
      </c>
      <c r="N580">
        <f>'Raw Data'!P580</f>
        <v>0</v>
      </c>
      <c r="O580">
        <f>'Raw Data'!Q580</f>
        <v>0</v>
      </c>
      <c r="P580">
        <f>'Raw Data'!R580</f>
        <v>0</v>
      </c>
      <c r="Q580">
        <f>'Raw Data'!S580</f>
        <v>0</v>
      </c>
      <c r="R580">
        <f>'Raw Data'!T580</f>
        <v>0</v>
      </c>
      <c r="S580">
        <f>IFERROR(O580,0)+IFERROR(R580,0)</f>
        <v>0</v>
      </c>
      <c r="T580">
        <f>IF(A580="","",YEAR(A580))</f>
        <v>0</v>
      </c>
    </row>
    <row r="581" spans="1:20">
      <c r="A581">
        <f>'Raw Data'!B581</f>
        <v>0</v>
      </c>
      <c r="B581">
        <f>'Raw Data'!A581</f>
        <v>0</v>
      </c>
      <c r="C581">
        <f>'Raw Data'!C581</f>
        <v>0</v>
      </c>
      <c r="D581">
        <f>'Raw Data'!D581</f>
        <v>0</v>
      </c>
      <c r="E581">
        <f>IFERROR(VLOOKUP(D581,'Lookup Tables'!$A:$B,2,FALSE),"Unknown")</f>
        <v>0</v>
      </c>
      <c r="F581">
        <f>'Raw Data'!E581</f>
        <v>0</v>
      </c>
      <c r="G581">
        <f>IFERROR(VLOOKUP(D581,'Lookup Tables'!$A:$C,3,FALSE),IF(ISNUMBER(SEARCH("STEEL",F581)),"Steel","Others"))</f>
        <v>0</v>
      </c>
      <c r="H581">
        <f>IF(ISNUMBER(SEARCH("scrubber",F581)) , "Scrubber", IF(ISNUMBER(SEARCH("container",F581)),"Container", IF(ISNUMBER(SEARCH("basket",F581)),"Basket", IF(ISNUMBER(SEARCH("lunch",F581)),"Lunch Box", IF(ISNUMBER(SEARCH("cutlery",F581)),"Cutlery","Other")))))</f>
        <v>0</v>
      </c>
      <c r="I581">
        <f>IF('Raw Data'!G581&lt;&gt;'','Raw Data'!G581,IFERROR(MID(F581,SEARCH("MODEL",F581)+6,20),""))</f>
        <v>0</v>
      </c>
      <c r="J581">
        <f>'Raw Data'!H581</f>
        <v>0</v>
      </c>
      <c r="K581">
        <f>'Raw Data'!I581</f>
        <v>0</v>
      </c>
      <c r="L581">
        <f>IF('Raw Data'!N581&lt;&gt;0,'Raw Data'!N581,IFERROR(VALUE(MID(F581,SEARCH("QTY",F581)+4,IFERROR(FIND(" ",F581,SEARCH("QTY",F581)+4)-(SEARCH("QTY",F581)+4),3))),""))</f>
        <v>0</v>
      </c>
      <c r="M581">
        <f>'Raw Data'!O581</f>
        <v>0</v>
      </c>
      <c r="N581">
        <f>'Raw Data'!P581</f>
        <v>0</v>
      </c>
      <c r="O581">
        <f>'Raw Data'!Q581</f>
        <v>0</v>
      </c>
      <c r="P581">
        <f>'Raw Data'!R581</f>
        <v>0</v>
      </c>
      <c r="Q581">
        <f>'Raw Data'!S581</f>
        <v>0</v>
      </c>
      <c r="R581">
        <f>'Raw Data'!T581</f>
        <v>0</v>
      </c>
      <c r="S581">
        <f>IFERROR(O581,0)+IFERROR(R581,0)</f>
        <v>0</v>
      </c>
      <c r="T581">
        <f>IF(A581="","",YEAR(A581))</f>
        <v>0</v>
      </c>
    </row>
    <row r="582" spans="1:20">
      <c r="A582">
        <f>'Raw Data'!B582</f>
        <v>0</v>
      </c>
      <c r="B582">
        <f>'Raw Data'!A582</f>
        <v>0</v>
      </c>
      <c r="C582">
        <f>'Raw Data'!C582</f>
        <v>0</v>
      </c>
      <c r="D582">
        <f>'Raw Data'!D582</f>
        <v>0</v>
      </c>
      <c r="E582">
        <f>IFERROR(VLOOKUP(D582,'Lookup Tables'!$A:$B,2,FALSE),"Unknown")</f>
        <v>0</v>
      </c>
      <c r="F582">
        <f>'Raw Data'!E582</f>
        <v>0</v>
      </c>
      <c r="G582">
        <f>IFERROR(VLOOKUP(D582,'Lookup Tables'!$A:$C,3,FALSE),IF(ISNUMBER(SEARCH("STEEL",F582)),"Steel","Others"))</f>
        <v>0</v>
      </c>
      <c r="H582">
        <f>IF(ISNUMBER(SEARCH("scrubber",F582)) , "Scrubber", IF(ISNUMBER(SEARCH("container",F582)),"Container", IF(ISNUMBER(SEARCH("basket",F582)),"Basket", IF(ISNUMBER(SEARCH("lunch",F582)),"Lunch Box", IF(ISNUMBER(SEARCH("cutlery",F582)),"Cutlery","Other")))))</f>
        <v>0</v>
      </c>
      <c r="I582">
        <f>IF('Raw Data'!G582&lt;&gt;'','Raw Data'!G582,IFERROR(MID(F582,SEARCH("MODEL",F582)+6,20),""))</f>
        <v>0</v>
      </c>
      <c r="J582">
        <f>'Raw Data'!H582</f>
        <v>0</v>
      </c>
      <c r="K582">
        <f>'Raw Data'!I582</f>
        <v>0</v>
      </c>
      <c r="L582">
        <f>IF('Raw Data'!N582&lt;&gt;0,'Raw Data'!N582,IFERROR(VALUE(MID(F582,SEARCH("QTY",F582)+4,IFERROR(FIND(" ",F582,SEARCH("QTY",F582)+4)-(SEARCH("QTY",F582)+4),3))),""))</f>
        <v>0</v>
      </c>
      <c r="M582">
        <f>'Raw Data'!O582</f>
        <v>0</v>
      </c>
      <c r="N582">
        <f>'Raw Data'!P582</f>
        <v>0</v>
      </c>
      <c r="O582">
        <f>'Raw Data'!Q582</f>
        <v>0</v>
      </c>
      <c r="P582">
        <f>'Raw Data'!R582</f>
        <v>0</v>
      </c>
      <c r="Q582">
        <f>'Raw Data'!S582</f>
        <v>0</v>
      </c>
      <c r="R582">
        <f>'Raw Data'!T582</f>
        <v>0</v>
      </c>
      <c r="S582">
        <f>IFERROR(O582,0)+IFERROR(R582,0)</f>
        <v>0</v>
      </c>
      <c r="T582">
        <f>IF(A582="","",YEAR(A582))</f>
        <v>0</v>
      </c>
    </row>
    <row r="583" spans="1:20">
      <c r="A583">
        <f>'Raw Data'!B583</f>
        <v>0</v>
      </c>
      <c r="B583">
        <f>'Raw Data'!A583</f>
        <v>0</v>
      </c>
      <c r="C583">
        <f>'Raw Data'!C583</f>
        <v>0</v>
      </c>
      <c r="D583">
        <f>'Raw Data'!D583</f>
        <v>0</v>
      </c>
      <c r="E583">
        <f>IFERROR(VLOOKUP(D583,'Lookup Tables'!$A:$B,2,FALSE),"Unknown")</f>
        <v>0</v>
      </c>
      <c r="F583">
        <f>'Raw Data'!E583</f>
        <v>0</v>
      </c>
      <c r="G583">
        <f>IFERROR(VLOOKUP(D583,'Lookup Tables'!$A:$C,3,FALSE),IF(ISNUMBER(SEARCH("STEEL",F583)),"Steel","Others"))</f>
        <v>0</v>
      </c>
      <c r="H583">
        <f>IF(ISNUMBER(SEARCH("scrubber",F583)) , "Scrubber", IF(ISNUMBER(SEARCH("container",F583)),"Container", IF(ISNUMBER(SEARCH("basket",F583)),"Basket", IF(ISNUMBER(SEARCH("lunch",F583)),"Lunch Box", IF(ISNUMBER(SEARCH("cutlery",F583)),"Cutlery","Other")))))</f>
        <v>0</v>
      </c>
      <c r="I583">
        <f>IF('Raw Data'!G583&lt;&gt;'','Raw Data'!G583,IFERROR(MID(F583,SEARCH("MODEL",F583)+6,20),""))</f>
        <v>0</v>
      </c>
      <c r="J583">
        <f>'Raw Data'!H583</f>
        <v>0</v>
      </c>
      <c r="K583">
        <f>'Raw Data'!I583</f>
        <v>0</v>
      </c>
      <c r="L583">
        <f>IF('Raw Data'!N583&lt;&gt;0,'Raw Data'!N583,IFERROR(VALUE(MID(F583,SEARCH("QTY",F583)+4,IFERROR(FIND(" ",F583,SEARCH("QTY",F583)+4)-(SEARCH("QTY",F583)+4),3))),""))</f>
        <v>0</v>
      </c>
      <c r="M583">
        <f>'Raw Data'!O583</f>
        <v>0</v>
      </c>
      <c r="N583">
        <f>'Raw Data'!P583</f>
        <v>0</v>
      </c>
      <c r="O583">
        <f>'Raw Data'!Q583</f>
        <v>0</v>
      </c>
      <c r="P583">
        <f>'Raw Data'!R583</f>
        <v>0</v>
      </c>
      <c r="Q583">
        <f>'Raw Data'!S583</f>
        <v>0</v>
      </c>
      <c r="R583">
        <f>'Raw Data'!T583</f>
        <v>0</v>
      </c>
      <c r="S583">
        <f>IFERROR(O583,0)+IFERROR(R583,0)</f>
        <v>0</v>
      </c>
      <c r="T583">
        <f>IF(A583="","",YEAR(A583))</f>
        <v>0</v>
      </c>
    </row>
    <row r="584" spans="1:20">
      <c r="A584">
        <f>'Raw Data'!B584</f>
        <v>0</v>
      </c>
      <c r="B584">
        <f>'Raw Data'!A584</f>
        <v>0</v>
      </c>
      <c r="C584">
        <f>'Raw Data'!C584</f>
        <v>0</v>
      </c>
      <c r="D584">
        <f>'Raw Data'!D584</f>
        <v>0</v>
      </c>
      <c r="E584">
        <f>IFERROR(VLOOKUP(D584,'Lookup Tables'!$A:$B,2,FALSE),"Unknown")</f>
        <v>0</v>
      </c>
      <c r="F584">
        <f>'Raw Data'!E584</f>
        <v>0</v>
      </c>
      <c r="G584">
        <f>IFERROR(VLOOKUP(D584,'Lookup Tables'!$A:$C,3,FALSE),IF(ISNUMBER(SEARCH("STEEL",F584)),"Steel","Others"))</f>
        <v>0</v>
      </c>
      <c r="H584">
        <f>IF(ISNUMBER(SEARCH("scrubber",F584)) , "Scrubber", IF(ISNUMBER(SEARCH("container",F584)),"Container", IF(ISNUMBER(SEARCH("basket",F584)),"Basket", IF(ISNUMBER(SEARCH("lunch",F584)),"Lunch Box", IF(ISNUMBER(SEARCH("cutlery",F584)),"Cutlery","Other")))))</f>
        <v>0</v>
      </c>
      <c r="I584">
        <f>IF('Raw Data'!G584&lt;&gt;'','Raw Data'!G584,IFERROR(MID(F584,SEARCH("MODEL",F584)+6,20),""))</f>
        <v>0</v>
      </c>
      <c r="J584">
        <f>'Raw Data'!H584</f>
        <v>0</v>
      </c>
      <c r="K584">
        <f>'Raw Data'!I584</f>
        <v>0</v>
      </c>
      <c r="L584">
        <f>IF('Raw Data'!N584&lt;&gt;0,'Raw Data'!N584,IFERROR(VALUE(MID(F584,SEARCH("QTY",F584)+4,IFERROR(FIND(" ",F584,SEARCH("QTY",F584)+4)-(SEARCH("QTY",F584)+4),3))),""))</f>
        <v>0</v>
      </c>
      <c r="M584">
        <f>'Raw Data'!O584</f>
        <v>0</v>
      </c>
      <c r="N584">
        <f>'Raw Data'!P584</f>
        <v>0</v>
      </c>
      <c r="O584">
        <f>'Raw Data'!Q584</f>
        <v>0</v>
      </c>
      <c r="P584">
        <f>'Raw Data'!R584</f>
        <v>0</v>
      </c>
      <c r="Q584">
        <f>'Raw Data'!S584</f>
        <v>0</v>
      </c>
      <c r="R584">
        <f>'Raw Data'!T584</f>
        <v>0</v>
      </c>
      <c r="S584">
        <f>IFERROR(O584,0)+IFERROR(R584,0)</f>
        <v>0</v>
      </c>
      <c r="T584">
        <f>IF(A584="","",YEAR(A584))</f>
        <v>0</v>
      </c>
    </row>
    <row r="585" spans="1:20">
      <c r="A585">
        <f>'Raw Data'!B585</f>
        <v>0</v>
      </c>
      <c r="B585">
        <f>'Raw Data'!A585</f>
        <v>0</v>
      </c>
      <c r="C585">
        <f>'Raw Data'!C585</f>
        <v>0</v>
      </c>
      <c r="D585">
        <f>'Raw Data'!D585</f>
        <v>0</v>
      </c>
      <c r="E585">
        <f>IFERROR(VLOOKUP(D585,'Lookup Tables'!$A:$B,2,FALSE),"Unknown")</f>
        <v>0</v>
      </c>
      <c r="F585">
        <f>'Raw Data'!E585</f>
        <v>0</v>
      </c>
      <c r="G585">
        <f>IFERROR(VLOOKUP(D585,'Lookup Tables'!$A:$C,3,FALSE),IF(ISNUMBER(SEARCH("STEEL",F585)),"Steel","Others"))</f>
        <v>0</v>
      </c>
      <c r="H585">
        <f>IF(ISNUMBER(SEARCH("scrubber",F585)) , "Scrubber", IF(ISNUMBER(SEARCH("container",F585)),"Container", IF(ISNUMBER(SEARCH("basket",F585)),"Basket", IF(ISNUMBER(SEARCH("lunch",F585)),"Lunch Box", IF(ISNUMBER(SEARCH("cutlery",F585)),"Cutlery","Other")))))</f>
        <v>0</v>
      </c>
      <c r="I585">
        <f>IF('Raw Data'!G585&lt;&gt;'','Raw Data'!G585,IFERROR(MID(F585,SEARCH("MODEL",F585)+6,20),""))</f>
        <v>0</v>
      </c>
      <c r="J585">
        <f>'Raw Data'!H585</f>
        <v>0</v>
      </c>
      <c r="K585">
        <f>'Raw Data'!I585</f>
        <v>0</v>
      </c>
      <c r="L585">
        <f>IF('Raw Data'!N585&lt;&gt;0,'Raw Data'!N585,IFERROR(VALUE(MID(F585,SEARCH("QTY",F585)+4,IFERROR(FIND(" ",F585,SEARCH("QTY",F585)+4)-(SEARCH("QTY",F585)+4),3))),""))</f>
        <v>0</v>
      </c>
      <c r="M585">
        <f>'Raw Data'!O585</f>
        <v>0</v>
      </c>
      <c r="N585">
        <f>'Raw Data'!P585</f>
        <v>0</v>
      </c>
      <c r="O585">
        <f>'Raw Data'!Q585</f>
        <v>0</v>
      </c>
      <c r="P585">
        <f>'Raw Data'!R585</f>
        <v>0</v>
      </c>
      <c r="Q585">
        <f>'Raw Data'!S585</f>
        <v>0</v>
      </c>
      <c r="R585">
        <f>'Raw Data'!T585</f>
        <v>0</v>
      </c>
      <c r="S585">
        <f>IFERROR(O585,0)+IFERROR(R585,0)</f>
        <v>0</v>
      </c>
      <c r="T585">
        <f>IF(A585="","",YEAR(A585))</f>
        <v>0</v>
      </c>
    </row>
    <row r="586" spans="1:20">
      <c r="A586">
        <f>'Raw Data'!B586</f>
        <v>0</v>
      </c>
      <c r="B586">
        <f>'Raw Data'!A586</f>
        <v>0</v>
      </c>
      <c r="C586">
        <f>'Raw Data'!C586</f>
        <v>0</v>
      </c>
      <c r="D586">
        <f>'Raw Data'!D586</f>
        <v>0</v>
      </c>
      <c r="E586">
        <f>IFERROR(VLOOKUP(D586,'Lookup Tables'!$A:$B,2,FALSE),"Unknown")</f>
        <v>0</v>
      </c>
      <c r="F586">
        <f>'Raw Data'!E586</f>
        <v>0</v>
      </c>
      <c r="G586">
        <f>IFERROR(VLOOKUP(D586,'Lookup Tables'!$A:$C,3,FALSE),IF(ISNUMBER(SEARCH("STEEL",F586)),"Steel","Others"))</f>
        <v>0</v>
      </c>
      <c r="H586">
        <f>IF(ISNUMBER(SEARCH("scrubber",F586)) , "Scrubber", IF(ISNUMBER(SEARCH("container",F586)),"Container", IF(ISNUMBER(SEARCH("basket",F586)),"Basket", IF(ISNUMBER(SEARCH("lunch",F586)),"Lunch Box", IF(ISNUMBER(SEARCH("cutlery",F586)),"Cutlery","Other")))))</f>
        <v>0</v>
      </c>
      <c r="I586">
        <f>IF('Raw Data'!G586&lt;&gt;'','Raw Data'!G586,IFERROR(MID(F586,SEARCH("MODEL",F586)+6,20),""))</f>
        <v>0</v>
      </c>
      <c r="J586">
        <f>'Raw Data'!H586</f>
        <v>0</v>
      </c>
      <c r="K586">
        <f>'Raw Data'!I586</f>
        <v>0</v>
      </c>
      <c r="L586">
        <f>IF('Raw Data'!N586&lt;&gt;0,'Raw Data'!N586,IFERROR(VALUE(MID(F586,SEARCH("QTY",F586)+4,IFERROR(FIND(" ",F586,SEARCH("QTY",F586)+4)-(SEARCH("QTY",F586)+4),3))),""))</f>
        <v>0</v>
      </c>
      <c r="M586">
        <f>'Raw Data'!O586</f>
        <v>0</v>
      </c>
      <c r="N586">
        <f>'Raw Data'!P586</f>
        <v>0</v>
      </c>
      <c r="O586">
        <f>'Raw Data'!Q586</f>
        <v>0</v>
      </c>
      <c r="P586">
        <f>'Raw Data'!R586</f>
        <v>0</v>
      </c>
      <c r="Q586">
        <f>'Raw Data'!S586</f>
        <v>0</v>
      </c>
      <c r="R586">
        <f>'Raw Data'!T586</f>
        <v>0</v>
      </c>
      <c r="S586">
        <f>IFERROR(O586,0)+IFERROR(R586,0)</f>
        <v>0</v>
      </c>
      <c r="T586">
        <f>IF(A586="","",YEAR(A586))</f>
        <v>0</v>
      </c>
    </row>
    <row r="587" spans="1:20">
      <c r="A587">
        <f>'Raw Data'!B587</f>
        <v>0</v>
      </c>
      <c r="B587">
        <f>'Raw Data'!A587</f>
        <v>0</v>
      </c>
      <c r="C587">
        <f>'Raw Data'!C587</f>
        <v>0</v>
      </c>
      <c r="D587">
        <f>'Raw Data'!D587</f>
        <v>0</v>
      </c>
      <c r="E587">
        <f>IFERROR(VLOOKUP(D587,'Lookup Tables'!$A:$B,2,FALSE),"Unknown")</f>
        <v>0</v>
      </c>
      <c r="F587">
        <f>'Raw Data'!E587</f>
        <v>0</v>
      </c>
      <c r="G587">
        <f>IFERROR(VLOOKUP(D587,'Lookup Tables'!$A:$C,3,FALSE),IF(ISNUMBER(SEARCH("STEEL",F587)),"Steel","Others"))</f>
        <v>0</v>
      </c>
      <c r="H587">
        <f>IF(ISNUMBER(SEARCH("scrubber",F587)) , "Scrubber", IF(ISNUMBER(SEARCH("container",F587)),"Container", IF(ISNUMBER(SEARCH("basket",F587)),"Basket", IF(ISNUMBER(SEARCH("lunch",F587)),"Lunch Box", IF(ISNUMBER(SEARCH("cutlery",F587)),"Cutlery","Other")))))</f>
        <v>0</v>
      </c>
      <c r="I587">
        <f>IF('Raw Data'!G587&lt;&gt;'','Raw Data'!G587,IFERROR(MID(F587,SEARCH("MODEL",F587)+6,20),""))</f>
        <v>0</v>
      </c>
      <c r="J587">
        <f>'Raw Data'!H587</f>
        <v>0</v>
      </c>
      <c r="K587">
        <f>'Raw Data'!I587</f>
        <v>0</v>
      </c>
      <c r="L587">
        <f>IF('Raw Data'!N587&lt;&gt;0,'Raw Data'!N587,IFERROR(VALUE(MID(F587,SEARCH("QTY",F587)+4,IFERROR(FIND(" ",F587,SEARCH("QTY",F587)+4)-(SEARCH("QTY",F587)+4),3))),""))</f>
        <v>0</v>
      </c>
      <c r="M587">
        <f>'Raw Data'!O587</f>
        <v>0</v>
      </c>
      <c r="N587">
        <f>'Raw Data'!P587</f>
        <v>0</v>
      </c>
      <c r="O587">
        <f>'Raw Data'!Q587</f>
        <v>0</v>
      </c>
      <c r="P587">
        <f>'Raw Data'!R587</f>
        <v>0</v>
      </c>
      <c r="Q587">
        <f>'Raw Data'!S587</f>
        <v>0</v>
      </c>
      <c r="R587">
        <f>'Raw Data'!T587</f>
        <v>0</v>
      </c>
      <c r="S587">
        <f>IFERROR(O587,0)+IFERROR(R587,0)</f>
        <v>0</v>
      </c>
      <c r="T587">
        <f>IF(A587="","",YEAR(A587))</f>
        <v>0</v>
      </c>
    </row>
    <row r="588" spans="1:20">
      <c r="A588">
        <f>'Raw Data'!B588</f>
        <v>0</v>
      </c>
      <c r="B588">
        <f>'Raw Data'!A588</f>
        <v>0</v>
      </c>
      <c r="C588">
        <f>'Raw Data'!C588</f>
        <v>0</v>
      </c>
      <c r="D588">
        <f>'Raw Data'!D588</f>
        <v>0</v>
      </c>
      <c r="E588">
        <f>IFERROR(VLOOKUP(D588,'Lookup Tables'!$A:$B,2,FALSE),"Unknown")</f>
        <v>0</v>
      </c>
      <c r="F588">
        <f>'Raw Data'!E588</f>
        <v>0</v>
      </c>
      <c r="G588">
        <f>IFERROR(VLOOKUP(D588,'Lookup Tables'!$A:$C,3,FALSE),IF(ISNUMBER(SEARCH("STEEL",F588)),"Steel","Others"))</f>
        <v>0</v>
      </c>
      <c r="H588">
        <f>IF(ISNUMBER(SEARCH("scrubber",F588)) , "Scrubber", IF(ISNUMBER(SEARCH("container",F588)),"Container", IF(ISNUMBER(SEARCH("basket",F588)),"Basket", IF(ISNUMBER(SEARCH("lunch",F588)),"Lunch Box", IF(ISNUMBER(SEARCH("cutlery",F588)),"Cutlery","Other")))))</f>
        <v>0</v>
      </c>
      <c r="I588">
        <f>IF('Raw Data'!G588&lt;&gt;'','Raw Data'!G588,IFERROR(MID(F588,SEARCH("MODEL",F588)+6,20),""))</f>
        <v>0</v>
      </c>
      <c r="J588">
        <f>'Raw Data'!H588</f>
        <v>0</v>
      </c>
      <c r="K588">
        <f>'Raw Data'!I588</f>
        <v>0</v>
      </c>
      <c r="L588">
        <f>IF('Raw Data'!N588&lt;&gt;0,'Raw Data'!N588,IFERROR(VALUE(MID(F588,SEARCH("QTY",F588)+4,IFERROR(FIND(" ",F588,SEARCH("QTY",F588)+4)-(SEARCH("QTY",F588)+4),3))),""))</f>
        <v>0</v>
      </c>
      <c r="M588">
        <f>'Raw Data'!O588</f>
        <v>0</v>
      </c>
      <c r="N588">
        <f>'Raw Data'!P588</f>
        <v>0</v>
      </c>
      <c r="O588">
        <f>'Raw Data'!Q588</f>
        <v>0</v>
      </c>
      <c r="P588">
        <f>'Raw Data'!R588</f>
        <v>0</v>
      </c>
      <c r="Q588">
        <f>'Raw Data'!S588</f>
        <v>0</v>
      </c>
      <c r="R588">
        <f>'Raw Data'!T588</f>
        <v>0</v>
      </c>
      <c r="S588">
        <f>IFERROR(O588,0)+IFERROR(R588,0)</f>
        <v>0</v>
      </c>
      <c r="T588">
        <f>IF(A588="","",YEAR(A588))</f>
        <v>0</v>
      </c>
    </row>
    <row r="589" spans="1:20">
      <c r="A589">
        <f>'Raw Data'!B589</f>
        <v>0</v>
      </c>
      <c r="B589">
        <f>'Raw Data'!A589</f>
        <v>0</v>
      </c>
      <c r="C589">
        <f>'Raw Data'!C589</f>
        <v>0</v>
      </c>
      <c r="D589">
        <f>'Raw Data'!D589</f>
        <v>0</v>
      </c>
      <c r="E589">
        <f>IFERROR(VLOOKUP(D589,'Lookup Tables'!$A:$B,2,FALSE),"Unknown")</f>
        <v>0</v>
      </c>
      <c r="F589">
        <f>'Raw Data'!E589</f>
        <v>0</v>
      </c>
      <c r="G589">
        <f>IFERROR(VLOOKUP(D589,'Lookup Tables'!$A:$C,3,FALSE),IF(ISNUMBER(SEARCH("STEEL",F589)),"Steel","Others"))</f>
        <v>0</v>
      </c>
      <c r="H589">
        <f>IF(ISNUMBER(SEARCH("scrubber",F589)) , "Scrubber", IF(ISNUMBER(SEARCH("container",F589)),"Container", IF(ISNUMBER(SEARCH("basket",F589)),"Basket", IF(ISNUMBER(SEARCH("lunch",F589)),"Lunch Box", IF(ISNUMBER(SEARCH("cutlery",F589)),"Cutlery","Other")))))</f>
        <v>0</v>
      </c>
      <c r="I589">
        <f>IF('Raw Data'!G589&lt;&gt;'','Raw Data'!G589,IFERROR(MID(F589,SEARCH("MODEL",F589)+6,20),""))</f>
        <v>0</v>
      </c>
      <c r="J589">
        <f>'Raw Data'!H589</f>
        <v>0</v>
      </c>
      <c r="K589">
        <f>'Raw Data'!I589</f>
        <v>0</v>
      </c>
      <c r="L589">
        <f>IF('Raw Data'!N589&lt;&gt;0,'Raw Data'!N589,IFERROR(VALUE(MID(F589,SEARCH("QTY",F589)+4,IFERROR(FIND(" ",F589,SEARCH("QTY",F589)+4)-(SEARCH("QTY",F589)+4),3))),""))</f>
        <v>0</v>
      </c>
      <c r="M589">
        <f>'Raw Data'!O589</f>
        <v>0</v>
      </c>
      <c r="N589">
        <f>'Raw Data'!P589</f>
        <v>0</v>
      </c>
      <c r="O589">
        <f>'Raw Data'!Q589</f>
        <v>0</v>
      </c>
      <c r="P589">
        <f>'Raw Data'!R589</f>
        <v>0</v>
      </c>
      <c r="Q589">
        <f>'Raw Data'!S589</f>
        <v>0</v>
      </c>
      <c r="R589">
        <f>'Raw Data'!T589</f>
        <v>0</v>
      </c>
      <c r="S589">
        <f>IFERROR(O589,0)+IFERROR(R589,0)</f>
        <v>0</v>
      </c>
      <c r="T589">
        <f>IF(A589="","",YEAR(A589))</f>
        <v>0</v>
      </c>
    </row>
    <row r="590" spans="1:20">
      <c r="A590">
        <f>'Raw Data'!B590</f>
        <v>0</v>
      </c>
      <c r="B590">
        <f>'Raw Data'!A590</f>
        <v>0</v>
      </c>
      <c r="C590">
        <f>'Raw Data'!C590</f>
        <v>0</v>
      </c>
      <c r="D590">
        <f>'Raw Data'!D590</f>
        <v>0</v>
      </c>
      <c r="E590">
        <f>IFERROR(VLOOKUP(D590,'Lookup Tables'!$A:$B,2,FALSE),"Unknown")</f>
        <v>0</v>
      </c>
      <c r="F590">
        <f>'Raw Data'!E590</f>
        <v>0</v>
      </c>
      <c r="G590">
        <f>IFERROR(VLOOKUP(D590,'Lookup Tables'!$A:$C,3,FALSE),IF(ISNUMBER(SEARCH("STEEL",F590)),"Steel","Others"))</f>
        <v>0</v>
      </c>
      <c r="H590">
        <f>IF(ISNUMBER(SEARCH("scrubber",F590)) , "Scrubber", IF(ISNUMBER(SEARCH("container",F590)),"Container", IF(ISNUMBER(SEARCH("basket",F590)),"Basket", IF(ISNUMBER(SEARCH("lunch",F590)),"Lunch Box", IF(ISNUMBER(SEARCH("cutlery",F590)),"Cutlery","Other")))))</f>
        <v>0</v>
      </c>
      <c r="I590">
        <f>IF('Raw Data'!G590&lt;&gt;'','Raw Data'!G590,IFERROR(MID(F590,SEARCH("MODEL",F590)+6,20),""))</f>
        <v>0</v>
      </c>
      <c r="J590">
        <f>'Raw Data'!H590</f>
        <v>0</v>
      </c>
      <c r="K590">
        <f>'Raw Data'!I590</f>
        <v>0</v>
      </c>
      <c r="L590">
        <f>IF('Raw Data'!N590&lt;&gt;0,'Raw Data'!N590,IFERROR(VALUE(MID(F590,SEARCH("QTY",F590)+4,IFERROR(FIND(" ",F590,SEARCH("QTY",F590)+4)-(SEARCH("QTY",F590)+4),3))),""))</f>
        <v>0</v>
      </c>
      <c r="M590">
        <f>'Raw Data'!O590</f>
        <v>0</v>
      </c>
      <c r="N590">
        <f>'Raw Data'!P590</f>
        <v>0</v>
      </c>
      <c r="O590">
        <f>'Raw Data'!Q590</f>
        <v>0</v>
      </c>
      <c r="P590">
        <f>'Raw Data'!R590</f>
        <v>0</v>
      </c>
      <c r="Q590">
        <f>'Raw Data'!S590</f>
        <v>0</v>
      </c>
      <c r="R590">
        <f>'Raw Data'!T590</f>
        <v>0</v>
      </c>
      <c r="S590">
        <f>IFERROR(O590,0)+IFERROR(R590,0)</f>
        <v>0</v>
      </c>
      <c r="T590">
        <f>IF(A590="","",YEAR(A590))</f>
        <v>0</v>
      </c>
    </row>
    <row r="591" spans="1:20">
      <c r="A591">
        <f>'Raw Data'!B591</f>
        <v>0</v>
      </c>
      <c r="B591">
        <f>'Raw Data'!A591</f>
        <v>0</v>
      </c>
      <c r="C591">
        <f>'Raw Data'!C591</f>
        <v>0</v>
      </c>
      <c r="D591">
        <f>'Raw Data'!D591</f>
        <v>0</v>
      </c>
      <c r="E591">
        <f>IFERROR(VLOOKUP(D591,'Lookup Tables'!$A:$B,2,FALSE),"Unknown")</f>
        <v>0</v>
      </c>
      <c r="F591">
        <f>'Raw Data'!E591</f>
        <v>0</v>
      </c>
      <c r="G591">
        <f>IFERROR(VLOOKUP(D591,'Lookup Tables'!$A:$C,3,FALSE),IF(ISNUMBER(SEARCH("STEEL",F591)),"Steel","Others"))</f>
        <v>0</v>
      </c>
      <c r="H591">
        <f>IF(ISNUMBER(SEARCH("scrubber",F591)) , "Scrubber", IF(ISNUMBER(SEARCH("container",F591)),"Container", IF(ISNUMBER(SEARCH("basket",F591)),"Basket", IF(ISNUMBER(SEARCH("lunch",F591)),"Lunch Box", IF(ISNUMBER(SEARCH("cutlery",F591)),"Cutlery","Other")))))</f>
        <v>0</v>
      </c>
      <c r="I591">
        <f>IF('Raw Data'!G591&lt;&gt;'','Raw Data'!G591,IFERROR(MID(F591,SEARCH("MODEL",F591)+6,20),""))</f>
        <v>0</v>
      </c>
      <c r="J591">
        <f>'Raw Data'!H591</f>
        <v>0</v>
      </c>
      <c r="K591">
        <f>'Raw Data'!I591</f>
        <v>0</v>
      </c>
      <c r="L591">
        <f>IF('Raw Data'!N591&lt;&gt;0,'Raw Data'!N591,IFERROR(VALUE(MID(F591,SEARCH("QTY",F591)+4,IFERROR(FIND(" ",F591,SEARCH("QTY",F591)+4)-(SEARCH("QTY",F591)+4),3))),""))</f>
        <v>0</v>
      </c>
      <c r="M591">
        <f>'Raw Data'!O591</f>
        <v>0</v>
      </c>
      <c r="N591">
        <f>'Raw Data'!P591</f>
        <v>0</v>
      </c>
      <c r="O591">
        <f>'Raw Data'!Q591</f>
        <v>0</v>
      </c>
      <c r="P591">
        <f>'Raw Data'!R591</f>
        <v>0</v>
      </c>
      <c r="Q591">
        <f>'Raw Data'!S591</f>
        <v>0</v>
      </c>
      <c r="R591">
        <f>'Raw Data'!T591</f>
        <v>0</v>
      </c>
      <c r="S591">
        <f>IFERROR(O591,0)+IFERROR(R591,0)</f>
        <v>0</v>
      </c>
      <c r="T591">
        <f>IF(A591="","",YEAR(A591))</f>
        <v>0</v>
      </c>
    </row>
    <row r="592" spans="1:20">
      <c r="A592">
        <f>'Raw Data'!B592</f>
        <v>0</v>
      </c>
      <c r="B592">
        <f>'Raw Data'!A592</f>
        <v>0</v>
      </c>
      <c r="C592">
        <f>'Raw Data'!C592</f>
        <v>0</v>
      </c>
      <c r="D592">
        <f>'Raw Data'!D592</f>
        <v>0</v>
      </c>
      <c r="E592">
        <f>IFERROR(VLOOKUP(D592,'Lookup Tables'!$A:$B,2,FALSE),"Unknown")</f>
        <v>0</v>
      </c>
      <c r="F592">
        <f>'Raw Data'!E592</f>
        <v>0</v>
      </c>
      <c r="G592">
        <f>IFERROR(VLOOKUP(D592,'Lookup Tables'!$A:$C,3,FALSE),IF(ISNUMBER(SEARCH("STEEL",F592)),"Steel","Others"))</f>
        <v>0</v>
      </c>
      <c r="H592">
        <f>IF(ISNUMBER(SEARCH("scrubber",F592)) , "Scrubber", IF(ISNUMBER(SEARCH("container",F592)),"Container", IF(ISNUMBER(SEARCH("basket",F592)),"Basket", IF(ISNUMBER(SEARCH("lunch",F592)),"Lunch Box", IF(ISNUMBER(SEARCH("cutlery",F592)),"Cutlery","Other")))))</f>
        <v>0</v>
      </c>
      <c r="I592">
        <f>IF('Raw Data'!G592&lt;&gt;'','Raw Data'!G592,IFERROR(MID(F592,SEARCH("MODEL",F592)+6,20),""))</f>
        <v>0</v>
      </c>
      <c r="J592">
        <f>'Raw Data'!H592</f>
        <v>0</v>
      </c>
      <c r="K592">
        <f>'Raw Data'!I592</f>
        <v>0</v>
      </c>
      <c r="L592">
        <f>IF('Raw Data'!N592&lt;&gt;0,'Raw Data'!N592,IFERROR(VALUE(MID(F592,SEARCH("QTY",F592)+4,IFERROR(FIND(" ",F592,SEARCH("QTY",F592)+4)-(SEARCH("QTY",F592)+4),3))),""))</f>
        <v>0</v>
      </c>
      <c r="M592">
        <f>'Raw Data'!O592</f>
        <v>0</v>
      </c>
      <c r="N592">
        <f>'Raw Data'!P592</f>
        <v>0</v>
      </c>
      <c r="O592">
        <f>'Raw Data'!Q592</f>
        <v>0</v>
      </c>
      <c r="P592">
        <f>'Raw Data'!R592</f>
        <v>0</v>
      </c>
      <c r="Q592">
        <f>'Raw Data'!S592</f>
        <v>0</v>
      </c>
      <c r="R592">
        <f>'Raw Data'!T592</f>
        <v>0</v>
      </c>
      <c r="S592">
        <f>IFERROR(O592,0)+IFERROR(R592,0)</f>
        <v>0</v>
      </c>
      <c r="T592">
        <f>IF(A592="","",YEAR(A592))</f>
        <v>0</v>
      </c>
    </row>
    <row r="593" spans="1:20">
      <c r="A593">
        <f>'Raw Data'!B593</f>
        <v>0</v>
      </c>
      <c r="B593">
        <f>'Raw Data'!A593</f>
        <v>0</v>
      </c>
      <c r="C593">
        <f>'Raw Data'!C593</f>
        <v>0</v>
      </c>
      <c r="D593">
        <f>'Raw Data'!D593</f>
        <v>0</v>
      </c>
      <c r="E593">
        <f>IFERROR(VLOOKUP(D593,'Lookup Tables'!$A:$B,2,FALSE),"Unknown")</f>
        <v>0</v>
      </c>
      <c r="F593">
        <f>'Raw Data'!E593</f>
        <v>0</v>
      </c>
      <c r="G593">
        <f>IFERROR(VLOOKUP(D593,'Lookup Tables'!$A:$C,3,FALSE),IF(ISNUMBER(SEARCH("STEEL",F593)),"Steel","Others"))</f>
        <v>0</v>
      </c>
      <c r="H593">
        <f>IF(ISNUMBER(SEARCH("scrubber",F593)) , "Scrubber", IF(ISNUMBER(SEARCH("container",F593)),"Container", IF(ISNUMBER(SEARCH("basket",F593)),"Basket", IF(ISNUMBER(SEARCH("lunch",F593)),"Lunch Box", IF(ISNUMBER(SEARCH("cutlery",F593)),"Cutlery","Other")))))</f>
        <v>0</v>
      </c>
      <c r="I593">
        <f>IF('Raw Data'!G593&lt;&gt;'','Raw Data'!G593,IFERROR(MID(F593,SEARCH("MODEL",F593)+6,20),""))</f>
        <v>0</v>
      </c>
      <c r="J593">
        <f>'Raw Data'!H593</f>
        <v>0</v>
      </c>
      <c r="K593">
        <f>'Raw Data'!I593</f>
        <v>0</v>
      </c>
      <c r="L593">
        <f>IF('Raw Data'!N593&lt;&gt;0,'Raw Data'!N593,IFERROR(VALUE(MID(F593,SEARCH("QTY",F593)+4,IFERROR(FIND(" ",F593,SEARCH("QTY",F593)+4)-(SEARCH("QTY",F593)+4),3))),""))</f>
        <v>0</v>
      </c>
      <c r="M593">
        <f>'Raw Data'!O593</f>
        <v>0</v>
      </c>
      <c r="N593">
        <f>'Raw Data'!P593</f>
        <v>0</v>
      </c>
      <c r="O593">
        <f>'Raw Data'!Q593</f>
        <v>0</v>
      </c>
      <c r="P593">
        <f>'Raw Data'!R593</f>
        <v>0</v>
      </c>
      <c r="Q593">
        <f>'Raw Data'!S593</f>
        <v>0</v>
      </c>
      <c r="R593">
        <f>'Raw Data'!T593</f>
        <v>0</v>
      </c>
      <c r="S593">
        <f>IFERROR(O593,0)+IFERROR(R593,0)</f>
        <v>0</v>
      </c>
      <c r="T593">
        <f>IF(A593="","",YEAR(A593))</f>
        <v>0</v>
      </c>
    </row>
    <row r="594" spans="1:20">
      <c r="A594">
        <f>'Raw Data'!B594</f>
        <v>0</v>
      </c>
      <c r="B594">
        <f>'Raw Data'!A594</f>
        <v>0</v>
      </c>
      <c r="C594">
        <f>'Raw Data'!C594</f>
        <v>0</v>
      </c>
      <c r="D594">
        <f>'Raw Data'!D594</f>
        <v>0</v>
      </c>
      <c r="E594">
        <f>IFERROR(VLOOKUP(D594,'Lookup Tables'!$A:$B,2,FALSE),"Unknown")</f>
        <v>0</v>
      </c>
      <c r="F594">
        <f>'Raw Data'!E594</f>
        <v>0</v>
      </c>
      <c r="G594">
        <f>IFERROR(VLOOKUP(D594,'Lookup Tables'!$A:$C,3,FALSE),IF(ISNUMBER(SEARCH("STEEL",F594)),"Steel","Others"))</f>
        <v>0</v>
      </c>
      <c r="H594">
        <f>IF(ISNUMBER(SEARCH("scrubber",F594)) , "Scrubber", IF(ISNUMBER(SEARCH("container",F594)),"Container", IF(ISNUMBER(SEARCH("basket",F594)),"Basket", IF(ISNUMBER(SEARCH("lunch",F594)),"Lunch Box", IF(ISNUMBER(SEARCH("cutlery",F594)),"Cutlery","Other")))))</f>
        <v>0</v>
      </c>
      <c r="I594">
        <f>IF('Raw Data'!G594&lt;&gt;'','Raw Data'!G594,IFERROR(MID(F594,SEARCH("MODEL",F594)+6,20),""))</f>
        <v>0</v>
      </c>
      <c r="J594">
        <f>'Raw Data'!H594</f>
        <v>0</v>
      </c>
      <c r="K594">
        <f>'Raw Data'!I594</f>
        <v>0</v>
      </c>
      <c r="L594">
        <f>IF('Raw Data'!N594&lt;&gt;0,'Raw Data'!N594,IFERROR(VALUE(MID(F594,SEARCH("QTY",F594)+4,IFERROR(FIND(" ",F594,SEARCH("QTY",F594)+4)-(SEARCH("QTY",F594)+4),3))),""))</f>
        <v>0</v>
      </c>
      <c r="M594">
        <f>'Raw Data'!O594</f>
        <v>0</v>
      </c>
      <c r="N594">
        <f>'Raw Data'!P594</f>
        <v>0</v>
      </c>
      <c r="O594">
        <f>'Raw Data'!Q594</f>
        <v>0</v>
      </c>
      <c r="P594">
        <f>'Raw Data'!R594</f>
        <v>0</v>
      </c>
      <c r="Q594">
        <f>'Raw Data'!S594</f>
        <v>0</v>
      </c>
      <c r="R594">
        <f>'Raw Data'!T594</f>
        <v>0</v>
      </c>
      <c r="S594">
        <f>IFERROR(O594,0)+IFERROR(R594,0)</f>
        <v>0</v>
      </c>
      <c r="T594">
        <f>IF(A594="","",YEAR(A594))</f>
        <v>0</v>
      </c>
    </row>
    <row r="595" spans="1:20">
      <c r="A595">
        <f>'Raw Data'!B595</f>
        <v>0</v>
      </c>
      <c r="B595">
        <f>'Raw Data'!A595</f>
        <v>0</v>
      </c>
      <c r="C595">
        <f>'Raw Data'!C595</f>
        <v>0</v>
      </c>
      <c r="D595">
        <f>'Raw Data'!D595</f>
        <v>0</v>
      </c>
      <c r="E595">
        <f>IFERROR(VLOOKUP(D595,'Lookup Tables'!$A:$B,2,FALSE),"Unknown")</f>
        <v>0</v>
      </c>
      <c r="F595">
        <f>'Raw Data'!E595</f>
        <v>0</v>
      </c>
      <c r="G595">
        <f>IFERROR(VLOOKUP(D595,'Lookup Tables'!$A:$C,3,FALSE),IF(ISNUMBER(SEARCH("STEEL",F595)),"Steel","Others"))</f>
        <v>0</v>
      </c>
      <c r="H595">
        <f>IF(ISNUMBER(SEARCH("scrubber",F595)) , "Scrubber", IF(ISNUMBER(SEARCH("container",F595)),"Container", IF(ISNUMBER(SEARCH("basket",F595)),"Basket", IF(ISNUMBER(SEARCH("lunch",F595)),"Lunch Box", IF(ISNUMBER(SEARCH("cutlery",F595)),"Cutlery","Other")))))</f>
        <v>0</v>
      </c>
      <c r="I595">
        <f>IF('Raw Data'!G595&lt;&gt;'','Raw Data'!G595,IFERROR(MID(F595,SEARCH("MODEL",F595)+6,20),""))</f>
        <v>0</v>
      </c>
      <c r="J595">
        <f>'Raw Data'!H595</f>
        <v>0</v>
      </c>
      <c r="K595">
        <f>'Raw Data'!I595</f>
        <v>0</v>
      </c>
      <c r="L595">
        <f>IF('Raw Data'!N595&lt;&gt;0,'Raw Data'!N595,IFERROR(VALUE(MID(F595,SEARCH("QTY",F595)+4,IFERROR(FIND(" ",F595,SEARCH("QTY",F595)+4)-(SEARCH("QTY",F595)+4),3))),""))</f>
        <v>0</v>
      </c>
      <c r="M595">
        <f>'Raw Data'!O595</f>
        <v>0</v>
      </c>
      <c r="N595">
        <f>'Raw Data'!P595</f>
        <v>0</v>
      </c>
      <c r="O595">
        <f>'Raw Data'!Q595</f>
        <v>0</v>
      </c>
      <c r="P595">
        <f>'Raw Data'!R595</f>
        <v>0</v>
      </c>
      <c r="Q595">
        <f>'Raw Data'!S595</f>
        <v>0</v>
      </c>
      <c r="R595">
        <f>'Raw Data'!T595</f>
        <v>0</v>
      </c>
      <c r="S595">
        <f>IFERROR(O595,0)+IFERROR(R595,0)</f>
        <v>0</v>
      </c>
      <c r="T595">
        <f>IF(A595="","",YEAR(A595))</f>
        <v>0</v>
      </c>
    </row>
    <row r="596" spans="1:20">
      <c r="A596">
        <f>'Raw Data'!B596</f>
        <v>0</v>
      </c>
      <c r="B596">
        <f>'Raw Data'!A596</f>
        <v>0</v>
      </c>
      <c r="C596">
        <f>'Raw Data'!C596</f>
        <v>0</v>
      </c>
      <c r="D596">
        <f>'Raw Data'!D596</f>
        <v>0</v>
      </c>
      <c r="E596">
        <f>IFERROR(VLOOKUP(D596,'Lookup Tables'!$A:$B,2,FALSE),"Unknown")</f>
        <v>0</v>
      </c>
      <c r="F596">
        <f>'Raw Data'!E596</f>
        <v>0</v>
      </c>
      <c r="G596">
        <f>IFERROR(VLOOKUP(D596,'Lookup Tables'!$A:$C,3,FALSE),IF(ISNUMBER(SEARCH("STEEL",F596)),"Steel","Others"))</f>
        <v>0</v>
      </c>
      <c r="H596">
        <f>IF(ISNUMBER(SEARCH("scrubber",F596)) , "Scrubber", IF(ISNUMBER(SEARCH("container",F596)),"Container", IF(ISNUMBER(SEARCH("basket",F596)),"Basket", IF(ISNUMBER(SEARCH("lunch",F596)),"Lunch Box", IF(ISNUMBER(SEARCH("cutlery",F596)),"Cutlery","Other")))))</f>
        <v>0</v>
      </c>
      <c r="I596">
        <f>IF('Raw Data'!G596&lt;&gt;'','Raw Data'!G596,IFERROR(MID(F596,SEARCH("MODEL",F596)+6,20),""))</f>
        <v>0</v>
      </c>
      <c r="J596">
        <f>'Raw Data'!H596</f>
        <v>0</v>
      </c>
      <c r="K596">
        <f>'Raw Data'!I596</f>
        <v>0</v>
      </c>
      <c r="L596">
        <f>IF('Raw Data'!N596&lt;&gt;0,'Raw Data'!N596,IFERROR(VALUE(MID(F596,SEARCH("QTY",F596)+4,IFERROR(FIND(" ",F596,SEARCH("QTY",F596)+4)-(SEARCH("QTY",F596)+4),3))),""))</f>
        <v>0</v>
      </c>
      <c r="M596">
        <f>'Raw Data'!O596</f>
        <v>0</v>
      </c>
      <c r="N596">
        <f>'Raw Data'!P596</f>
        <v>0</v>
      </c>
      <c r="O596">
        <f>'Raw Data'!Q596</f>
        <v>0</v>
      </c>
      <c r="P596">
        <f>'Raw Data'!R596</f>
        <v>0</v>
      </c>
      <c r="Q596">
        <f>'Raw Data'!S596</f>
        <v>0</v>
      </c>
      <c r="R596">
        <f>'Raw Data'!T596</f>
        <v>0</v>
      </c>
      <c r="S596">
        <f>IFERROR(O596,0)+IFERROR(R596,0)</f>
        <v>0</v>
      </c>
      <c r="T596">
        <f>IF(A596="","",YEAR(A596))</f>
        <v>0</v>
      </c>
    </row>
    <row r="597" spans="1:20">
      <c r="A597">
        <f>'Raw Data'!B597</f>
        <v>0</v>
      </c>
      <c r="B597">
        <f>'Raw Data'!A597</f>
        <v>0</v>
      </c>
      <c r="C597">
        <f>'Raw Data'!C597</f>
        <v>0</v>
      </c>
      <c r="D597">
        <f>'Raw Data'!D597</f>
        <v>0</v>
      </c>
      <c r="E597">
        <f>IFERROR(VLOOKUP(D597,'Lookup Tables'!$A:$B,2,FALSE),"Unknown")</f>
        <v>0</v>
      </c>
      <c r="F597">
        <f>'Raw Data'!E597</f>
        <v>0</v>
      </c>
      <c r="G597">
        <f>IFERROR(VLOOKUP(D597,'Lookup Tables'!$A:$C,3,FALSE),IF(ISNUMBER(SEARCH("STEEL",F597)),"Steel","Others"))</f>
        <v>0</v>
      </c>
      <c r="H597">
        <f>IF(ISNUMBER(SEARCH("scrubber",F597)) , "Scrubber", IF(ISNUMBER(SEARCH("container",F597)),"Container", IF(ISNUMBER(SEARCH("basket",F597)),"Basket", IF(ISNUMBER(SEARCH("lunch",F597)),"Lunch Box", IF(ISNUMBER(SEARCH("cutlery",F597)),"Cutlery","Other")))))</f>
        <v>0</v>
      </c>
      <c r="I597">
        <f>IF('Raw Data'!G597&lt;&gt;'','Raw Data'!G597,IFERROR(MID(F597,SEARCH("MODEL",F597)+6,20),""))</f>
        <v>0</v>
      </c>
      <c r="J597">
        <f>'Raw Data'!H597</f>
        <v>0</v>
      </c>
      <c r="K597">
        <f>'Raw Data'!I597</f>
        <v>0</v>
      </c>
      <c r="L597">
        <f>IF('Raw Data'!N597&lt;&gt;0,'Raw Data'!N597,IFERROR(VALUE(MID(F597,SEARCH("QTY",F597)+4,IFERROR(FIND(" ",F597,SEARCH("QTY",F597)+4)-(SEARCH("QTY",F597)+4),3))),""))</f>
        <v>0</v>
      </c>
      <c r="M597">
        <f>'Raw Data'!O597</f>
        <v>0</v>
      </c>
      <c r="N597">
        <f>'Raw Data'!P597</f>
        <v>0</v>
      </c>
      <c r="O597">
        <f>'Raw Data'!Q597</f>
        <v>0</v>
      </c>
      <c r="P597">
        <f>'Raw Data'!R597</f>
        <v>0</v>
      </c>
      <c r="Q597">
        <f>'Raw Data'!S597</f>
        <v>0</v>
      </c>
      <c r="R597">
        <f>'Raw Data'!T597</f>
        <v>0</v>
      </c>
      <c r="S597">
        <f>IFERROR(O597,0)+IFERROR(R597,0)</f>
        <v>0</v>
      </c>
      <c r="T597">
        <f>IF(A597="","",YEAR(A597))</f>
        <v>0</v>
      </c>
    </row>
    <row r="598" spans="1:20">
      <c r="A598">
        <f>'Raw Data'!B598</f>
        <v>0</v>
      </c>
      <c r="B598">
        <f>'Raw Data'!A598</f>
        <v>0</v>
      </c>
      <c r="C598">
        <f>'Raw Data'!C598</f>
        <v>0</v>
      </c>
      <c r="D598">
        <f>'Raw Data'!D598</f>
        <v>0</v>
      </c>
      <c r="E598">
        <f>IFERROR(VLOOKUP(D598,'Lookup Tables'!$A:$B,2,FALSE),"Unknown")</f>
        <v>0</v>
      </c>
      <c r="F598">
        <f>'Raw Data'!E598</f>
        <v>0</v>
      </c>
      <c r="G598">
        <f>IFERROR(VLOOKUP(D598,'Lookup Tables'!$A:$C,3,FALSE),IF(ISNUMBER(SEARCH("STEEL",F598)),"Steel","Others"))</f>
        <v>0</v>
      </c>
      <c r="H598">
        <f>IF(ISNUMBER(SEARCH("scrubber",F598)) , "Scrubber", IF(ISNUMBER(SEARCH("container",F598)),"Container", IF(ISNUMBER(SEARCH("basket",F598)),"Basket", IF(ISNUMBER(SEARCH("lunch",F598)),"Lunch Box", IF(ISNUMBER(SEARCH("cutlery",F598)),"Cutlery","Other")))))</f>
        <v>0</v>
      </c>
      <c r="I598">
        <f>IF('Raw Data'!G598&lt;&gt;'','Raw Data'!G598,IFERROR(MID(F598,SEARCH("MODEL",F598)+6,20),""))</f>
        <v>0</v>
      </c>
      <c r="J598">
        <f>'Raw Data'!H598</f>
        <v>0</v>
      </c>
      <c r="K598">
        <f>'Raw Data'!I598</f>
        <v>0</v>
      </c>
      <c r="L598">
        <f>IF('Raw Data'!N598&lt;&gt;0,'Raw Data'!N598,IFERROR(VALUE(MID(F598,SEARCH("QTY",F598)+4,IFERROR(FIND(" ",F598,SEARCH("QTY",F598)+4)-(SEARCH("QTY",F598)+4),3))),""))</f>
        <v>0</v>
      </c>
      <c r="M598">
        <f>'Raw Data'!O598</f>
        <v>0</v>
      </c>
      <c r="N598">
        <f>'Raw Data'!P598</f>
        <v>0</v>
      </c>
      <c r="O598">
        <f>'Raw Data'!Q598</f>
        <v>0</v>
      </c>
      <c r="P598">
        <f>'Raw Data'!R598</f>
        <v>0</v>
      </c>
      <c r="Q598">
        <f>'Raw Data'!S598</f>
        <v>0</v>
      </c>
      <c r="R598">
        <f>'Raw Data'!T598</f>
        <v>0</v>
      </c>
      <c r="S598">
        <f>IFERROR(O598,0)+IFERROR(R598,0)</f>
        <v>0</v>
      </c>
      <c r="T598">
        <f>IF(A598="","",YEAR(A598))</f>
        <v>0</v>
      </c>
    </row>
    <row r="599" spans="1:20">
      <c r="A599">
        <f>'Raw Data'!B599</f>
        <v>0</v>
      </c>
      <c r="B599">
        <f>'Raw Data'!A599</f>
        <v>0</v>
      </c>
      <c r="C599">
        <f>'Raw Data'!C599</f>
        <v>0</v>
      </c>
      <c r="D599">
        <f>'Raw Data'!D599</f>
        <v>0</v>
      </c>
      <c r="E599">
        <f>IFERROR(VLOOKUP(D599,'Lookup Tables'!$A:$B,2,FALSE),"Unknown")</f>
        <v>0</v>
      </c>
      <c r="F599">
        <f>'Raw Data'!E599</f>
        <v>0</v>
      </c>
      <c r="G599">
        <f>IFERROR(VLOOKUP(D599,'Lookup Tables'!$A:$C,3,FALSE),IF(ISNUMBER(SEARCH("STEEL",F599)),"Steel","Others"))</f>
        <v>0</v>
      </c>
      <c r="H599">
        <f>IF(ISNUMBER(SEARCH("scrubber",F599)) , "Scrubber", IF(ISNUMBER(SEARCH("container",F599)),"Container", IF(ISNUMBER(SEARCH("basket",F599)),"Basket", IF(ISNUMBER(SEARCH("lunch",F599)),"Lunch Box", IF(ISNUMBER(SEARCH("cutlery",F599)),"Cutlery","Other")))))</f>
        <v>0</v>
      </c>
      <c r="I599">
        <f>IF('Raw Data'!G599&lt;&gt;'','Raw Data'!G599,IFERROR(MID(F599,SEARCH("MODEL",F599)+6,20),""))</f>
        <v>0</v>
      </c>
      <c r="J599">
        <f>'Raw Data'!H599</f>
        <v>0</v>
      </c>
      <c r="K599">
        <f>'Raw Data'!I599</f>
        <v>0</v>
      </c>
      <c r="L599">
        <f>IF('Raw Data'!N599&lt;&gt;0,'Raw Data'!N599,IFERROR(VALUE(MID(F599,SEARCH("QTY",F599)+4,IFERROR(FIND(" ",F599,SEARCH("QTY",F599)+4)-(SEARCH("QTY",F599)+4),3))),""))</f>
        <v>0</v>
      </c>
      <c r="M599">
        <f>'Raw Data'!O599</f>
        <v>0</v>
      </c>
      <c r="N599">
        <f>'Raw Data'!P599</f>
        <v>0</v>
      </c>
      <c r="O599">
        <f>'Raw Data'!Q599</f>
        <v>0</v>
      </c>
      <c r="P599">
        <f>'Raw Data'!R599</f>
        <v>0</v>
      </c>
      <c r="Q599">
        <f>'Raw Data'!S599</f>
        <v>0</v>
      </c>
      <c r="R599">
        <f>'Raw Data'!T599</f>
        <v>0</v>
      </c>
      <c r="S599">
        <f>IFERROR(O599,0)+IFERROR(R599,0)</f>
        <v>0</v>
      </c>
      <c r="T599">
        <f>IF(A599="","",YEAR(A599))</f>
        <v>0</v>
      </c>
    </row>
    <row r="600" spans="1:20">
      <c r="A600">
        <f>'Raw Data'!B600</f>
        <v>0</v>
      </c>
      <c r="B600">
        <f>'Raw Data'!A600</f>
        <v>0</v>
      </c>
      <c r="C600">
        <f>'Raw Data'!C600</f>
        <v>0</v>
      </c>
      <c r="D600">
        <f>'Raw Data'!D600</f>
        <v>0</v>
      </c>
      <c r="E600">
        <f>IFERROR(VLOOKUP(D600,'Lookup Tables'!$A:$B,2,FALSE),"Unknown")</f>
        <v>0</v>
      </c>
      <c r="F600">
        <f>'Raw Data'!E600</f>
        <v>0</v>
      </c>
      <c r="G600">
        <f>IFERROR(VLOOKUP(D600,'Lookup Tables'!$A:$C,3,FALSE),IF(ISNUMBER(SEARCH("STEEL",F600)),"Steel","Others"))</f>
        <v>0</v>
      </c>
      <c r="H600">
        <f>IF(ISNUMBER(SEARCH("scrubber",F600)) , "Scrubber", IF(ISNUMBER(SEARCH("container",F600)),"Container", IF(ISNUMBER(SEARCH("basket",F600)),"Basket", IF(ISNUMBER(SEARCH("lunch",F600)),"Lunch Box", IF(ISNUMBER(SEARCH("cutlery",F600)),"Cutlery","Other")))))</f>
        <v>0</v>
      </c>
      <c r="I600">
        <f>IF('Raw Data'!G600&lt;&gt;'','Raw Data'!G600,IFERROR(MID(F600,SEARCH("MODEL",F600)+6,20),""))</f>
        <v>0</v>
      </c>
      <c r="J600">
        <f>'Raw Data'!H600</f>
        <v>0</v>
      </c>
      <c r="K600">
        <f>'Raw Data'!I600</f>
        <v>0</v>
      </c>
      <c r="L600">
        <f>IF('Raw Data'!N600&lt;&gt;0,'Raw Data'!N600,IFERROR(VALUE(MID(F600,SEARCH("QTY",F600)+4,IFERROR(FIND(" ",F600,SEARCH("QTY",F600)+4)-(SEARCH("QTY",F600)+4),3))),""))</f>
        <v>0</v>
      </c>
      <c r="M600">
        <f>'Raw Data'!O600</f>
        <v>0</v>
      </c>
      <c r="N600">
        <f>'Raw Data'!P600</f>
        <v>0</v>
      </c>
      <c r="O600">
        <f>'Raw Data'!Q600</f>
        <v>0</v>
      </c>
      <c r="P600">
        <f>'Raw Data'!R600</f>
        <v>0</v>
      </c>
      <c r="Q600">
        <f>'Raw Data'!S600</f>
        <v>0</v>
      </c>
      <c r="R600">
        <f>'Raw Data'!T600</f>
        <v>0</v>
      </c>
      <c r="S600">
        <f>IFERROR(O600,0)+IFERROR(R600,0)</f>
        <v>0</v>
      </c>
      <c r="T600">
        <f>IF(A600="","",YEAR(A600))</f>
        <v>0</v>
      </c>
    </row>
    <row r="601" spans="1:20">
      <c r="A601">
        <f>'Raw Data'!B601</f>
        <v>0</v>
      </c>
      <c r="B601">
        <f>'Raw Data'!A601</f>
        <v>0</v>
      </c>
      <c r="C601">
        <f>'Raw Data'!C601</f>
        <v>0</v>
      </c>
      <c r="D601">
        <f>'Raw Data'!D601</f>
        <v>0</v>
      </c>
      <c r="E601">
        <f>IFERROR(VLOOKUP(D601,'Lookup Tables'!$A:$B,2,FALSE),"Unknown")</f>
        <v>0</v>
      </c>
      <c r="F601">
        <f>'Raw Data'!E601</f>
        <v>0</v>
      </c>
      <c r="G601">
        <f>IFERROR(VLOOKUP(D601,'Lookup Tables'!$A:$C,3,FALSE),IF(ISNUMBER(SEARCH("STEEL",F601)),"Steel","Others"))</f>
        <v>0</v>
      </c>
      <c r="H601">
        <f>IF(ISNUMBER(SEARCH("scrubber",F601)) , "Scrubber", IF(ISNUMBER(SEARCH("container",F601)),"Container", IF(ISNUMBER(SEARCH("basket",F601)),"Basket", IF(ISNUMBER(SEARCH("lunch",F601)),"Lunch Box", IF(ISNUMBER(SEARCH("cutlery",F601)),"Cutlery","Other")))))</f>
        <v>0</v>
      </c>
      <c r="I601">
        <f>IF('Raw Data'!G601&lt;&gt;'','Raw Data'!G601,IFERROR(MID(F601,SEARCH("MODEL",F601)+6,20),""))</f>
        <v>0</v>
      </c>
      <c r="J601">
        <f>'Raw Data'!H601</f>
        <v>0</v>
      </c>
      <c r="K601">
        <f>'Raw Data'!I601</f>
        <v>0</v>
      </c>
      <c r="L601">
        <f>IF('Raw Data'!N601&lt;&gt;0,'Raw Data'!N601,IFERROR(VALUE(MID(F601,SEARCH("QTY",F601)+4,IFERROR(FIND(" ",F601,SEARCH("QTY",F601)+4)-(SEARCH("QTY",F601)+4),3))),""))</f>
        <v>0</v>
      </c>
      <c r="M601">
        <f>'Raw Data'!O601</f>
        <v>0</v>
      </c>
      <c r="N601">
        <f>'Raw Data'!P601</f>
        <v>0</v>
      </c>
      <c r="O601">
        <f>'Raw Data'!Q601</f>
        <v>0</v>
      </c>
      <c r="P601">
        <f>'Raw Data'!R601</f>
        <v>0</v>
      </c>
      <c r="Q601">
        <f>'Raw Data'!S601</f>
        <v>0</v>
      </c>
      <c r="R601">
        <f>'Raw Data'!T601</f>
        <v>0</v>
      </c>
      <c r="S601">
        <f>IFERROR(O601,0)+IFERROR(R601,0)</f>
        <v>0</v>
      </c>
      <c r="T601">
        <f>IF(A601="","",YEAR(A601))</f>
        <v>0</v>
      </c>
    </row>
    <row r="602" spans="1:20">
      <c r="A602">
        <f>'Raw Data'!B602</f>
        <v>0</v>
      </c>
      <c r="B602">
        <f>'Raw Data'!A602</f>
        <v>0</v>
      </c>
      <c r="C602">
        <f>'Raw Data'!C602</f>
        <v>0</v>
      </c>
      <c r="D602">
        <f>'Raw Data'!D602</f>
        <v>0</v>
      </c>
      <c r="E602">
        <f>IFERROR(VLOOKUP(D602,'Lookup Tables'!$A:$B,2,FALSE),"Unknown")</f>
        <v>0</v>
      </c>
      <c r="F602">
        <f>'Raw Data'!E602</f>
        <v>0</v>
      </c>
      <c r="G602">
        <f>IFERROR(VLOOKUP(D602,'Lookup Tables'!$A:$C,3,FALSE),IF(ISNUMBER(SEARCH("STEEL",F602)),"Steel","Others"))</f>
        <v>0</v>
      </c>
      <c r="H602">
        <f>IF(ISNUMBER(SEARCH("scrubber",F602)) , "Scrubber", IF(ISNUMBER(SEARCH("container",F602)),"Container", IF(ISNUMBER(SEARCH("basket",F602)),"Basket", IF(ISNUMBER(SEARCH("lunch",F602)),"Lunch Box", IF(ISNUMBER(SEARCH("cutlery",F602)),"Cutlery","Other")))))</f>
        <v>0</v>
      </c>
      <c r="I602">
        <f>IF('Raw Data'!G602&lt;&gt;'','Raw Data'!G602,IFERROR(MID(F602,SEARCH("MODEL",F602)+6,20),""))</f>
        <v>0</v>
      </c>
      <c r="J602">
        <f>'Raw Data'!H602</f>
        <v>0</v>
      </c>
      <c r="K602">
        <f>'Raw Data'!I602</f>
        <v>0</v>
      </c>
      <c r="L602">
        <f>IF('Raw Data'!N602&lt;&gt;0,'Raw Data'!N602,IFERROR(VALUE(MID(F602,SEARCH("QTY",F602)+4,IFERROR(FIND(" ",F602,SEARCH("QTY",F602)+4)-(SEARCH("QTY",F602)+4),3))),""))</f>
        <v>0</v>
      </c>
      <c r="M602">
        <f>'Raw Data'!O602</f>
        <v>0</v>
      </c>
      <c r="N602">
        <f>'Raw Data'!P602</f>
        <v>0</v>
      </c>
      <c r="O602">
        <f>'Raw Data'!Q602</f>
        <v>0</v>
      </c>
      <c r="P602">
        <f>'Raw Data'!R602</f>
        <v>0</v>
      </c>
      <c r="Q602">
        <f>'Raw Data'!S602</f>
        <v>0</v>
      </c>
      <c r="R602">
        <f>'Raw Data'!T602</f>
        <v>0</v>
      </c>
      <c r="S602">
        <f>IFERROR(O602,0)+IFERROR(R602,0)</f>
        <v>0</v>
      </c>
      <c r="T602">
        <f>IF(A602="","",YEAR(A602))</f>
        <v>0</v>
      </c>
    </row>
    <row r="603" spans="1:20">
      <c r="A603">
        <f>'Raw Data'!B603</f>
        <v>0</v>
      </c>
      <c r="B603">
        <f>'Raw Data'!A603</f>
        <v>0</v>
      </c>
      <c r="C603">
        <f>'Raw Data'!C603</f>
        <v>0</v>
      </c>
      <c r="D603">
        <f>'Raw Data'!D603</f>
        <v>0</v>
      </c>
      <c r="E603">
        <f>IFERROR(VLOOKUP(D603,'Lookup Tables'!$A:$B,2,FALSE),"Unknown")</f>
        <v>0</v>
      </c>
      <c r="F603">
        <f>'Raw Data'!E603</f>
        <v>0</v>
      </c>
      <c r="G603">
        <f>IFERROR(VLOOKUP(D603,'Lookup Tables'!$A:$C,3,FALSE),IF(ISNUMBER(SEARCH("STEEL",F603)),"Steel","Others"))</f>
        <v>0</v>
      </c>
      <c r="H603">
        <f>IF(ISNUMBER(SEARCH("scrubber",F603)) , "Scrubber", IF(ISNUMBER(SEARCH("container",F603)),"Container", IF(ISNUMBER(SEARCH("basket",F603)),"Basket", IF(ISNUMBER(SEARCH("lunch",F603)),"Lunch Box", IF(ISNUMBER(SEARCH("cutlery",F603)),"Cutlery","Other")))))</f>
        <v>0</v>
      </c>
      <c r="I603">
        <f>IF('Raw Data'!G603&lt;&gt;'','Raw Data'!G603,IFERROR(MID(F603,SEARCH("MODEL",F603)+6,20),""))</f>
        <v>0</v>
      </c>
      <c r="J603">
        <f>'Raw Data'!H603</f>
        <v>0</v>
      </c>
      <c r="K603">
        <f>'Raw Data'!I603</f>
        <v>0</v>
      </c>
      <c r="L603">
        <f>IF('Raw Data'!N603&lt;&gt;0,'Raw Data'!N603,IFERROR(VALUE(MID(F603,SEARCH("QTY",F603)+4,IFERROR(FIND(" ",F603,SEARCH("QTY",F603)+4)-(SEARCH("QTY",F603)+4),3))),""))</f>
        <v>0</v>
      </c>
      <c r="M603">
        <f>'Raw Data'!O603</f>
        <v>0</v>
      </c>
      <c r="N603">
        <f>'Raw Data'!P603</f>
        <v>0</v>
      </c>
      <c r="O603">
        <f>'Raw Data'!Q603</f>
        <v>0</v>
      </c>
      <c r="P603">
        <f>'Raw Data'!R603</f>
        <v>0</v>
      </c>
      <c r="Q603">
        <f>'Raw Data'!S603</f>
        <v>0</v>
      </c>
      <c r="R603">
        <f>'Raw Data'!T603</f>
        <v>0</v>
      </c>
      <c r="S603">
        <f>IFERROR(O603,0)+IFERROR(R603,0)</f>
        <v>0</v>
      </c>
      <c r="T603">
        <f>IF(A603="","",YEAR(A603))</f>
        <v>0</v>
      </c>
    </row>
    <row r="604" spans="1:20">
      <c r="A604">
        <f>'Raw Data'!B604</f>
        <v>0</v>
      </c>
      <c r="B604">
        <f>'Raw Data'!A604</f>
        <v>0</v>
      </c>
      <c r="C604">
        <f>'Raw Data'!C604</f>
        <v>0</v>
      </c>
      <c r="D604">
        <f>'Raw Data'!D604</f>
        <v>0</v>
      </c>
      <c r="E604">
        <f>IFERROR(VLOOKUP(D604,'Lookup Tables'!$A:$B,2,FALSE),"Unknown")</f>
        <v>0</v>
      </c>
      <c r="F604">
        <f>'Raw Data'!E604</f>
        <v>0</v>
      </c>
      <c r="G604">
        <f>IFERROR(VLOOKUP(D604,'Lookup Tables'!$A:$C,3,FALSE),IF(ISNUMBER(SEARCH("STEEL",F604)),"Steel","Others"))</f>
        <v>0</v>
      </c>
      <c r="H604">
        <f>IF(ISNUMBER(SEARCH("scrubber",F604)) , "Scrubber", IF(ISNUMBER(SEARCH("container",F604)),"Container", IF(ISNUMBER(SEARCH("basket",F604)),"Basket", IF(ISNUMBER(SEARCH("lunch",F604)),"Lunch Box", IF(ISNUMBER(SEARCH("cutlery",F604)),"Cutlery","Other")))))</f>
        <v>0</v>
      </c>
      <c r="I604">
        <f>IF('Raw Data'!G604&lt;&gt;'','Raw Data'!G604,IFERROR(MID(F604,SEARCH("MODEL",F604)+6,20),""))</f>
        <v>0</v>
      </c>
      <c r="J604">
        <f>'Raw Data'!H604</f>
        <v>0</v>
      </c>
      <c r="K604">
        <f>'Raw Data'!I604</f>
        <v>0</v>
      </c>
      <c r="L604">
        <f>IF('Raw Data'!N604&lt;&gt;0,'Raw Data'!N604,IFERROR(VALUE(MID(F604,SEARCH("QTY",F604)+4,IFERROR(FIND(" ",F604,SEARCH("QTY",F604)+4)-(SEARCH("QTY",F604)+4),3))),""))</f>
        <v>0</v>
      </c>
      <c r="M604">
        <f>'Raw Data'!O604</f>
        <v>0</v>
      </c>
      <c r="N604">
        <f>'Raw Data'!P604</f>
        <v>0</v>
      </c>
      <c r="O604">
        <f>'Raw Data'!Q604</f>
        <v>0</v>
      </c>
      <c r="P604">
        <f>'Raw Data'!R604</f>
        <v>0</v>
      </c>
      <c r="Q604">
        <f>'Raw Data'!S604</f>
        <v>0</v>
      </c>
      <c r="R604">
        <f>'Raw Data'!T604</f>
        <v>0</v>
      </c>
      <c r="S604">
        <f>IFERROR(O604,0)+IFERROR(R604,0)</f>
        <v>0</v>
      </c>
      <c r="T604">
        <f>IF(A604="","",YEAR(A604))</f>
        <v>0</v>
      </c>
    </row>
    <row r="605" spans="1:20">
      <c r="A605">
        <f>'Raw Data'!B605</f>
        <v>0</v>
      </c>
      <c r="B605">
        <f>'Raw Data'!A605</f>
        <v>0</v>
      </c>
      <c r="C605">
        <f>'Raw Data'!C605</f>
        <v>0</v>
      </c>
      <c r="D605">
        <f>'Raw Data'!D605</f>
        <v>0</v>
      </c>
      <c r="E605">
        <f>IFERROR(VLOOKUP(D605,'Lookup Tables'!$A:$B,2,FALSE),"Unknown")</f>
        <v>0</v>
      </c>
      <c r="F605">
        <f>'Raw Data'!E605</f>
        <v>0</v>
      </c>
      <c r="G605">
        <f>IFERROR(VLOOKUP(D605,'Lookup Tables'!$A:$C,3,FALSE),IF(ISNUMBER(SEARCH("STEEL",F605)),"Steel","Others"))</f>
        <v>0</v>
      </c>
      <c r="H605">
        <f>IF(ISNUMBER(SEARCH("scrubber",F605)) , "Scrubber", IF(ISNUMBER(SEARCH("container",F605)),"Container", IF(ISNUMBER(SEARCH("basket",F605)),"Basket", IF(ISNUMBER(SEARCH("lunch",F605)),"Lunch Box", IF(ISNUMBER(SEARCH("cutlery",F605)),"Cutlery","Other")))))</f>
        <v>0</v>
      </c>
      <c r="I605">
        <f>IF('Raw Data'!G605&lt;&gt;'','Raw Data'!G605,IFERROR(MID(F605,SEARCH("MODEL",F605)+6,20),""))</f>
        <v>0</v>
      </c>
      <c r="J605">
        <f>'Raw Data'!H605</f>
        <v>0</v>
      </c>
      <c r="K605">
        <f>'Raw Data'!I605</f>
        <v>0</v>
      </c>
      <c r="L605">
        <f>IF('Raw Data'!N605&lt;&gt;0,'Raw Data'!N605,IFERROR(VALUE(MID(F605,SEARCH("QTY",F605)+4,IFERROR(FIND(" ",F605,SEARCH("QTY",F605)+4)-(SEARCH("QTY",F605)+4),3))),""))</f>
        <v>0</v>
      </c>
      <c r="M605">
        <f>'Raw Data'!O605</f>
        <v>0</v>
      </c>
      <c r="N605">
        <f>'Raw Data'!P605</f>
        <v>0</v>
      </c>
      <c r="O605">
        <f>'Raw Data'!Q605</f>
        <v>0</v>
      </c>
      <c r="P605">
        <f>'Raw Data'!R605</f>
        <v>0</v>
      </c>
      <c r="Q605">
        <f>'Raw Data'!S605</f>
        <v>0</v>
      </c>
      <c r="R605">
        <f>'Raw Data'!T605</f>
        <v>0</v>
      </c>
      <c r="S605">
        <f>IFERROR(O605,0)+IFERROR(R605,0)</f>
        <v>0</v>
      </c>
      <c r="T605">
        <f>IF(A605="","",YEAR(A605))</f>
        <v>0</v>
      </c>
    </row>
    <row r="606" spans="1:20">
      <c r="A606">
        <f>'Raw Data'!B606</f>
        <v>0</v>
      </c>
      <c r="B606">
        <f>'Raw Data'!A606</f>
        <v>0</v>
      </c>
      <c r="C606">
        <f>'Raw Data'!C606</f>
        <v>0</v>
      </c>
      <c r="D606">
        <f>'Raw Data'!D606</f>
        <v>0</v>
      </c>
      <c r="E606">
        <f>IFERROR(VLOOKUP(D606,'Lookup Tables'!$A:$B,2,FALSE),"Unknown")</f>
        <v>0</v>
      </c>
      <c r="F606">
        <f>'Raw Data'!E606</f>
        <v>0</v>
      </c>
      <c r="G606">
        <f>IFERROR(VLOOKUP(D606,'Lookup Tables'!$A:$C,3,FALSE),IF(ISNUMBER(SEARCH("STEEL",F606)),"Steel","Others"))</f>
        <v>0</v>
      </c>
      <c r="H606">
        <f>IF(ISNUMBER(SEARCH("scrubber",F606)) , "Scrubber", IF(ISNUMBER(SEARCH("container",F606)),"Container", IF(ISNUMBER(SEARCH("basket",F606)),"Basket", IF(ISNUMBER(SEARCH("lunch",F606)),"Lunch Box", IF(ISNUMBER(SEARCH("cutlery",F606)),"Cutlery","Other")))))</f>
        <v>0</v>
      </c>
      <c r="I606">
        <f>IF('Raw Data'!G606&lt;&gt;'','Raw Data'!G606,IFERROR(MID(F606,SEARCH("MODEL",F606)+6,20),""))</f>
        <v>0</v>
      </c>
      <c r="J606">
        <f>'Raw Data'!H606</f>
        <v>0</v>
      </c>
      <c r="K606">
        <f>'Raw Data'!I606</f>
        <v>0</v>
      </c>
      <c r="L606">
        <f>IF('Raw Data'!N606&lt;&gt;0,'Raw Data'!N606,IFERROR(VALUE(MID(F606,SEARCH("QTY",F606)+4,IFERROR(FIND(" ",F606,SEARCH("QTY",F606)+4)-(SEARCH("QTY",F606)+4),3))),""))</f>
        <v>0</v>
      </c>
      <c r="M606">
        <f>'Raw Data'!O606</f>
        <v>0</v>
      </c>
      <c r="N606">
        <f>'Raw Data'!P606</f>
        <v>0</v>
      </c>
      <c r="O606">
        <f>'Raw Data'!Q606</f>
        <v>0</v>
      </c>
      <c r="P606">
        <f>'Raw Data'!R606</f>
        <v>0</v>
      </c>
      <c r="Q606">
        <f>'Raw Data'!S606</f>
        <v>0</v>
      </c>
      <c r="R606">
        <f>'Raw Data'!T606</f>
        <v>0</v>
      </c>
      <c r="S606">
        <f>IFERROR(O606,0)+IFERROR(R606,0)</f>
        <v>0</v>
      </c>
      <c r="T606">
        <f>IF(A606="","",YEAR(A606))</f>
        <v>0</v>
      </c>
    </row>
    <row r="607" spans="1:20">
      <c r="A607">
        <f>'Raw Data'!B607</f>
        <v>0</v>
      </c>
      <c r="B607">
        <f>'Raw Data'!A607</f>
        <v>0</v>
      </c>
      <c r="C607">
        <f>'Raw Data'!C607</f>
        <v>0</v>
      </c>
      <c r="D607">
        <f>'Raw Data'!D607</f>
        <v>0</v>
      </c>
      <c r="E607">
        <f>IFERROR(VLOOKUP(D607,'Lookup Tables'!$A:$B,2,FALSE),"Unknown")</f>
        <v>0</v>
      </c>
      <c r="F607">
        <f>'Raw Data'!E607</f>
        <v>0</v>
      </c>
      <c r="G607">
        <f>IFERROR(VLOOKUP(D607,'Lookup Tables'!$A:$C,3,FALSE),IF(ISNUMBER(SEARCH("STEEL",F607)),"Steel","Others"))</f>
        <v>0</v>
      </c>
      <c r="H607">
        <f>IF(ISNUMBER(SEARCH("scrubber",F607)) , "Scrubber", IF(ISNUMBER(SEARCH("container",F607)),"Container", IF(ISNUMBER(SEARCH("basket",F607)),"Basket", IF(ISNUMBER(SEARCH("lunch",F607)),"Lunch Box", IF(ISNUMBER(SEARCH("cutlery",F607)),"Cutlery","Other")))))</f>
        <v>0</v>
      </c>
      <c r="I607">
        <f>IF('Raw Data'!G607&lt;&gt;'','Raw Data'!G607,IFERROR(MID(F607,SEARCH("MODEL",F607)+6,20),""))</f>
        <v>0</v>
      </c>
      <c r="J607">
        <f>'Raw Data'!H607</f>
        <v>0</v>
      </c>
      <c r="K607">
        <f>'Raw Data'!I607</f>
        <v>0</v>
      </c>
      <c r="L607">
        <f>IF('Raw Data'!N607&lt;&gt;0,'Raw Data'!N607,IFERROR(VALUE(MID(F607,SEARCH("QTY",F607)+4,IFERROR(FIND(" ",F607,SEARCH("QTY",F607)+4)-(SEARCH("QTY",F607)+4),3))),""))</f>
        <v>0</v>
      </c>
      <c r="M607">
        <f>'Raw Data'!O607</f>
        <v>0</v>
      </c>
      <c r="N607">
        <f>'Raw Data'!P607</f>
        <v>0</v>
      </c>
      <c r="O607">
        <f>'Raw Data'!Q607</f>
        <v>0</v>
      </c>
      <c r="P607">
        <f>'Raw Data'!R607</f>
        <v>0</v>
      </c>
      <c r="Q607">
        <f>'Raw Data'!S607</f>
        <v>0</v>
      </c>
      <c r="R607">
        <f>'Raw Data'!T607</f>
        <v>0</v>
      </c>
      <c r="S607">
        <f>IFERROR(O607,0)+IFERROR(R607,0)</f>
        <v>0</v>
      </c>
      <c r="T607">
        <f>IF(A607="","",YEAR(A607))</f>
        <v>0</v>
      </c>
    </row>
    <row r="608" spans="1:20">
      <c r="A608">
        <f>'Raw Data'!B608</f>
        <v>0</v>
      </c>
      <c r="B608">
        <f>'Raw Data'!A608</f>
        <v>0</v>
      </c>
      <c r="C608">
        <f>'Raw Data'!C608</f>
        <v>0</v>
      </c>
      <c r="D608">
        <f>'Raw Data'!D608</f>
        <v>0</v>
      </c>
      <c r="E608">
        <f>IFERROR(VLOOKUP(D608,'Lookup Tables'!$A:$B,2,FALSE),"Unknown")</f>
        <v>0</v>
      </c>
      <c r="F608">
        <f>'Raw Data'!E608</f>
        <v>0</v>
      </c>
      <c r="G608">
        <f>IFERROR(VLOOKUP(D608,'Lookup Tables'!$A:$C,3,FALSE),IF(ISNUMBER(SEARCH("STEEL",F608)),"Steel","Others"))</f>
        <v>0</v>
      </c>
      <c r="H608">
        <f>IF(ISNUMBER(SEARCH("scrubber",F608)) , "Scrubber", IF(ISNUMBER(SEARCH("container",F608)),"Container", IF(ISNUMBER(SEARCH("basket",F608)),"Basket", IF(ISNUMBER(SEARCH("lunch",F608)),"Lunch Box", IF(ISNUMBER(SEARCH("cutlery",F608)),"Cutlery","Other")))))</f>
        <v>0</v>
      </c>
      <c r="I608">
        <f>IF('Raw Data'!G608&lt;&gt;'','Raw Data'!G608,IFERROR(MID(F608,SEARCH("MODEL",F608)+6,20),""))</f>
        <v>0</v>
      </c>
      <c r="J608">
        <f>'Raw Data'!H608</f>
        <v>0</v>
      </c>
      <c r="K608">
        <f>'Raw Data'!I608</f>
        <v>0</v>
      </c>
      <c r="L608">
        <f>IF('Raw Data'!N608&lt;&gt;0,'Raw Data'!N608,IFERROR(VALUE(MID(F608,SEARCH("QTY",F608)+4,IFERROR(FIND(" ",F608,SEARCH("QTY",F608)+4)-(SEARCH("QTY",F608)+4),3))),""))</f>
        <v>0</v>
      </c>
      <c r="M608">
        <f>'Raw Data'!O608</f>
        <v>0</v>
      </c>
      <c r="N608">
        <f>'Raw Data'!P608</f>
        <v>0</v>
      </c>
      <c r="O608">
        <f>'Raw Data'!Q608</f>
        <v>0</v>
      </c>
      <c r="P608">
        <f>'Raw Data'!R608</f>
        <v>0</v>
      </c>
      <c r="Q608">
        <f>'Raw Data'!S608</f>
        <v>0</v>
      </c>
      <c r="R608">
        <f>'Raw Data'!T608</f>
        <v>0</v>
      </c>
      <c r="S608">
        <f>IFERROR(O608,0)+IFERROR(R608,0)</f>
        <v>0</v>
      </c>
      <c r="T608">
        <f>IF(A608="","",YEAR(A608))</f>
        <v>0</v>
      </c>
    </row>
    <row r="609" spans="1:20">
      <c r="A609">
        <f>'Raw Data'!B609</f>
        <v>0</v>
      </c>
      <c r="B609">
        <f>'Raw Data'!A609</f>
        <v>0</v>
      </c>
      <c r="C609">
        <f>'Raw Data'!C609</f>
        <v>0</v>
      </c>
      <c r="D609">
        <f>'Raw Data'!D609</f>
        <v>0</v>
      </c>
      <c r="E609">
        <f>IFERROR(VLOOKUP(D609,'Lookup Tables'!$A:$B,2,FALSE),"Unknown")</f>
        <v>0</v>
      </c>
      <c r="F609">
        <f>'Raw Data'!E609</f>
        <v>0</v>
      </c>
      <c r="G609">
        <f>IFERROR(VLOOKUP(D609,'Lookup Tables'!$A:$C,3,FALSE),IF(ISNUMBER(SEARCH("STEEL",F609)),"Steel","Others"))</f>
        <v>0</v>
      </c>
      <c r="H609">
        <f>IF(ISNUMBER(SEARCH("scrubber",F609)) , "Scrubber", IF(ISNUMBER(SEARCH("container",F609)),"Container", IF(ISNUMBER(SEARCH("basket",F609)),"Basket", IF(ISNUMBER(SEARCH("lunch",F609)),"Lunch Box", IF(ISNUMBER(SEARCH("cutlery",F609)),"Cutlery","Other")))))</f>
        <v>0</v>
      </c>
      <c r="I609">
        <f>IF('Raw Data'!G609&lt;&gt;'','Raw Data'!G609,IFERROR(MID(F609,SEARCH("MODEL",F609)+6,20),""))</f>
        <v>0</v>
      </c>
      <c r="J609">
        <f>'Raw Data'!H609</f>
        <v>0</v>
      </c>
      <c r="K609">
        <f>'Raw Data'!I609</f>
        <v>0</v>
      </c>
      <c r="L609">
        <f>IF('Raw Data'!N609&lt;&gt;0,'Raw Data'!N609,IFERROR(VALUE(MID(F609,SEARCH("QTY",F609)+4,IFERROR(FIND(" ",F609,SEARCH("QTY",F609)+4)-(SEARCH("QTY",F609)+4),3))),""))</f>
        <v>0</v>
      </c>
      <c r="M609">
        <f>'Raw Data'!O609</f>
        <v>0</v>
      </c>
      <c r="N609">
        <f>'Raw Data'!P609</f>
        <v>0</v>
      </c>
      <c r="O609">
        <f>'Raw Data'!Q609</f>
        <v>0</v>
      </c>
      <c r="P609">
        <f>'Raw Data'!R609</f>
        <v>0</v>
      </c>
      <c r="Q609">
        <f>'Raw Data'!S609</f>
        <v>0</v>
      </c>
      <c r="R609">
        <f>'Raw Data'!T609</f>
        <v>0</v>
      </c>
      <c r="S609">
        <f>IFERROR(O609,0)+IFERROR(R609,0)</f>
        <v>0</v>
      </c>
      <c r="T609">
        <f>IF(A609="","",YEAR(A609))</f>
        <v>0</v>
      </c>
    </row>
    <row r="610" spans="1:20">
      <c r="A610">
        <f>'Raw Data'!B610</f>
        <v>0</v>
      </c>
      <c r="B610">
        <f>'Raw Data'!A610</f>
        <v>0</v>
      </c>
      <c r="C610">
        <f>'Raw Data'!C610</f>
        <v>0</v>
      </c>
      <c r="D610">
        <f>'Raw Data'!D610</f>
        <v>0</v>
      </c>
      <c r="E610">
        <f>IFERROR(VLOOKUP(D610,'Lookup Tables'!$A:$B,2,FALSE),"Unknown")</f>
        <v>0</v>
      </c>
      <c r="F610">
        <f>'Raw Data'!E610</f>
        <v>0</v>
      </c>
      <c r="G610">
        <f>IFERROR(VLOOKUP(D610,'Lookup Tables'!$A:$C,3,FALSE),IF(ISNUMBER(SEARCH("STEEL",F610)),"Steel","Others"))</f>
        <v>0</v>
      </c>
      <c r="H610">
        <f>IF(ISNUMBER(SEARCH("scrubber",F610)) , "Scrubber", IF(ISNUMBER(SEARCH("container",F610)),"Container", IF(ISNUMBER(SEARCH("basket",F610)),"Basket", IF(ISNUMBER(SEARCH("lunch",F610)),"Lunch Box", IF(ISNUMBER(SEARCH("cutlery",F610)),"Cutlery","Other")))))</f>
        <v>0</v>
      </c>
      <c r="I610">
        <f>IF('Raw Data'!G610&lt;&gt;'','Raw Data'!G610,IFERROR(MID(F610,SEARCH("MODEL",F610)+6,20),""))</f>
        <v>0</v>
      </c>
      <c r="J610">
        <f>'Raw Data'!H610</f>
        <v>0</v>
      </c>
      <c r="K610">
        <f>'Raw Data'!I610</f>
        <v>0</v>
      </c>
      <c r="L610">
        <f>IF('Raw Data'!N610&lt;&gt;0,'Raw Data'!N610,IFERROR(VALUE(MID(F610,SEARCH("QTY",F610)+4,IFERROR(FIND(" ",F610,SEARCH("QTY",F610)+4)-(SEARCH("QTY",F610)+4),3))),""))</f>
        <v>0</v>
      </c>
      <c r="M610">
        <f>'Raw Data'!O610</f>
        <v>0</v>
      </c>
      <c r="N610">
        <f>'Raw Data'!P610</f>
        <v>0</v>
      </c>
      <c r="O610">
        <f>'Raw Data'!Q610</f>
        <v>0</v>
      </c>
      <c r="P610">
        <f>'Raw Data'!R610</f>
        <v>0</v>
      </c>
      <c r="Q610">
        <f>'Raw Data'!S610</f>
        <v>0</v>
      </c>
      <c r="R610">
        <f>'Raw Data'!T610</f>
        <v>0</v>
      </c>
      <c r="S610">
        <f>IFERROR(O610,0)+IFERROR(R610,0)</f>
        <v>0</v>
      </c>
      <c r="T610">
        <f>IF(A610="","",YEAR(A610))</f>
        <v>0</v>
      </c>
    </row>
    <row r="611" spans="1:20">
      <c r="A611">
        <f>'Raw Data'!B611</f>
        <v>0</v>
      </c>
      <c r="B611">
        <f>'Raw Data'!A611</f>
        <v>0</v>
      </c>
      <c r="C611">
        <f>'Raw Data'!C611</f>
        <v>0</v>
      </c>
      <c r="D611">
        <f>'Raw Data'!D611</f>
        <v>0</v>
      </c>
      <c r="E611">
        <f>IFERROR(VLOOKUP(D611,'Lookup Tables'!$A:$B,2,FALSE),"Unknown")</f>
        <v>0</v>
      </c>
      <c r="F611">
        <f>'Raw Data'!E611</f>
        <v>0</v>
      </c>
      <c r="G611">
        <f>IFERROR(VLOOKUP(D611,'Lookup Tables'!$A:$C,3,FALSE),IF(ISNUMBER(SEARCH("STEEL",F611)),"Steel","Others"))</f>
        <v>0</v>
      </c>
      <c r="H611">
        <f>IF(ISNUMBER(SEARCH("scrubber",F611)) , "Scrubber", IF(ISNUMBER(SEARCH("container",F611)),"Container", IF(ISNUMBER(SEARCH("basket",F611)),"Basket", IF(ISNUMBER(SEARCH("lunch",F611)),"Lunch Box", IF(ISNUMBER(SEARCH("cutlery",F611)),"Cutlery","Other")))))</f>
        <v>0</v>
      </c>
      <c r="I611">
        <f>IF('Raw Data'!G611&lt;&gt;'','Raw Data'!G611,IFERROR(MID(F611,SEARCH("MODEL",F611)+6,20),""))</f>
        <v>0</v>
      </c>
      <c r="J611">
        <f>'Raw Data'!H611</f>
        <v>0</v>
      </c>
      <c r="K611">
        <f>'Raw Data'!I611</f>
        <v>0</v>
      </c>
      <c r="L611">
        <f>IF('Raw Data'!N611&lt;&gt;0,'Raw Data'!N611,IFERROR(VALUE(MID(F611,SEARCH("QTY",F611)+4,IFERROR(FIND(" ",F611,SEARCH("QTY",F611)+4)-(SEARCH("QTY",F611)+4),3))),""))</f>
        <v>0</v>
      </c>
      <c r="M611">
        <f>'Raw Data'!O611</f>
        <v>0</v>
      </c>
      <c r="N611">
        <f>'Raw Data'!P611</f>
        <v>0</v>
      </c>
      <c r="O611">
        <f>'Raw Data'!Q611</f>
        <v>0</v>
      </c>
      <c r="P611">
        <f>'Raw Data'!R611</f>
        <v>0</v>
      </c>
      <c r="Q611">
        <f>'Raw Data'!S611</f>
        <v>0</v>
      </c>
      <c r="R611">
        <f>'Raw Data'!T611</f>
        <v>0</v>
      </c>
      <c r="S611">
        <f>IFERROR(O611,0)+IFERROR(R611,0)</f>
        <v>0</v>
      </c>
      <c r="T611">
        <f>IF(A611="","",YEAR(A611))</f>
        <v>0</v>
      </c>
    </row>
    <row r="612" spans="1:20">
      <c r="A612">
        <f>'Raw Data'!B612</f>
        <v>0</v>
      </c>
      <c r="B612">
        <f>'Raw Data'!A612</f>
        <v>0</v>
      </c>
      <c r="C612">
        <f>'Raw Data'!C612</f>
        <v>0</v>
      </c>
      <c r="D612">
        <f>'Raw Data'!D612</f>
        <v>0</v>
      </c>
      <c r="E612">
        <f>IFERROR(VLOOKUP(D612,'Lookup Tables'!$A:$B,2,FALSE),"Unknown")</f>
        <v>0</v>
      </c>
      <c r="F612">
        <f>'Raw Data'!E612</f>
        <v>0</v>
      </c>
      <c r="G612">
        <f>IFERROR(VLOOKUP(D612,'Lookup Tables'!$A:$C,3,FALSE),IF(ISNUMBER(SEARCH("STEEL",F612)),"Steel","Others"))</f>
        <v>0</v>
      </c>
      <c r="H612">
        <f>IF(ISNUMBER(SEARCH("scrubber",F612)) , "Scrubber", IF(ISNUMBER(SEARCH("container",F612)),"Container", IF(ISNUMBER(SEARCH("basket",F612)),"Basket", IF(ISNUMBER(SEARCH("lunch",F612)),"Lunch Box", IF(ISNUMBER(SEARCH("cutlery",F612)),"Cutlery","Other")))))</f>
        <v>0</v>
      </c>
      <c r="I612">
        <f>IF('Raw Data'!G612&lt;&gt;'','Raw Data'!G612,IFERROR(MID(F612,SEARCH("MODEL",F612)+6,20),""))</f>
        <v>0</v>
      </c>
      <c r="J612">
        <f>'Raw Data'!H612</f>
        <v>0</v>
      </c>
      <c r="K612">
        <f>'Raw Data'!I612</f>
        <v>0</v>
      </c>
      <c r="L612">
        <f>IF('Raw Data'!N612&lt;&gt;0,'Raw Data'!N612,IFERROR(VALUE(MID(F612,SEARCH("QTY",F612)+4,IFERROR(FIND(" ",F612,SEARCH("QTY",F612)+4)-(SEARCH("QTY",F612)+4),3))),""))</f>
        <v>0</v>
      </c>
      <c r="M612">
        <f>'Raw Data'!O612</f>
        <v>0</v>
      </c>
      <c r="N612">
        <f>'Raw Data'!P612</f>
        <v>0</v>
      </c>
      <c r="O612">
        <f>'Raw Data'!Q612</f>
        <v>0</v>
      </c>
      <c r="P612">
        <f>'Raw Data'!R612</f>
        <v>0</v>
      </c>
      <c r="Q612">
        <f>'Raw Data'!S612</f>
        <v>0</v>
      </c>
      <c r="R612">
        <f>'Raw Data'!T612</f>
        <v>0</v>
      </c>
      <c r="S612">
        <f>IFERROR(O612,0)+IFERROR(R612,0)</f>
        <v>0</v>
      </c>
      <c r="T612">
        <f>IF(A612="","",YEAR(A612))</f>
        <v>0</v>
      </c>
    </row>
    <row r="613" spans="1:20">
      <c r="A613">
        <f>'Raw Data'!B613</f>
        <v>0</v>
      </c>
      <c r="B613">
        <f>'Raw Data'!A613</f>
        <v>0</v>
      </c>
      <c r="C613">
        <f>'Raw Data'!C613</f>
        <v>0</v>
      </c>
      <c r="D613">
        <f>'Raw Data'!D613</f>
        <v>0</v>
      </c>
      <c r="E613">
        <f>IFERROR(VLOOKUP(D613,'Lookup Tables'!$A:$B,2,FALSE),"Unknown")</f>
        <v>0</v>
      </c>
      <c r="F613">
        <f>'Raw Data'!E613</f>
        <v>0</v>
      </c>
      <c r="G613">
        <f>IFERROR(VLOOKUP(D613,'Lookup Tables'!$A:$C,3,FALSE),IF(ISNUMBER(SEARCH("STEEL",F613)),"Steel","Others"))</f>
        <v>0</v>
      </c>
      <c r="H613">
        <f>IF(ISNUMBER(SEARCH("scrubber",F613)) , "Scrubber", IF(ISNUMBER(SEARCH("container",F613)),"Container", IF(ISNUMBER(SEARCH("basket",F613)),"Basket", IF(ISNUMBER(SEARCH("lunch",F613)),"Lunch Box", IF(ISNUMBER(SEARCH("cutlery",F613)),"Cutlery","Other")))))</f>
        <v>0</v>
      </c>
      <c r="I613">
        <f>IF('Raw Data'!G613&lt;&gt;'','Raw Data'!G613,IFERROR(MID(F613,SEARCH("MODEL",F613)+6,20),""))</f>
        <v>0</v>
      </c>
      <c r="J613">
        <f>'Raw Data'!H613</f>
        <v>0</v>
      </c>
      <c r="K613">
        <f>'Raw Data'!I613</f>
        <v>0</v>
      </c>
      <c r="L613">
        <f>IF('Raw Data'!N613&lt;&gt;0,'Raw Data'!N613,IFERROR(VALUE(MID(F613,SEARCH("QTY",F613)+4,IFERROR(FIND(" ",F613,SEARCH("QTY",F613)+4)-(SEARCH("QTY",F613)+4),3))),""))</f>
        <v>0</v>
      </c>
      <c r="M613">
        <f>'Raw Data'!O613</f>
        <v>0</v>
      </c>
      <c r="N613">
        <f>'Raw Data'!P613</f>
        <v>0</v>
      </c>
      <c r="O613">
        <f>'Raw Data'!Q613</f>
        <v>0</v>
      </c>
      <c r="P613">
        <f>'Raw Data'!R613</f>
        <v>0</v>
      </c>
      <c r="Q613">
        <f>'Raw Data'!S613</f>
        <v>0</v>
      </c>
      <c r="R613">
        <f>'Raw Data'!T613</f>
        <v>0</v>
      </c>
      <c r="S613">
        <f>IFERROR(O613,0)+IFERROR(R613,0)</f>
        <v>0</v>
      </c>
      <c r="T613">
        <f>IF(A613="","",YEAR(A613))</f>
        <v>0</v>
      </c>
    </row>
    <row r="614" spans="1:20">
      <c r="A614">
        <f>'Raw Data'!B614</f>
        <v>0</v>
      </c>
      <c r="B614">
        <f>'Raw Data'!A614</f>
        <v>0</v>
      </c>
      <c r="C614">
        <f>'Raw Data'!C614</f>
        <v>0</v>
      </c>
      <c r="D614">
        <f>'Raw Data'!D614</f>
        <v>0</v>
      </c>
      <c r="E614">
        <f>IFERROR(VLOOKUP(D614,'Lookup Tables'!$A:$B,2,FALSE),"Unknown")</f>
        <v>0</v>
      </c>
      <c r="F614">
        <f>'Raw Data'!E614</f>
        <v>0</v>
      </c>
      <c r="G614">
        <f>IFERROR(VLOOKUP(D614,'Lookup Tables'!$A:$C,3,FALSE),IF(ISNUMBER(SEARCH("STEEL",F614)),"Steel","Others"))</f>
        <v>0</v>
      </c>
      <c r="H614">
        <f>IF(ISNUMBER(SEARCH("scrubber",F614)) , "Scrubber", IF(ISNUMBER(SEARCH("container",F614)),"Container", IF(ISNUMBER(SEARCH("basket",F614)),"Basket", IF(ISNUMBER(SEARCH("lunch",F614)),"Lunch Box", IF(ISNUMBER(SEARCH("cutlery",F614)),"Cutlery","Other")))))</f>
        <v>0</v>
      </c>
      <c r="I614">
        <f>IF('Raw Data'!G614&lt;&gt;'','Raw Data'!G614,IFERROR(MID(F614,SEARCH("MODEL",F614)+6,20),""))</f>
        <v>0</v>
      </c>
      <c r="J614">
        <f>'Raw Data'!H614</f>
        <v>0</v>
      </c>
      <c r="K614">
        <f>'Raw Data'!I614</f>
        <v>0</v>
      </c>
      <c r="L614">
        <f>IF('Raw Data'!N614&lt;&gt;0,'Raw Data'!N614,IFERROR(VALUE(MID(F614,SEARCH("QTY",F614)+4,IFERROR(FIND(" ",F614,SEARCH("QTY",F614)+4)-(SEARCH("QTY",F614)+4),3))),""))</f>
        <v>0</v>
      </c>
      <c r="M614">
        <f>'Raw Data'!O614</f>
        <v>0</v>
      </c>
      <c r="N614">
        <f>'Raw Data'!P614</f>
        <v>0</v>
      </c>
      <c r="O614">
        <f>'Raw Data'!Q614</f>
        <v>0</v>
      </c>
      <c r="P614">
        <f>'Raw Data'!R614</f>
        <v>0</v>
      </c>
      <c r="Q614">
        <f>'Raw Data'!S614</f>
        <v>0</v>
      </c>
      <c r="R614">
        <f>'Raw Data'!T614</f>
        <v>0</v>
      </c>
      <c r="S614">
        <f>IFERROR(O614,0)+IFERROR(R614,0)</f>
        <v>0</v>
      </c>
      <c r="T614">
        <f>IF(A614="","",YEAR(A614))</f>
        <v>0</v>
      </c>
    </row>
    <row r="615" spans="1:20">
      <c r="A615">
        <f>'Raw Data'!B615</f>
        <v>0</v>
      </c>
      <c r="B615">
        <f>'Raw Data'!A615</f>
        <v>0</v>
      </c>
      <c r="C615">
        <f>'Raw Data'!C615</f>
        <v>0</v>
      </c>
      <c r="D615">
        <f>'Raw Data'!D615</f>
        <v>0</v>
      </c>
      <c r="E615">
        <f>IFERROR(VLOOKUP(D615,'Lookup Tables'!$A:$B,2,FALSE),"Unknown")</f>
        <v>0</v>
      </c>
      <c r="F615">
        <f>'Raw Data'!E615</f>
        <v>0</v>
      </c>
      <c r="G615">
        <f>IFERROR(VLOOKUP(D615,'Lookup Tables'!$A:$C,3,FALSE),IF(ISNUMBER(SEARCH("STEEL",F615)),"Steel","Others"))</f>
        <v>0</v>
      </c>
      <c r="H615">
        <f>IF(ISNUMBER(SEARCH("scrubber",F615)) , "Scrubber", IF(ISNUMBER(SEARCH("container",F615)),"Container", IF(ISNUMBER(SEARCH("basket",F615)),"Basket", IF(ISNUMBER(SEARCH("lunch",F615)),"Lunch Box", IF(ISNUMBER(SEARCH("cutlery",F615)),"Cutlery","Other")))))</f>
        <v>0</v>
      </c>
      <c r="I615">
        <f>IF('Raw Data'!G615&lt;&gt;'','Raw Data'!G615,IFERROR(MID(F615,SEARCH("MODEL",F615)+6,20),""))</f>
        <v>0</v>
      </c>
      <c r="J615">
        <f>'Raw Data'!H615</f>
        <v>0</v>
      </c>
      <c r="K615">
        <f>'Raw Data'!I615</f>
        <v>0</v>
      </c>
      <c r="L615">
        <f>IF('Raw Data'!N615&lt;&gt;0,'Raw Data'!N615,IFERROR(VALUE(MID(F615,SEARCH("QTY",F615)+4,IFERROR(FIND(" ",F615,SEARCH("QTY",F615)+4)-(SEARCH("QTY",F615)+4),3))),""))</f>
        <v>0</v>
      </c>
      <c r="M615">
        <f>'Raw Data'!O615</f>
        <v>0</v>
      </c>
      <c r="N615">
        <f>'Raw Data'!P615</f>
        <v>0</v>
      </c>
      <c r="O615">
        <f>'Raw Data'!Q615</f>
        <v>0</v>
      </c>
      <c r="P615">
        <f>'Raw Data'!R615</f>
        <v>0</v>
      </c>
      <c r="Q615">
        <f>'Raw Data'!S615</f>
        <v>0</v>
      </c>
      <c r="R615">
        <f>'Raw Data'!T615</f>
        <v>0</v>
      </c>
      <c r="S615">
        <f>IFERROR(O615,0)+IFERROR(R615,0)</f>
        <v>0</v>
      </c>
      <c r="T615">
        <f>IF(A615="","",YEAR(A615))</f>
        <v>0</v>
      </c>
    </row>
    <row r="616" spans="1:20">
      <c r="A616">
        <f>'Raw Data'!B616</f>
        <v>0</v>
      </c>
      <c r="B616">
        <f>'Raw Data'!A616</f>
        <v>0</v>
      </c>
      <c r="C616">
        <f>'Raw Data'!C616</f>
        <v>0</v>
      </c>
      <c r="D616">
        <f>'Raw Data'!D616</f>
        <v>0</v>
      </c>
      <c r="E616">
        <f>IFERROR(VLOOKUP(D616,'Lookup Tables'!$A:$B,2,FALSE),"Unknown")</f>
        <v>0</v>
      </c>
      <c r="F616">
        <f>'Raw Data'!E616</f>
        <v>0</v>
      </c>
      <c r="G616">
        <f>IFERROR(VLOOKUP(D616,'Lookup Tables'!$A:$C,3,FALSE),IF(ISNUMBER(SEARCH("STEEL",F616)),"Steel","Others"))</f>
        <v>0</v>
      </c>
      <c r="H616">
        <f>IF(ISNUMBER(SEARCH("scrubber",F616)) , "Scrubber", IF(ISNUMBER(SEARCH("container",F616)),"Container", IF(ISNUMBER(SEARCH("basket",F616)),"Basket", IF(ISNUMBER(SEARCH("lunch",F616)),"Lunch Box", IF(ISNUMBER(SEARCH("cutlery",F616)),"Cutlery","Other")))))</f>
        <v>0</v>
      </c>
      <c r="I616">
        <f>IF('Raw Data'!G616&lt;&gt;'','Raw Data'!G616,IFERROR(MID(F616,SEARCH("MODEL",F616)+6,20),""))</f>
        <v>0</v>
      </c>
      <c r="J616">
        <f>'Raw Data'!H616</f>
        <v>0</v>
      </c>
      <c r="K616">
        <f>'Raw Data'!I616</f>
        <v>0</v>
      </c>
      <c r="L616">
        <f>IF('Raw Data'!N616&lt;&gt;0,'Raw Data'!N616,IFERROR(VALUE(MID(F616,SEARCH("QTY",F616)+4,IFERROR(FIND(" ",F616,SEARCH("QTY",F616)+4)-(SEARCH("QTY",F616)+4),3))),""))</f>
        <v>0</v>
      </c>
      <c r="M616">
        <f>'Raw Data'!O616</f>
        <v>0</v>
      </c>
      <c r="N616">
        <f>'Raw Data'!P616</f>
        <v>0</v>
      </c>
      <c r="O616">
        <f>'Raw Data'!Q616</f>
        <v>0</v>
      </c>
      <c r="P616">
        <f>'Raw Data'!R616</f>
        <v>0</v>
      </c>
      <c r="Q616">
        <f>'Raw Data'!S616</f>
        <v>0</v>
      </c>
      <c r="R616">
        <f>'Raw Data'!T616</f>
        <v>0</v>
      </c>
      <c r="S616">
        <f>IFERROR(O616,0)+IFERROR(R616,0)</f>
        <v>0</v>
      </c>
      <c r="T616">
        <f>IF(A616="","",YEAR(A616))</f>
        <v>0</v>
      </c>
    </row>
    <row r="617" spans="1:20">
      <c r="A617">
        <f>'Raw Data'!B617</f>
        <v>0</v>
      </c>
      <c r="B617">
        <f>'Raw Data'!A617</f>
        <v>0</v>
      </c>
      <c r="C617">
        <f>'Raw Data'!C617</f>
        <v>0</v>
      </c>
      <c r="D617">
        <f>'Raw Data'!D617</f>
        <v>0</v>
      </c>
      <c r="E617">
        <f>IFERROR(VLOOKUP(D617,'Lookup Tables'!$A:$B,2,FALSE),"Unknown")</f>
        <v>0</v>
      </c>
      <c r="F617">
        <f>'Raw Data'!E617</f>
        <v>0</v>
      </c>
      <c r="G617">
        <f>IFERROR(VLOOKUP(D617,'Lookup Tables'!$A:$C,3,FALSE),IF(ISNUMBER(SEARCH("STEEL",F617)),"Steel","Others"))</f>
        <v>0</v>
      </c>
      <c r="H617">
        <f>IF(ISNUMBER(SEARCH("scrubber",F617)) , "Scrubber", IF(ISNUMBER(SEARCH("container",F617)),"Container", IF(ISNUMBER(SEARCH("basket",F617)),"Basket", IF(ISNUMBER(SEARCH("lunch",F617)),"Lunch Box", IF(ISNUMBER(SEARCH("cutlery",F617)),"Cutlery","Other")))))</f>
        <v>0</v>
      </c>
      <c r="I617">
        <f>IF('Raw Data'!G617&lt;&gt;'','Raw Data'!G617,IFERROR(MID(F617,SEARCH("MODEL",F617)+6,20),""))</f>
        <v>0</v>
      </c>
      <c r="J617">
        <f>'Raw Data'!H617</f>
        <v>0</v>
      </c>
      <c r="K617">
        <f>'Raw Data'!I617</f>
        <v>0</v>
      </c>
      <c r="L617">
        <f>IF('Raw Data'!N617&lt;&gt;0,'Raw Data'!N617,IFERROR(VALUE(MID(F617,SEARCH("QTY",F617)+4,IFERROR(FIND(" ",F617,SEARCH("QTY",F617)+4)-(SEARCH("QTY",F617)+4),3))),""))</f>
        <v>0</v>
      </c>
      <c r="M617">
        <f>'Raw Data'!O617</f>
        <v>0</v>
      </c>
      <c r="N617">
        <f>'Raw Data'!P617</f>
        <v>0</v>
      </c>
      <c r="O617">
        <f>'Raw Data'!Q617</f>
        <v>0</v>
      </c>
      <c r="P617">
        <f>'Raw Data'!R617</f>
        <v>0</v>
      </c>
      <c r="Q617">
        <f>'Raw Data'!S617</f>
        <v>0</v>
      </c>
      <c r="R617">
        <f>'Raw Data'!T617</f>
        <v>0</v>
      </c>
      <c r="S617">
        <f>IFERROR(O617,0)+IFERROR(R617,0)</f>
        <v>0</v>
      </c>
      <c r="T617">
        <f>IF(A617="","",YEAR(A617))</f>
        <v>0</v>
      </c>
    </row>
    <row r="618" spans="1:20">
      <c r="A618">
        <f>'Raw Data'!B618</f>
        <v>0</v>
      </c>
      <c r="B618">
        <f>'Raw Data'!A618</f>
        <v>0</v>
      </c>
      <c r="C618">
        <f>'Raw Data'!C618</f>
        <v>0</v>
      </c>
      <c r="D618">
        <f>'Raw Data'!D618</f>
        <v>0</v>
      </c>
      <c r="E618">
        <f>IFERROR(VLOOKUP(D618,'Lookup Tables'!$A:$B,2,FALSE),"Unknown")</f>
        <v>0</v>
      </c>
      <c r="F618">
        <f>'Raw Data'!E618</f>
        <v>0</v>
      </c>
      <c r="G618">
        <f>IFERROR(VLOOKUP(D618,'Lookup Tables'!$A:$C,3,FALSE),IF(ISNUMBER(SEARCH("STEEL",F618)),"Steel","Others"))</f>
        <v>0</v>
      </c>
      <c r="H618">
        <f>IF(ISNUMBER(SEARCH("scrubber",F618)) , "Scrubber", IF(ISNUMBER(SEARCH("container",F618)),"Container", IF(ISNUMBER(SEARCH("basket",F618)),"Basket", IF(ISNUMBER(SEARCH("lunch",F618)),"Lunch Box", IF(ISNUMBER(SEARCH("cutlery",F618)),"Cutlery","Other")))))</f>
        <v>0</v>
      </c>
      <c r="I618">
        <f>IF('Raw Data'!G618&lt;&gt;'','Raw Data'!G618,IFERROR(MID(F618,SEARCH("MODEL",F618)+6,20),""))</f>
        <v>0</v>
      </c>
      <c r="J618">
        <f>'Raw Data'!H618</f>
        <v>0</v>
      </c>
      <c r="K618">
        <f>'Raw Data'!I618</f>
        <v>0</v>
      </c>
      <c r="L618">
        <f>IF('Raw Data'!N618&lt;&gt;0,'Raw Data'!N618,IFERROR(VALUE(MID(F618,SEARCH("QTY",F618)+4,IFERROR(FIND(" ",F618,SEARCH("QTY",F618)+4)-(SEARCH("QTY",F618)+4),3))),""))</f>
        <v>0</v>
      </c>
      <c r="M618">
        <f>'Raw Data'!O618</f>
        <v>0</v>
      </c>
      <c r="N618">
        <f>'Raw Data'!P618</f>
        <v>0</v>
      </c>
      <c r="O618">
        <f>'Raw Data'!Q618</f>
        <v>0</v>
      </c>
      <c r="P618">
        <f>'Raw Data'!R618</f>
        <v>0</v>
      </c>
      <c r="Q618">
        <f>'Raw Data'!S618</f>
        <v>0</v>
      </c>
      <c r="R618">
        <f>'Raw Data'!T618</f>
        <v>0</v>
      </c>
      <c r="S618">
        <f>IFERROR(O618,0)+IFERROR(R618,0)</f>
        <v>0</v>
      </c>
      <c r="T618">
        <f>IF(A618="","",YEAR(A618))</f>
        <v>0</v>
      </c>
    </row>
    <row r="619" spans="1:20">
      <c r="A619">
        <f>'Raw Data'!B619</f>
        <v>0</v>
      </c>
      <c r="B619">
        <f>'Raw Data'!A619</f>
        <v>0</v>
      </c>
      <c r="C619">
        <f>'Raw Data'!C619</f>
        <v>0</v>
      </c>
      <c r="D619">
        <f>'Raw Data'!D619</f>
        <v>0</v>
      </c>
      <c r="E619">
        <f>IFERROR(VLOOKUP(D619,'Lookup Tables'!$A:$B,2,FALSE),"Unknown")</f>
        <v>0</v>
      </c>
      <c r="F619">
        <f>'Raw Data'!E619</f>
        <v>0</v>
      </c>
      <c r="G619">
        <f>IFERROR(VLOOKUP(D619,'Lookup Tables'!$A:$C,3,FALSE),IF(ISNUMBER(SEARCH("STEEL",F619)),"Steel","Others"))</f>
        <v>0</v>
      </c>
      <c r="H619">
        <f>IF(ISNUMBER(SEARCH("scrubber",F619)) , "Scrubber", IF(ISNUMBER(SEARCH("container",F619)),"Container", IF(ISNUMBER(SEARCH("basket",F619)),"Basket", IF(ISNUMBER(SEARCH("lunch",F619)),"Lunch Box", IF(ISNUMBER(SEARCH("cutlery",F619)),"Cutlery","Other")))))</f>
        <v>0</v>
      </c>
      <c r="I619">
        <f>IF('Raw Data'!G619&lt;&gt;'','Raw Data'!G619,IFERROR(MID(F619,SEARCH("MODEL",F619)+6,20),""))</f>
        <v>0</v>
      </c>
      <c r="J619">
        <f>'Raw Data'!H619</f>
        <v>0</v>
      </c>
      <c r="K619">
        <f>'Raw Data'!I619</f>
        <v>0</v>
      </c>
      <c r="L619">
        <f>IF('Raw Data'!N619&lt;&gt;0,'Raw Data'!N619,IFERROR(VALUE(MID(F619,SEARCH("QTY",F619)+4,IFERROR(FIND(" ",F619,SEARCH("QTY",F619)+4)-(SEARCH("QTY",F619)+4),3))),""))</f>
        <v>0</v>
      </c>
      <c r="M619">
        <f>'Raw Data'!O619</f>
        <v>0</v>
      </c>
      <c r="N619">
        <f>'Raw Data'!P619</f>
        <v>0</v>
      </c>
      <c r="O619">
        <f>'Raw Data'!Q619</f>
        <v>0</v>
      </c>
      <c r="P619">
        <f>'Raw Data'!R619</f>
        <v>0</v>
      </c>
      <c r="Q619">
        <f>'Raw Data'!S619</f>
        <v>0</v>
      </c>
      <c r="R619">
        <f>'Raw Data'!T619</f>
        <v>0</v>
      </c>
      <c r="S619">
        <f>IFERROR(O619,0)+IFERROR(R619,0)</f>
        <v>0</v>
      </c>
      <c r="T619">
        <f>IF(A619="","",YEAR(A619))</f>
        <v>0</v>
      </c>
    </row>
    <row r="620" spans="1:20">
      <c r="A620">
        <f>'Raw Data'!B620</f>
        <v>0</v>
      </c>
      <c r="B620">
        <f>'Raw Data'!A620</f>
        <v>0</v>
      </c>
      <c r="C620">
        <f>'Raw Data'!C620</f>
        <v>0</v>
      </c>
      <c r="D620">
        <f>'Raw Data'!D620</f>
        <v>0</v>
      </c>
      <c r="E620">
        <f>IFERROR(VLOOKUP(D620,'Lookup Tables'!$A:$B,2,FALSE),"Unknown")</f>
        <v>0</v>
      </c>
      <c r="F620">
        <f>'Raw Data'!E620</f>
        <v>0</v>
      </c>
      <c r="G620">
        <f>IFERROR(VLOOKUP(D620,'Lookup Tables'!$A:$C,3,FALSE),IF(ISNUMBER(SEARCH("STEEL",F620)),"Steel","Others"))</f>
        <v>0</v>
      </c>
      <c r="H620">
        <f>IF(ISNUMBER(SEARCH("scrubber",F620)) , "Scrubber", IF(ISNUMBER(SEARCH("container",F620)),"Container", IF(ISNUMBER(SEARCH("basket",F620)),"Basket", IF(ISNUMBER(SEARCH("lunch",F620)),"Lunch Box", IF(ISNUMBER(SEARCH("cutlery",F620)),"Cutlery","Other")))))</f>
        <v>0</v>
      </c>
      <c r="I620">
        <f>IF('Raw Data'!G620&lt;&gt;'','Raw Data'!G620,IFERROR(MID(F620,SEARCH("MODEL",F620)+6,20),""))</f>
        <v>0</v>
      </c>
      <c r="J620">
        <f>'Raw Data'!H620</f>
        <v>0</v>
      </c>
      <c r="K620">
        <f>'Raw Data'!I620</f>
        <v>0</v>
      </c>
      <c r="L620">
        <f>IF('Raw Data'!N620&lt;&gt;0,'Raw Data'!N620,IFERROR(VALUE(MID(F620,SEARCH("QTY",F620)+4,IFERROR(FIND(" ",F620,SEARCH("QTY",F620)+4)-(SEARCH("QTY",F620)+4),3))),""))</f>
        <v>0</v>
      </c>
      <c r="M620">
        <f>'Raw Data'!O620</f>
        <v>0</v>
      </c>
      <c r="N620">
        <f>'Raw Data'!P620</f>
        <v>0</v>
      </c>
      <c r="O620">
        <f>'Raw Data'!Q620</f>
        <v>0</v>
      </c>
      <c r="P620">
        <f>'Raw Data'!R620</f>
        <v>0</v>
      </c>
      <c r="Q620">
        <f>'Raw Data'!S620</f>
        <v>0</v>
      </c>
      <c r="R620">
        <f>'Raw Data'!T620</f>
        <v>0</v>
      </c>
      <c r="S620">
        <f>IFERROR(O620,0)+IFERROR(R620,0)</f>
        <v>0</v>
      </c>
      <c r="T620">
        <f>IF(A620="","",YEAR(A620))</f>
        <v>0</v>
      </c>
    </row>
    <row r="621" spans="1:20">
      <c r="A621">
        <f>'Raw Data'!B621</f>
        <v>0</v>
      </c>
      <c r="B621">
        <f>'Raw Data'!A621</f>
        <v>0</v>
      </c>
      <c r="C621">
        <f>'Raw Data'!C621</f>
        <v>0</v>
      </c>
      <c r="D621">
        <f>'Raw Data'!D621</f>
        <v>0</v>
      </c>
      <c r="E621">
        <f>IFERROR(VLOOKUP(D621,'Lookup Tables'!$A:$B,2,FALSE),"Unknown")</f>
        <v>0</v>
      </c>
      <c r="F621">
        <f>'Raw Data'!E621</f>
        <v>0</v>
      </c>
      <c r="G621">
        <f>IFERROR(VLOOKUP(D621,'Lookup Tables'!$A:$C,3,FALSE),IF(ISNUMBER(SEARCH("STEEL",F621)),"Steel","Others"))</f>
        <v>0</v>
      </c>
      <c r="H621">
        <f>IF(ISNUMBER(SEARCH("scrubber",F621)) , "Scrubber", IF(ISNUMBER(SEARCH("container",F621)),"Container", IF(ISNUMBER(SEARCH("basket",F621)),"Basket", IF(ISNUMBER(SEARCH("lunch",F621)),"Lunch Box", IF(ISNUMBER(SEARCH("cutlery",F621)),"Cutlery","Other")))))</f>
        <v>0</v>
      </c>
      <c r="I621">
        <f>IF('Raw Data'!G621&lt;&gt;'','Raw Data'!G621,IFERROR(MID(F621,SEARCH("MODEL",F621)+6,20),""))</f>
        <v>0</v>
      </c>
      <c r="J621">
        <f>'Raw Data'!H621</f>
        <v>0</v>
      </c>
      <c r="K621">
        <f>'Raw Data'!I621</f>
        <v>0</v>
      </c>
      <c r="L621">
        <f>IF('Raw Data'!N621&lt;&gt;0,'Raw Data'!N621,IFERROR(VALUE(MID(F621,SEARCH("QTY",F621)+4,IFERROR(FIND(" ",F621,SEARCH("QTY",F621)+4)-(SEARCH("QTY",F621)+4),3))),""))</f>
        <v>0</v>
      </c>
      <c r="M621">
        <f>'Raw Data'!O621</f>
        <v>0</v>
      </c>
      <c r="N621">
        <f>'Raw Data'!P621</f>
        <v>0</v>
      </c>
      <c r="O621">
        <f>'Raw Data'!Q621</f>
        <v>0</v>
      </c>
      <c r="P621">
        <f>'Raw Data'!R621</f>
        <v>0</v>
      </c>
      <c r="Q621">
        <f>'Raw Data'!S621</f>
        <v>0</v>
      </c>
      <c r="R621">
        <f>'Raw Data'!T621</f>
        <v>0</v>
      </c>
      <c r="S621">
        <f>IFERROR(O621,0)+IFERROR(R621,0)</f>
        <v>0</v>
      </c>
      <c r="T621">
        <f>IF(A621="","",YEAR(A621))</f>
        <v>0</v>
      </c>
    </row>
    <row r="622" spans="1:20">
      <c r="A622">
        <f>'Raw Data'!B622</f>
        <v>0</v>
      </c>
      <c r="B622">
        <f>'Raw Data'!A622</f>
        <v>0</v>
      </c>
      <c r="C622">
        <f>'Raw Data'!C622</f>
        <v>0</v>
      </c>
      <c r="D622">
        <f>'Raw Data'!D622</f>
        <v>0</v>
      </c>
      <c r="E622">
        <f>IFERROR(VLOOKUP(D622,'Lookup Tables'!$A:$B,2,FALSE),"Unknown")</f>
        <v>0</v>
      </c>
      <c r="F622">
        <f>'Raw Data'!E622</f>
        <v>0</v>
      </c>
      <c r="G622">
        <f>IFERROR(VLOOKUP(D622,'Lookup Tables'!$A:$C,3,FALSE),IF(ISNUMBER(SEARCH("STEEL",F622)),"Steel","Others"))</f>
        <v>0</v>
      </c>
      <c r="H622">
        <f>IF(ISNUMBER(SEARCH("scrubber",F622)) , "Scrubber", IF(ISNUMBER(SEARCH("container",F622)),"Container", IF(ISNUMBER(SEARCH("basket",F622)),"Basket", IF(ISNUMBER(SEARCH("lunch",F622)),"Lunch Box", IF(ISNUMBER(SEARCH("cutlery",F622)),"Cutlery","Other")))))</f>
        <v>0</v>
      </c>
      <c r="I622">
        <f>IF('Raw Data'!G622&lt;&gt;'','Raw Data'!G622,IFERROR(MID(F622,SEARCH("MODEL",F622)+6,20),""))</f>
        <v>0</v>
      </c>
      <c r="J622">
        <f>'Raw Data'!H622</f>
        <v>0</v>
      </c>
      <c r="K622">
        <f>'Raw Data'!I622</f>
        <v>0</v>
      </c>
      <c r="L622">
        <f>IF('Raw Data'!N622&lt;&gt;0,'Raw Data'!N622,IFERROR(VALUE(MID(F622,SEARCH("QTY",F622)+4,IFERROR(FIND(" ",F622,SEARCH("QTY",F622)+4)-(SEARCH("QTY",F622)+4),3))),""))</f>
        <v>0</v>
      </c>
      <c r="M622">
        <f>'Raw Data'!O622</f>
        <v>0</v>
      </c>
      <c r="N622">
        <f>'Raw Data'!P622</f>
        <v>0</v>
      </c>
      <c r="O622">
        <f>'Raw Data'!Q622</f>
        <v>0</v>
      </c>
      <c r="P622">
        <f>'Raw Data'!R622</f>
        <v>0</v>
      </c>
      <c r="Q622">
        <f>'Raw Data'!S622</f>
        <v>0</v>
      </c>
      <c r="R622">
        <f>'Raw Data'!T622</f>
        <v>0</v>
      </c>
      <c r="S622">
        <f>IFERROR(O622,0)+IFERROR(R622,0)</f>
        <v>0</v>
      </c>
      <c r="T622">
        <f>IF(A622="","",YEAR(A622))</f>
        <v>0</v>
      </c>
    </row>
    <row r="623" spans="1:20">
      <c r="A623">
        <f>'Raw Data'!B623</f>
        <v>0</v>
      </c>
      <c r="B623">
        <f>'Raw Data'!A623</f>
        <v>0</v>
      </c>
      <c r="C623">
        <f>'Raw Data'!C623</f>
        <v>0</v>
      </c>
      <c r="D623">
        <f>'Raw Data'!D623</f>
        <v>0</v>
      </c>
      <c r="E623">
        <f>IFERROR(VLOOKUP(D623,'Lookup Tables'!$A:$B,2,FALSE),"Unknown")</f>
        <v>0</v>
      </c>
      <c r="F623">
        <f>'Raw Data'!E623</f>
        <v>0</v>
      </c>
      <c r="G623">
        <f>IFERROR(VLOOKUP(D623,'Lookup Tables'!$A:$C,3,FALSE),IF(ISNUMBER(SEARCH("STEEL",F623)),"Steel","Others"))</f>
        <v>0</v>
      </c>
      <c r="H623">
        <f>IF(ISNUMBER(SEARCH("scrubber",F623)) , "Scrubber", IF(ISNUMBER(SEARCH("container",F623)),"Container", IF(ISNUMBER(SEARCH("basket",F623)),"Basket", IF(ISNUMBER(SEARCH("lunch",F623)),"Lunch Box", IF(ISNUMBER(SEARCH("cutlery",F623)),"Cutlery","Other")))))</f>
        <v>0</v>
      </c>
      <c r="I623">
        <f>IF('Raw Data'!G623&lt;&gt;'','Raw Data'!G623,IFERROR(MID(F623,SEARCH("MODEL",F623)+6,20),""))</f>
        <v>0</v>
      </c>
      <c r="J623">
        <f>'Raw Data'!H623</f>
        <v>0</v>
      </c>
      <c r="K623">
        <f>'Raw Data'!I623</f>
        <v>0</v>
      </c>
      <c r="L623">
        <f>IF('Raw Data'!N623&lt;&gt;0,'Raw Data'!N623,IFERROR(VALUE(MID(F623,SEARCH("QTY",F623)+4,IFERROR(FIND(" ",F623,SEARCH("QTY",F623)+4)-(SEARCH("QTY",F623)+4),3))),""))</f>
        <v>0</v>
      </c>
      <c r="M623">
        <f>'Raw Data'!O623</f>
        <v>0</v>
      </c>
      <c r="N623">
        <f>'Raw Data'!P623</f>
        <v>0</v>
      </c>
      <c r="O623">
        <f>'Raw Data'!Q623</f>
        <v>0</v>
      </c>
      <c r="P623">
        <f>'Raw Data'!R623</f>
        <v>0</v>
      </c>
      <c r="Q623">
        <f>'Raw Data'!S623</f>
        <v>0</v>
      </c>
      <c r="R623">
        <f>'Raw Data'!T623</f>
        <v>0</v>
      </c>
      <c r="S623">
        <f>IFERROR(O623,0)+IFERROR(R623,0)</f>
        <v>0</v>
      </c>
      <c r="T623">
        <f>IF(A623="","",YEAR(A623))</f>
        <v>0</v>
      </c>
    </row>
    <row r="624" spans="1:20">
      <c r="A624">
        <f>'Raw Data'!B624</f>
        <v>0</v>
      </c>
      <c r="B624">
        <f>'Raw Data'!A624</f>
        <v>0</v>
      </c>
      <c r="C624">
        <f>'Raw Data'!C624</f>
        <v>0</v>
      </c>
      <c r="D624">
        <f>'Raw Data'!D624</f>
        <v>0</v>
      </c>
      <c r="E624">
        <f>IFERROR(VLOOKUP(D624,'Lookup Tables'!$A:$B,2,FALSE),"Unknown")</f>
        <v>0</v>
      </c>
      <c r="F624">
        <f>'Raw Data'!E624</f>
        <v>0</v>
      </c>
      <c r="G624">
        <f>IFERROR(VLOOKUP(D624,'Lookup Tables'!$A:$C,3,FALSE),IF(ISNUMBER(SEARCH("STEEL",F624)),"Steel","Others"))</f>
        <v>0</v>
      </c>
      <c r="H624">
        <f>IF(ISNUMBER(SEARCH("scrubber",F624)) , "Scrubber", IF(ISNUMBER(SEARCH("container",F624)),"Container", IF(ISNUMBER(SEARCH("basket",F624)),"Basket", IF(ISNUMBER(SEARCH("lunch",F624)),"Lunch Box", IF(ISNUMBER(SEARCH("cutlery",F624)),"Cutlery","Other")))))</f>
        <v>0</v>
      </c>
      <c r="I624">
        <f>IF('Raw Data'!G624&lt;&gt;'','Raw Data'!G624,IFERROR(MID(F624,SEARCH("MODEL",F624)+6,20),""))</f>
        <v>0</v>
      </c>
      <c r="J624">
        <f>'Raw Data'!H624</f>
        <v>0</v>
      </c>
      <c r="K624">
        <f>'Raw Data'!I624</f>
        <v>0</v>
      </c>
      <c r="L624">
        <f>IF('Raw Data'!N624&lt;&gt;0,'Raw Data'!N624,IFERROR(VALUE(MID(F624,SEARCH("QTY",F624)+4,IFERROR(FIND(" ",F624,SEARCH("QTY",F624)+4)-(SEARCH("QTY",F624)+4),3))),""))</f>
        <v>0</v>
      </c>
      <c r="M624">
        <f>'Raw Data'!O624</f>
        <v>0</v>
      </c>
      <c r="N624">
        <f>'Raw Data'!P624</f>
        <v>0</v>
      </c>
      <c r="O624">
        <f>'Raw Data'!Q624</f>
        <v>0</v>
      </c>
      <c r="P624">
        <f>'Raw Data'!R624</f>
        <v>0</v>
      </c>
      <c r="Q624">
        <f>'Raw Data'!S624</f>
        <v>0</v>
      </c>
      <c r="R624">
        <f>'Raw Data'!T624</f>
        <v>0</v>
      </c>
      <c r="S624">
        <f>IFERROR(O624,0)+IFERROR(R624,0)</f>
        <v>0</v>
      </c>
      <c r="T624">
        <f>IF(A624="","",YEAR(A624))</f>
        <v>0</v>
      </c>
    </row>
    <row r="625" spans="1:20">
      <c r="A625">
        <f>'Raw Data'!B625</f>
        <v>0</v>
      </c>
      <c r="B625">
        <f>'Raw Data'!A625</f>
        <v>0</v>
      </c>
      <c r="C625">
        <f>'Raw Data'!C625</f>
        <v>0</v>
      </c>
      <c r="D625">
        <f>'Raw Data'!D625</f>
        <v>0</v>
      </c>
      <c r="E625">
        <f>IFERROR(VLOOKUP(D625,'Lookup Tables'!$A:$B,2,FALSE),"Unknown")</f>
        <v>0</v>
      </c>
      <c r="F625">
        <f>'Raw Data'!E625</f>
        <v>0</v>
      </c>
      <c r="G625">
        <f>IFERROR(VLOOKUP(D625,'Lookup Tables'!$A:$C,3,FALSE),IF(ISNUMBER(SEARCH("STEEL",F625)),"Steel","Others"))</f>
        <v>0</v>
      </c>
      <c r="H625">
        <f>IF(ISNUMBER(SEARCH("scrubber",F625)) , "Scrubber", IF(ISNUMBER(SEARCH("container",F625)),"Container", IF(ISNUMBER(SEARCH("basket",F625)),"Basket", IF(ISNUMBER(SEARCH("lunch",F625)),"Lunch Box", IF(ISNUMBER(SEARCH("cutlery",F625)),"Cutlery","Other")))))</f>
        <v>0</v>
      </c>
      <c r="I625">
        <f>IF('Raw Data'!G625&lt;&gt;'','Raw Data'!G625,IFERROR(MID(F625,SEARCH("MODEL",F625)+6,20),""))</f>
        <v>0</v>
      </c>
      <c r="J625">
        <f>'Raw Data'!H625</f>
        <v>0</v>
      </c>
      <c r="K625">
        <f>'Raw Data'!I625</f>
        <v>0</v>
      </c>
      <c r="L625">
        <f>IF('Raw Data'!N625&lt;&gt;0,'Raw Data'!N625,IFERROR(VALUE(MID(F625,SEARCH("QTY",F625)+4,IFERROR(FIND(" ",F625,SEARCH("QTY",F625)+4)-(SEARCH("QTY",F625)+4),3))),""))</f>
        <v>0</v>
      </c>
      <c r="M625">
        <f>'Raw Data'!O625</f>
        <v>0</v>
      </c>
      <c r="N625">
        <f>'Raw Data'!P625</f>
        <v>0</v>
      </c>
      <c r="O625">
        <f>'Raw Data'!Q625</f>
        <v>0</v>
      </c>
      <c r="P625">
        <f>'Raw Data'!R625</f>
        <v>0</v>
      </c>
      <c r="Q625">
        <f>'Raw Data'!S625</f>
        <v>0</v>
      </c>
      <c r="R625">
        <f>'Raw Data'!T625</f>
        <v>0</v>
      </c>
      <c r="S625">
        <f>IFERROR(O625,0)+IFERROR(R625,0)</f>
        <v>0</v>
      </c>
      <c r="T625">
        <f>IF(A625="","",YEAR(A625))</f>
        <v>0</v>
      </c>
    </row>
    <row r="626" spans="1:20">
      <c r="A626">
        <f>'Raw Data'!B626</f>
        <v>0</v>
      </c>
      <c r="B626">
        <f>'Raw Data'!A626</f>
        <v>0</v>
      </c>
      <c r="C626">
        <f>'Raw Data'!C626</f>
        <v>0</v>
      </c>
      <c r="D626">
        <f>'Raw Data'!D626</f>
        <v>0</v>
      </c>
      <c r="E626">
        <f>IFERROR(VLOOKUP(D626,'Lookup Tables'!$A:$B,2,FALSE),"Unknown")</f>
        <v>0</v>
      </c>
      <c r="F626">
        <f>'Raw Data'!E626</f>
        <v>0</v>
      </c>
      <c r="G626">
        <f>IFERROR(VLOOKUP(D626,'Lookup Tables'!$A:$C,3,FALSE),IF(ISNUMBER(SEARCH("STEEL",F626)),"Steel","Others"))</f>
        <v>0</v>
      </c>
      <c r="H626">
        <f>IF(ISNUMBER(SEARCH("scrubber",F626)) , "Scrubber", IF(ISNUMBER(SEARCH("container",F626)),"Container", IF(ISNUMBER(SEARCH("basket",F626)),"Basket", IF(ISNUMBER(SEARCH("lunch",F626)),"Lunch Box", IF(ISNUMBER(SEARCH("cutlery",F626)),"Cutlery","Other")))))</f>
        <v>0</v>
      </c>
      <c r="I626">
        <f>IF('Raw Data'!G626&lt;&gt;'','Raw Data'!G626,IFERROR(MID(F626,SEARCH("MODEL",F626)+6,20),""))</f>
        <v>0</v>
      </c>
      <c r="J626">
        <f>'Raw Data'!H626</f>
        <v>0</v>
      </c>
      <c r="K626">
        <f>'Raw Data'!I626</f>
        <v>0</v>
      </c>
      <c r="L626">
        <f>IF('Raw Data'!N626&lt;&gt;0,'Raw Data'!N626,IFERROR(VALUE(MID(F626,SEARCH("QTY",F626)+4,IFERROR(FIND(" ",F626,SEARCH("QTY",F626)+4)-(SEARCH("QTY",F626)+4),3))),""))</f>
        <v>0</v>
      </c>
      <c r="M626">
        <f>'Raw Data'!O626</f>
        <v>0</v>
      </c>
      <c r="N626">
        <f>'Raw Data'!P626</f>
        <v>0</v>
      </c>
      <c r="O626">
        <f>'Raw Data'!Q626</f>
        <v>0</v>
      </c>
      <c r="P626">
        <f>'Raw Data'!R626</f>
        <v>0</v>
      </c>
      <c r="Q626">
        <f>'Raw Data'!S626</f>
        <v>0</v>
      </c>
      <c r="R626">
        <f>'Raw Data'!T626</f>
        <v>0</v>
      </c>
      <c r="S626">
        <f>IFERROR(O626,0)+IFERROR(R626,0)</f>
        <v>0</v>
      </c>
      <c r="T626">
        <f>IF(A626="","",YEAR(A626))</f>
        <v>0</v>
      </c>
    </row>
    <row r="627" spans="1:20">
      <c r="A627">
        <f>'Raw Data'!B627</f>
        <v>0</v>
      </c>
      <c r="B627">
        <f>'Raw Data'!A627</f>
        <v>0</v>
      </c>
      <c r="C627">
        <f>'Raw Data'!C627</f>
        <v>0</v>
      </c>
      <c r="D627">
        <f>'Raw Data'!D627</f>
        <v>0</v>
      </c>
      <c r="E627">
        <f>IFERROR(VLOOKUP(D627,'Lookup Tables'!$A:$B,2,FALSE),"Unknown")</f>
        <v>0</v>
      </c>
      <c r="F627">
        <f>'Raw Data'!E627</f>
        <v>0</v>
      </c>
      <c r="G627">
        <f>IFERROR(VLOOKUP(D627,'Lookup Tables'!$A:$C,3,FALSE),IF(ISNUMBER(SEARCH("STEEL",F627)),"Steel","Others"))</f>
        <v>0</v>
      </c>
      <c r="H627">
        <f>IF(ISNUMBER(SEARCH("scrubber",F627)) , "Scrubber", IF(ISNUMBER(SEARCH("container",F627)),"Container", IF(ISNUMBER(SEARCH("basket",F627)),"Basket", IF(ISNUMBER(SEARCH("lunch",F627)),"Lunch Box", IF(ISNUMBER(SEARCH("cutlery",F627)),"Cutlery","Other")))))</f>
        <v>0</v>
      </c>
      <c r="I627">
        <f>IF('Raw Data'!G627&lt;&gt;'','Raw Data'!G627,IFERROR(MID(F627,SEARCH("MODEL",F627)+6,20),""))</f>
        <v>0</v>
      </c>
      <c r="J627">
        <f>'Raw Data'!H627</f>
        <v>0</v>
      </c>
      <c r="K627">
        <f>'Raw Data'!I627</f>
        <v>0</v>
      </c>
      <c r="L627">
        <f>IF('Raw Data'!N627&lt;&gt;0,'Raw Data'!N627,IFERROR(VALUE(MID(F627,SEARCH("QTY",F627)+4,IFERROR(FIND(" ",F627,SEARCH("QTY",F627)+4)-(SEARCH("QTY",F627)+4),3))),""))</f>
        <v>0</v>
      </c>
      <c r="M627">
        <f>'Raw Data'!O627</f>
        <v>0</v>
      </c>
      <c r="N627">
        <f>'Raw Data'!P627</f>
        <v>0</v>
      </c>
      <c r="O627">
        <f>'Raw Data'!Q627</f>
        <v>0</v>
      </c>
      <c r="P627">
        <f>'Raw Data'!R627</f>
        <v>0</v>
      </c>
      <c r="Q627">
        <f>'Raw Data'!S627</f>
        <v>0</v>
      </c>
      <c r="R627">
        <f>'Raw Data'!T627</f>
        <v>0</v>
      </c>
      <c r="S627">
        <f>IFERROR(O627,0)+IFERROR(R627,0)</f>
        <v>0</v>
      </c>
      <c r="T627">
        <f>IF(A627="","",YEAR(A627))</f>
        <v>0</v>
      </c>
    </row>
    <row r="628" spans="1:20">
      <c r="A628">
        <f>'Raw Data'!B628</f>
        <v>0</v>
      </c>
      <c r="B628">
        <f>'Raw Data'!A628</f>
        <v>0</v>
      </c>
      <c r="C628">
        <f>'Raw Data'!C628</f>
        <v>0</v>
      </c>
      <c r="D628">
        <f>'Raw Data'!D628</f>
        <v>0</v>
      </c>
      <c r="E628">
        <f>IFERROR(VLOOKUP(D628,'Lookup Tables'!$A:$B,2,FALSE),"Unknown")</f>
        <v>0</v>
      </c>
      <c r="F628">
        <f>'Raw Data'!E628</f>
        <v>0</v>
      </c>
      <c r="G628">
        <f>IFERROR(VLOOKUP(D628,'Lookup Tables'!$A:$C,3,FALSE),IF(ISNUMBER(SEARCH("STEEL",F628)),"Steel","Others"))</f>
        <v>0</v>
      </c>
      <c r="H628">
        <f>IF(ISNUMBER(SEARCH("scrubber",F628)) , "Scrubber", IF(ISNUMBER(SEARCH("container",F628)),"Container", IF(ISNUMBER(SEARCH("basket",F628)),"Basket", IF(ISNUMBER(SEARCH("lunch",F628)),"Lunch Box", IF(ISNUMBER(SEARCH("cutlery",F628)),"Cutlery","Other")))))</f>
        <v>0</v>
      </c>
      <c r="I628">
        <f>IF('Raw Data'!G628&lt;&gt;'','Raw Data'!G628,IFERROR(MID(F628,SEARCH("MODEL",F628)+6,20),""))</f>
        <v>0</v>
      </c>
      <c r="J628">
        <f>'Raw Data'!H628</f>
        <v>0</v>
      </c>
      <c r="K628">
        <f>'Raw Data'!I628</f>
        <v>0</v>
      </c>
      <c r="L628">
        <f>IF('Raw Data'!N628&lt;&gt;0,'Raw Data'!N628,IFERROR(VALUE(MID(F628,SEARCH("QTY",F628)+4,IFERROR(FIND(" ",F628,SEARCH("QTY",F628)+4)-(SEARCH("QTY",F628)+4),3))),""))</f>
        <v>0</v>
      </c>
      <c r="M628">
        <f>'Raw Data'!O628</f>
        <v>0</v>
      </c>
      <c r="N628">
        <f>'Raw Data'!P628</f>
        <v>0</v>
      </c>
      <c r="O628">
        <f>'Raw Data'!Q628</f>
        <v>0</v>
      </c>
      <c r="P628">
        <f>'Raw Data'!R628</f>
        <v>0</v>
      </c>
      <c r="Q628">
        <f>'Raw Data'!S628</f>
        <v>0</v>
      </c>
      <c r="R628">
        <f>'Raw Data'!T628</f>
        <v>0</v>
      </c>
      <c r="S628">
        <f>IFERROR(O628,0)+IFERROR(R628,0)</f>
        <v>0</v>
      </c>
      <c r="T628">
        <f>IF(A628="","",YEAR(A628))</f>
        <v>0</v>
      </c>
    </row>
    <row r="629" spans="1:20">
      <c r="A629">
        <f>'Raw Data'!B629</f>
        <v>0</v>
      </c>
      <c r="B629">
        <f>'Raw Data'!A629</f>
        <v>0</v>
      </c>
      <c r="C629">
        <f>'Raw Data'!C629</f>
        <v>0</v>
      </c>
      <c r="D629">
        <f>'Raw Data'!D629</f>
        <v>0</v>
      </c>
      <c r="E629">
        <f>IFERROR(VLOOKUP(D629,'Lookup Tables'!$A:$B,2,FALSE),"Unknown")</f>
        <v>0</v>
      </c>
      <c r="F629">
        <f>'Raw Data'!E629</f>
        <v>0</v>
      </c>
      <c r="G629">
        <f>IFERROR(VLOOKUP(D629,'Lookup Tables'!$A:$C,3,FALSE),IF(ISNUMBER(SEARCH("STEEL",F629)),"Steel","Others"))</f>
        <v>0</v>
      </c>
      <c r="H629">
        <f>IF(ISNUMBER(SEARCH("scrubber",F629)) , "Scrubber", IF(ISNUMBER(SEARCH("container",F629)),"Container", IF(ISNUMBER(SEARCH("basket",F629)),"Basket", IF(ISNUMBER(SEARCH("lunch",F629)),"Lunch Box", IF(ISNUMBER(SEARCH("cutlery",F629)),"Cutlery","Other")))))</f>
        <v>0</v>
      </c>
      <c r="I629">
        <f>IF('Raw Data'!G629&lt;&gt;'','Raw Data'!G629,IFERROR(MID(F629,SEARCH("MODEL",F629)+6,20),""))</f>
        <v>0</v>
      </c>
      <c r="J629">
        <f>'Raw Data'!H629</f>
        <v>0</v>
      </c>
      <c r="K629">
        <f>'Raw Data'!I629</f>
        <v>0</v>
      </c>
      <c r="L629">
        <f>IF('Raw Data'!N629&lt;&gt;0,'Raw Data'!N629,IFERROR(VALUE(MID(F629,SEARCH("QTY",F629)+4,IFERROR(FIND(" ",F629,SEARCH("QTY",F629)+4)-(SEARCH("QTY",F629)+4),3))),""))</f>
        <v>0</v>
      </c>
      <c r="M629">
        <f>'Raw Data'!O629</f>
        <v>0</v>
      </c>
      <c r="N629">
        <f>'Raw Data'!P629</f>
        <v>0</v>
      </c>
      <c r="O629">
        <f>'Raw Data'!Q629</f>
        <v>0</v>
      </c>
      <c r="P629">
        <f>'Raw Data'!R629</f>
        <v>0</v>
      </c>
      <c r="Q629">
        <f>'Raw Data'!S629</f>
        <v>0</v>
      </c>
      <c r="R629">
        <f>'Raw Data'!T629</f>
        <v>0</v>
      </c>
      <c r="S629">
        <f>IFERROR(O629,0)+IFERROR(R629,0)</f>
        <v>0</v>
      </c>
      <c r="T629">
        <f>IF(A629="","",YEAR(A629))</f>
        <v>0</v>
      </c>
    </row>
    <row r="630" spans="1:20">
      <c r="A630">
        <f>'Raw Data'!B630</f>
        <v>0</v>
      </c>
      <c r="B630">
        <f>'Raw Data'!A630</f>
        <v>0</v>
      </c>
      <c r="C630">
        <f>'Raw Data'!C630</f>
        <v>0</v>
      </c>
      <c r="D630">
        <f>'Raw Data'!D630</f>
        <v>0</v>
      </c>
      <c r="E630">
        <f>IFERROR(VLOOKUP(D630,'Lookup Tables'!$A:$B,2,FALSE),"Unknown")</f>
        <v>0</v>
      </c>
      <c r="F630">
        <f>'Raw Data'!E630</f>
        <v>0</v>
      </c>
      <c r="G630">
        <f>IFERROR(VLOOKUP(D630,'Lookup Tables'!$A:$C,3,FALSE),IF(ISNUMBER(SEARCH("STEEL",F630)),"Steel","Others"))</f>
        <v>0</v>
      </c>
      <c r="H630">
        <f>IF(ISNUMBER(SEARCH("scrubber",F630)) , "Scrubber", IF(ISNUMBER(SEARCH("container",F630)),"Container", IF(ISNUMBER(SEARCH("basket",F630)),"Basket", IF(ISNUMBER(SEARCH("lunch",F630)),"Lunch Box", IF(ISNUMBER(SEARCH("cutlery",F630)),"Cutlery","Other")))))</f>
        <v>0</v>
      </c>
      <c r="I630">
        <f>IF('Raw Data'!G630&lt;&gt;'','Raw Data'!G630,IFERROR(MID(F630,SEARCH("MODEL",F630)+6,20),""))</f>
        <v>0</v>
      </c>
      <c r="J630">
        <f>'Raw Data'!H630</f>
        <v>0</v>
      </c>
      <c r="K630">
        <f>'Raw Data'!I630</f>
        <v>0</v>
      </c>
      <c r="L630">
        <f>IF('Raw Data'!N630&lt;&gt;0,'Raw Data'!N630,IFERROR(VALUE(MID(F630,SEARCH("QTY",F630)+4,IFERROR(FIND(" ",F630,SEARCH("QTY",F630)+4)-(SEARCH("QTY",F630)+4),3))),""))</f>
        <v>0</v>
      </c>
      <c r="M630">
        <f>'Raw Data'!O630</f>
        <v>0</v>
      </c>
      <c r="N630">
        <f>'Raw Data'!P630</f>
        <v>0</v>
      </c>
      <c r="O630">
        <f>'Raw Data'!Q630</f>
        <v>0</v>
      </c>
      <c r="P630">
        <f>'Raw Data'!R630</f>
        <v>0</v>
      </c>
      <c r="Q630">
        <f>'Raw Data'!S630</f>
        <v>0</v>
      </c>
      <c r="R630">
        <f>'Raw Data'!T630</f>
        <v>0</v>
      </c>
      <c r="S630">
        <f>IFERROR(O630,0)+IFERROR(R630,0)</f>
        <v>0</v>
      </c>
      <c r="T630">
        <f>IF(A630="","",YEAR(A630))</f>
        <v>0</v>
      </c>
    </row>
    <row r="631" spans="1:20">
      <c r="A631">
        <f>'Raw Data'!B631</f>
        <v>0</v>
      </c>
      <c r="B631">
        <f>'Raw Data'!A631</f>
        <v>0</v>
      </c>
      <c r="C631">
        <f>'Raw Data'!C631</f>
        <v>0</v>
      </c>
      <c r="D631">
        <f>'Raw Data'!D631</f>
        <v>0</v>
      </c>
      <c r="E631">
        <f>IFERROR(VLOOKUP(D631,'Lookup Tables'!$A:$B,2,FALSE),"Unknown")</f>
        <v>0</v>
      </c>
      <c r="F631">
        <f>'Raw Data'!E631</f>
        <v>0</v>
      </c>
      <c r="G631">
        <f>IFERROR(VLOOKUP(D631,'Lookup Tables'!$A:$C,3,FALSE),IF(ISNUMBER(SEARCH("STEEL",F631)),"Steel","Others"))</f>
        <v>0</v>
      </c>
      <c r="H631">
        <f>IF(ISNUMBER(SEARCH("scrubber",F631)) , "Scrubber", IF(ISNUMBER(SEARCH("container",F631)),"Container", IF(ISNUMBER(SEARCH("basket",F631)),"Basket", IF(ISNUMBER(SEARCH("lunch",F631)),"Lunch Box", IF(ISNUMBER(SEARCH("cutlery",F631)),"Cutlery","Other")))))</f>
        <v>0</v>
      </c>
      <c r="I631">
        <f>IF('Raw Data'!G631&lt;&gt;'','Raw Data'!G631,IFERROR(MID(F631,SEARCH("MODEL",F631)+6,20),""))</f>
        <v>0</v>
      </c>
      <c r="J631">
        <f>'Raw Data'!H631</f>
        <v>0</v>
      </c>
      <c r="K631">
        <f>'Raw Data'!I631</f>
        <v>0</v>
      </c>
      <c r="L631">
        <f>IF('Raw Data'!N631&lt;&gt;0,'Raw Data'!N631,IFERROR(VALUE(MID(F631,SEARCH("QTY",F631)+4,IFERROR(FIND(" ",F631,SEARCH("QTY",F631)+4)-(SEARCH("QTY",F631)+4),3))),""))</f>
        <v>0</v>
      </c>
      <c r="M631">
        <f>'Raw Data'!O631</f>
        <v>0</v>
      </c>
      <c r="N631">
        <f>'Raw Data'!P631</f>
        <v>0</v>
      </c>
      <c r="O631">
        <f>'Raw Data'!Q631</f>
        <v>0</v>
      </c>
      <c r="P631">
        <f>'Raw Data'!R631</f>
        <v>0</v>
      </c>
      <c r="Q631">
        <f>'Raw Data'!S631</f>
        <v>0</v>
      </c>
      <c r="R631">
        <f>'Raw Data'!T631</f>
        <v>0</v>
      </c>
      <c r="S631">
        <f>IFERROR(O631,0)+IFERROR(R631,0)</f>
        <v>0</v>
      </c>
      <c r="T631">
        <f>IF(A631="","",YEAR(A631))</f>
        <v>0</v>
      </c>
    </row>
    <row r="632" spans="1:20">
      <c r="A632">
        <f>'Raw Data'!B632</f>
        <v>0</v>
      </c>
      <c r="B632">
        <f>'Raw Data'!A632</f>
        <v>0</v>
      </c>
      <c r="C632">
        <f>'Raw Data'!C632</f>
        <v>0</v>
      </c>
      <c r="D632">
        <f>'Raw Data'!D632</f>
        <v>0</v>
      </c>
      <c r="E632">
        <f>IFERROR(VLOOKUP(D632,'Lookup Tables'!$A:$B,2,FALSE),"Unknown")</f>
        <v>0</v>
      </c>
      <c r="F632">
        <f>'Raw Data'!E632</f>
        <v>0</v>
      </c>
      <c r="G632">
        <f>IFERROR(VLOOKUP(D632,'Lookup Tables'!$A:$C,3,FALSE),IF(ISNUMBER(SEARCH("STEEL",F632)),"Steel","Others"))</f>
        <v>0</v>
      </c>
      <c r="H632">
        <f>IF(ISNUMBER(SEARCH("scrubber",F632)) , "Scrubber", IF(ISNUMBER(SEARCH("container",F632)),"Container", IF(ISNUMBER(SEARCH("basket",F632)),"Basket", IF(ISNUMBER(SEARCH("lunch",F632)),"Lunch Box", IF(ISNUMBER(SEARCH("cutlery",F632)),"Cutlery","Other")))))</f>
        <v>0</v>
      </c>
      <c r="I632">
        <f>IF('Raw Data'!G632&lt;&gt;'','Raw Data'!G632,IFERROR(MID(F632,SEARCH("MODEL",F632)+6,20),""))</f>
        <v>0</v>
      </c>
      <c r="J632">
        <f>'Raw Data'!H632</f>
        <v>0</v>
      </c>
      <c r="K632">
        <f>'Raw Data'!I632</f>
        <v>0</v>
      </c>
      <c r="L632">
        <f>IF('Raw Data'!N632&lt;&gt;0,'Raw Data'!N632,IFERROR(VALUE(MID(F632,SEARCH("QTY",F632)+4,IFERROR(FIND(" ",F632,SEARCH("QTY",F632)+4)-(SEARCH("QTY",F632)+4),3))),""))</f>
        <v>0</v>
      </c>
      <c r="M632">
        <f>'Raw Data'!O632</f>
        <v>0</v>
      </c>
      <c r="N632">
        <f>'Raw Data'!P632</f>
        <v>0</v>
      </c>
      <c r="O632">
        <f>'Raw Data'!Q632</f>
        <v>0</v>
      </c>
      <c r="P632">
        <f>'Raw Data'!R632</f>
        <v>0</v>
      </c>
      <c r="Q632">
        <f>'Raw Data'!S632</f>
        <v>0</v>
      </c>
      <c r="R632">
        <f>'Raw Data'!T632</f>
        <v>0</v>
      </c>
      <c r="S632">
        <f>IFERROR(O632,0)+IFERROR(R632,0)</f>
        <v>0</v>
      </c>
      <c r="T632">
        <f>IF(A632="","",YEAR(A632))</f>
        <v>0</v>
      </c>
    </row>
    <row r="633" spans="1:20">
      <c r="A633">
        <f>'Raw Data'!B633</f>
        <v>0</v>
      </c>
      <c r="B633">
        <f>'Raw Data'!A633</f>
        <v>0</v>
      </c>
      <c r="C633">
        <f>'Raw Data'!C633</f>
        <v>0</v>
      </c>
      <c r="D633">
        <f>'Raw Data'!D633</f>
        <v>0</v>
      </c>
      <c r="E633">
        <f>IFERROR(VLOOKUP(D633,'Lookup Tables'!$A:$B,2,FALSE),"Unknown")</f>
        <v>0</v>
      </c>
      <c r="F633">
        <f>'Raw Data'!E633</f>
        <v>0</v>
      </c>
      <c r="G633">
        <f>IFERROR(VLOOKUP(D633,'Lookup Tables'!$A:$C,3,FALSE),IF(ISNUMBER(SEARCH("STEEL",F633)),"Steel","Others"))</f>
        <v>0</v>
      </c>
      <c r="H633">
        <f>IF(ISNUMBER(SEARCH("scrubber",F633)) , "Scrubber", IF(ISNUMBER(SEARCH("container",F633)),"Container", IF(ISNUMBER(SEARCH("basket",F633)),"Basket", IF(ISNUMBER(SEARCH("lunch",F633)),"Lunch Box", IF(ISNUMBER(SEARCH("cutlery",F633)),"Cutlery","Other")))))</f>
        <v>0</v>
      </c>
      <c r="I633">
        <f>IF('Raw Data'!G633&lt;&gt;'','Raw Data'!G633,IFERROR(MID(F633,SEARCH("MODEL",F633)+6,20),""))</f>
        <v>0</v>
      </c>
      <c r="J633">
        <f>'Raw Data'!H633</f>
        <v>0</v>
      </c>
      <c r="K633">
        <f>'Raw Data'!I633</f>
        <v>0</v>
      </c>
      <c r="L633">
        <f>IF('Raw Data'!N633&lt;&gt;0,'Raw Data'!N633,IFERROR(VALUE(MID(F633,SEARCH("QTY",F633)+4,IFERROR(FIND(" ",F633,SEARCH("QTY",F633)+4)-(SEARCH("QTY",F633)+4),3))),""))</f>
        <v>0</v>
      </c>
      <c r="M633">
        <f>'Raw Data'!O633</f>
        <v>0</v>
      </c>
      <c r="N633">
        <f>'Raw Data'!P633</f>
        <v>0</v>
      </c>
      <c r="O633">
        <f>'Raw Data'!Q633</f>
        <v>0</v>
      </c>
      <c r="P633">
        <f>'Raw Data'!R633</f>
        <v>0</v>
      </c>
      <c r="Q633">
        <f>'Raw Data'!S633</f>
        <v>0</v>
      </c>
      <c r="R633">
        <f>'Raw Data'!T633</f>
        <v>0</v>
      </c>
      <c r="S633">
        <f>IFERROR(O633,0)+IFERROR(R633,0)</f>
        <v>0</v>
      </c>
      <c r="T633">
        <f>IF(A633="","",YEAR(A633))</f>
        <v>0</v>
      </c>
    </row>
    <row r="634" spans="1:20">
      <c r="A634">
        <f>'Raw Data'!B634</f>
        <v>0</v>
      </c>
      <c r="B634">
        <f>'Raw Data'!A634</f>
        <v>0</v>
      </c>
      <c r="C634">
        <f>'Raw Data'!C634</f>
        <v>0</v>
      </c>
      <c r="D634">
        <f>'Raw Data'!D634</f>
        <v>0</v>
      </c>
      <c r="E634">
        <f>IFERROR(VLOOKUP(D634,'Lookup Tables'!$A:$B,2,FALSE),"Unknown")</f>
        <v>0</v>
      </c>
      <c r="F634">
        <f>'Raw Data'!E634</f>
        <v>0</v>
      </c>
      <c r="G634">
        <f>IFERROR(VLOOKUP(D634,'Lookup Tables'!$A:$C,3,FALSE),IF(ISNUMBER(SEARCH("STEEL",F634)),"Steel","Others"))</f>
        <v>0</v>
      </c>
      <c r="H634">
        <f>IF(ISNUMBER(SEARCH("scrubber",F634)) , "Scrubber", IF(ISNUMBER(SEARCH("container",F634)),"Container", IF(ISNUMBER(SEARCH("basket",F634)),"Basket", IF(ISNUMBER(SEARCH("lunch",F634)),"Lunch Box", IF(ISNUMBER(SEARCH("cutlery",F634)),"Cutlery","Other")))))</f>
        <v>0</v>
      </c>
      <c r="I634">
        <f>IF('Raw Data'!G634&lt;&gt;'','Raw Data'!G634,IFERROR(MID(F634,SEARCH("MODEL",F634)+6,20),""))</f>
        <v>0</v>
      </c>
      <c r="J634">
        <f>'Raw Data'!H634</f>
        <v>0</v>
      </c>
      <c r="K634">
        <f>'Raw Data'!I634</f>
        <v>0</v>
      </c>
      <c r="L634">
        <f>IF('Raw Data'!N634&lt;&gt;0,'Raw Data'!N634,IFERROR(VALUE(MID(F634,SEARCH("QTY",F634)+4,IFERROR(FIND(" ",F634,SEARCH("QTY",F634)+4)-(SEARCH("QTY",F634)+4),3))),""))</f>
        <v>0</v>
      </c>
      <c r="M634">
        <f>'Raw Data'!O634</f>
        <v>0</v>
      </c>
      <c r="N634">
        <f>'Raw Data'!P634</f>
        <v>0</v>
      </c>
      <c r="O634">
        <f>'Raw Data'!Q634</f>
        <v>0</v>
      </c>
      <c r="P634">
        <f>'Raw Data'!R634</f>
        <v>0</v>
      </c>
      <c r="Q634">
        <f>'Raw Data'!S634</f>
        <v>0</v>
      </c>
      <c r="R634">
        <f>'Raw Data'!T634</f>
        <v>0</v>
      </c>
      <c r="S634">
        <f>IFERROR(O634,0)+IFERROR(R634,0)</f>
        <v>0</v>
      </c>
      <c r="T634">
        <f>IF(A634="","",YEAR(A634))</f>
        <v>0</v>
      </c>
    </row>
    <row r="635" spans="1:20">
      <c r="A635">
        <f>'Raw Data'!B635</f>
        <v>0</v>
      </c>
      <c r="B635">
        <f>'Raw Data'!A635</f>
        <v>0</v>
      </c>
      <c r="C635">
        <f>'Raw Data'!C635</f>
        <v>0</v>
      </c>
      <c r="D635">
        <f>'Raw Data'!D635</f>
        <v>0</v>
      </c>
      <c r="E635">
        <f>IFERROR(VLOOKUP(D635,'Lookup Tables'!$A:$B,2,FALSE),"Unknown")</f>
        <v>0</v>
      </c>
      <c r="F635">
        <f>'Raw Data'!E635</f>
        <v>0</v>
      </c>
      <c r="G635">
        <f>IFERROR(VLOOKUP(D635,'Lookup Tables'!$A:$C,3,FALSE),IF(ISNUMBER(SEARCH("STEEL",F635)),"Steel","Others"))</f>
        <v>0</v>
      </c>
      <c r="H635">
        <f>IF(ISNUMBER(SEARCH("scrubber",F635)) , "Scrubber", IF(ISNUMBER(SEARCH("container",F635)),"Container", IF(ISNUMBER(SEARCH("basket",F635)),"Basket", IF(ISNUMBER(SEARCH("lunch",F635)),"Lunch Box", IF(ISNUMBER(SEARCH("cutlery",F635)),"Cutlery","Other")))))</f>
        <v>0</v>
      </c>
      <c r="I635">
        <f>IF('Raw Data'!G635&lt;&gt;'','Raw Data'!G635,IFERROR(MID(F635,SEARCH("MODEL",F635)+6,20),""))</f>
        <v>0</v>
      </c>
      <c r="J635">
        <f>'Raw Data'!H635</f>
        <v>0</v>
      </c>
      <c r="K635">
        <f>'Raw Data'!I635</f>
        <v>0</v>
      </c>
      <c r="L635">
        <f>IF('Raw Data'!N635&lt;&gt;0,'Raw Data'!N635,IFERROR(VALUE(MID(F635,SEARCH("QTY",F635)+4,IFERROR(FIND(" ",F635,SEARCH("QTY",F635)+4)-(SEARCH("QTY",F635)+4),3))),""))</f>
        <v>0</v>
      </c>
      <c r="M635">
        <f>'Raw Data'!O635</f>
        <v>0</v>
      </c>
      <c r="N635">
        <f>'Raw Data'!P635</f>
        <v>0</v>
      </c>
      <c r="O635">
        <f>'Raw Data'!Q635</f>
        <v>0</v>
      </c>
      <c r="P635">
        <f>'Raw Data'!R635</f>
        <v>0</v>
      </c>
      <c r="Q635">
        <f>'Raw Data'!S635</f>
        <v>0</v>
      </c>
      <c r="R635">
        <f>'Raw Data'!T635</f>
        <v>0</v>
      </c>
      <c r="S635">
        <f>IFERROR(O635,0)+IFERROR(R635,0)</f>
        <v>0</v>
      </c>
      <c r="T635">
        <f>IF(A635="","",YEAR(A635))</f>
        <v>0</v>
      </c>
    </row>
    <row r="636" spans="1:20">
      <c r="A636">
        <f>'Raw Data'!B636</f>
        <v>0</v>
      </c>
      <c r="B636">
        <f>'Raw Data'!A636</f>
        <v>0</v>
      </c>
      <c r="C636">
        <f>'Raw Data'!C636</f>
        <v>0</v>
      </c>
      <c r="D636">
        <f>'Raw Data'!D636</f>
        <v>0</v>
      </c>
      <c r="E636">
        <f>IFERROR(VLOOKUP(D636,'Lookup Tables'!$A:$B,2,FALSE),"Unknown")</f>
        <v>0</v>
      </c>
      <c r="F636">
        <f>'Raw Data'!E636</f>
        <v>0</v>
      </c>
      <c r="G636">
        <f>IFERROR(VLOOKUP(D636,'Lookup Tables'!$A:$C,3,FALSE),IF(ISNUMBER(SEARCH("STEEL",F636)),"Steel","Others"))</f>
        <v>0</v>
      </c>
      <c r="H636">
        <f>IF(ISNUMBER(SEARCH("scrubber",F636)) , "Scrubber", IF(ISNUMBER(SEARCH("container",F636)),"Container", IF(ISNUMBER(SEARCH("basket",F636)),"Basket", IF(ISNUMBER(SEARCH("lunch",F636)),"Lunch Box", IF(ISNUMBER(SEARCH("cutlery",F636)),"Cutlery","Other")))))</f>
        <v>0</v>
      </c>
      <c r="I636">
        <f>IF('Raw Data'!G636&lt;&gt;'','Raw Data'!G636,IFERROR(MID(F636,SEARCH("MODEL",F636)+6,20),""))</f>
        <v>0</v>
      </c>
      <c r="J636">
        <f>'Raw Data'!H636</f>
        <v>0</v>
      </c>
      <c r="K636">
        <f>'Raw Data'!I636</f>
        <v>0</v>
      </c>
      <c r="L636">
        <f>IF('Raw Data'!N636&lt;&gt;0,'Raw Data'!N636,IFERROR(VALUE(MID(F636,SEARCH("QTY",F636)+4,IFERROR(FIND(" ",F636,SEARCH("QTY",F636)+4)-(SEARCH("QTY",F636)+4),3))),""))</f>
        <v>0</v>
      </c>
      <c r="M636">
        <f>'Raw Data'!O636</f>
        <v>0</v>
      </c>
      <c r="N636">
        <f>'Raw Data'!P636</f>
        <v>0</v>
      </c>
      <c r="O636">
        <f>'Raw Data'!Q636</f>
        <v>0</v>
      </c>
      <c r="P636">
        <f>'Raw Data'!R636</f>
        <v>0</v>
      </c>
      <c r="Q636">
        <f>'Raw Data'!S636</f>
        <v>0</v>
      </c>
      <c r="R636">
        <f>'Raw Data'!T636</f>
        <v>0</v>
      </c>
      <c r="S636">
        <f>IFERROR(O636,0)+IFERROR(R636,0)</f>
        <v>0</v>
      </c>
      <c r="T636">
        <f>IF(A636="","",YEAR(A636))</f>
        <v>0</v>
      </c>
    </row>
    <row r="637" spans="1:20">
      <c r="A637">
        <f>'Raw Data'!B637</f>
        <v>0</v>
      </c>
      <c r="B637">
        <f>'Raw Data'!A637</f>
        <v>0</v>
      </c>
      <c r="C637">
        <f>'Raw Data'!C637</f>
        <v>0</v>
      </c>
      <c r="D637">
        <f>'Raw Data'!D637</f>
        <v>0</v>
      </c>
      <c r="E637">
        <f>IFERROR(VLOOKUP(D637,'Lookup Tables'!$A:$B,2,FALSE),"Unknown")</f>
        <v>0</v>
      </c>
      <c r="F637">
        <f>'Raw Data'!E637</f>
        <v>0</v>
      </c>
      <c r="G637">
        <f>IFERROR(VLOOKUP(D637,'Lookup Tables'!$A:$C,3,FALSE),IF(ISNUMBER(SEARCH("STEEL",F637)),"Steel","Others"))</f>
        <v>0</v>
      </c>
      <c r="H637">
        <f>IF(ISNUMBER(SEARCH("scrubber",F637)) , "Scrubber", IF(ISNUMBER(SEARCH("container",F637)),"Container", IF(ISNUMBER(SEARCH("basket",F637)),"Basket", IF(ISNUMBER(SEARCH("lunch",F637)),"Lunch Box", IF(ISNUMBER(SEARCH("cutlery",F637)),"Cutlery","Other")))))</f>
        <v>0</v>
      </c>
      <c r="I637">
        <f>IF('Raw Data'!G637&lt;&gt;'','Raw Data'!G637,IFERROR(MID(F637,SEARCH("MODEL",F637)+6,20),""))</f>
        <v>0</v>
      </c>
      <c r="J637">
        <f>'Raw Data'!H637</f>
        <v>0</v>
      </c>
      <c r="K637">
        <f>'Raw Data'!I637</f>
        <v>0</v>
      </c>
      <c r="L637">
        <f>IF('Raw Data'!N637&lt;&gt;0,'Raw Data'!N637,IFERROR(VALUE(MID(F637,SEARCH("QTY",F637)+4,IFERROR(FIND(" ",F637,SEARCH("QTY",F637)+4)-(SEARCH("QTY",F637)+4),3))),""))</f>
        <v>0</v>
      </c>
      <c r="M637">
        <f>'Raw Data'!O637</f>
        <v>0</v>
      </c>
      <c r="N637">
        <f>'Raw Data'!P637</f>
        <v>0</v>
      </c>
      <c r="O637">
        <f>'Raw Data'!Q637</f>
        <v>0</v>
      </c>
      <c r="P637">
        <f>'Raw Data'!R637</f>
        <v>0</v>
      </c>
      <c r="Q637">
        <f>'Raw Data'!S637</f>
        <v>0</v>
      </c>
      <c r="R637">
        <f>'Raw Data'!T637</f>
        <v>0</v>
      </c>
      <c r="S637">
        <f>IFERROR(O637,0)+IFERROR(R637,0)</f>
        <v>0</v>
      </c>
      <c r="T637">
        <f>IF(A637="","",YEAR(A637))</f>
        <v>0</v>
      </c>
    </row>
    <row r="638" spans="1:20">
      <c r="A638">
        <f>'Raw Data'!B638</f>
        <v>0</v>
      </c>
      <c r="B638">
        <f>'Raw Data'!A638</f>
        <v>0</v>
      </c>
      <c r="C638">
        <f>'Raw Data'!C638</f>
        <v>0</v>
      </c>
      <c r="D638">
        <f>'Raw Data'!D638</f>
        <v>0</v>
      </c>
      <c r="E638">
        <f>IFERROR(VLOOKUP(D638,'Lookup Tables'!$A:$B,2,FALSE),"Unknown")</f>
        <v>0</v>
      </c>
      <c r="F638">
        <f>'Raw Data'!E638</f>
        <v>0</v>
      </c>
      <c r="G638">
        <f>IFERROR(VLOOKUP(D638,'Lookup Tables'!$A:$C,3,FALSE),IF(ISNUMBER(SEARCH("STEEL",F638)),"Steel","Others"))</f>
        <v>0</v>
      </c>
      <c r="H638">
        <f>IF(ISNUMBER(SEARCH("scrubber",F638)) , "Scrubber", IF(ISNUMBER(SEARCH("container",F638)),"Container", IF(ISNUMBER(SEARCH("basket",F638)),"Basket", IF(ISNUMBER(SEARCH("lunch",F638)),"Lunch Box", IF(ISNUMBER(SEARCH("cutlery",F638)),"Cutlery","Other")))))</f>
        <v>0</v>
      </c>
      <c r="I638">
        <f>IF('Raw Data'!G638&lt;&gt;'','Raw Data'!G638,IFERROR(MID(F638,SEARCH("MODEL",F638)+6,20),""))</f>
        <v>0</v>
      </c>
      <c r="J638">
        <f>'Raw Data'!H638</f>
        <v>0</v>
      </c>
      <c r="K638">
        <f>'Raw Data'!I638</f>
        <v>0</v>
      </c>
      <c r="L638">
        <f>IF('Raw Data'!N638&lt;&gt;0,'Raw Data'!N638,IFERROR(VALUE(MID(F638,SEARCH("QTY",F638)+4,IFERROR(FIND(" ",F638,SEARCH("QTY",F638)+4)-(SEARCH("QTY",F638)+4),3))),""))</f>
        <v>0</v>
      </c>
      <c r="M638">
        <f>'Raw Data'!O638</f>
        <v>0</v>
      </c>
      <c r="N638">
        <f>'Raw Data'!P638</f>
        <v>0</v>
      </c>
      <c r="O638">
        <f>'Raw Data'!Q638</f>
        <v>0</v>
      </c>
      <c r="P638">
        <f>'Raw Data'!R638</f>
        <v>0</v>
      </c>
      <c r="Q638">
        <f>'Raw Data'!S638</f>
        <v>0</v>
      </c>
      <c r="R638">
        <f>'Raw Data'!T638</f>
        <v>0</v>
      </c>
      <c r="S638">
        <f>IFERROR(O638,0)+IFERROR(R638,0)</f>
        <v>0</v>
      </c>
      <c r="T638">
        <f>IF(A638="","",YEAR(A638))</f>
        <v>0</v>
      </c>
    </row>
    <row r="639" spans="1:20">
      <c r="A639">
        <f>'Raw Data'!B639</f>
        <v>0</v>
      </c>
      <c r="B639">
        <f>'Raw Data'!A639</f>
        <v>0</v>
      </c>
      <c r="C639">
        <f>'Raw Data'!C639</f>
        <v>0</v>
      </c>
      <c r="D639">
        <f>'Raw Data'!D639</f>
        <v>0</v>
      </c>
      <c r="E639">
        <f>IFERROR(VLOOKUP(D639,'Lookup Tables'!$A:$B,2,FALSE),"Unknown")</f>
        <v>0</v>
      </c>
      <c r="F639">
        <f>'Raw Data'!E639</f>
        <v>0</v>
      </c>
      <c r="G639">
        <f>IFERROR(VLOOKUP(D639,'Lookup Tables'!$A:$C,3,FALSE),IF(ISNUMBER(SEARCH("STEEL",F639)),"Steel","Others"))</f>
        <v>0</v>
      </c>
      <c r="H639">
        <f>IF(ISNUMBER(SEARCH("scrubber",F639)) , "Scrubber", IF(ISNUMBER(SEARCH("container",F639)),"Container", IF(ISNUMBER(SEARCH("basket",F639)),"Basket", IF(ISNUMBER(SEARCH("lunch",F639)),"Lunch Box", IF(ISNUMBER(SEARCH("cutlery",F639)),"Cutlery","Other")))))</f>
        <v>0</v>
      </c>
      <c r="I639">
        <f>IF('Raw Data'!G639&lt;&gt;'','Raw Data'!G639,IFERROR(MID(F639,SEARCH("MODEL",F639)+6,20),""))</f>
        <v>0</v>
      </c>
      <c r="J639">
        <f>'Raw Data'!H639</f>
        <v>0</v>
      </c>
      <c r="K639">
        <f>'Raw Data'!I639</f>
        <v>0</v>
      </c>
      <c r="L639">
        <f>IF('Raw Data'!N639&lt;&gt;0,'Raw Data'!N639,IFERROR(VALUE(MID(F639,SEARCH("QTY",F639)+4,IFERROR(FIND(" ",F639,SEARCH("QTY",F639)+4)-(SEARCH("QTY",F639)+4),3))),""))</f>
        <v>0</v>
      </c>
      <c r="M639">
        <f>'Raw Data'!O639</f>
        <v>0</v>
      </c>
      <c r="N639">
        <f>'Raw Data'!P639</f>
        <v>0</v>
      </c>
      <c r="O639">
        <f>'Raw Data'!Q639</f>
        <v>0</v>
      </c>
      <c r="P639">
        <f>'Raw Data'!R639</f>
        <v>0</v>
      </c>
      <c r="Q639">
        <f>'Raw Data'!S639</f>
        <v>0</v>
      </c>
      <c r="R639">
        <f>'Raw Data'!T639</f>
        <v>0</v>
      </c>
      <c r="S639">
        <f>IFERROR(O639,0)+IFERROR(R639,0)</f>
        <v>0</v>
      </c>
      <c r="T639">
        <f>IF(A639="","",YEAR(A639))</f>
        <v>0</v>
      </c>
    </row>
    <row r="640" spans="1:20">
      <c r="A640">
        <f>'Raw Data'!B640</f>
        <v>0</v>
      </c>
      <c r="B640">
        <f>'Raw Data'!A640</f>
        <v>0</v>
      </c>
      <c r="C640">
        <f>'Raw Data'!C640</f>
        <v>0</v>
      </c>
      <c r="D640">
        <f>'Raw Data'!D640</f>
        <v>0</v>
      </c>
      <c r="E640">
        <f>IFERROR(VLOOKUP(D640,'Lookup Tables'!$A:$B,2,FALSE),"Unknown")</f>
        <v>0</v>
      </c>
      <c r="F640">
        <f>'Raw Data'!E640</f>
        <v>0</v>
      </c>
      <c r="G640">
        <f>IFERROR(VLOOKUP(D640,'Lookup Tables'!$A:$C,3,FALSE),IF(ISNUMBER(SEARCH("STEEL",F640)),"Steel","Others"))</f>
        <v>0</v>
      </c>
      <c r="H640">
        <f>IF(ISNUMBER(SEARCH("scrubber",F640)) , "Scrubber", IF(ISNUMBER(SEARCH("container",F640)),"Container", IF(ISNUMBER(SEARCH("basket",F640)),"Basket", IF(ISNUMBER(SEARCH("lunch",F640)),"Lunch Box", IF(ISNUMBER(SEARCH("cutlery",F640)),"Cutlery","Other")))))</f>
        <v>0</v>
      </c>
      <c r="I640">
        <f>IF('Raw Data'!G640&lt;&gt;'','Raw Data'!G640,IFERROR(MID(F640,SEARCH("MODEL",F640)+6,20),""))</f>
        <v>0</v>
      </c>
      <c r="J640">
        <f>'Raw Data'!H640</f>
        <v>0</v>
      </c>
      <c r="K640">
        <f>'Raw Data'!I640</f>
        <v>0</v>
      </c>
      <c r="L640">
        <f>IF('Raw Data'!N640&lt;&gt;0,'Raw Data'!N640,IFERROR(VALUE(MID(F640,SEARCH("QTY",F640)+4,IFERROR(FIND(" ",F640,SEARCH("QTY",F640)+4)-(SEARCH("QTY",F640)+4),3))),""))</f>
        <v>0</v>
      </c>
      <c r="M640">
        <f>'Raw Data'!O640</f>
        <v>0</v>
      </c>
      <c r="N640">
        <f>'Raw Data'!P640</f>
        <v>0</v>
      </c>
      <c r="O640">
        <f>'Raw Data'!Q640</f>
        <v>0</v>
      </c>
      <c r="P640">
        <f>'Raw Data'!R640</f>
        <v>0</v>
      </c>
      <c r="Q640">
        <f>'Raw Data'!S640</f>
        <v>0</v>
      </c>
      <c r="R640">
        <f>'Raw Data'!T640</f>
        <v>0</v>
      </c>
      <c r="S640">
        <f>IFERROR(O640,0)+IFERROR(R640,0)</f>
        <v>0</v>
      </c>
      <c r="T640">
        <f>IF(A640="","",YEAR(A640))</f>
        <v>0</v>
      </c>
    </row>
    <row r="641" spans="1:20">
      <c r="A641">
        <f>'Raw Data'!B641</f>
        <v>0</v>
      </c>
      <c r="B641">
        <f>'Raw Data'!A641</f>
        <v>0</v>
      </c>
      <c r="C641">
        <f>'Raw Data'!C641</f>
        <v>0</v>
      </c>
      <c r="D641">
        <f>'Raw Data'!D641</f>
        <v>0</v>
      </c>
      <c r="E641">
        <f>IFERROR(VLOOKUP(D641,'Lookup Tables'!$A:$B,2,FALSE),"Unknown")</f>
        <v>0</v>
      </c>
      <c r="F641">
        <f>'Raw Data'!E641</f>
        <v>0</v>
      </c>
      <c r="G641">
        <f>IFERROR(VLOOKUP(D641,'Lookup Tables'!$A:$C,3,FALSE),IF(ISNUMBER(SEARCH("STEEL",F641)),"Steel","Others"))</f>
        <v>0</v>
      </c>
      <c r="H641">
        <f>IF(ISNUMBER(SEARCH("scrubber",F641)) , "Scrubber", IF(ISNUMBER(SEARCH("container",F641)),"Container", IF(ISNUMBER(SEARCH("basket",F641)),"Basket", IF(ISNUMBER(SEARCH("lunch",F641)),"Lunch Box", IF(ISNUMBER(SEARCH("cutlery",F641)),"Cutlery","Other")))))</f>
        <v>0</v>
      </c>
      <c r="I641">
        <f>IF('Raw Data'!G641&lt;&gt;'','Raw Data'!G641,IFERROR(MID(F641,SEARCH("MODEL",F641)+6,20),""))</f>
        <v>0</v>
      </c>
      <c r="J641">
        <f>'Raw Data'!H641</f>
        <v>0</v>
      </c>
      <c r="K641">
        <f>'Raw Data'!I641</f>
        <v>0</v>
      </c>
      <c r="L641">
        <f>IF('Raw Data'!N641&lt;&gt;0,'Raw Data'!N641,IFERROR(VALUE(MID(F641,SEARCH("QTY",F641)+4,IFERROR(FIND(" ",F641,SEARCH("QTY",F641)+4)-(SEARCH("QTY",F641)+4),3))),""))</f>
        <v>0</v>
      </c>
      <c r="M641">
        <f>'Raw Data'!O641</f>
        <v>0</v>
      </c>
      <c r="N641">
        <f>'Raw Data'!P641</f>
        <v>0</v>
      </c>
      <c r="O641">
        <f>'Raw Data'!Q641</f>
        <v>0</v>
      </c>
      <c r="P641">
        <f>'Raw Data'!R641</f>
        <v>0</v>
      </c>
      <c r="Q641">
        <f>'Raw Data'!S641</f>
        <v>0</v>
      </c>
      <c r="R641">
        <f>'Raw Data'!T641</f>
        <v>0</v>
      </c>
      <c r="S641">
        <f>IFERROR(O641,0)+IFERROR(R641,0)</f>
        <v>0</v>
      </c>
      <c r="T641">
        <f>IF(A641="","",YEAR(A641))</f>
        <v>0</v>
      </c>
    </row>
    <row r="642" spans="1:20">
      <c r="A642">
        <f>'Raw Data'!B642</f>
        <v>0</v>
      </c>
      <c r="B642">
        <f>'Raw Data'!A642</f>
        <v>0</v>
      </c>
      <c r="C642">
        <f>'Raw Data'!C642</f>
        <v>0</v>
      </c>
      <c r="D642">
        <f>'Raw Data'!D642</f>
        <v>0</v>
      </c>
      <c r="E642">
        <f>IFERROR(VLOOKUP(D642,'Lookup Tables'!$A:$B,2,FALSE),"Unknown")</f>
        <v>0</v>
      </c>
      <c r="F642">
        <f>'Raw Data'!E642</f>
        <v>0</v>
      </c>
      <c r="G642">
        <f>IFERROR(VLOOKUP(D642,'Lookup Tables'!$A:$C,3,FALSE),IF(ISNUMBER(SEARCH("STEEL",F642)),"Steel","Others"))</f>
        <v>0</v>
      </c>
      <c r="H642">
        <f>IF(ISNUMBER(SEARCH("scrubber",F642)) , "Scrubber", IF(ISNUMBER(SEARCH("container",F642)),"Container", IF(ISNUMBER(SEARCH("basket",F642)),"Basket", IF(ISNUMBER(SEARCH("lunch",F642)),"Lunch Box", IF(ISNUMBER(SEARCH("cutlery",F642)),"Cutlery","Other")))))</f>
        <v>0</v>
      </c>
      <c r="I642">
        <f>IF('Raw Data'!G642&lt;&gt;'','Raw Data'!G642,IFERROR(MID(F642,SEARCH("MODEL",F642)+6,20),""))</f>
        <v>0</v>
      </c>
      <c r="J642">
        <f>'Raw Data'!H642</f>
        <v>0</v>
      </c>
      <c r="K642">
        <f>'Raw Data'!I642</f>
        <v>0</v>
      </c>
      <c r="L642">
        <f>IF('Raw Data'!N642&lt;&gt;0,'Raw Data'!N642,IFERROR(VALUE(MID(F642,SEARCH("QTY",F642)+4,IFERROR(FIND(" ",F642,SEARCH("QTY",F642)+4)-(SEARCH("QTY",F642)+4),3))),""))</f>
        <v>0</v>
      </c>
      <c r="M642">
        <f>'Raw Data'!O642</f>
        <v>0</v>
      </c>
      <c r="N642">
        <f>'Raw Data'!P642</f>
        <v>0</v>
      </c>
      <c r="O642">
        <f>'Raw Data'!Q642</f>
        <v>0</v>
      </c>
      <c r="P642">
        <f>'Raw Data'!R642</f>
        <v>0</v>
      </c>
      <c r="Q642">
        <f>'Raw Data'!S642</f>
        <v>0</v>
      </c>
      <c r="R642">
        <f>'Raw Data'!T642</f>
        <v>0</v>
      </c>
      <c r="S642">
        <f>IFERROR(O642,0)+IFERROR(R642,0)</f>
        <v>0</v>
      </c>
      <c r="T642">
        <f>IF(A642="","",YEAR(A642))</f>
        <v>0</v>
      </c>
    </row>
    <row r="643" spans="1:20">
      <c r="A643">
        <f>'Raw Data'!B643</f>
        <v>0</v>
      </c>
      <c r="B643">
        <f>'Raw Data'!A643</f>
        <v>0</v>
      </c>
      <c r="C643">
        <f>'Raw Data'!C643</f>
        <v>0</v>
      </c>
      <c r="D643">
        <f>'Raw Data'!D643</f>
        <v>0</v>
      </c>
      <c r="E643">
        <f>IFERROR(VLOOKUP(D643,'Lookup Tables'!$A:$B,2,FALSE),"Unknown")</f>
        <v>0</v>
      </c>
      <c r="F643">
        <f>'Raw Data'!E643</f>
        <v>0</v>
      </c>
      <c r="G643">
        <f>IFERROR(VLOOKUP(D643,'Lookup Tables'!$A:$C,3,FALSE),IF(ISNUMBER(SEARCH("STEEL",F643)),"Steel","Others"))</f>
        <v>0</v>
      </c>
      <c r="H643">
        <f>IF(ISNUMBER(SEARCH("scrubber",F643)) , "Scrubber", IF(ISNUMBER(SEARCH("container",F643)),"Container", IF(ISNUMBER(SEARCH("basket",F643)),"Basket", IF(ISNUMBER(SEARCH("lunch",F643)),"Lunch Box", IF(ISNUMBER(SEARCH("cutlery",F643)),"Cutlery","Other")))))</f>
        <v>0</v>
      </c>
      <c r="I643">
        <f>IF('Raw Data'!G643&lt;&gt;'','Raw Data'!G643,IFERROR(MID(F643,SEARCH("MODEL",F643)+6,20),""))</f>
        <v>0</v>
      </c>
      <c r="J643">
        <f>'Raw Data'!H643</f>
        <v>0</v>
      </c>
      <c r="K643">
        <f>'Raw Data'!I643</f>
        <v>0</v>
      </c>
      <c r="L643">
        <f>IF('Raw Data'!N643&lt;&gt;0,'Raw Data'!N643,IFERROR(VALUE(MID(F643,SEARCH("QTY",F643)+4,IFERROR(FIND(" ",F643,SEARCH("QTY",F643)+4)-(SEARCH("QTY",F643)+4),3))),""))</f>
        <v>0</v>
      </c>
      <c r="M643">
        <f>'Raw Data'!O643</f>
        <v>0</v>
      </c>
      <c r="N643">
        <f>'Raw Data'!P643</f>
        <v>0</v>
      </c>
      <c r="O643">
        <f>'Raw Data'!Q643</f>
        <v>0</v>
      </c>
      <c r="P643">
        <f>'Raw Data'!R643</f>
        <v>0</v>
      </c>
      <c r="Q643">
        <f>'Raw Data'!S643</f>
        <v>0</v>
      </c>
      <c r="R643">
        <f>'Raw Data'!T643</f>
        <v>0</v>
      </c>
      <c r="S643">
        <f>IFERROR(O643,0)+IFERROR(R643,0)</f>
        <v>0</v>
      </c>
      <c r="T643">
        <f>IF(A643="","",YEAR(A643))</f>
        <v>0</v>
      </c>
    </row>
    <row r="644" spans="1:20">
      <c r="A644">
        <f>'Raw Data'!B644</f>
        <v>0</v>
      </c>
      <c r="B644">
        <f>'Raw Data'!A644</f>
        <v>0</v>
      </c>
      <c r="C644">
        <f>'Raw Data'!C644</f>
        <v>0</v>
      </c>
      <c r="D644">
        <f>'Raw Data'!D644</f>
        <v>0</v>
      </c>
      <c r="E644">
        <f>IFERROR(VLOOKUP(D644,'Lookup Tables'!$A:$B,2,FALSE),"Unknown")</f>
        <v>0</v>
      </c>
      <c r="F644">
        <f>'Raw Data'!E644</f>
        <v>0</v>
      </c>
      <c r="G644">
        <f>IFERROR(VLOOKUP(D644,'Lookup Tables'!$A:$C,3,FALSE),IF(ISNUMBER(SEARCH("STEEL",F644)),"Steel","Others"))</f>
        <v>0</v>
      </c>
      <c r="H644">
        <f>IF(ISNUMBER(SEARCH("scrubber",F644)) , "Scrubber", IF(ISNUMBER(SEARCH("container",F644)),"Container", IF(ISNUMBER(SEARCH("basket",F644)),"Basket", IF(ISNUMBER(SEARCH("lunch",F644)),"Lunch Box", IF(ISNUMBER(SEARCH("cutlery",F644)),"Cutlery","Other")))))</f>
        <v>0</v>
      </c>
      <c r="I644">
        <f>IF('Raw Data'!G644&lt;&gt;'','Raw Data'!G644,IFERROR(MID(F644,SEARCH("MODEL",F644)+6,20),""))</f>
        <v>0</v>
      </c>
      <c r="J644">
        <f>'Raw Data'!H644</f>
        <v>0</v>
      </c>
      <c r="K644">
        <f>'Raw Data'!I644</f>
        <v>0</v>
      </c>
      <c r="L644">
        <f>IF('Raw Data'!N644&lt;&gt;0,'Raw Data'!N644,IFERROR(VALUE(MID(F644,SEARCH("QTY",F644)+4,IFERROR(FIND(" ",F644,SEARCH("QTY",F644)+4)-(SEARCH("QTY",F644)+4),3))),""))</f>
        <v>0</v>
      </c>
      <c r="M644">
        <f>'Raw Data'!O644</f>
        <v>0</v>
      </c>
      <c r="N644">
        <f>'Raw Data'!P644</f>
        <v>0</v>
      </c>
      <c r="O644">
        <f>'Raw Data'!Q644</f>
        <v>0</v>
      </c>
      <c r="P644">
        <f>'Raw Data'!R644</f>
        <v>0</v>
      </c>
      <c r="Q644">
        <f>'Raw Data'!S644</f>
        <v>0</v>
      </c>
      <c r="R644">
        <f>'Raw Data'!T644</f>
        <v>0</v>
      </c>
      <c r="S644">
        <f>IFERROR(O644,0)+IFERROR(R644,0)</f>
        <v>0</v>
      </c>
      <c r="T644">
        <f>IF(A644="","",YEAR(A644))</f>
        <v>0</v>
      </c>
    </row>
    <row r="645" spans="1:20">
      <c r="A645">
        <f>'Raw Data'!B645</f>
        <v>0</v>
      </c>
      <c r="B645">
        <f>'Raw Data'!A645</f>
        <v>0</v>
      </c>
      <c r="C645">
        <f>'Raw Data'!C645</f>
        <v>0</v>
      </c>
      <c r="D645">
        <f>'Raw Data'!D645</f>
        <v>0</v>
      </c>
      <c r="E645">
        <f>IFERROR(VLOOKUP(D645,'Lookup Tables'!$A:$B,2,FALSE),"Unknown")</f>
        <v>0</v>
      </c>
      <c r="F645">
        <f>'Raw Data'!E645</f>
        <v>0</v>
      </c>
      <c r="G645">
        <f>IFERROR(VLOOKUP(D645,'Lookup Tables'!$A:$C,3,FALSE),IF(ISNUMBER(SEARCH("STEEL",F645)),"Steel","Others"))</f>
        <v>0</v>
      </c>
      <c r="H645">
        <f>IF(ISNUMBER(SEARCH("scrubber",F645)) , "Scrubber", IF(ISNUMBER(SEARCH("container",F645)),"Container", IF(ISNUMBER(SEARCH("basket",F645)),"Basket", IF(ISNUMBER(SEARCH("lunch",F645)),"Lunch Box", IF(ISNUMBER(SEARCH("cutlery",F645)),"Cutlery","Other")))))</f>
        <v>0</v>
      </c>
      <c r="I645">
        <f>IF('Raw Data'!G645&lt;&gt;'','Raw Data'!G645,IFERROR(MID(F645,SEARCH("MODEL",F645)+6,20),""))</f>
        <v>0</v>
      </c>
      <c r="J645">
        <f>'Raw Data'!H645</f>
        <v>0</v>
      </c>
      <c r="K645">
        <f>'Raw Data'!I645</f>
        <v>0</v>
      </c>
      <c r="L645">
        <f>IF('Raw Data'!N645&lt;&gt;0,'Raw Data'!N645,IFERROR(VALUE(MID(F645,SEARCH("QTY",F645)+4,IFERROR(FIND(" ",F645,SEARCH("QTY",F645)+4)-(SEARCH("QTY",F645)+4),3))),""))</f>
        <v>0</v>
      </c>
      <c r="M645">
        <f>'Raw Data'!O645</f>
        <v>0</v>
      </c>
      <c r="N645">
        <f>'Raw Data'!P645</f>
        <v>0</v>
      </c>
      <c r="O645">
        <f>'Raw Data'!Q645</f>
        <v>0</v>
      </c>
      <c r="P645">
        <f>'Raw Data'!R645</f>
        <v>0</v>
      </c>
      <c r="Q645">
        <f>'Raw Data'!S645</f>
        <v>0</v>
      </c>
      <c r="R645">
        <f>'Raw Data'!T645</f>
        <v>0</v>
      </c>
      <c r="S645">
        <f>IFERROR(O645,0)+IFERROR(R645,0)</f>
        <v>0</v>
      </c>
      <c r="T645">
        <f>IF(A645="","",YEAR(A645))</f>
        <v>0</v>
      </c>
    </row>
    <row r="646" spans="1:20">
      <c r="A646">
        <f>'Raw Data'!B646</f>
        <v>0</v>
      </c>
      <c r="B646">
        <f>'Raw Data'!A646</f>
        <v>0</v>
      </c>
      <c r="C646">
        <f>'Raw Data'!C646</f>
        <v>0</v>
      </c>
      <c r="D646">
        <f>'Raw Data'!D646</f>
        <v>0</v>
      </c>
      <c r="E646">
        <f>IFERROR(VLOOKUP(D646,'Lookup Tables'!$A:$B,2,FALSE),"Unknown")</f>
        <v>0</v>
      </c>
      <c r="F646">
        <f>'Raw Data'!E646</f>
        <v>0</v>
      </c>
      <c r="G646">
        <f>IFERROR(VLOOKUP(D646,'Lookup Tables'!$A:$C,3,FALSE),IF(ISNUMBER(SEARCH("STEEL",F646)),"Steel","Others"))</f>
        <v>0</v>
      </c>
      <c r="H646">
        <f>IF(ISNUMBER(SEARCH("scrubber",F646)) , "Scrubber", IF(ISNUMBER(SEARCH("container",F646)),"Container", IF(ISNUMBER(SEARCH("basket",F646)),"Basket", IF(ISNUMBER(SEARCH("lunch",F646)),"Lunch Box", IF(ISNUMBER(SEARCH("cutlery",F646)),"Cutlery","Other")))))</f>
        <v>0</v>
      </c>
      <c r="I646">
        <f>IF('Raw Data'!G646&lt;&gt;'','Raw Data'!G646,IFERROR(MID(F646,SEARCH("MODEL",F646)+6,20),""))</f>
        <v>0</v>
      </c>
      <c r="J646">
        <f>'Raw Data'!H646</f>
        <v>0</v>
      </c>
      <c r="K646">
        <f>'Raw Data'!I646</f>
        <v>0</v>
      </c>
      <c r="L646">
        <f>IF('Raw Data'!N646&lt;&gt;0,'Raw Data'!N646,IFERROR(VALUE(MID(F646,SEARCH("QTY",F646)+4,IFERROR(FIND(" ",F646,SEARCH("QTY",F646)+4)-(SEARCH("QTY",F646)+4),3))),""))</f>
        <v>0</v>
      </c>
      <c r="M646">
        <f>'Raw Data'!O646</f>
        <v>0</v>
      </c>
      <c r="N646">
        <f>'Raw Data'!P646</f>
        <v>0</v>
      </c>
      <c r="O646">
        <f>'Raw Data'!Q646</f>
        <v>0</v>
      </c>
      <c r="P646">
        <f>'Raw Data'!R646</f>
        <v>0</v>
      </c>
      <c r="Q646">
        <f>'Raw Data'!S646</f>
        <v>0</v>
      </c>
      <c r="R646">
        <f>'Raw Data'!T646</f>
        <v>0</v>
      </c>
      <c r="S646">
        <f>IFERROR(O646,0)+IFERROR(R646,0)</f>
        <v>0</v>
      </c>
      <c r="T646">
        <f>IF(A646="","",YEAR(A646))</f>
        <v>0</v>
      </c>
    </row>
    <row r="647" spans="1:20">
      <c r="A647">
        <f>'Raw Data'!B647</f>
        <v>0</v>
      </c>
      <c r="B647">
        <f>'Raw Data'!A647</f>
        <v>0</v>
      </c>
      <c r="C647">
        <f>'Raw Data'!C647</f>
        <v>0</v>
      </c>
      <c r="D647">
        <f>'Raw Data'!D647</f>
        <v>0</v>
      </c>
      <c r="E647">
        <f>IFERROR(VLOOKUP(D647,'Lookup Tables'!$A:$B,2,FALSE),"Unknown")</f>
        <v>0</v>
      </c>
      <c r="F647">
        <f>'Raw Data'!E647</f>
        <v>0</v>
      </c>
      <c r="G647">
        <f>IFERROR(VLOOKUP(D647,'Lookup Tables'!$A:$C,3,FALSE),IF(ISNUMBER(SEARCH("STEEL",F647)),"Steel","Others"))</f>
        <v>0</v>
      </c>
      <c r="H647">
        <f>IF(ISNUMBER(SEARCH("scrubber",F647)) , "Scrubber", IF(ISNUMBER(SEARCH("container",F647)),"Container", IF(ISNUMBER(SEARCH("basket",F647)),"Basket", IF(ISNUMBER(SEARCH("lunch",F647)),"Lunch Box", IF(ISNUMBER(SEARCH("cutlery",F647)),"Cutlery","Other")))))</f>
        <v>0</v>
      </c>
      <c r="I647">
        <f>IF('Raw Data'!G647&lt;&gt;'','Raw Data'!G647,IFERROR(MID(F647,SEARCH("MODEL",F647)+6,20),""))</f>
        <v>0</v>
      </c>
      <c r="J647">
        <f>'Raw Data'!H647</f>
        <v>0</v>
      </c>
      <c r="K647">
        <f>'Raw Data'!I647</f>
        <v>0</v>
      </c>
      <c r="L647">
        <f>IF('Raw Data'!N647&lt;&gt;0,'Raw Data'!N647,IFERROR(VALUE(MID(F647,SEARCH("QTY",F647)+4,IFERROR(FIND(" ",F647,SEARCH("QTY",F647)+4)-(SEARCH("QTY",F647)+4),3))),""))</f>
        <v>0</v>
      </c>
      <c r="M647">
        <f>'Raw Data'!O647</f>
        <v>0</v>
      </c>
      <c r="N647">
        <f>'Raw Data'!P647</f>
        <v>0</v>
      </c>
      <c r="O647">
        <f>'Raw Data'!Q647</f>
        <v>0</v>
      </c>
      <c r="P647">
        <f>'Raw Data'!R647</f>
        <v>0</v>
      </c>
      <c r="Q647">
        <f>'Raw Data'!S647</f>
        <v>0</v>
      </c>
      <c r="R647">
        <f>'Raw Data'!T647</f>
        <v>0</v>
      </c>
      <c r="S647">
        <f>IFERROR(O647,0)+IFERROR(R647,0)</f>
        <v>0</v>
      </c>
      <c r="T647">
        <f>IF(A647="","",YEAR(A647))</f>
        <v>0</v>
      </c>
    </row>
    <row r="648" spans="1:20">
      <c r="A648">
        <f>'Raw Data'!B648</f>
        <v>0</v>
      </c>
      <c r="B648">
        <f>'Raw Data'!A648</f>
        <v>0</v>
      </c>
      <c r="C648">
        <f>'Raw Data'!C648</f>
        <v>0</v>
      </c>
      <c r="D648">
        <f>'Raw Data'!D648</f>
        <v>0</v>
      </c>
      <c r="E648">
        <f>IFERROR(VLOOKUP(D648,'Lookup Tables'!$A:$B,2,FALSE),"Unknown")</f>
        <v>0</v>
      </c>
      <c r="F648">
        <f>'Raw Data'!E648</f>
        <v>0</v>
      </c>
      <c r="G648">
        <f>IFERROR(VLOOKUP(D648,'Lookup Tables'!$A:$C,3,FALSE),IF(ISNUMBER(SEARCH("STEEL",F648)),"Steel","Others"))</f>
        <v>0</v>
      </c>
      <c r="H648">
        <f>IF(ISNUMBER(SEARCH("scrubber",F648)) , "Scrubber", IF(ISNUMBER(SEARCH("container",F648)),"Container", IF(ISNUMBER(SEARCH("basket",F648)),"Basket", IF(ISNUMBER(SEARCH("lunch",F648)),"Lunch Box", IF(ISNUMBER(SEARCH("cutlery",F648)),"Cutlery","Other")))))</f>
        <v>0</v>
      </c>
      <c r="I648">
        <f>IF('Raw Data'!G648&lt;&gt;'','Raw Data'!G648,IFERROR(MID(F648,SEARCH("MODEL",F648)+6,20),""))</f>
        <v>0</v>
      </c>
      <c r="J648">
        <f>'Raw Data'!H648</f>
        <v>0</v>
      </c>
      <c r="K648">
        <f>'Raw Data'!I648</f>
        <v>0</v>
      </c>
      <c r="L648">
        <f>IF('Raw Data'!N648&lt;&gt;0,'Raw Data'!N648,IFERROR(VALUE(MID(F648,SEARCH("QTY",F648)+4,IFERROR(FIND(" ",F648,SEARCH("QTY",F648)+4)-(SEARCH("QTY",F648)+4),3))),""))</f>
        <v>0</v>
      </c>
      <c r="M648">
        <f>'Raw Data'!O648</f>
        <v>0</v>
      </c>
      <c r="N648">
        <f>'Raw Data'!P648</f>
        <v>0</v>
      </c>
      <c r="O648">
        <f>'Raw Data'!Q648</f>
        <v>0</v>
      </c>
      <c r="P648">
        <f>'Raw Data'!R648</f>
        <v>0</v>
      </c>
      <c r="Q648">
        <f>'Raw Data'!S648</f>
        <v>0</v>
      </c>
      <c r="R648">
        <f>'Raw Data'!T648</f>
        <v>0</v>
      </c>
      <c r="S648">
        <f>IFERROR(O648,0)+IFERROR(R648,0)</f>
        <v>0</v>
      </c>
      <c r="T648">
        <f>IF(A648="","",YEAR(A648))</f>
        <v>0</v>
      </c>
    </row>
    <row r="649" spans="1:20">
      <c r="A649">
        <f>'Raw Data'!B649</f>
        <v>0</v>
      </c>
      <c r="B649">
        <f>'Raw Data'!A649</f>
        <v>0</v>
      </c>
      <c r="C649">
        <f>'Raw Data'!C649</f>
        <v>0</v>
      </c>
      <c r="D649">
        <f>'Raw Data'!D649</f>
        <v>0</v>
      </c>
      <c r="E649">
        <f>IFERROR(VLOOKUP(D649,'Lookup Tables'!$A:$B,2,FALSE),"Unknown")</f>
        <v>0</v>
      </c>
      <c r="F649">
        <f>'Raw Data'!E649</f>
        <v>0</v>
      </c>
      <c r="G649">
        <f>IFERROR(VLOOKUP(D649,'Lookup Tables'!$A:$C,3,FALSE),IF(ISNUMBER(SEARCH("STEEL",F649)),"Steel","Others"))</f>
        <v>0</v>
      </c>
      <c r="H649">
        <f>IF(ISNUMBER(SEARCH("scrubber",F649)) , "Scrubber", IF(ISNUMBER(SEARCH("container",F649)),"Container", IF(ISNUMBER(SEARCH("basket",F649)),"Basket", IF(ISNUMBER(SEARCH("lunch",F649)),"Lunch Box", IF(ISNUMBER(SEARCH("cutlery",F649)),"Cutlery","Other")))))</f>
        <v>0</v>
      </c>
      <c r="I649">
        <f>IF('Raw Data'!G649&lt;&gt;'','Raw Data'!G649,IFERROR(MID(F649,SEARCH("MODEL",F649)+6,20),""))</f>
        <v>0</v>
      </c>
      <c r="J649">
        <f>'Raw Data'!H649</f>
        <v>0</v>
      </c>
      <c r="K649">
        <f>'Raw Data'!I649</f>
        <v>0</v>
      </c>
      <c r="L649">
        <f>IF('Raw Data'!N649&lt;&gt;0,'Raw Data'!N649,IFERROR(VALUE(MID(F649,SEARCH("QTY",F649)+4,IFERROR(FIND(" ",F649,SEARCH("QTY",F649)+4)-(SEARCH("QTY",F649)+4),3))),""))</f>
        <v>0</v>
      </c>
      <c r="M649">
        <f>'Raw Data'!O649</f>
        <v>0</v>
      </c>
      <c r="N649">
        <f>'Raw Data'!P649</f>
        <v>0</v>
      </c>
      <c r="O649">
        <f>'Raw Data'!Q649</f>
        <v>0</v>
      </c>
      <c r="P649">
        <f>'Raw Data'!R649</f>
        <v>0</v>
      </c>
      <c r="Q649">
        <f>'Raw Data'!S649</f>
        <v>0</v>
      </c>
      <c r="R649">
        <f>'Raw Data'!T649</f>
        <v>0</v>
      </c>
      <c r="S649">
        <f>IFERROR(O649,0)+IFERROR(R649,0)</f>
        <v>0</v>
      </c>
      <c r="T649">
        <f>IF(A649="","",YEAR(A649))</f>
        <v>0</v>
      </c>
    </row>
    <row r="650" spans="1:20">
      <c r="A650">
        <f>'Raw Data'!B650</f>
        <v>0</v>
      </c>
      <c r="B650">
        <f>'Raw Data'!A650</f>
        <v>0</v>
      </c>
      <c r="C650">
        <f>'Raw Data'!C650</f>
        <v>0</v>
      </c>
      <c r="D650">
        <f>'Raw Data'!D650</f>
        <v>0</v>
      </c>
      <c r="E650">
        <f>IFERROR(VLOOKUP(D650,'Lookup Tables'!$A:$B,2,FALSE),"Unknown")</f>
        <v>0</v>
      </c>
      <c r="F650">
        <f>'Raw Data'!E650</f>
        <v>0</v>
      </c>
      <c r="G650">
        <f>IFERROR(VLOOKUP(D650,'Lookup Tables'!$A:$C,3,FALSE),IF(ISNUMBER(SEARCH("STEEL",F650)),"Steel","Others"))</f>
        <v>0</v>
      </c>
      <c r="H650">
        <f>IF(ISNUMBER(SEARCH("scrubber",F650)) , "Scrubber", IF(ISNUMBER(SEARCH("container",F650)),"Container", IF(ISNUMBER(SEARCH("basket",F650)),"Basket", IF(ISNUMBER(SEARCH("lunch",F650)),"Lunch Box", IF(ISNUMBER(SEARCH("cutlery",F650)),"Cutlery","Other")))))</f>
        <v>0</v>
      </c>
      <c r="I650">
        <f>IF('Raw Data'!G650&lt;&gt;'','Raw Data'!G650,IFERROR(MID(F650,SEARCH("MODEL",F650)+6,20),""))</f>
        <v>0</v>
      </c>
      <c r="J650">
        <f>'Raw Data'!H650</f>
        <v>0</v>
      </c>
      <c r="K650">
        <f>'Raw Data'!I650</f>
        <v>0</v>
      </c>
      <c r="L650">
        <f>IF('Raw Data'!N650&lt;&gt;0,'Raw Data'!N650,IFERROR(VALUE(MID(F650,SEARCH("QTY",F650)+4,IFERROR(FIND(" ",F650,SEARCH("QTY",F650)+4)-(SEARCH("QTY",F650)+4),3))),""))</f>
        <v>0</v>
      </c>
      <c r="M650">
        <f>'Raw Data'!O650</f>
        <v>0</v>
      </c>
      <c r="N650">
        <f>'Raw Data'!P650</f>
        <v>0</v>
      </c>
      <c r="O650">
        <f>'Raw Data'!Q650</f>
        <v>0</v>
      </c>
      <c r="P650">
        <f>'Raw Data'!R650</f>
        <v>0</v>
      </c>
      <c r="Q650">
        <f>'Raw Data'!S650</f>
        <v>0</v>
      </c>
      <c r="R650">
        <f>'Raw Data'!T650</f>
        <v>0</v>
      </c>
      <c r="S650">
        <f>IFERROR(O650,0)+IFERROR(R650,0)</f>
        <v>0</v>
      </c>
      <c r="T650">
        <f>IF(A650="","",YEAR(A650))</f>
        <v>0</v>
      </c>
    </row>
    <row r="651" spans="1:20">
      <c r="A651">
        <f>'Raw Data'!B651</f>
        <v>0</v>
      </c>
      <c r="B651">
        <f>'Raw Data'!A651</f>
        <v>0</v>
      </c>
      <c r="C651">
        <f>'Raw Data'!C651</f>
        <v>0</v>
      </c>
      <c r="D651">
        <f>'Raw Data'!D651</f>
        <v>0</v>
      </c>
      <c r="E651">
        <f>IFERROR(VLOOKUP(D651,'Lookup Tables'!$A:$B,2,FALSE),"Unknown")</f>
        <v>0</v>
      </c>
      <c r="F651">
        <f>'Raw Data'!E651</f>
        <v>0</v>
      </c>
      <c r="G651">
        <f>IFERROR(VLOOKUP(D651,'Lookup Tables'!$A:$C,3,FALSE),IF(ISNUMBER(SEARCH("STEEL",F651)),"Steel","Others"))</f>
        <v>0</v>
      </c>
      <c r="H651">
        <f>IF(ISNUMBER(SEARCH("scrubber",F651)) , "Scrubber", IF(ISNUMBER(SEARCH("container",F651)),"Container", IF(ISNUMBER(SEARCH("basket",F651)),"Basket", IF(ISNUMBER(SEARCH("lunch",F651)),"Lunch Box", IF(ISNUMBER(SEARCH("cutlery",F651)),"Cutlery","Other")))))</f>
        <v>0</v>
      </c>
      <c r="I651">
        <f>IF('Raw Data'!G651&lt;&gt;'','Raw Data'!G651,IFERROR(MID(F651,SEARCH("MODEL",F651)+6,20),""))</f>
        <v>0</v>
      </c>
      <c r="J651">
        <f>'Raw Data'!H651</f>
        <v>0</v>
      </c>
      <c r="K651">
        <f>'Raw Data'!I651</f>
        <v>0</v>
      </c>
      <c r="L651">
        <f>IF('Raw Data'!N651&lt;&gt;0,'Raw Data'!N651,IFERROR(VALUE(MID(F651,SEARCH("QTY",F651)+4,IFERROR(FIND(" ",F651,SEARCH("QTY",F651)+4)-(SEARCH("QTY",F651)+4),3))),""))</f>
        <v>0</v>
      </c>
      <c r="M651">
        <f>'Raw Data'!O651</f>
        <v>0</v>
      </c>
      <c r="N651">
        <f>'Raw Data'!P651</f>
        <v>0</v>
      </c>
      <c r="O651">
        <f>'Raw Data'!Q651</f>
        <v>0</v>
      </c>
      <c r="P651">
        <f>'Raw Data'!R651</f>
        <v>0</v>
      </c>
      <c r="Q651">
        <f>'Raw Data'!S651</f>
        <v>0</v>
      </c>
      <c r="R651">
        <f>'Raw Data'!T651</f>
        <v>0</v>
      </c>
      <c r="S651">
        <f>IFERROR(O651,0)+IFERROR(R651,0)</f>
        <v>0</v>
      </c>
      <c r="T651">
        <f>IF(A651="","",YEAR(A651))</f>
        <v>0</v>
      </c>
    </row>
    <row r="652" spans="1:20">
      <c r="A652">
        <f>'Raw Data'!B652</f>
        <v>0</v>
      </c>
      <c r="B652">
        <f>'Raw Data'!A652</f>
        <v>0</v>
      </c>
      <c r="C652">
        <f>'Raw Data'!C652</f>
        <v>0</v>
      </c>
      <c r="D652">
        <f>'Raw Data'!D652</f>
        <v>0</v>
      </c>
      <c r="E652">
        <f>IFERROR(VLOOKUP(D652,'Lookup Tables'!$A:$B,2,FALSE),"Unknown")</f>
        <v>0</v>
      </c>
      <c r="F652">
        <f>'Raw Data'!E652</f>
        <v>0</v>
      </c>
      <c r="G652">
        <f>IFERROR(VLOOKUP(D652,'Lookup Tables'!$A:$C,3,FALSE),IF(ISNUMBER(SEARCH("STEEL",F652)),"Steel","Others"))</f>
        <v>0</v>
      </c>
      <c r="H652">
        <f>IF(ISNUMBER(SEARCH("scrubber",F652)) , "Scrubber", IF(ISNUMBER(SEARCH("container",F652)),"Container", IF(ISNUMBER(SEARCH("basket",F652)),"Basket", IF(ISNUMBER(SEARCH("lunch",F652)),"Lunch Box", IF(ISNUMBER(SEARCH("cutlery",F652)),"Cutlery","Other")))))</f>
        <v>0</v>
      </c>
      <c r="I652">
        <f>IF('Raw Data'!G652&lt;&gt;'','Raw Data'!G652,IFERROR(MID(F652,SEARCH("MODEL",F652)+6,20),""))</f>
        <v>0</v>
      </c>
      <c r="J652">
        <f>'Raw Data'!H652</f>
        <v>0</v>
      </c>
      <c r="K652">
        <f>'Raw Data'!I652</f>
        <v>0</v>
      </c>
      <c r="L652">
        <f>IF('Raw Data'!N652&lt;&gt;0,'Raw Data'!N652,IFERROR(VALUE(MID(F652,SEARCH("QTY",F652)+4,IFERROR(FIND(" ",F652,SEARCH("QTY",F652)+4)-(SEARCH("QTY",F652)+4),3))),""))</f>
        <v>0</v>
      </c>
      <c r="M652">
        <f>'Raw Data'!O652</f>
        <v>0</v>
      </c>
      <c r="N652">
        <f>'Raw Data'!P652</f>
        <v>0</v>
      </c>
      <c r="O652">
        <f>'Raw Data'!Q652</f>
        <v>0</v>
      </c>
      <c r="P652">
        <f>'Raw Data'!R652</f>
        <v>0</v>
      </c>
      <c r="Q652">
        <f>'Raw Data'!S652</f>
        <v>0</v>
      </c>
      <c r="R652">
        <f>'Raw Data'!T652</f>
        <v>0</v>
      </c>
      <c r="S652">
        <f>IFERROR(O652,0)+IFERROR(R652,0)</f>
        <v>0</v>
      </c>
      <c r="T652">
        <f>IF(A652="","",YEAR(A652))</f>
        <v>0</v>
      </c>
    </row>
    <row r="653" spans="1:20">
      <c r="A653">
        <f>'Raw Data'!B653</f>
        <v>0</v>
      </c>
      <c r="B653">
        <f>'Raw Data'!A653</f>
        <v>0</v>
      </c>
      <c r="C653">
        <f>'Raw Data'!C653</f>
        <v>0</v>
      </c>
      <c r="D653">
        <f>'Raw Data'!D653</f>
        <v>0</v>
      </c>
      <c r="E653">
        <f>IFERROR(VLOOKUP(D653,'Lookup Tables'!$A:$B,2,FALSE),"Unknown")</f>
        <v>0</v>
      </c>
      <c r="F653">
        <f>'Raw Data'!E653</f>
        <v>0</v>
      </c>
      <c r="G653">
        <f>IFERROR(VLOOKUP(D653,'Lookup Tables'!$A:$C,3,FALSE),IF(ISNUMBER(SEARCH("STEEL",F653)),"Steel","Others"))</f>
        <v>0</v>
      </c>
      <c r="H653">
        <f>IF(ISNUMBER(SEARCH("scrubber",F653)) , "Scrubber", IF(ISNUMBER(SEARCH("container",F653)),"Container", IF(ISNUMBER(SEARCH("basket",F653)),"Basket", IF(ISNUMBER(SEARCH("lunch",F653)),"Lunch Box", IF(ISNUMBER(SEARCH("cutlery",F653)),"Cutlery","Other")))))</f>
        <v>0</v>
      </c>
      <c r="I653">
        <f>IF('Raw Data'!G653&lt;&gt;'','Raw Data'!G653,IFERROR(MID(F653,SEARCH("MODEL",F653)+6,20),""))</f>
        <v>0</v>
      </c>
      <c r="J653">
        <f>'Raw Data'!H653</f>
        <v>0</v>
      </c>
      <c r="K653">
        <f>'Raw Data'!I653</f>
        <v>0</v>
      </c>
      <c r="L653">
        <f>IF('Raw Data'!N653&lt;&gt;0,'Raw Data'!N653,IFERROR(VALUE(MID(F653,SEARCH("QTY",F653)+4,IFERROR(FIND(" ",F653,SEARCH("QTY",F653)+4)-(SEARCH("QTY",F653)+4),3))),""))</f>
        <v>0</v>
      </c>
      <c r="M653">
        <f>'Raw Data'!O653</f>
        <v>0</v>
      </c>
      <c r="N653">
        <f>'Raw Data'!P653</f>
        <v>0</v>
      </c>
      <c r="O653">
        <f>'Raw Data'!Q653</f>
        <v>0</v>
      </c>
      <c r="P653">
        <f>'Raw Data'!R653</f>
        <v>0</v>
      </c>
      <c r="Q653">
        <f>'Raw Data'!S653</f>
        <v>0</v>
      </c>
      <c r="R653">
        <f>'Raw Data'!T653</f>
        <v>0</v>
      </c>
      <c r="S653">
        <f>IFERROR(O653,0)+IFERROR(R653,0)</f>
        <v>0</v>
      </c>
      <c r="T653">
        <f>IF(A653="","",YEAR(A653))</f>
        <v>0</v>
      </c>
    </row>
    <row r="654" spans="1:20">
      <c r="A654">
        <f>'Raw Data'!B654</f>
        <v>0</v>
      </c>
      <c r="B654">
        <f>'Raw Data'!A654</f>
        <v>0</v>
      </c>
      <c r="C654">
        <f>'Raw Data'!C654</f>
        <v>0</v>
      </c>
      <c r="D654">
        <f>'Raw Data'!D654</f>
        <v>0</v>
      </c>
      <c r="E654">
        <f>IFERROR(VLOOKUP(D654,'Lookup Tables'!$A:$B,2,FALSE),"Unknown")</f>
        <v>0</v>
      </c>
      <c r="F654">
        <f>'Raw Data'!E654</f>
        <v>0</v>
      </c>
      <c r="G654">
        <f>IFERROR(VLOOKUP(D654,'Lookup Tables'!$A:$C,3,FALSE),IF(ISNUMBER(SEARCH("STEEL",F654)),"Steel","Others"))</f>
        <v>0</v>
      </c>
      <c r="H654">
        <f>IF(ISNUMBER(SEARCH("scrubber",F654)) , "Scrubber", IF(ISNUMBER(SEARCH("container",F654)),"Container", IF(ISNUMBER(SEARCH("basket",F654)),"Basket", IF(ISNUMBER(SEARCH("lunch",F654)),"Lunch Box", IF(ISNUMBER(SEARCH("cutlery",F654)),"Cutlery","Other")))))</f>
        <v>0</v>
      </c>
      <c r="I654">
        <f>IF('Raw Data'!G654&lt;&gt;'','Raw Data'!G654,IFERROR(MID(F654,SEARCH("MODEL",F654)+6,20),""))</f>
        <v>0</v>
      </c>
      <c r="J654">
        <f>'Raw Data'!H654</f>
        <v>0</v>
      </c>
      <c r="K654">
        <f>'Raw Data'!I654</f>
        <v>0</v>
      </c>
      <c r="L654">
        <f>IF('Raw Data'!N654&lt;&gt;0,'Raw Data'!N654,IFERROR(VALUE(MID(F654,SEARCH("QTY",F654)+4,IFERROR(FIND(" ",F654,SEARCH("QTY",F654)+4)-(SEARCH("QTY",F654)+4),3))),""))</f>
        <v>0</v>
      </c>
      <c r="M654">
        <f>'Raw Data'!O654</f>
        <v>0</v>
      </c>
      <c r="N654">
        <f>'Raw Data'!P654</f>
        <v>0</v>
      </c>
      <c r="O654">
        <f>'Raw Data'!Q654</f>
        <v>0</v>
      </c>
      <c r="P654">
        <f>'Raw Data'!R654</f>
        <v>0</v>
      </c>
      <c r="Q654">
        <f>'Raw Data'!S654</f>
        <v>0</v>
      </c>
      <c r="R654">
        <f>'Raw Data'!T654</f>
        <v>0</v>
      </c>
      <c r="S654">
        <f>IFERROR(O654,0)+IFERROR(R654,0)</f>
        <v>0</v>
      </c>
      <c r="T654">
        <f>IF(A654="","",YEAR(A654))</f>
        <v>0</v>
      </c>
    </row>
    <row r="655" spans="1:20">
      <c r="A655">
        <f>'Raw Data'!B655</f>
        <v>0</v>
      </c>
      <c r="B655">
        <f>'Raw Data'!A655</f>
        <v>0</v>
      </c>
      <c r="C655">
        <f>'Raw Data'!C655</f>
        <v>0</v>
      </c>
      <c r="D655">
        <f>'Raw Data'!D655</f>
        <v>0</v>
      </c>
      <c r="E655">
        <f>IFERROR(VLOOKUP(D655,'Lookup Tables'!$A:$B,2,FALSE),"Unknown")</f>
        <v>0</v>
      </c>
      <c r="F655">
        <f>'Raw Data'!E655</f>
        <v>0</v>
      </c>
      <c r="G655">
        <f>IFERROR(VLOOKUP(D655,'Lookup Tables'!$A:$C,3,FALSE),IF(ISNUMBER(SEARCH("STEEL",F655)),"Steel","Others"))</f>
        <v>0</v>
      </c>
      <c r="H655">
        <f>IF(ISNUMBER(SEARCH("scrubber",F655)) , "Scrubber", IF(ISNUMBER(SEARCH("container",F655)),"Container", IF(ISNUMBER(SEARCH("basket",F655)),"Basket", IF(ISNUMBER(SEARCH("lunch",F655)),"Lunch Box", IF(ISNUMBER(SEARCH("cutlery",F655)),"Cutlery","Other")))))</f>
        <v>0</v>
      </c>
      <c r="I655">
        <f>IF('Raw Data'!G655&lt;&gt;'','Raw Data'!G655,IFERROR(MID(F655,SEARCH("MODEL",F655)+6,20),""))</f>
        <v>0</v>
      </c>
      <c r="J655">
        <f>'Raw Data'!H655</f>
        <v>0</v>
      </c>
      <c r="K655">
        <f>'Raw Data'!I655</f>
        <v>0</v>
      </c>
      <c r="L655">
        <f>IF('Raw Data'!N655&lt;&gt;0,'Raw Data'!N655,IFERROR(VALUE(MID(F655,SEARCH("QTY",F655)+4,IFERROR(FIND(" ",F655,SEARCH("QTY",F655)+4)-(SEARCH("QTY",F655)+4),3))),""))</f>
        <v>0</v>
      </c>
      <c r="M655">
        <f>'Raw Data'!O655</f>
        <v>0</v>
      </c>
      <c r="N655">
        <f>'Raw Data'!P655</f>
        <v>0</v>
      </c>
      <c r="O655">
        <f>'Raw Data'!Q655</f>
        <v>0</v>
      </c>
      <c r="P655">
        <f>'Raw Data'!R655</f>
        <v>0</v>
      </c>
      <c r="Q655">
        <f>'Raw Data'!S655</f>
        <v>0</v>
      </c>
      <c r="R655">
        <f>'Raw Data'!T655</f>
        <v>0</v>
      </c>
      <c r="S655">
        <f>IFERROR(O655,0)+IFERROR(R655,0)</f>
        <v>0</v>
      </c>
      <c r="T655">
        <f>IF(A655="","",YEAR(A655))</f>
        <v>0</v>
      </c>
    </row>
    <row r="656" spans="1:20">
      <c r="A656">
        <f>'Raw Data'!B656</f>
        <v>0</v>
      </c>
      <c r="B656">
        <f>'Raw Data'!A656</f>
        <v>0</v>
      </c>
      <c r="C656">
        <f>'Raw Data'!C656</f>
        <v>0</v>
      </c>
      <c r="D656">
        <f>'Raw Data'!D656</f>
        <v>0</v>
      </c>
      <c r="E656">
        <f>IFERROR(VLOOKUP(D656,'Lookup Tables'!$A:$B,2,FALSE),"Unknown")</f>
        <v>0</v>
      </c>
      <c r="F656">
        <f>'Raw Data'!E656</f>
        <v>0</v>
      </c>
      <c r="G656">
        <f>IFERROR(VLOOKUP(D656,'Lookup Tables'!$A:$C,3,FALSE),IF(ISNUMBER(SEARCH("STEEL",F656)),"Steel","Others"))</f>
        <v>0</v>
      </c>
      <c r="H656">
        <f>IF(ISNUMBER(SEARCH("scrubber",F656)) , "Scrubber", IF(ISNUMBER(SEARCH("container",F656)),"Container", IF(ISNUMBER(SEARCH("basket",F656)),"Basket", IF(ISNUMBER(SEARCH("lunch",F656)),"Lunch Box", IF(ISNUMBER(SEARCH("cutlery",F656)),"Cutlery","Other")))))</f>
        <v>0</v>
      </c>
      <c r="I656">
        <f>IF('Raw Data'!G656&lt;&gt;'','Raw Data'!G656,IFERROR(MID(F656,SEARCH("MODEL",F656)+6,20),""))</f>
        <v>0</v>
      </c>
      <c r="J656">
        <f>'Raw Data'!H656</f>
        <v>0</v>
      </c>
      <c r="K656">
        <f>'Raw Data'!I656</f>
        <v>0</v>
      </c>
      <c r="L656">
        <f>IF('Raw Data'!N656&lt;&gt;0,'Raw Data'!N656,IFERROR(VALUE(MID(F656,SEARCH("QTY",F656)+4,IFERROR(FIND(" ",F656,SEARCH("QTY",F656)+4)-(SEARCH("QTY",F656)+4),3))),""))</f>
        <v>0</v>
      </c>
      <c r="M656">
        <f>'Raw Data'!O656</f>
        <v>0</v>
      </c>
      <c r="N656">
        <f>'Raw Data'!P656</f>
        <v>0</v>
      </c>
      <c r="O656">
        <f>'Raw Data'!Q656</f>
        <v>0</v>
      </c>
      <c r="P656">
        <f>'Raw Data'!R656</f>
        <v>0</v>
      </c>
      <c r="Q656">
        <f>'Raw Data'!S656</f>
        <v>0</v>
      </c>
      <c r="R656">
        <f>'Raw Data'!T656</f>
        <v>0</v>
      </c>
      <c r="S656">
        <f>IFERROR(O656,0)+IFERROR(R656,0)</f>
        <v>0</v>
      </c>
      <c r="T656">
        <f>IF(A656="","",YEAR(A656))</f>
        <v>0</v>
      </c>
    </row>
    <row r="657" spans="1:20">
      <c r="A657">
        <f>'Raw Data'!B657</f>
        <v>0</v>
      </c>
      <c r="B657">
        <f>'Raw Data'!A657</f>
        <v>0</v>
      </c>
      <c r="C657">
        <f>'Raw Data'!C657</f>
        <v>0</v>
      </c>
      <c r="D657">
        <f>'Raw Data'!D657</f>
        <v>0</v>
      </c>
      <c r="E657">
        <f>IFERROR(VLOOKUP(D657,'Lookup Tables'!$A:$B,2,FALSE),"Unknown")</f>
        <v>0</v>
      </c>
      <c r="F657">
        <f>'Raw Data'!E657</f>
        <v>0</v>
      </c>
      <c r="G657">
        <f>IFERROR(VLOOKUP(D657,'Lookup Tables'!$A:$C,3,FALSE),IF(ISNUMBER(SEARCH("STEEL",F657)),"Steel","Others"))</f>
        <v>0</v>
      </c>
      <c r="H657">
        <f>IF(ISNUMBER(SEARCH("scrubber",F657)) , "Scrubber", IF(ISNUMBER(SEARCH("container",F657)),"Container", IF(ISNUMBER(SEARCH("basket",F657)),"Basket", IF(ISNUMBER(SEARCH("lunch",F657)),"Lunch Box", IF(ISNUMBER(SEARCH("cutlery",F657)),"Cutlery","Other")))))</f>
        <v>0</v>
      </c>
      <c r="I657">
        <f>IF('Raw Data'!G657&lt;&gt;'','Raw Data'!G657,IFERROR(MID(F657,SEARCH("MODEL",F657)+6,20),""))</f>
        <v>0</v>
      </c>
      <c r="J657">
        <f>'Raw Data'!H657</f>
        <v>0</v>
      </c>
      <c r="K657">
        <f>'Raw Data'!I657</f>
        <v>0</v>
      </c>
      <c r="L657">
        <f>IF('Raw Data'!N657&lt;&gt;0,'Raw Data'!N657,IFERROR(VALUE(MID(F657,SEARCH("QTY",F657)+4,IFERROR(FIND(" ",F657,SEARCH("QTY",F657)+4)-(SEARCH("QTY",F657)+4),3))),""))</f>
        <v>0</v>
      </c>
      <c r="M657">
        <f>'Raw Data'!O657</f>
        <v>0</v>
      </c>
      <c r="N657">
        <f>'Raw Data'!P657</f>
        <v>0</v>
      </c>
      <c r="O657">
        <f>'Raw Data'!Q657</f>
        <v>0</v>
      </c>
      <c r="P657">
        <f>'Raw Data'!R657</f>
        <v>0</v>
      </c>
      <c r="Q657">
        <f>'Raw Data'!S657</f>
        <v>0</v>
      </c>
      <c r="R657">
        <f>'Raw Data'!T657</f>
        <v>0</v>
      </c>
      <c r="S657">
        <f>IFERROR(O657,0)+IFERROR(R657,0)</f>
        <v>0</v>
      </c>
      <c r="T657">
        <f>IF(A657="","",YEAR(A657))</f>
        <v>0</v>
      </c>
    </row>
    <row r="658" spans="1:20">
      <c r="A658">
        <f>'Raw Data'!B658</f>
        <v>0</v>
      </c>
      <c r="B658">
        <f>'Raw Data'!A658</f>
        <v>0</v>
      </c>
      <c r="C658">
        <f>'Raw Data'!C658</f>
        <v>0</v>
      </c>
      <c r="D658">
        <f>'Raw Data'!D658</f>
        <v>0</v>
      </c>
      <c r="E658">
        <f>IFERROR(VLOOKUP(D658,'Lookup Tables'!$A:$B,2,FALSE),"Unknown")</f>
        <v>0</v>
      </c>
      <c r="F658">
        <f>'Raw Data'!E658</f>
        <v>0</v>
      </c>
      <c r="G658">
        <f>IFERROR(VLOOKUP(D658,'Lookup Tables'!$A:$C,3,FALSE),IF(ISNUMBER(SEARCH("STEEL",F658)),"Steel","Others"))</f>
        <v>0</v>
      </c>
      <c r="H658">
        <f>IF(ISNUMBER(SEARCH("scrubber",F658)) , "Scrubber", IF(ISNUMBER(SEARCH("container",F658)),"Container", IF(ISNUMBER(SEARCH("basket",F658)),"Basket", IF(ISNUMBER(SEARCH("lunch",F658)),"Lunch Box", IF(ISNUMBER(SEARCH("cutlery",F658)),"Cutlery","Other")))))</f>
        <v>0</v>
      </c>
      <c r="I658">
        <f>IF('Raw Data'!G658&lt;&gt;'','Raw Data'!G658,IFERROR(MID(F658,SEARCH("MODEL",F658)+6,20),""))</f>
        <v>0</v>
      </c>
      <c r="J658">
        <f>'Raw Data'!H658</f>
        <v>0</v>
      </c>
      <c r="K658">
        <f>'Raw Data'!I658</f>
        <v>0</v>
      </c>
      <c r="L658">
        <f>IF('Raw Data'!N658&lt;&gt;0,'Raw Data'!N658,IFERROR(VALUE(MID(F658,SEARCH("QTY",F658)+4,IFERROR(FIND(" ",F658,SEARCH("QTY",F658)+4)-(SEARCH("QTY",F658)+4),3))),""))</f>
        <v>0</v>
      </c>
      <c r="M658">
        <f>'Raw Data'!O658</f>
        <v>0</v>
      </c>
      <c r="N658">
        <f>'Raw Data'!P658</f>
        <v>0</v>
      </c>
      <c r="O658">
        <f>'Raw Data'!Q658</f>
        <v>0</v>
      </c>
      <c r="P658">
        <f>'Raw Data'!R658</f>
        <v>0</v>
      </c>
      <c r="Q658">
        <f>'Raw Data'!S658</f>
        <v>0</v>
      </c>
      <c r="R658">
        <f>'Raw Data'!T658</f>
        <v>0</v>
      </c>
      <c r="S658">
        <f>IFERROR(O658,0)+IFERROR(R658,0)</f>
        <v>0</v>
      </c>
      <c r="T658">
        <f>IF(A658="","",YEAR(A658))</f>
        <v>0</v>
      </c>
    </row>
    <row r="659" spans="1:20">
      <c r="A659">
        <f>'Raw Data'!B659</f>
        <v>0</v>
      </c>
      <c r="B659">
        <f>'Raw Data'!A659</f>
        <v>0</v>
      </c>
      <c r="C659">
        <f>'Raw Data'!C659</f>
        <v>0</v>
      </c>
      <c r="D659">
        <f>'Raw Data'!D659</f>
        <v>0</v>
      </c>
      <c r="E659">
        <f>IFERROR(VLOOKUP(D659,'Lookup Tables'!$A:$B,2,FALSE),"Unknown")</f>
        <v>0</v>
      </c>
      <c r="F659">
        <f>'Raw Data'!E659</f>
        <v>0</v>
      </c>
      <c r="G659">
        <f>IFERROR(VLOOKUP(D659,'Lookup Tables'!$A:$C,3,FALSE),IF(ISNUMBER(SEARCH("STEEL",F659)),"Steel","Others"))</f>
        <v>0</v>
      </c>
      <c r="H659">
        <f>IF(ISNUMBER(SEARCH("scrubber",F659)) , "Scrubber", IF(ISNUMBER(SEARCH("container",F659)),"Container", IF(ISNUMBER(SEARCH("basket",F659)),"Basket", IF(ISNUMBER(SEARCH("lunch",F659)),"Lunch Box", IF(ISNUMBER(SEARCH("cutlery",F659)),"Cutlery","Other")))))</f>
        <v>0</v>
      </c>
      <c r="I659">
        <f>IF('Raw Data'!G659&lt;&gt;'','Raw Data'!G659,IFERROR(MID(F659,SEARCH("MODEL",F659)+6,20),""))</f>
        <v>0</v>
      </c>
      <c r="J659">
        <f>'Raw Data'!H659</f>
        <v>0</v>
      </c>
      <c r="K659">
        <f>'Raw Data'!I659</f>
        <v>0</v>
      </c>
      <c r="L659">
        <f>IF('Raw Data'!N659&lt;&gt;0,'Raw Data'!N659,IFERROR(VALUE(MID(F659,SEARCH("QTY",F659)+4,IFERROR(FIND(" ",F659,SEARCH("QTY",F659)+4)-(SEARCH("QTY",F659)+4),3))),""))</f>
        <v>0</v>
      </c>
      <c r="M659">
        <f>'Raw Data'!O659</f>
        <v>0</v>
      </c>
      <c r="N659">
        <f>'Raw Data'!P659</f>
        <v>0</v>
      </c>
      <c r="O659">
        <f>'Raw Data'!Q659</f>
        <v>0</v>
      </c>
      <c r="P659">
        <f>'Raw Data'!R659</f>
        <v>0</v>
      </c>
      <c r="Q659">
        <f>'Raw Data'!S659</f>
        <v>0</v>
      </c>
      <c r="R659">
        <f>'Raw Data'!T659</f>
        <v>0</v>
      </c>
      <c r="S659">
        <f>IFERROR(O659,0)+IFERROR(R659,0)</f>
        <v>0</v>
      </c>
      <c r="T659">
        <f>IF(A659="","",YEAR(A659))</f>
        <v>0</v>
      </c>
    </row>
    <row r="660" spans="1:20">
      <c r="A660">
        <f>'Raw Data'!B660</f>
        <v>0</v>
      </c>
      <c r="B660">
        <f>'Raw Data'!A660</f>
        <v>0</v>
      </c>
      <c r="C660">
        <f>'Raw Data'!C660</f>
        <v>0</v>
      </c>
      <c r="D660">
        <f>'Raw Data'!D660</f>
        <v>0</v>
      </c>
      <c r="E660">
        <f>IFERROR(VLOOKUP(D660,'Lookup Tables'!$A:$B,2,FALSE),"Unknown")</f>
        <v>0</v>
      </c>
      <c r="F660">
        <f>'Raw Data'!E660</f>
        <v>0</v>
      </c>
      <c r="G660">
        <f>IFERROR(VLOOKUP(D660,'Lookup Tables'!$A:$C,3,FALSE),IF(ISNUMBER(SEARCH("STEEL",F660)),"Steel","Others"))</f>
        <v>0</v>
      </c>
      <c r="H660">
        <f>IF(ISNUMBER(SEARCH("scrubber",F660)) , "Scrubber", IF(ISNUMBER(SEARCH("container",F660)),"Container", IF(ISNUMBER(SEARCH("basket",F660)),"Basket", IF(ISNUMBER(SEARCH("lunch",F660)),"Lunch Box", IF(ISNUMBER(SEARCH("cutlery",F660)),"Cutlery","Other")))))</f>
        <v>0</v>
      </c>
      <c r="I660">
        <f>IF('Raw Data'!G660&lt;&gt;'','Raw Data'!G660,IFERROR(MID(F660,SEARCH("MODEL",F660)+6,20),""))</f>
        <v>0</v>
      </c>
      <c r="J660">
        <f>'Raw Data'!H660</f>
        <v>0</v>
      </c>
      <c r="K660">
        <f>'Raw Data'!I660</f>
        <v>0</v>
      </c>
      <c r="L660">
        <f>IF('Raw Data'!N660&lt;&gt;0,'Raw Data'!N660,IFERROR(VALUE(MID(F660,SEARCH("QTY",F660)+4,IFERROR(FIND(" ",F660,SEARCH("QTY",F660)+4)-(SEARCH("QTY",F660)+4),3))),""))</f>
        <v>0</v>
      </c>
      <c r="M660">
        <f>'Raw Data'!O660</f>
        <v>0</v>
      </c>
      <c r="N660">
        <f>'Raw Data'!P660</f>
        <v>0</v>
      </c>
      <c r="O660">
        <f>'Raw Data'!Q660</f>
        <v>0</v>
      </c>
      <c r="P660">
        <f>'Raw Data'!R660</f>
        <v>0</v>
      </c>
      <c r="Q660">
        <f>'Raw Data'!S660</f>
        <v>0</v>
      </c>
      <c r="R660">
        <f>'Raw Data'!T660</f>
        <v>0</v>
      </c>
      <c r="S660">
        <f>IFERROR(O660,0)+IFERROR(R660,0)</f>
        <v>0</v>
      </c>
      <c r="T660">
        <f>IF(A660="","",YEAR(A660))</f>
        <v>0</v>
      </c>
    </row>
    <row r="661" spans="1:20">
      <c r="A661">
        <f>'Raw Data'!B661</f>
        <v>0</v>
      </c>
      <c r="B661">
        <f>'Raw Data'!A661</f>
        <v>0</v>
      </c>
      <c r="C661">
        <f>'Raw Data'!C661</f>
        <v>0</v>
      </c>
      <c r="D661">
        <f>'Raw Data'!D661</f>
        <v>0</v>
      </c>
      <c r="E661">
        <f>IFERROR(VLOOKUP(D661,'Lookup Tables'!$A:$B,2,FALSE),"Unknown")</f>
        <v>0</v>
      </c>
      <c r="F661">
        <f>'Raw Data'!E661</f>
        <v>0</v>
      </c>
      <c r="G661">
        <f>IFERROR(VLOOKUP(D661,'Lookup Tables'!$A:$C,3,FALSE),IF(ISNUMBER(SEARCH("STEEL",F661)),"Steel","Others"))</f>
        <v>0</v>
      </c>
      <c r="H661">
        <f>IF(ISNUMBER(SEARCH("scrubber",F661)) , "Scrubber", IF(ISNUMBER(SEARCH("container",F661)),"Container", IF(ISNUMBER(SEARCH("basket",F661)),"Basket", IF(ISNUMBER(SEARCH("lunch",F661)),"Lunch Box", IF(ISNUMBER(SEARCH("cutlery",F661)),"Cutlery","Other")))))</f>
        <v>0</v>
      </c>
      <c r="I661">
        <f>IF('Raw Data'!G661&lt;&gt;'','Raw Data'!G661,IFERROR(MID(F661,SEARCH("MODEL",F661)+6,20),""))</f>
        <v>0</v>
      </c>
      <c r="J661">
        <f>'Raw Data'!H661</f>
        <v>0</v>
      </c>
      <c r="K661">
        <f>'Raw Data'!I661</f>
        <v>0</v>
      </c>
      <c r="L661">
        <f>IF('Raw Data'!N661&lt;&gt;0,'Raw Data'!N661,IFERROR(VALUE(MID(F661,SEARCH("QTY",F661)+4,IFERROR(FIND(" ",F661,SEARCH("QTY",F661)+4)-(SEARCH("QTY",F661)+4),3))),""))</f>
        <v>0</v>
      </c>
      <c r="M661">
        <f>'Raw Data'!O661</f>
        <v>0</v>
      </c>
      <c r="N661">
        <f>'Raw Data'!P661</f>
        <v>0</v>
      </c>
      <c r="O661">
        <f>'Raw Data'!Q661</f>
        <v>0</v>
      </c>
      <c r="P661">
        <f>'Raw Data'!R661</f>
        <v>0</v>
      </c>
      <c r="Q661">
        <f>'Raw Data'!S661</f>
        <v>0</v>
      </c>
      <c r="R661">
        <f>'Raw Data'!T661</f>
        <v>0</v>
      </c>
      <c r="S661">
        <f>IFERROR(O661,0)+IFERROR(R661,0)</f>
        <v>0</v>
      </c>
      <c r="T661">
        <f>IF(A661="","",YEAR(A661))</f>
        <v>0</v>
      </c>
    </row>
    <row r="662" spans="1:20">
      <c r="A662">
        <f>'Raw Data'!B662</f>
        <v>0</v>
      </c>
      <c r="B662">
        <f>'Raw Data'!A662</f>
        <v>0</v>
      </c>
      <c r="C662">
        <f>'Raw Data'!C662</f>
        <v>0</v>
      </c>
      <c r="D662">
        <f>'Raw Data'!D662</f>
        <v>0</v>
      </c>
      <c r="E662">
        <f>IFERROR(VLOOKUP(D662,'Lookup Tables'!$A:$B,2,FALSE),"Unknown")</f>
        <v>0</v>
      </c>
      <c r="F662">
        <f>'Raw Data'!E662</f>
        <v>0</v>
      </c>
      <c r="G662">
        <f>IFERROR(VLOOKUP(D662,'Lookup Tables'!$A:$C,3,FALSE),IF(ISNUMBER(SEARCH("STEEL",F662)),"Steel","Others"))</f>
        <v>0</v>
      </c>
      <c r="H662">
        <f>IF(ISNUMBER(SEARCH("scrubber",F662)) , "Scrubber", IF(ISNUMBER(SEARCH("container",F662)),"Container", IF(ISNUMBER(SEARCH("basket",F662)),"Basket", IF(ISNUMBER(SEARCH("lunch",F662)),"Lunch Box", IF(ISNUMBER(SEARCH("cutlery",F662)),"Cutlery","Other")))))</f>
        <v>0</v>
      </c>
      <c r="I662">
        <f>IF('Raw Data'!G662&lt;&gt;'','Raw Data'!G662,IFERROR(MID(F662,SEARCH("MODEL",F662)+6,20),""))</f>
        <v>0</v>
      </c>
      <c r="J662">
        <f>'Raw Data'!H662</f>
        <v>0</v>
      </c>
      <c r="K662">
        <f>'Raw Data'!I662</f>
        <v>0</v>
      </c>
      <c r="L662">
        <f>IF('Raw Data'!N662&lt;&gt;0,'Raw Data'!N662,IFERROR(VALUE(MID(F662,SEARCH("QTY",F662)+4,IFERROR(FIND(" ",F662,SEARCH("QTY",F662)+4)-(SEARCH("QTY",F662)+4),3))),""))</f>
        <v>0</v>
      </c>
      <c r="M662">
        <f>'Raw Data'!O662</f>
        <v>0</v>
      </c>
      <c r="N662">
        <f>'Raw Data'!P662</f>
        <v>0</v>
      </c>
      <c r="O662">
        <f>'Raw Data'!Q662</f>
        <v>0</v>
      </c>
      <c r="P662">
        <f>'Raw Data'!R662</f>
        <v>0</v>
      </c>
      <c r="Q662">
        <f>'Raw Data'!S662</f>
        <v>0</v>
      </c>
      <c r="R662">
        <f>'Raw Data'!T662</f>
        <v>0</v>
      </c>
      <c r="S662">
        <f>IFERROR(O662,0)+IFERROR(R662,0)</f>
        <v>0</v>
      </c>
      <c r="T662">
        <f>IF(A662="","",YEAR(A662))</f>
        <v>0</v>
      </c>
    </row>
    <row r="663" spans="1:20">
      <c r="A663">
        <f>'Raw Data'!B663</f>
        <v>0</v>
      </c>
      <c r="B663">
        <f>'Raw Data'!A663</f>
        <v>0</v>
      </c>
      <c r="C663">
        <f>'Raw Data'!C663</f>
        <v>0</v>
      </c>
      <c r="D663">
        <f>'Raw Data'!D663</f>
        <v>0</v>
      </c>
      <c r="E663">
        <f>IFERROR(VLOOKUP(D663,'Lookup Tables'!$A:$B,2,FALSE),"Unknown")</f>
        <v>0</v>
      </c>
      <c r="F663">
        <f>'Raw Data'!E663</f>
        <v>0</v>
      </c>
      <c r="G663">
        <f>IFERROR(VLOOKUP(D663,'Lookup Tables'!$A:$C,3,FALSE),IF(ISNUMBER(SEARCH("STEEL",F663)),"Steel","Others"))</f>
        <v>0</v>
      </c>
      <c r="H663">
        <f>IF(ISNUMBER(SEARCH("scrubber",F663)) , "Scrubber", IF(ISNUMBER(SEARCH("container",F663)),"Container", IF(ISNUMBER(SEARCH("basket",F663)),"Basket", IF(ISNUMBER(SEARCH("lunch",F663)),"Lunch Box", IF(ISNUMBER(SEARCH("cutlery",F663)),"Cutlery","Other")))))</f>
        <v>0</v>
      </c>
      <c r="I663">
        <f>IF('Raw Data'!G663&lt;&gt;'','Raw Data'!G663,IFERROR(MID(F663,SEARCH("MODEL",F663)+6,20),""))</f>
        <v>0</v>
      </c>
      <c r="J663">
        <f>'Raw Data'!H663</f>
        <v>0</v>
      </c>
      <c r="K663">
        <f>'Raw Data'!I663</f>
        <v>0</v>
      </c>
      <c r="L663">
        <f>IF('Raw Data'!N663&lt;&gt;0,'Raw Data'!N663,IFERROR(VALUE(MID(F663,SEARCH("QTY",F663)+4,IFERROR(FIND(" ",F663,SEARCH("QTY",F663)+4)-(SEARCH("QTY",F663)+4),3))),""))</f>
        <v>0</v>
      </c>
      <c r="M663">
        <f>'Raw Data'!O663</f>
        <v>0</v>
      </c>
      <c r="N663">
        <f>'Raw Data'!P663</f>
        <v>0</v>
      </c>
      <c r="O663">
        <f>'Raw Data'!Q663</f>
        <v>0</v>
      </c>
      <c r="P663">
        <f>'Raw Data'!R663</f>
        <v>0</v>
      </c>
      <c r="Q663">
        <f>'Raw Data'!S663</f>
        <v>0</v>
      </c>
      <c r="R663">
        <f>'Raw Data'!T663</f>
        <v>0</v>
      </c>
      <c r="S663">
        <f>IFERROR(O663,0)+IFERROR(R663,0)</f>
        <v>0</v>
      </c>
      <c r="T663">
        <f>IF(A663="","",YEAR(A663))</f>
        <v>0</v>
      </c>
    </row>
    <row r="664" spans="1:20">
      <c r="A664">
        <f>'Raw Data'!B664</f>
        <v>0</v>
      </c>
      <c r="B664">
        <f>'Raw Data'!A664</f>
        <v>0</v>
      </c>
      <c r="C664">
        <f>'Raw Data'!C664</f>
        <v>0</v>
      </c>
      <c r="D664">
        <f>'Raw Data'!D664</f>
        <v>0</v>
      </c>
      <c r="E664">
        <f>IFERROR(VLOOKUP(D664,'Lookup Tables'!$A:$B,2,FALSE),"Unknown")</f>
        <v>0</v>
      </c>
      <c r="F664">
        <f>'Raw Data'!E664</f>
        <v>0</v>
      </c>
      <c r="G664">
        <f>IFERROR(VLOOKUP(D664,'Lookup Tables'!$A:$C,3,FALSE),IF(ISNUMBER(SEARCH("STEEL",F664)),"Steel","Others"))</f>
        <v>0</v>
      </c>
      <c r="H664">
        <f>IF(ISNUMBER(SEARCH("scrubber",F664)) , "Scrubber", IF(ISNUMBER(SEARCH("container",F664)),"Container", IF(ISNUMBER(SEARCH("basket",F664)),"Basket", IF(ISNUMBER(SEARCH("lunch",F664)),"Lunch Box", IF(ISNUMBER(SEARCH("cutlery",F664)),"Cutlery","Other")))))</f>
        <v>0</v>
      </c>
      <c r="I664">
        <f>IF('Raw Data'!G664&lt;&gt;'','Raw Data'!G664,IFERROR(MID(F664,SEARCH("MODEL",F664)+6,20),""))</f>
        <v>0</v>
      </c>
      <c r="J664">
        <f>'Raw Data'!H664</f>
        <v>0</v>
      </c>
      <c r="K664">
        <f>'Raw Data'!I664</f>
        <v>0</v>
      </c>
      <c r="L664">
        <f>IF('Raw Data'!N664&lt;&gt;0,'Raw Data'!N664,IFERROR(VALUE(MID(F664,SEARCH("QTY",F664)+4,IFERROR(FIND(" ",F664,SEARCH("QTY",F664)+4)-(SEARCH("QTY",F664)+4),3))),""))</f>
        <v>0</v>
      </c>
      <c r="M664">
        <f>'Raw Data'!O664</f>
        <v>0</v>
      </c>
      <c r="N664">
        <f>'Raw Data'!P664</f>
        <v>0</v>
      </c>
      <c r="O664">
        <f>'Raw Data'!Q664</f>
        <v>0</v>
      </c>
      <c r="P664">
        <f>'Raw Data'!R664</f>
        <v>0</v>
      </c>
      <c r="Q664">
        <f>'Raw Data'!S664</f>
        <v>0</v>
      </c>
      <c r="R664">
        <f>'Raw Data'!T664</f>
        <v>0</v>
      </c>
      <c r="S664">
        <f>IFERROR(O664,0)+IFERROR(R664,0)</f>
        <v>0</v>
      </c>
      <c r="T664">
        <f>IF(A664="","",YEAR(A664))</f>
        <v>0</v>
      </c>
    </row>
    <row r="665" spans="1:20">
      <c r="A665">
        <f>'Raw Data'!B665</f>
        <v>0</v>
      </c>
      <c r="B665">
        <f>'Raw Data'!A665</f>
        <v>0</v>
      </c>
      <c r="C665">
        <f>'Raw Data'!C665</f>
        <v>0</v>
      </c>
      <c r="D665">
        <f>'Raw Data'!D665</f>
        <v>0</v>
      </c>
      <c r="E665">
        <f>IFERROR(VLOOKUP(D665,'Lookup Tables'!$A:$B,2,FALSE),"Unknown")</f>
        <v>0</v>
      </c>
      <c r="F665">
        <f>'Raw Data'!E665</f>
        <v>0</v>
      </c>
      <c r="G665">
        <f>IFERROR(VLOOKUP(D665,'Lookup Tables'!$A:$C,3,FALSE),IF(ISNUMBER(SEARCH("STEEL",F665)),"Steel","Others"))</f>
        <v>0</v>
      </c>
      <c r="H665">
        <f>IF(ISNUMBER(SEARCH("scrubber",F665)) , "Scrubber", IF(ISNUMBER(SEARCH("container",F665)),"Container", IF(ISNUMBER(SEARCH("basket",F665)),"Basket", IF(ISNUMBER(SEARCH("lunch",F665)),"Lunch Box", IF(ISNUMBER(SEARCH("cutlery",F665)),"Cutlery","Other")))))</f>
        <v>0</v>
      </c>
      <c r="I665">
        <f>IF('Raw Data'!G665&lt;&gt;'','Raw Data'!G665,IFERROR(MID(F665,SEARCH("MODEL",F665)+6,20),""))</f>
        <v>0</v>
      </c>
      <c r="J665">
        <f>'Raw Data'!H665</f>
        <v>0</v>
      </c>
      <c r="K665">
        <f>'Raw Data'!I665</f>
        <v>0</v>
      </c>
      <c r="L665">
        <f>IF('Raw Data'!N665&lt;&gt;0,'Raw Data'!N665,IFERROR(VALUE(MID(F665,SEARCH("QTY",F665)+4,IFERROR(FIND(" ",F665,SEARCH("QTY",F665)+4)-(SEARCH("QTY",F665)+4),3))),""))</f>
        <v>0</v>
      </c>
      <c r="M665">
        <f>'Raw Data'!O665</f>
        <v>0</v>
      </c>
      <c r="N665">
        <f>'Raw Data'!P665</f>
        <v>0</v>
      </c>
      <c r="O665">
        <f>'Raw Data'!Q665</f>
        <v>0</v>
      </c>
      <c r="P665">
        <f>'Raw Data'!R665</f>
        <v>0</v>
      </c>
      <c r="Q665">
        <f>'Raw Data'!S665</f>
        <v>0</v>
      </c>
      <c r="R665">
        <f>'Raw Data'!T665</f>
        <v>0</v>
      </c>
      <c r="S665">
        <f>IFERROR(O665,0)+IFERROR(R665,0)</f>
        <v>0</v>
      </c>
      <c r="T665">
        <f>IF(A665="","",YEAR(A665))</f>
        <v>0</v>
      </c>
    </row>
    <row r="666" spans="1:20">
      <c r="A666">
        <f>'Raw Data'!B666</f>
        <v>0</v>
      </c>
      <c r="B666">
        <f>'Raw Data'!A666</f>
        <v>0</v>
      </c>
      <c r="C666">
        <f>'Raw Data'!C666</f>
        <v>0</v>
      </c>
      <c r="D666">
        <f>'Raw Data'!D666</f>
        <v>0</v>
      </c>
      <c r="E666">
        <f>IFERROR(VLOOKUP(D666,'Lookup Tables'!$A:$B,2,FALSE),"Unknown")</f>
        <v>0</v>
      </c>
      <c r="F666">
        <f>'Raw Data'!E666</f>
        <v>0</v>
      </c>
      <c r="G666">
        <f>IFERROR(VLOOKUP(D666,'Lookup Tables'!$A:$C,3,FALSE),IF(ISNUMBER(SEARCH("STEEL",F666)),"Steel","Others"))</f>
        <v>0</v>
      </c>
      <c r="H666">
        <f>IF(ISNUMBER(SEARCH("scrubber",F666)) , "Scrubber", IF(ISNUMBER(SEARCH("container",F666)),"Container", IF(ISNUMBER(SEARCH("basket",F666)),"Basket", IF(ISNUMBER(SEARCH("lunch",F666)),"Lunch Box", IF(ISNUMBER(SEARCH("cutlery",F666)),"Cutlery","Other")))))</f>
        <v>0</v>
      </c>
      <c r="I666">
        <f>IF('Raw Data'!G666&lt;&gt;'','Raw Data'!G666,IFERROR(MID(F666,SEARCH("MODEL",F666)+6,20),""))</f>
        <v>0</v>
      </c>
      <c r="J666">
        <f>'Raw Data'!H666</f>
        <v>0</v>
      </c>
      <c r="K666">
        <f>'Raw Data'!I666</f>
        <v>0</v>
      </c>
      <c r="L666">
        <f>IF('Raw Data'!N666&lt;&gt;0,'Raw Data'!N666,IFERROR(VALUE(MID(F666,SEARCH("QTY",F666)+4,IFERROR(FIND(" ",F666,SEARCH("QTY",F666)+4)-(SEARCH("QTY",F666)+4),3))),""))</f>
        <v>0</v>
      </c>
      <c r="M666">
        <f>'Raw Data'!O666</f>
        <v>0</v>
      </c>
      <c r="N666">
        <f>'Raw Data'!P666</f>
        <v>0</v>
      </c>
      <c r="O666">
        <f>'Raw Data'!Q666</f>
        <v>0</v>
      </c>
      <c r="P666">
        <f>'Raw Data'!R666</f>
        <v>0</v>
      </c>
      <c r="Q666">
        <f>'Raw Data'!S666</f>
        <v>0</v>
      </c>
      <c r="R666">
        <f>'Raw Data'!T666</f>
        <v>0</v>
      </c>
      <c r="S666">
        <f>IFERROR(O666,0)+IFERROR(R666,0)</f>
        <v>0</v>
      </c>
      <c r="T666">
        <f>IF(A666="","",YEAR(A666))</f>
        <v>0</v>
      </c>
    </row>
    <row r="667" spans="1:20">
      <c r="A667">
        <f>'Raw Data'!B667</f>
        <v>0</v>
      </c>
      <c r="B667">
        <f>'Raw Data'!A667</f>
        <v>0</v>
      </c>
      <c r="C667">
        <f>'Raw Data'!C667</f>
        <v>0</v>
      </c>
      <c r="D667">
        <f>'Raw Data'!D667</f>
        <v>0</v>
      </c>
      <c r="E667">
        <f>IFERROR(VLOOKUP(D667,'Lookup Tables'!$A:$B,2,FALSE),"Unknown")</f>
        <v>0</v>
      </c>
      <c r="F667">
        <f>'Raw Data'!E667</f>
        <v>0</v>
      </c>
      <c r="G667">
        <f>IFERROR(VLOOKUP(D667,'Lookup Tables'!$A:$C,3,FALSE),IF(ISNUMBER(SEARCH("STEEL",F667)),"Steel","Others"))</f>
        <v>0</v>
      </c>
      <c r="H667">
        <f>IF(ISNUMBER(SEARCH("scrubber",F667)) , "Scrubber", IF(ISNUMBER(SEARCH("container",F667)),"Container", IF(ISNUMBER(SEARCH("basket",F667)),"Basket", IF(ISNUMBER(SEARCH("lunch",F667)),"Lunch Box", IF(ISNUMBER(SEARCH("cutlery",F667)),"Cutlery","Other")))))</f>
        <v>0</v>
      </c>
      <c r="I667">
        <f>IF('Raw Data'!G667&lt;&gt;'','Raw Data'!G667,IFERROR(MID(F667,SEARCH("MODEL",F667)+6,20),""))</f>
        <v>0</v>
      </c>
      <c r="J667">
        <f>'Raw Data'!H667</f>
        <v>0</v>
      </c>
      <c r="K667">
        <f>'Raw Data'!I667</f>
        <v>0</v>
      </c>
      <c r="L667">
        <f>IF('Raw Data'!N667&lt;&gt;0,'Raw Data'!N667,IFERROR(VALUE(MID(F667,SEARCH("QTY",F667)+4,IFERROR(FIND(" ",F667,SEARCH("QTY",F667)+4)-(SEARCH("QTY",F667)+4),3))),""))</f>
        <v>0</v>
      </c>
      <c r="M667">
        <f>'Raw Data'!O667</f>
        <v>0</v>
      </c>
      <c r="N667">
        <f>'Raw Data'!P667</f>
        <v>0</v>
      </c>
      <c r="O667">
        <f>'Raw Data'!Q667</f>
        <v>0</v>
      </c>
      <c r="P667">
        <f>'Raw Data'!R667</f>
        <v>0</v>
      </c>
      <c r="Q667">
        <f>'Raw Data'!S667</f>
        <v>0</v>
      </c>
      <c r="R667">
        <f>'Raw Data'!T667</f>
        <v>0</v>
      </c>
      <c r="S667">
        <f>IFERROR(O667,0)+IFERROR(R667,0)</f>
        <v>0</v>
      </c>
      <c r="T667">
        <f>IF(A667="","",YEAR(A667))</f>
        <v>0</v>
      </c>
    </row>
    <row r="668" spans="1:20">
      <c r="A668">
        <f>'Raw Data'!B668</f>
        <v>0</v>
      </c>
      <c r="B668">
        <f>'Raw Data'!A668</f>
        <v>0</v>
      </c>
      <c r="C668">
        <f>'Raw Data'!C668</f>
        <v>0</v>
      </c>
      <c r="D668">
        <f>'Raw Data'!D668</f>
        <v>0</v>
      </c>
      <c r="E668">
        <f>IFERROR(VLOOKUP(D668,'Lookup Tables'!$A:$B,2,FALSE),"Unknown")</f>
        <v>0</v>
      </c>
      <c r="F668">
        <f>'Raw Data'!E668</f>
        <v>0</v>
      </c>
      <c r="G668">
        <f>IFERROR(VLOOKUP(D668,'Lookup Tables'!$A:$C,3,FALSE),IF(ISNUMBER(SEARCH("STEEL",F668)),"Steel","Others"))</f>
        <v>0</v>
      </c>
      <c r="H668">
        <f>IF(ISNUMBER(SEARCH("scrubber",F668)) , "Scrubber", IF(ISNUMBER(SEARCH("container",F668)),"Container", IF(ISNUMBER(SEARCH("basket",F668)),"Basket", IF(ISNUMBER(SEARCH("lunch",F668)),"Lunch Box", IF(ISNUMBER(SEARCH("cutlery",F668)),"Cutlery","Other")))))</f>
        <v>0</v>
      </c>
      <c r="I668">
        <f>IF('Raw Data'!G668&lt;&gt;'','Raw Data'!G668,IFERROR(MID(F668,SEARCH("MODEL",F668)+6,20),""))</f>
        <v>0</v>
      </c>
      <c r="J668">
        <f>'Raw Data'!H668</f>
        <v>0</v>
      </c>
      <c r="K668">
        <f>'Raw Data'!I668</f>
        <v>0</v>
      </c>
      <c r="L668">
        <f>IF('Raw Data'!N668&lt;&gt;0,'Raw Data'!N668,IFERROR(VALUE(MID(F668,SEARCH("QTY",F668)+4,IFERROR(FIND(" ",F668,SEARCH("QTY",F668)+4)-(SEARCH("QTY",F668)+4),3))),""))</f>
        <v>0</v>
      </c>
      <c r="M668">
        <f>'Raw Data'!O668</f>
        <v>0</v>
      </c>
      <c r="N668">
        <f>'Raw Data'!P668</f>
        <v>0</v>
      </c>
      <c r="O668">
        <f>'Raw Data'!Q668</f>
        <v>0</v>
      </c>
      <c r="P668">
        <f>'Raw Data'!R668</f>
        <v>0</v>
      </c>
      <c r="Q668">
        <f>'Raw Data'!S668</f>
        <v>0</v>
      </c>
      <c r="R668">
        <f>'Raw Data'!T668</f>
        <v>0</v>
      </c>
      <c r="S668">
        <f>IFERROR(O668,0)+IFERROR(R668,0)</f>
        <v>0</v>
      </c>
      <c r="T668">
        <f>IF(A668="","",YEAR(A668))</f>
        <v>0</v>
      </c>
    </row>
    <row r="669" spans="1:20">
      <c r="A669">
        <f>'Raw Data'!B669</f>
        <v>0</v>
      </c>
      <c r="B669">
        <f>'Raw Data'!A669</f>
        <v>0</v>
      </c>
      <c r="C669">
        <f>'Raw Data'!C669</f>
        <v>0</v>
      </c>
      <c r="D669">
        <f>'Raw Data'!D669</f>
        <v>0</v>
      </c>
      <c r="E669">
        <f>IFERROR(VLOOKUP(D669,'Lookup Tables'!$A:$B,2,FALSE),"Unknown")</f>
        <v>0</v>
      </c>
      <c r="F669">
        <f>'Raw Data'!E669</f>
        <v>0</v>
      </c>
      <c r="G669">
        <f>IFERROR(VLOOKUP(D669,'Lookup Tables'!$A:$C,3,FALSE),IF(ISNUMBER(SEARCH("STEEL",F669)),"Steel","Others"))</f>
        <v>0</v>
      </c>
      <c r="H669">
        <f>IF(ISNUMBER(SEARCH("scrubber",F669)) , "Scrubber", IF(ISNUMBER(SEARCH("container",F669)),"Container", IF(ISNUMBER(SEARCH("basket",F669)),"Basket", IF(ISNUMBER(SEARCH("lunch",F669)),"Lunch Box", IF(ISNUMBER(SEARCH("cutlery",F669)),"Cutlery","Other")))))</f>
        <v>0</v>
      </c>
      <c r="I669">
        <f>IF('Raw Data'!G669&lt;&gt;'','Raw Data'!G669,IFERROR(MID(F669,SEARCH("MODEL",F669)+6,20),""))</f>
        <v>0</v>
      </c>
      <c r="J669">
        <f>'Raw Data'!H669</f>
        <v>0</v>
      </c>
      <c r="K669">
        <f>'Raw Data'!I669</f>
        <v>0</v>
      </c>
      <c r="L669">
        <f>IF('Raw Data'!N669&lt;&gt;0,'Raw Data'!N669,IFERROR(VALUE(MID(F669,SEARCH("QTY",F669)+4,IFERROR(FIND(" ",F669,SEARCH("QTY",F669)+4)-(SEARCH("QTY",F669)+4),3))),""))</f>
        <v>0</v>
      </c>
      <c r="M669">
        <f>'Raw Data'!O669</f>
        <v>0</v>
      </c>
      <c r="N669">
        <f>'Raw Data'!P669</f>
        <v>0</v>
      </c>
      <c r="O669">
        <f>'Raw Data'!Q669</f>
        <v>0</v>
      </c>
      <c r="P669">
        <f>'Raw Data'!R669</f>
        <v>0</v>
      </c>
      <c r="Q669">
        <f>'Raw Data'!S669</f>
        <v>0</v>
      </c>
      <c r="R669">
        <f>'Raw Data'!T669</f>
        <v>0</v>
      </c>
      <c r="S669">
        <f>IFERROR(O669,0)+IFERROR(R669,0)</f>
        <v>0</v>
      </c>
      <c r="T669">
        <f>IF(A669="","",YEAR(A669))</f>
        <v>0</v>
      </c>
    </row>
    <row r="670" spans="1:20">
      <c r="A670">
        <f>'Raw Data'!B670</f>
        <v>0</v>
      </c>
      <c r="B670">
        <f>'Raw Data'!A670</f>
        <v>0</v>
      </c>
      <c r="C670">
        <f>'Raw Data'!C670</f>
        <v>0</v>
      </c>
      <c r="D670">
        <f>'Raw Data'!D670</f>
        <v>0</v>
      </c>
      <c r="E670">
        <f>IFERROR(VLOOKUP(D670,'Lookup Tables'!$A:$B,2,FALSE),"Unknown")</f>
        <v>0</v>
      </c>
      <c r="F670">
        <f>'Raw Data'!E670</f>
        <v>0</v>
      </c>
      <c r="G670">
        <f>IFERROR(VLOOKUP(D670,'Lookup Tables'!$A:$C,3,FALSE),IF(ISNUMBER(SEARCH("STEEL",F670)),"Steel","Others"))</f>
        <v>0</v>
      </c>
      <c r="H670">
        <f>IF(ISNUMBER(SEARCH("scrubber",F670)) , "Scrubber", IF(ISNUMBER(SEARCH("container",F670)),"Container", IF(ISNUMBER(SEARCH("basket",F670)),"Basket", IF(ISNUMBER(SEARCH("lunch",F670)),"Lunch Box", IF(ISNUMBER(SEARCH("cutlery",F670)),"Cutlery","Other")))))</f>
        <v>0</v>
      </c>
      <c r="I670">
        <f>IF('Raw Data'!G670&lt;&gt;'','Raw Data'!G670,IFERROR(MID(F670,SEARCH("MODEL",F670)+6,20),""))</f>
        <v>0</v>
      </c>
      <c r="J670">
        <f>'Raw Data'!H670</f>
        <v>0</v>
      </c>
      <c r="K670">
        <f>'Raw Data'!I670</f>
        <v>0</v>
      </c>
      <c r="L670">
        <f>IF('Raw Data'!N670&lt;&gt;0,'Raw Data'!N670,IFERROR(VALUE(MID(F670,SEARCH("QTY",F670)+4,IFERROR(FIND(" ",F670,SEARCH("QTY",F670)+4)-(SEARCH("QTY",F670)+4),3))),""))</f>
        <v>0</v>
      </c>
      <c r="M670">
        <f>'Raw Data'!O670</f>
        <v>0</v>
      </c>
      <c r="N670">
        <f>'Raw Data'!P670</f>
        <v>0</v>
      </c>
      <c r="O670">
        <f>'Raw Data'!Q670</f>
        <v>0</v>
      </c>
      <c r="P670">
        <f>'Raw Data'!R670</f>
        <v>0</v>
      </c>
      <c r="Q670">
        <f>'Raw Data'!S670</f>
        <v>0</v>
      </c>
      <c r="R670">
        <f>'Raw Data'!T670</f>
        <v>0</v>
      </c>
      <c r="S670">
        <f>IFERROR(O670,0)+IFERROR(R670,0)</f>
        <v>0</v>
      </c>
      <c r="T670">
        <f>IF(A670="","",YEAR(A670))</f>
        <v>0</v>
      </c>
    </row>
    <row r="671" spans="1:20">
      <c r="A671">
        <f>'Raw Data'!B671</f>
        <v>0</v>
      </c>
      <c r="B671">
        <f>'Raw Data'!A671</f>
        <v>0</v>
      </c>
      <c r="C671">
        <f>'Raw Data'!C671</f>
        <v>0</v>
      </c>
      <c r="D671">
        <f>'Raw Data'!D671</f>
        <v>0</v>
      </c>
      <c r="E671">
        <f>IFERROR(VLOOKUP(D671,'Lookup Tables'!$A:$B,2,FALSE),"Unknown")</f>
        <v>0</v>
      </c>
      <c r="F671">
        <f>'Raw Data'!E671</f>
        <v>0</v>
      </c>
      <c r="G671">
        <f>IFERROR(VLOOKUP(D671,'Lookup Tables'!$A:$C,3,FALSE),IF(ISNUMBER(SEARCH("STEEL",F671)),"Steel","Others"))</f>
        <v>0</v>
      </c>
      <c r="H671">
        <f>IF(ISNUMBER(SEARCH("scrubber",F671)) , "Scrubber", IF(ISNUMBER(SEARCH("container",F671)),"Container", IF(ISNUMBER(SEARCH("basket",F671)),"Basket", IF(ISNUMBER(SEARCH("lunch",F671)),"Lunch Box", IF(ISNUMBER(SEARCH("cutlery",F671)),"Cutlery","Other")))))</f>
        <v>0</v>
      </c>
      <c r="I671">
        <f>IF('Raw Data'!G671&lt;&gt;'','Raw Data'!G671,IFERROR(MID(F671,SEARCH("MODEL",F671)+6,20),""))</f>
        <v>0</v>
      </c>
      <c r="J671">
        <f>'Raw Data'!H671</f>
        <v>0</v>
      </c>
      <c r="K671">
        <f>'Raw Data'!I671</f>
        <v>0</v>
      </c>
      <c r="L671">
        <f>IF('Raw Data'!N671&lt;&gt;0,'Raw Data'!N671,IFERROR(VALUE(MID(F671,SEARCH("QTY",F671)+4,IFERROR(FIND(" ",F671,SEARCH("QTY",F671)+4)-(SEARCH("QTY",F671)+4),3))),""))</f>
        <v>0</v>
      </c>
      <c r="M671">
        <f>'Raw Data'!O671</f>
        <v>0</v>
      </c>
      <c r="N671">
        <f>'Raw Data'!P671</f>
        <v>0</v>
      </c>
      <c r="O671">
        <f>'Raw Data'!Q671</f>
        <v>0</v>
      </c>
      <c r="P671">
        <f>'Raw Data'!R671</f>
        <v>0</v>
      </c>
      <c r="Q671">
        <f>'Raw Data'!S671</f>
        <v>0</v>
      </c>
      <c r="R671">
        <f>'Raw Data'!T671</f>
        <v>0</v>
      </c>
      <c r="S671">
        <f>IFERROR(O671,0)+IFERROR(R671,0)</f>
        <v>0</v>
      </c>
      <c r="T671">
        <f>IF(A671="","",YEAR(A671))</f>
        <v>0</v>
      </c>
    </row>
    <row r="672" spans="1:20">
      <c r="A672">
        <f>'Raw Data'!B672</f>
        <v>0</v>
      </c>
      <c r="B672">
        <f>'Raw Data'!A672</f>
        <v>0</v>
      </c>
      <c r="C672">
        <f>'Raw Data'!C672</f>
        <v>0</v>
      </c>
      <c r="D672">
        <f>'Raw Data'!D672</f>
        <v>0</v>
      </c>
      <c r="E672">
        <f>IFERROR(VLOOKUP(D672,'Lookup Tables'!$A:$B,2,FALSE),"Unknown")</f>
        <v>0</v>
      </c>
      <c r="F672">
        <f>'Raw Data'!E672</f>
        <v>0</v>
      </c>
      <c r="G672">
        <f>IFERROR(VLOOKUP(D672,'Lookup Tables'!$A:$C,3,FALSE),IF(ISNUMBER(SEARCH("STEEL",F672)),"Steel","Others"))</f>
        <v>0</v>
      </c>
      <c r="H672">
        <f>IF(ISNUMBER(SEARCH("scrubber",F672)) , "Scrubber", IF(ISNUMBER(SEARCH("container",F672)),"Container", IF(ISNUMBER(SEARCH("basket",F672)),"Basket", IF(ISNUMBER(SEARCH("lunch",F672)),"Lunch Box", IF(ISNUMBER(SEARCH("cutlery",F672)),"Cutlery","Other")))))</f>
        <v>0</v>
      </c>
      <c r="I672">
        <f>IF('Raw Data'!G672&lt;&gt;'','Raw Data'!G672,IFERROR(MID(F672,SEARCH("MODEL",F672)+6,20),""))</f>
        <v>0</v>
      </c>
      <c r="J672">
        <f>'Raw Data'!H672</f>
        <v>0</v>
      </c>
      <c r="K672">
        <f>'Raw Data'!I672</f>
        <v>0</v>
      </c>
      <c r="L672">
        <f>IF('Raw Data'!N672&lt;&gt;0,'Raw Data'!N672,IFERROR(VALUE(MID(F672,SEARCH("QTY",F672)+4,IFERROR(FIND(" ",F672,SEARCH("QTY",F672)+4)-(SEARCH("QTY",F672)+4),3))),""))</f>
        <v>0</v>
      </c>
      <c r="M672">
        <f>'Raw Data'!O672</f>
        <v>0</v>
      </c>
      <c r="N672">
        <f>'Raw Data'!P672</f>
        <v>0</v>
      </c>
      <c r="O672">
        <f>'Raw Data'!Q672</f>
        <v>0</v>
      </c>
      <c r="P672">
        <f>'Raw Data'!R672</f>
        <v>0</v>
      </c>
      <c r="Q672">
        <f>'Raw Data'!S672</f>
        <v>0</v>
      </c>
      <c r="R672">
        <f>'Raw Data'!T672</f>
        <v>0</v>
      </c>
      <c r="S672">
        <f>IFERROR(O672,0)+IFERROR(R672,0)</f>
        <v>0</v>
      </c>
      <c r="T672">
        <f>IF(A672="","",YEAR(A672))</f>
        <v>0</v>
      </c>
    </row>
    <row r="673" spans="1:20">
      <c r="A673">
        <f>'Raw Data'!B673</f>
        <v>0</v>
      </c>
      <c r="B673">
        <f>'Raw Data'!A673</f>
        <v>0</v>
      </c>
      <c r="C673">
        <f>'Raw Data'!C673</f>
        <v>0</v>
      </c>
      <c r="D673">
        <f>'Raw Data'!D673</f>
        <v>0</v>
      </c>
      <c r="E673">
        <f>IFERROR(VLOOKUP(D673,'Lookup Tables'!$A:$B,2,FALSE),"Unknown")</f>
        <v>0</v>
      </c>
      <c r="F673">
        <f>'Raw Data'!E673</f>
        <v>0</v>
      </c>
      <c r="G673">
        <f>IFERROR(VLOOKUP(D673,'Lookup Tables'!$A:$C,3,FALSE),IF(ISNUMBER(SEARCH("STEEL",F673)),"Steel","Others"))</f>
        <v>0</v>
      </c>
      <c r="H673">
        <f>IF(ISNUMBER(SEARCH("scrubber",F673)) , "Scrubber", IF(ISNUMBER(SEARCH("container",F673)),"Container", IF(ISNUMBER(SEARCH("basket",F673)),"Basket", IF(ISNUMBER(SEARCH("lunch",F673)),"Lunch Box", IF(ISNUMBER(SEARCH("cutlery",F673)),"Cutlery","Other")))))</f>
        <v>0</v>
      </c>
      <c r="I673">
        <f>IF('Raw Data'!G673&lt;&gt;'','Raw Data'!G673,IFERROR(MID(F673,SEARCH("MODEL",F673)+6,20),""))</f>
        <v>0</v>
      </c>
      <c r="J673">
        <f>'Raw Data'!H673</f>
        <v>0</v>
      </c>
      <c r="K673">
        <f>'Raw Data'!I673</f>
        <v>0</v>
      </c>
      <c r="L673">
        <f>IF('Raw Data'!N673&lt;&gt;0,'Raw Data'!N673,IFERROR(VALUE(MID(F673,SEARCH("QTY",F673)+4,IFERROR(FIND(" ",F673,SEARCH("QTY",F673)+4)-(SEARCH("QTY",F673)+4),3))),""))</f>
        <v>0</v>
      </c>
      <c r="M673">
        <f>'Raw Data'!O673</f>
        <v>0</v>
      </c>
      <c r="N673">
        <f>'Raw Data'!P673</f>
        <v>0</v>
      </c>
      <c r="O673">
        <f>'Raw Data'!Q673</f>
        <v>0</v>
      </c>
      <c r="P673">
        <f>'Raw Data'!R673</f>
        <v>0</v>
      </c>
      <c r="Q673">
        <f>'Raw Data'!S673</f>
        <v>0</v>
      </c>
      <c r="R673">
        <f>'Raw Data'!T673</f>
        <v>0</v>
      </c>
      <c r="S673">
        <f>IFERROR(O673,0)+IFERROR(R673,0)</f>
        <v>0</v>
      </c>
      <c r="T673">
        <f>IF(A673="","",YEAR(A673))</f>
        <v>0</v>
      </c>
    </row>
    <row r="674" spans="1:20">
      <c r="A674">
        <f>'Raw Data'!B674</f>
        <v>0</v>
      </c>
      <c r="B674">
        <f>'Raw Data'!A674</f>
        <v>0</v>
      </c>
      <c r="C674">
        <f>'Raw Data'!C674</f>
        <v>0</v>
      </c>
      <c r="D674">
        <f>'Raw Data'!D674</f>
        <v>0</v>
      </c>
      <c r="E674">
        <f>IFERROR(VLOOKUP(D674,'Lookup Tables'!$A:$B,2,FALSE),"Unknown")</f>
        <v>0</v>
      </c>
      <c r="F674">
        <f>'Raw Data'!E674</f>
        <v>0</v>
      </c>
      <c r="G674">
        <f>IFERROR(VLOOKUP(D674,'Lookup Tables'!$A:$C,3,FALSE),IF(ISNUMBER(SEARCH("STEEL",F674)),"Steel","Others"))</f>
        <v>0</v>
      </c>
      <c r="H674">
        <f>IF(ISNUMBER(SEARCH("scrubber",F674)) , "Scrubber", IF(ISNUMBER(SEARCH("container",F674)),"Container", IF(ISNUMBER(SEARCH("basket",F674)),"Basket", IF(ISNUMBER(SEARCH("lunch",F674)),"Lunch Box", IF(ISNUMBER(SEARCH("cutlery",F674)),"Cutlery","Other")))))</f>
        <v>0</v>
      </c>
      <c r="I674">
        <f>IF('Raw Data'!G674&lt;&gt;'','Raw Data'!G674,IFERROR(MID(F674,SEARCH("MODEL",F674)+6,20),""))</f>
        <v>0</v>
      </c>
      <c r="J674">
        <f>'Raw Data'!H674</f>
        <v>0</v>
      </c>
      <c r="K674">
        <f>'Raw Data'!I674</f>
        <v>0</v>
      </c>
      <c r="L674">
        <f>IF('Raw Data'!N674&lt;&gt;0,'Raw Data'!N674,IFERROR(VALUE(MID(F674,SEARCH("QTY",F674)+4,IFERROR(FIND(" ",F674,SEARCH("QTY",F674)+4)-(SEARCH("QTY",F674)+4),3))),""))</f>
        <v>0</v>
      </c>
      <c r="M674">
        <f>'Raw Data'!O674</f>
        <v>0</v>
      </c>
      <c r="N674">
        <f>'Raw Data'!P674</f>
        <v>0</v>
      </c>
      <c r="O674">
        <f>'Raw Data'!Q674</f>
        <v>0</v>
      </c>
      <c r="P674">
        <f>'Raw Data'!R674</f>
        <v>0</v>
      </c>
      <c r="Q674">
        <f>'Raw Data'!S674</f>
        <v>0</v>
      </c>
      <c r="R674">
        <f>'Raw Data'!T674</f>
        <v>0</v>
      </c>
      <c r="S674">
        <f>IFERROR(O674,0)+IFERROR(R674,0)</f>
        <v>0</v>
      </c>
      <c r="T674">
        <f>IF(A674="","",YEAR(A674))</f>
        <v>0</v>
      </c>
    </row>
    <row r="675" spans="1:20">
      <c r="A675">
        <f>'Raw Data'!B675</f>
        <v>0</v>
      </c>
      <c r="B675">
        <f>'Raw Data'!A675</f>
        <v>0</v>
      </c>
      <c r="C675">
        <f>'Raw Data'!C675</f>
        <v>0</v>
      </c>
      <c r="D675">
        <f>'Raw Data'!D675</f>
        <v>0</v>
      </c>
      <c r="E675">
        <f>IFERROR(VLOOKUP(D675,'Lookup Tables'!$A:$B,2,FALSE),"Unknown")</f>
        <v>0</v>
      </c>
      <c r="F675">
        <f>'Raw Data'!E675</f>
        <v>0</v>
      </c>
      <c r="G675">
        <f>IFERROR(VLOOKUP(D675,'Lookup Tables'!$A:$C,3,FALSE),IF(ISNUMBER(SEARCH("STEEL",F675)),"Steel","Others"))</f>
        <v>0</v>
      </c>
      <c r="H675">
        <f>IF(ISNUMBER(SEARCH("scrubber",F675)) , "Scrubber", IF(ISNUMBER(SEARCH("container",F675)),"Container", IF(ISNUMBER(SEARCH("basket",F675)),"Basket", IF(ISNUMBER(SEARCH("lunch",F675)),"Lunch Box", IF(ISNUMBER(SEARCH("cutlery",F675)),"Cutlery","Other")))))</f>
        <v>0</v>
      </c>
      <c r="I675">
        <f>IF('Raw Data'!G675&lt;&gt;'','Raw Data'!G675,IFERROR(MID(F675,SEARCH("MODEL",F675)+6,20),""))</f>
        <v>0</v>
      </c>
      <c r="J675">
        <f>'Raw Data'!H675</f>
        <v>0</v>
      </c>
      <c r="K675">
        <f>'Raw Data'!I675</f>
        <v>0</v>
      </c>
      <c r="L675">
        <f>IF('Raw Data'!N675&lt;&gt;0,'Raw Data'!N675,IFERROR(VALUE(MID(F675,SEARCH("QTY",F675)+4,IFERROR(FIND(" ",F675,SEARCH("QTY",F675)+4)-(SEARCH("QTY",F675)+4),3))),""))</f>
        <v>0</v>
      </c>
      <c r="M675">
        <f>'Raw Data'!O675</f>
        <v>0</v>
      </c>
      <c r="N675">
        <f>'Raw Data'!P675</f>
        <v>0</v>
      </c>
      <c r="O675">
        <f>'Raw Data'!Q675</f>
        <v>0</v>
      </c>
      <c r="P675">
        <f>'Raw Data'!R675</f>
        <v>0</v>
      </c>
      <c r="Q675">
        <f>'Raw Data'!S675</f>
        <v>0</v>
      </c>
      <c r="R675">
        <f>'Raw Data'!T675</f>
        <v>0</v>
      </c>
      <c r="S675">
        <f>IFERROR(O675,0)+IFERROR(R675,0)</f>
        <v>0</v>
      </c>
      <c r="T675">
        <f>IF(A675="","",YEAR(A675))</f>
        <v>0</v>
      </c>
    </row>
    <row r="676" spans="1:20">
      <c r="A676">
        <f>'Raw Data'!B676</f>
        <v>0</v>
      </c>
      <c r="B676">
        <f>'Raw Data'!A676</f>
        <v>0</v>
      </c>
      <c r="C676">
        <f>'Raw Data'!C676</f>
        <v>0</v>
      </c>
      <c r="D676">
        <f>'Raw Data'!D676</f>
        <v>0</v>
      </c>
      <c r="E676">
        <f>IFERROR(VLOOKUP(D676,'Lookup Tables'!$A:$B,2,FALSE),"Unknown")</f>
        <v>0</v>
      </c>
      <c r="F676">
        <f>'Raw Data'!E676</f>
        <v>0</v>
      </c>
      <c r="G676">
        <f>IFERROR(VLOOKUP(D676,'Lookup Tables'!$A:$C,3,FALSE),IF(ISNUMBER(SEARCH("STEEL",F676)),"Steel","Others"))</f>
        <v>0</v>
      </c>
      <c r="H676">
        <f>IF(ISNUMBER(SEARCH("scrubber",F676)) , "Scrubber", IF(ISNUMBER(SEARCH("container",F676)),"Container", IF(ISNUMBER(SEARCH("basket",F676)),"Basket", IF(ISNUMBER(SEARCH("lunch",F676)),"Lunch Box", IF(ISNUMBER(SEARCH("cutlery",F676)),"Cutlery","Other")))))</f>
        <v>0</v>
      </c>
      <c r="I676">
        <f>IF('Raw Data'!G676&lt;&gt;'','Raw Data'!G676,IFERROR(MID(F676,SEARCH("MODEL",F676)+6,20),""))</f>
        <v>0</v>
      </c>
      <c r="J676">
        <f>'Raw Data'!H676</f>
        <v>0</v>
      </c>
      <c r="K676">
        <f>'Raw Data'!I676</f>
        <v>0</v>
      </c>
      <c r="L676">
        <f>IF('Raw Data'!N676&lt;&gt;0,'Raw Data'!N676,IFERROR(VALUE(MID(F676,SEARCH("QTY",F676)+4,IFERROR(FIND(" ",F676,SEARCH("QTY",F676)+4)-(SEARCH("QTY",F676)+4),3))),""))</f>
        <v>0</v>
      </c>
      <c r="M676">
        <f>'Raw Data'!O676</f>
        <v>0</v>
      </c>
      <c r="N676">
        <f>'Raw Data'!P676</f>
        <v>0</v>
      </c>
      <c r="O676">
        <f>'Raw Data'!Q676</f>
        <v>0</v>
      </c>
      <c r="P676">
        <f>'Raw Data'!R676</f>
        <v>0</v>
      </c>
      <c r="Q676">
        <f>'Raw Data'!S676</f>
        <v>0</v>
      </c>
      <c r="R676">
        <f>'Raw Data'!T676</f>
        <v>0</v>
      </c>
      <c r="S676">
        <f>IFERROR(O676,0)+IFERROR(R676,0)</f>
        <v>0</v>
      </c>
      <c r="T676">
        <f>IF(A676="","",YEAR(A676))</f>
        <v>0</v>
      </c>
    </row>
    <row r="677" spans="1:20">
      <c r="A677">
        <f>'Raw Data'!B677</f>
        <v>0</v>
      </c>
      <c r="B677">
        <f>'Raw Data'!A677</f>
        <v>0</v>
      </c>
      <c r="C677">
        <f>'Raw Data'!C677</f>
        <v>0</v>
      </c>
      <c r="D677">
        <f>'Raw Data'!D677</f>
        <v>0</v>
      </c>
      <c r="E677">
        <f>IFERROR(VLOOKUP(D677,'Lookup Tables'!$A:$B,2,FALSE),"Unknown")</f>
        <v>0</v>
      </c>
      <c r="F677">
        <f>'Raw Data'!E677</f>
        <v>0</v>
      </c>
      <c r="G677">
        <f>IFERROR(VLOOKUP(D677,'Lookup Tables'!$A:$C,3,FALSE),IF(ISNUMBER(SEARCH("STEEL",F677)),"Steel","Others"))</f>
        <v>0</v>
      </c>
      <c r="H677">
        <f>IF(ISNUMBER(SEARCH("scrubber",F677)) , "Scrubber", IF(ISNUMBER(SEARCH("container",F677)),"Container", IF(ISNUMBER(SEARCH("basket",F677)),"Basket", IF(ISNUMBER(SEARCH("lunch",F677)),"Lunch Box", IF(ISNUMBER(SEARCH("cutlery",F677)),"Cutlery","Other")))))</f>
        <v>0</v>
      </c>
      <c r="I677">
        <f>IF('Raw Data'!G677&lt;&gt;'','Raw Data'!G677,IFERROR(MID(F677,SEARCH("MODEL",F677)+6,20),""))</f>
        <v>0</v>
      </c>
      <c r="J677">
        <f>'Raw Data'!H677</f>
        <v>0</v>
      </c>
      <c r="K677">
        <f>'Raw Data'!I677</f>
        <v>0</v>
      </c>
      <c r="L677">
        <f>IF('Raw Data'!N677&lt;&gt;0,'Raw Data'!N677,IFERROR(VALUE(MID(F677,SEARCH("QTY",F677)+4,IFERROR(FIND(" ",F677,SEARCH("QTY",F677)+4)-(SEARCH("QTY",F677)+4),3))),""))</f>
        <v>0</v>
      </c>
      <c r="M677">
        <f>'Raw Data'!O677</f>
        <v>0</v>
      </c>
      <c r="N677">
        <f>'Raw Data'!P677</f>
        <v>0</v>
      </c>
      <c r="O677">
        <f>'Raw Data'!Q677</f>
        <v>0</v>
      </c>
      <c r="P677">
        <f>'Raw Data'!R677</f>
        <v>0</v>
      </c>
      <c r="Q677">
        <f>'Raw Data'!S677</f>
        <v>0</v>
      </c>
      <c r="R677">
        <f>'Raw Data'!T677</f>
        <v>0</v>
      </c>
      <c r="S677">
        <f>IFERROR(O677,0)+IFERROR(R677,0)</f>
        <v>0</v>
      </c>
      <c r="T677">
        <f>IF(A677="","",YEAR(A677))</f>
        <v>0</v>
      </c>
    </row>
    <row r="678" spans="1:20">
      <c r="A678">
        <f>'Raw Data'!B678</f>
        <v>0</v>
      </c>
      <c r="B678">
        <f>'Raw Data'!A678</f>
        <v>0</v>
      </c>
      <c r="C678">
        <f>'Raw Data'!C678</f>
        <v>0</v>
      </c>
      <c r="D678">
        <f>'Raw Data'!D678</f>
        <v>0</v>
      </c>
      <c r="E678">
        <f>IFERROR(VLOOKUP(D678,'Lookup Tables'!$A:$B,2,FALSE),"Unknown")</f>
        <v>0</v>
      </c>
      <c r="F678">
        <f>'Raw Data'!E678</f>
        <v>0</v>
      </c>
      <c r="G678">
        <f>IFERROR(VLOOKUP(D678,'Lookup Tables'!$A:$C,3,FALSE),IF(ISNUMBER(SEARCH("STEEL",F678)),"Steel","Others"))</f>
        <v>0</v>
      </c>
      <c r="H678">
        <f>IF(ISNUMBER(SEARCH("scrubber",F678)) , "Scrubber", IF(ISNUMBER(SEARCH("container",F678)),"Container", IF(ISNUMBER(SEARCH("basket",F678)),"Basket", IF(ISNUMBER(SEARCH("lunch",F678)),"Lunch Box", IF(ISNUMBER(SEARCH("cutlery",F678)),"Cutlery","Other")))))</f>
        <v>0</v>
      </c>
      <c r="I678">
        <f>IF('Raw Data'!G678&lt;&gt;'','Raw Data'!G678,IFERROR(MID(F678,SEARCH("MODEL",F678)+6,20),""))</f>
        <v>0</v>
      </c>
      <c r="J678">
        <f>'Raw Data'!H678</f>
        <v>0</v>
      </c>
      <c r="K678">
        <f>'Raw Data'!I678</f>
        <v>0</v>
      </c>
      <c r="L678">
        <f>IF('Raw Data'!N678&lt;&gt;0,'Raw Data'!N678,IFERROR(VALUE(MID(F678,SEARCH("QTY",F678)+4,IFERROR(FIND(" ",F678,SEARCH("QTY",F678)+4)-(SEARCH("QTY",F678)+4),3))),""))</f>
        <v>0</v>
      </c>
      <c r="M678">
        <f>'Raw Data'!O678</f>
        <v>0</v>
      </c>
      <c r="N678">
        <f>'Raw Data'!P678</f>
        <v>0</v>
      </c>
      <c r="O678">
        <f>'Raw Data'!Q678</f>
        <v>0</v>
      </c>
      <c r="P678">
        <f>'Raw Data'!R678</f>
        <v>0</v>
      </c>
      <c r="Q678">
        <f>'Raw Data'!S678</f>
        <v>0</v>
      </c>
      <c r="R678">
        <f>'Raw Data'!T678</f>
        <v>0</v>
      </c>
      <c r="S678">
        <f>IFERROR(O678,0)+IFERROR(R678,0)</f>
        <v>0</v>
      </c>
      <c r="T678">
        <f>IF(A678="","",YEAR(A678))</f>
        <v>0</v>
      </c>
    </row>
    <row r="679" spans="1:20">
      <c r="A679">
        <f>'Raw Data'!B679</f>
        <v>0</v>
      </c>
      <c r="B679">
        <f>'Raw Data'!A679</f>
        <v>0</v>
      </c>
      <c r="C679">
        <f>'Raw Data'!C679</f>
        <v>0</v>
      </c>
      <c r="D679">
        <f>'Raw Data'!D679</f>
        <v>0</v>
      </c>
      <c r="E679">
        <f>IFERROR(VLOOKUP(D679,'Lookup Tables'!$A:$B,2,FALSE),"Unknown")</f>
        <v>0</v>
      </c>
      <c r="F679">
        <f>'Raw Data'!E679</f>
        <v>0</v>
      </c>
      <c r="G679">
        <f>IFERROR(VLOOKUP(D679,'Lookup Tables'!$A:$C,3,FALSE),IF(ISNUMBER(SEARCH("STEEL",F679)),"Steel","Others"))</f>
        <v>0</v>
      </c>
      <c r="H679">
        <f>IF(ISNUMBER(SEARCH("scrubber",F679)) , "Scrubber", IF(ISNUMBER(SEARCH("container",F679)),"Container", IF(ISNUMBER(SEARCH("basket",F679)),"Basket", IF(ISNUMBER(SEARCH("lunch",F679)),"Lunch Box", IF(ISNUMBER(SEARCH("cutlery",F679)),"Cutlery","Other")))))</f>
        <v>0</v>
      </c>
      <c r="I679">
        <f>IF('Raw Data'!G679&lt;&gt;'','Raw Data'!G679,IFERROR(MID(F679,SEARCH("MODEL",F679)+6,20),""))</f>
        <v>0</v>
      </c>
      <c r="J679">
        <f>'Raw Data'!H679</f>
        <v>0</v>
      </c>
      <c r="K679">
        <f>'Raw Data'!I679</f>
        <v>0</v>
      </c>
      <c r="L679">
        <f>IF('Raw Data'!N679&lt;&gt;0,'Raw Data'!N679,IFERROR(VALUE(MID(F679,SEARCH("QTY",F679)+4,IFERROR(FIND(" ",F679,SEARCH("QTY",F679)+4)-(SEARCH("QTY",F679)+4),3))),""))</f>
        <v>0</v>
      </c>
      <c r="M679">
        <f>'Raw Data'!O679</f>
        <v>0</v>
      </c>
      <c r="N679">
        <f>'Raw Data'!P679</f>
        <v>0</v>
      </c>
      <c r="O679">
        <f>'Raw Data'!Q679</f>
        <v>0</v>
      </c>
      <c r="P679">
        <f>'Raw Data'!R679</f>
        <v>0</v>
      </c>
      <c r="Q679">
        <f>'Raw Data'!S679</f>
        <v>0</v>
      </c>
      <c r="R679">
        <f>'Raw Data'!T679</f>
        <v>0</v>
      </c>
      <c r="S679">
        <f>IFERROR(O679,0)+IFERROR(R679,0)</f>
        <v>0</v>
      </c>
      <c r="T679">
        <f>IF(A679="","",YEAR(A679))</f>
        <v>0</v>
      </c>
    </row>
    <row r="680" spans="1:20">
      <c r="A680">
        <f>'Raw Data'!B680</f>
        <v>0</v>
      </c>
      <c r="B680">
        <f>'Raw Data'!A680</f>
        <v>0</v>
      </c>
      <c r="C680">
        <f>'Raw Data'!C680</f>
        <v>0</v>
      </c>
      <c r="D680">
        <f>'Raw Data'!D680</f>
        <v>0</v>
      </c>
      <c r="E680">
        <f>IFERROR(VLOOKUP(D680,'Lookup Tables'!$A:$B,2,FALSE),"Unknown")</f>
        <v>0</v>
      </c>
      <c r="F680">
        <f>'Raw Data'!E680</f>
        <v>0</v>
      </c>
      <c r="G680">
        <f>IFERROR(VLOOKUP(D680,'Lookup Tables'!$A:$C,3,FALSE),IF(ISNUMBER(SEARCH("STEEL",F680)),"Steel","Others"))</f>
        <v>0</v>
      </c>
      <c r="H680">
        <f>IF(ISNUMBER(SEARCH("scrubber",F680)) , "Scrubber", IF(ISNUMBER(SEARCH("container",F680)),"Container", IF(ISNUMBER(SEARCH("basket",F680)),"Basket", IF(ISNUMBER(SEARCH("lunch",F680)),"Lunch Box", IF(ISNUMBER(SEARCH("cutlery",F680)),"Cutlery","Other")))))</f>
        <v>0</v>
      </c>
      <c r="I680">
        <f>IF('Raw Data'!G680&lt;&gt;'','Raw Data'!G680,IFERROR(MID(F680,SEARCH("MODEL",F680)+6,20),""))</f>
        <v>0</v>
      </c>
      <c r="J680">
        <f>'Raw Data'!H680</f>
        <v>0</v>
      </c>
      <c r="K680">
        <f>'Raw Data'!I680</f>
        <v>0</v>
      </c>
      <c r="L680">
        <f>IF('Raw Data'!N680&lt;&gt;0,'Raw Data'!N680,IFERROR(VALUE(MID(F680,SEARCH("QTY",F680)+4,IFERROR(FIND(" ",F680,SEARCH("QTY",F680)+4)-(SEARCH("QTY",F680)+4),3))),""))</f>
        <v>0</v>
      </c>
      <c r="M680">
        <f>'Raw Data'!O680</f>
        <v>0</v>
      </c>
      <c r="N680">
        <f>'Raw Data'!P680</f>
        <v>0</v>
      </c>
      <c r="O680">
        <f>'Raw Data'!Q680</f>
        <v>0</v>
      </c>
      <c r="P680">
        <f>'Raw Data'!R680</f>
        <v>0</v>
      </c>
      <c r="Q680">
        <f>'Raw Data'!S680</f>
        <v>0</v>
      </c>
      <c r="R680">
        <f>'Raw Data'!T680</f>
        <v>0</v>
      </c>
      <c r="S680">
        <f>IFERROR(O680,0)+IFERROR(R680,0)</f>
        <v>0</v>
      </c>
      <c r="T680">
        <f>IF(A680="","",YEAR(A680))</f>
        <v>0</v>
      </c>
    </row>
    <row r="681" spans="1:20">
      <c r="A681">
        <f>'Raw Data'!B681</f>
        <v>0</v>
      </c>
      <c r="B681">
        <f>'Raw Data'!A681</f>
        <v>0</v>
      </c>
      <c r="C681">
        <f>'Raw Data'!C681</f>
        <v>0</v>
      </c>
      <c r="D681">
        <f>'Raw Data'!D681</f>
        <v>0</v>
      </c>
      <c r="E681">
        <f>IFERROR(VLOOKUP(D681,'Lookup Tables'!$A:$B,2,FALSE),"Unknown")</f>
        <v>0</v>
      </c>
      <c r="F681">
        <f>'Raw Data'!E681</f>
        <v>0</v>
      </c>
      <c r="G681">
        <f>IFERROR(VLOOKUP(D681,'Lookup Tables'!$A:$C,3,FALSE),IF(ISNUMBER(SEARCH("STEEL",F681)),"Steel","Others"))</f>
        <v>0</v>
      </c>
      <c r="H681">
        <f>IF(ISNUMBER(SEARCH("scrubber",F681)) , "Scrubber", IF(ISNUMBER(SEARCH("container",F681)),"Container", IF(ISNUMBER(SEARCH("basket",F681)),"Basket", IF(ISNUMBER(SEARCH("lunch",F681)),"Lunch Box", IF(ISNUMBER(SEARCH("cutlery",F681)),"Cutlery","Other")))))</f>
        <v>0</v>
      </c>
      <c r="I681">
        <f>IF('Raw Data'!G681&lt;&gt;'','Raw Data'!G681,IFERROR(MID(F681,SEARCH("MODEL",F681)+6,20),""))</f>
        <v>0</v>
      </c>
      <c r="J681">
        <f>'Raw Data'!H681</f>
        <v>0</v>
      </c>
      <c r="K681">
        <f>'Raw Data'!I681</f>
        <v>0</v>
      </c>
      <c r="L681">
        <f>IF('Raw Data'!N681&lt;&gt;0,'Raw Data'!N681,IFERROR(VALUE(MID(F681,SEARCH("QTY",F681)+4,IFERROR(FIND(" ",F681,SEARCH("QTY",F681)+4)-(SEARCH("QTY",F681)+4),3))),""))</f>
        <v>0</v>
      </c>
      <c r="M681">
        <f>'Raw Data'!O681</f>
        <v>0</v>
      </c>
      <c r="N681">
        <f>'Raw Data'!P681</f>
        <v>0</v>
      </c>
      <c r="O681">
        <f>'Raw Data'!Q681</f>
        <v>0</v>
      </c>
      <c r="P681">
        <f>'Raw Data'!R681</f>
        <v>0</v>
      </c>
      <c r="Q681">
        <f>'Raw Data'!S681</f>
        <v>0</v>
      </c>
      <c r="R681">
        <f>'Raw Data'!T681</f>
        <v>0</v>
      </c>
      <c r="S681">
        <f>IFERROR(O681,0)+IFERROR(R681,0)</f>
        <v>0</v>
      </c>
      <c r="T681">
        <f>IF(A681="","",YEAR(A681))</f>
        <v>0</v>
      </c>
    </row>
    <row r="682" spans="1:20">
      <c r="A682">
        <f>'Raw Data'!B682</f>
        <v>0</v>
      </c>
      <c r="B682">
        <f>'Raw Data'!A682</f>
        <v>0</v>
      </c>
      <c r="C682">
        <f>'Raw Data'!C682</f>
        <v>0</v>
      </c>
      <c r="D682">
        <f>'Raw Data'!D682</f>
        <v>0</v>
      </c>
      <c r="E682">
        <f>IFERROR(VLOOKUP(D682,'Lookup Tables'!$A:$B,2,FALSE),"Unknown")</f>
        <v>0</v>
      </c>
      <c r="F682">
        <f>'Raw Data'!E682</f>
        <v>0</v>
      </c>
      <c r="G682">
        <f>IFERROR(VLOOKUP(D682,'Lookup Tables'!$A:$C,3,FALSE),IF(ISNUMBER(SEARCH("STEEL",F682)),"Steel","Others"))</f>
        <v>0</v>
      </c>
      <c r="H682">
        <f>IF(ISNUMBER(SEARCH("scrubber",F682)) , "Scrubber", IF(ISNUMBER(SEARCH("container",F682)),"Container", IF(ISNUMBER(SEARCH("basket",F682)),"Basket", IF(ISNUMBER(SEARCH("lunch",F682)),"Lunch Box", IF(ISNUMBER(SEARCH("cutlery",F682)),"Cutlery","Other")))))</f>
        <v>0</v>
      </c>
      <c r="I682">
        <f>IF('Raw Data'!G682&lt;&gt;'','Raw Data'!G682,IFERROR(MID(F682,SEARCH("MODEL",F682)+6,20),""))</f>
        <v>0</v>
      </c>
      <c r="J682">
        <f>'Raw Data'!H682</f>
        <v>0</v>
      </c>
      <c r="K682">
        <f>'Raw Data'!I682</f>
        <v>0</v>
      </c>
      <c r="L682">
        <f>IF('Raw Data'!N682&lt;&gt;0,'Raw Data'!N682,IFERROR(VALUE(MID(F682,SEARCH("QTY",F682)+4,IFERROR(FIND(" ",F682,SEARCH("QTY",F682)+4)-(SEARCH("QTY",F682)+4),3))),""))</f>
        <v>0</v>
      </c>
      <c r="M682">
        <f>'Raw Data'!O682</f>
        <v>0</v>
      </c>
      <c r="N682">
        <f>'Raw Data'!P682</f>
        <v>0</v>
      </c>
      <c r="O682">
        <f>'Raw Data'!Q682</f>
        <v>0</v>
      </c>
      <c r="P682">
        <f>'Raw Data'!R682</f>
        <v>0</v>
      </c>
      <c r="Q682">
        <f>'Raw Data'!S682</f>
        <v>0</v>
      </c>
      <c r="R682">
        <f>'Raw Data'!T682</f>
        <v>0</v>
      </c>
      <c r="S682">
        <f>IFERROR(O682,0)+IFERROR(R682,0)</f>
        <v>0</v>
      </c>
      <c r="T682">
        <f>IF(A682="","",YEAR(A682))</f>
        <v>0</v>
      </c>
    </row>
    <row r="683" spans="1:20">
      <c r="A683">
        <f>'Raw Data'!B683</f>
        <v>0</v>
      </c>
      <c r="B683">
        <f>'Raw Data'!A683</f>
        <v>0</v>
      </c>
      <c r="C683">
        <f>'Raw Data'!C683</f>
        <v>0</v>
      </c>
      <c r="D683">
        <f>'Raw Data'!D683</f>
        <v>0</v>
      </c>
      <c r="E683">
        <f>IFERROR(VLOOKUP(D683,'Lookup Tables'!$A:$B,2,FALSE),"Unknown")</f>
        <v>0</v>
      </c>
      <c r="F683">
        <f>'Raw Data'!E683</f>
        <v>0</v>
      </c>
      <c r="G683">
        <f>IFERROR(VLOOKUP(D683,'Lookup Tables'!$A:$C,3,FALSE),IF(ISNUMBER(SEARCH("STEEL",F683)),"Steel","Others"))</f>
        <v>0</v>
      </c>
      <c r="H683">
        <f>IF(ISNUMBER(SEARCH("scrubber",F683)) , "Scrubber", IF(ISNUMBER(SEARCH("container",F683)),"Container", IF(ISNUMBER(SEARCH("basket",F683)),"Basket", IF(ISNUMBER(SEARCH("lunch",F683)),"Lunch Box", IF(ISNUMBER(SEARCH("cutlery",F683)),"Cutlery","Other")))))</f>
        <v>0</v>
      </c>
      <c r="I683">
        <f>IF('Raw Data'!G683&lt;&gt;'','Raw Data'!G683,IFERROR(MID(F683,SEARCH("MODEL",F683)+6,20),""))</f>
        <v>0</v>
      </c>
      <c r="J683">
        <f>'Raw Data'!H683</f>
        <v>0</v>
      </c>
      <c r="K683">
        <f>'Raw Data'!I683</f>
        <v>0</v>
      </c>
      <c r="L683">
        <f>IF('Raw Data'!N683&lt;&gt;0,'Raw Data'!N683,IFERROR(VALUE(MID(F683,SEARCH("QTY",F683)+4,IFERROR(FIND(" ",F683,SEARCH("QTY",F683)+4)-(SEARCH("QTY",F683)+4),3))),""))</f>
        <v>0</v>
      </c>
      <c r="M683">
        <f>'Raw Data'!O683</f>
        <v>0</v>
      </c>
      <c r="N683">
        <f>'Raw Data'!P683</f>
        <v>0</v>
      </c>
      <c r="O683">
        <f>'Raw Data'!Q683</f>
        <v>0</v>
      </c>
      <c r="P683">
        <f>'Raw Data'!R683</f>
        <v>0</v>
      </c>
      <c r="Q683">
        <f>'Raw Data'!S683</f>
        <v>0</v>
      </c>
      <c r="R683">
        <f>'Raw Data'!T683</f>
        <v>0</v>
      </c>
      <c r="S683">
        <f>IFERROR(O683,0)+IFERROR(R683,0)</f>
        <v>0</v>
      </c>
      <c r="T683">
        <f>IF(A683="","",YEAR(A683))</f>
        <v>0</v>
      </c>
    </row>
    <row r="684" spans="1:20">
      <c r="A684">
        <f>'Raw Data'!B684</f>
        <v>0</v>
      </c>
      <c r="B684">
        <f>'Raw Data'!A684</f>
        <v>0</v>
      </c>
      <c r="C684">
        <f>'Raw Data'!C684</f>
        <v>0</v>
      </c>
      <c r="D684">
        <f>'Raw Data'!D684</f>
        <v>0</v>
      </c>
      <c r="E684">
        <f>IFERROR(VLOOKUP(D684,'Lookup Tables'!$A:$B,2,FALSE),"Unknown")</f>
        <v>0</v>
      </c>
      <c r="F684">
        <f>'Raw Data'!E684</f>
        <v>0</v>
      </c>
      <c r="G684">
        <f>IFERROR(VLOOKUP(D684,'Lookup Tables'!$A:$C,3,FALSE),IF(ISNUMBER(SEARCH("STEEL",F684)),"Steel","Others"))</f>
        <v>0</v>
      </c>
      <c r="H684">
        <f>IF(ISNUMBER(SEARCH("scrubber",F684)) , "Scrubber", IF(ISNUMBER(SEARCH("container",F684)),"Container", IF(ISNUMBER(SEARCH("basket",F684)),"Basket", IF(ISNUMBER(SEARCH("lunch",F684)),"Lunch Box", IF(ISNUMBER(SEARCH("cutlery",F684)),"Cutlery","Other")))))</f>
        <v>0</v>
      </c>
      <c r="I684">
        <f>IF('Raw Data'!G684&lt;&gt;'','Raw Data'!G684,IFERROR(MID(F684,SEARCH("MODEL",F684)+6,20),""))</f>
        <v>0</v>
      </c>
      <c r="J684">
        <f>'Raw Data'!H684</f>
        <v>0</v>
      </c>
      <c r="K684">
        <f>'Raw Data'!I684</f>
        <v>0</v>
      </c>
      <c r="L684">
        <f>IF('Raw Data'!N684&lt;&gt;0,'Raw Data'!N684,IFERROR(VALUE(MID(F684,SEARCH("QTY",F684)+4,IFERROR(FIND(" ",F684,SEARCH("QTY",F684)+4)-(SEARCH("QTY",F684)+4),3))),""))</f>
        <v>0</v>
      </c>
      <c r="M684">
        <f>'Raw Data'!O684</f>
        <v>0</v>
      </c>
      <c r="N684">
        <f>'Raw Data'!P684</f>
        <v>0</v>
      </c>
      <c r="O684">
        <f>'Raw Data'!Q684</f>
        <v>0</v>
      </c>
      <c r="P684">
        <f>'Raw Data'!R684</f>
        <v>0</v>
      </c>
      <c r="Q684">
        <f>'Raw Data'!S684</f>
        <v>0</v>
      </c>
      <c r="R684">
        <f>'Raw Data'!T684</f>
        <v>0</v>
      </c>
      <c r="S684">
        <f>IFERROR(O684,0)+IFERROR(R684,0)</f>
        <v>0</v>
      </c>
      <c r="T684">
        <f>IF(A684="","",YEAR(A684))</f>
        <v>0</v>
      </c>
    </row>
    <row r="685" spans="1:20">
      <c r="A685">
        <f>'Raw Data'!B685</f>
        <v>0</v>
      </c>
      <c r="B685">
        <f>'Raw Data'!A685</f>
        <v>0</v>
      </c>
      <c r="C685">
        <f>'Raw Data'!C685</f>
        <v>0</v>
      </c>
      <c r="D685">
        <f>'Raw Data'!D685</f>
        <v>0</v>
      </c>
      <c r="E685">
        <f>IFERROR(VLOOKUP(D685,'Lookup Tables'!$A:$B,2,FALSE),"Unknown")</f>
        <v>0</v>
      </c>
      <c r="F685">
        <f>'Raw Data'!E685</f>
        <v>0</v>
      </c>
      <c r="G685">
        <f>IFERROR(VLOOKUP(D685,'Lookup Tables'!$A:$C,3,FALSE),IF(ISNUMBER(SEARCH("STEEL",F685)),"Steel","Others"))</f>
        <v>0</v>
      </c>
      <c r="H685">
        <f>IF(ISNUMBER(SEARCH("scrubber",F685)) , "Scrubber", IF(ISNUMBER(SEARCH("container",F685)),"Container", IF(ISNUMBER(SEARCH("basket",F685)),"Basket", IF(ISNUMBER(SEARCH("lunch",F685)),"Lunch Box", IF(ISNUMBER(SEARCH("cutlery",F685)),"Cutlery","Other")))))</f>
        <v>0</v>
      </c>
      <c r="I685">
        <f>IF('Raw Data'!G685&lt;&gt;'','Raw Data'!G685,IFERROR(MID(F685,SEARCH("MODEL",F685)+6,20),""))</f>
        <v>0</v>
      </c>
      <c r="J685">
        <f>'Raw Data'!H685</f>
        <v>0</v>
      </c>
      <c r="K685">
        <f>'Raw Data'!I685</f>
        <v>0</v>
      </c>
      <c r="L685">
        <f>IF('Raw Data'!N685&lt;&gt;0,'Raw Data'!N685,IFERROR(VALUE(MID(F685,SEARCH("QTY",F685)+4,IFERROR(FIND(" ",F685,SEARCH("QTY",F685)+4)-(SEARCH("QTY",F685)+4),3))),""))</f>
        <v>0</v>
      </c>
      <c r="M685">
        <f>'Raw Data'!O685</f>
        <v>0</v>
      </c>
      <c r="N685">
        <f>'Raw Data'!P685</f>
        <v>0</v>
      </c>
      <c r="O685">
        <f>'Raw Data'!Q685</f>
        <v>0</v>
      </c>
      <c r="P685">
        <f>'Raw Data'!R685</f>
        <v>0</v>
      </c>
      <c r="Q685">
        <f>'Raw Data'!S685</f>
        <v>0</v>
      </c>
      <c r="R685">
        <f>'Raw Data'!T685</f>
        <v>0</v>
      </c>
      <c r="S685">
        <f>IFERROR(O685,0)+IFERROR(R685,0)</f>
        <v>0</v>
      </c>
      <c r="T685">
        <f>IF(A685="","",YEAR(A685))</f>
        <v>0</v>
      </c>
    </row>
    <row r="686" spans="1:20">
      <c r="A686">
        <f>'Raw Data'!B686</f>
        <v>0</v>
      </c>
      <c r="B686">
        <f>'Raw Data'!A686</f>
        <v>0</v>
      </c>
      <c r="C686">
        <f>'Raw Data'!C686</f>
        <v>0</v>
      </c>
      <c r="D686">
        <f>'Raw Data'!D686</f>
        <v>0</v>
      </c>
      <c r="E686">
        <f>IFERROR(VLOOKUP(D686,'Lookup Tables'!$A:$B,2,FALSE),"Unknown")</f>
        <v>0</v>
      </c>
      <c r="F686">
        <f>'Raw Data'!E686</f>
        <v>0</v>
      </c>
      <c r="G686">
        <f>IFERROR(VLOOKUP(D686,'Lookup Tables'!$A:$C,3,FALSE),IF(ISNUMBER(SEARCH("STEEL",F686)),"Steel","Others"))</f>
        <v>0</v>
      </c>
      <c r="H686">
        <f>IF(ISNUMBER(SEARCH("scrubber",F686)) , "Scrubber", IF(ISNUMBER(SEARCH("container",F686)),"Container", IF(ISNUMBER(SEARCH("basket",F686)),"Basket", IF(ISNUMBER(SEARCH("lunch",F686)),"Lunch Box", IF(ISNUMBER(SEARCH("cutlery",F686)),"Cutlery","Other")))))</f>
        <v>0</v>
      </c>
      <c r="I686">
        <f>IF('Raw Data'!G686&lt;&gt;'','Raw Data'!G686,IFERROR(MID(F686,SEARCH("MODEL",F686)+6,20),""))</f>
        <v>0</v>
      </c>
      <c r="J686">
        <f>'Raw Data'!H686</f>
        <v>0</v>
      </c>
      <c r="K686">
        <f>'Raw Data'!I686</f>
        <v>0</v>
      </c>
      <c r="L686">
        <f>IF('Raw Data'!N686&lt;&gt;0,'Raw Data'!N686,IFERROR(VALUE(MID(F686,SEARCH("QTY",F686)+4,IFERROR(FIND(" ",F686,SEARCH("QTY",F686)+4)-(SEARCH("QTY",F686)+4),3))),""))</f>
        <v>0</v>
      </c>
      <c r="M686">
        <f>'Raw Data'!O686</f>
        <v>0</v>
      </c>
      <c r="N686">
        <f>'Raw Data'!P686</f>
        <v>0</v>
      </c>
      <c r="O686">
        <f>'Raw Data'!Q686</f>
        <v>0</v>
      </c>
      <c r="P686">
        <f>'Raw Data'!R686</f>
        <v>0</v>
      </c>
      <c r="Q686">
        <f>'Raw Data'!S686</f>
        <v>0</v>
      </c>
      <c r="R686">
        <f>'Raw Data'!T686</f>
        <v>0</v>
      </c>
      <c r="S686">
        <f>IFERROR(O686,0)+IFERROR(R686,0)</f>
        <v>0</v>
      </c>
      <c r="T686">
        <f>IF(A686="","",YEAR(A686))</f>
        <v>0</v>
      </c>
    </row>
    <row r="687" spans="1:20">
      <c r="A687">
        <f>'Raw Data'!B687</f>
        <v>0</v>
      </c>
      <c r="B687">
        <f>'Raw Data'!A687</f>
        <v>0</v>
      </c>
      <c r="C687">
        <f>'Raw Data'!C687</f>
        <v>0</v>
      </c>
      <c r="D687">
        <f>'Raw Data'!D687</f>
        <v>0</v>
      </c>
      <c r="E687">
        <f>IFERROR(VLOOKUP(D687,'Lookup Tables'!$A:$B,2,FALSE),"Unknown")</f>
        <v>0</v>
      </c>
      <c r="F687">
        <f>'Raw Data'!E687</f>
        <v>0</v>
      </c>
      <c r="G687">
        <f>IFERROR(VLOOKUP(D687,'Lookup Tables'!$A:$C,3,FALSE),IF(ISNUMBER(SEARCH("STEEL",F687)),"Steel","Others"))</f>
        <v>0</v>
      </c>
      <c r="H687">
        <f>IF(ISNUMBER(SEARCH("scrubber",F687)) , "Scrubber", IF(ISNUMBER(SEARCH("container",F687)),"Container", IF(ISNUMBER(SEARCH("basket",F687)),"Basket", IF(ISNUMBER(SEARCH("lunch",F687)),"Lunch Box", IF(ISNUMBER(SEARCH("cutlery",F687)),"Cutlery","Other")))))</f>
        <v>0</v>
      </c>
      <c r="I687">
        <f>IF('Raw Data'!G687&lt;&gt;'','Raw Data'!G687,IFERROR(MID(F687,SEARCH("MODEL",F687)+6,20),""))</f>
        <v>0</v>
      </c>
      <c r="J687">
        <f>'Raw Data'!H687</f>
        <v>0</v>
      </c>
      <c r="K687">
        <f>'Raw Data'!I687</f>
        <v>0</v>
      </c>
      <c r="L687">
        <f>IF('Raw Data'!N687&lt;&gt;0,'Raw Data'!N687,IFERROR(VALUE(MID(F687,SEARCH("QTY",F687)+4,IFERROR(FIND(" ",F687,SEARCH("QTY",F687)+4)-(SEARCH("QTY",F687)+4),3))),""))</f>
        <v>0</v>
      </c>
      <c r="M687">
        <f>'Raw Data'!O687</f>
        <v>0</v>
      </c>
      <c r="N687">
        <f>'Raw Data'!P687</f>
        <v>0</v>
      </c>
      <c r="O687">
        <f>'Raw Data'!Q687</f>
        <v>0</v>
      </c>
      <c r="P687">
        <f>'Raw Data'!R687</f>
        <v>0</v>
      </c>
      <c r="Q687">
        <f>'Raw Data'!S687</f>
        <v>0</v>
      </c>
      <c r="R687">
        <f>'Raw Data'!T687</f>
        <v>0</v>
      </c>
      <c r="S687">
        <f>IFERROR(O687,0)+IFERROR(R687,0)</f>
        <v>0</v>
      </c>
      <c r="T687">
        <f>IF(A687="","",YEAR(A687))</f>
        <v>0</v>
      </c>
    </row>
    <row r="688" spans="1:20">
      <c r="A688">
        <f>'Raw Data'!B688</f>
        <v>0</v>
      </c>
      <c r="B688">
        <f>'Raw Data'!A688</f>
        <v>0</v>
      </c>
      <c r="C688">
        <f>'Raw Data'!C688</f>
        <v>0</v>
      </c>
      <c r="D688">
        <f>'Raw Data'!D688</f>
        <v>0</v>
      </c>
      <c r="E688">
        <f>IFERROR(VLOOKUP(D688,'Lookup Tables'!$A:$B,2,FALSE),"Unknown")</f>
        <v>0</v>
      </c>
      <c r="F688">
        <f>'Raw Data'!E688</f>
        <v>0</v>
      </c>
      <c r="G688">
        <f>IFERROR(VLOOKUP(D688,'Lookup Tables'!$A:$C,3,FALSE),IF(ISNUMBER(SEARCH("STEEL",F688)),"Steel","Others"))</f>
        <v>0</v>
      </c>
      <c r="H688">
        <f>IF(ISNUMBER(SEARCH("scrubber",F688)) , "Scrubber", IF(ISNUMBER(SEARCH("container",F688)),"Container", IF(ISNUMBER(SEARCH("basket",F688)),"Basket", IF(ISNUMBER(SEARCH("lunch",F688)),"Lunch Box", IF(ISNUMBER(SEARCH("cutlery",F688)),"Cutlery","Other")))))</f>
        <v>0</v>
      </c>
      <c r="I688">
        <f>IF('Raw Data'!G688&lt;&gt;'','Raw Data'!G688,IFERROR(MID(F688,SEARCH("MODEL",F688)+6,20),""))</f>
        <v>0</v>
      </c>
      <c r="J688">
        <f>'Raw Data'!H688</f>
        <v>0</v>
      </c>
      <c r="K688">
        <f>'Raw Data'!I688</f>
        <v>0</v>
      </c>
      <c r="L688">
        <f>IF('Raw Data'!N688&lt;&gt;0,'Raw Data'!N688,IFERROR(VALUE(MID(F688,SEARCH("QTY",F688)+4,IFERROR(FIND(" ",F688,SEARCH("QTY",F688)+4)-(SEARCH("QTY",F688)+4),3))),""))</f>
        <v>0</v>
      </c>
      <c r="M688">
        <f>'Raw Data'!O688</f>
        <v>0</v>
      </c>
      <c r="N688">
        <f>'Raw Data'!P688</f>
        <v>0</v>
      </c>
      <c r="O688">
        <f>'Raw Data'!Q688</f>
        <v>0</v>
      </c>
      <c r="P688">
        <f>'Raw Data'!R688</f>
        <v>0</v>
      </c>
      <c r="Q688">
        <f>'Raw Data'!S688</f>
        <v>0</v>
      </c>
      <c r="R688">
        <f>'Raw Data'!T688</f>
        <v>0</v>
      </c>
      <c r="S688">
        <f>IFERROR(O688,0)+IFERROR(R688,0)</f>
        <v>0</v>
      </c>
      <c r="T688">
        <f>IF(A688="","",YEAR(A688))</f>
        <v>0</v>
      </c>
    </row>
    <row r="689" spans="1:20">
      <c r="A689">
        <f>'Raw Data'!B689</f>
        <v>0</v>
      </c>
      <c r="B689">
        <f>'Raw Data'!A689</f>
        <v>0</v>
      </c>
      <c r="C689">
        <f>'Raw Data'!C689</f>
        <v>0</v>
      </c>
      <c r="D689">
        <f>'Raw Data'!D689</f>
        <v>0</v>
      </c>
      <c r="E689">
        <f>IFERROR(VLOOKUP(D689,'Lookup Tables'!$A:$B,2,FALSE),"Unknown")</f>
        <v>0</v>
      </c>
      <c r="F689">
        <f>'Raw Data'!E689</f>
        <v>0</v>
      </c>
      <c r="G689">
        <f>IFERROR(VLOOKUP(D689,'Lookup Tables'!$A:$C,3,FALSE),IF(ISNUMBER(SEARCH("STEEL",F689)),"Steel","Others"))</f>
        <v>0</v>
      </c>
      <c r="H689">
        <f>IF(ISNUMBER(SEARCH("scrubber",F689)) , "Scrubber", IF(ISNUMBER(SEARCH("container",F689)),"Container", IF(ISNUMBER(SEARCH("basket",F689)),"Basket", IF(ISNUMBER(SEARCH("lunch",F689)),"Lunch Box", IF(ISNUMBER(SEARCH("cutlery",F689)),"Cutlery","Other")))))</f>
        <v>0</v>
      </c>
      <c r="I689">
        <f>IF('Raw Data'!G689&lt;&gt;'','Raw Data'!G689,IFERROR(MID(F689,SEARCH("MODEL",F689)+6,20),""))</f>
        <v>0</v>
      </c>
      <c r="J689">
        <f>'Raw Data'!H689</f>
        <v>0</v>
      </c>
      <c r="K689">
        <f>'Raw Data'!I689</f>
        <v>0</v>
      </c>
      <c r="L689">
        <f>IF('Raw Data'!N689&lt;&gt;0,'Raw Data'!N689,IFERROR(VALUE(MID(F689,SEARCH("QTY",F689)+4,IFERROR(FIND(" ",F689,SEARCH("QTY",F689)+4)-(SEARCH("QTY",F689)+4),3))),""))</f>
        <v>0</v>
      </c>
      <c r="M689">
        <f>'Raw Data'!O689</f>
        <v>0</v>
      </c>
      <c r="N689">
        <f>'Raw Data'!P689</f>
        <v>0</v>
      </c>
      <c r="O689">
        <f>'Raw Data'!Q689</f>
        <v>0</v>
      </c>
      <c r="P689">
        <f>'Raw Data'!R689</f>
        <v>0</v>
      </c>
      <c r="Q689">
        <f>'Raw Data'!S689</f>
        <v>0</v>
      </c>
      <c r="R689">
        <f>'Raw Data'!T689</f>
        <v>0</v>
      </c>
      <c r="S689">
        <f>IFERROR(O689,0)+IFERROR(R689,0)</f>
        <v>0</v>
      </c>
      <c r="T689">
        <f>IF(A689="","",YEAR(A689))</f>
        <v>0</v>
      </c>
    </row>
    <row r="690" spans="1:20">
      <c r="A690">
        <f>'Raw Data'!B690</f>
        <v>0</v>
      </c>
      <c r="B690">
        <f>'Raw Data'!A690</f>
        <v>0</v>
      </c>
      <c r="C690">
        <f>'Raw Data'!C690</f>
        <v>0</v>
      </c>
      <c r="D690">
        <f>'Raw Data'!D690</f>
        <v>0</v>
      </c>
      <c r="E690">
        <f>IFERROR(VLOOKUP(D690,'Lookup Tables'!$A:$B,2,FALSE),"Unknown")</f>
        <v>0</v>
      </c>
      <c r="F690">
        <f>'Raw Data'!E690</f>
        <v>0</v>
      </c>
      <c r="G690">
        <f>IFERROR(VLOOKUP(D690,'Lookup Tables'!$A:$C,3,FALSE),IF(ISNUMBER(SEARCH("STEEL",F690)),"Steel","Others"))</f>
        <v>0</v>
      </c>
      <c r="H690">
        <f>IF(ISNUMBER(SEARCH("scrubber",F690)) , "Scrubber", IF(ISNUMBER(SEARCH("container",F690)),"Container", IF(ISNUMBER(SEARCH("basket",F690)),"Basket", IF(ISNUMBER(SEARCH("lunch",F690)),"Lunch Box", IF(ISNUMBER(SEARCH("cutlery",F690)),"Cutlery","Other")))))</f>
        <v>0</v>
      </c>
      <c r="I690">
        <f>IF('Raw Data'!G690&lt;&gt;'','Raw Data'!G690,IFERROR(MID(F690,SEARCH("MODEL",F690)+6,20),""))</f>
        <v>0</v>
      </c>
      <c r="J690">
        <f>'Raw Data'!H690</f>
        <v>0</v>
      </c>
      <c r="K690">
        <f>'Raw Data'!I690</f>
        <v>0</v>
      </c>
      <c r="L690">
        <f>IF('Raw Data'!N690&lt;&gt;0,'Raw Data'!N690,IFERROR(VALUE(MID(F690,SEARCH("QTY",F690)+4,IFERROR(FIND(" ",F690,SEARCH("QTY",F690)+4)-(SEARCH("QTY",F690)+4),3))),""))</f>
        <v>0</v>
      </c>
      <c r="M690">
        <f>'Raw Data'!O690</f>
        <v>0</v>
      </c>
      <c r="N690">
        <f>'Raw Data'!P690</f>
        <v>0</v>
      </c>
      <c r="O690">
        <f>'Raw Data'!Q690</f>
        <v>0</v>
      </c>
      <c r="P690">
        <f>'Raw Data'!R690</f>
        <v>0</v>
      </c>
      <c r="Q690">
        <f>'Raw Data'!S690</f>
        <v>0</v>
      </c>
      <c r="R690">
        <f>'Raw Data'!T690</f>
        <v>0</v>
      </c>
      <c r="S690">
        <f>IFERROR(O690,0)+IFERROR(R690,0)</f>
        <v>0</v>
      </c>
      <c r="T690">
        <f>IF(A690="","",YEAR(A690))</f>
        <v>0</v>
      </c>
    </row>
    <row r="691" spans="1:20">
      <c r="A691">
        <f>'Raw Data'!B691</f>
        <v>0</v>
      </c>
      <c r="B691">
        <f>'Raw Data'!A691</f>
        <v>0</v>
      </c>
      <c r="C691">
        <f>'Raw Data'!C691</f>
        <v>0</v>
      </c>
      <c r="D691">
        <f>'Raw Data'!D691</f>
        <v>0</v>
      </c>
      <c r="E691">
        <f>IFERROR(VLOOKUP(D691,'Lookup Tables'!$A:$B,2,FALSE),"Unknown")</f>
        <v>0</v>
      </c>
      <c r="F691">
        <f>'Raw Data'!E691</f>
        <v>0</v>
      </c>
      <c r="G691">
        <f>IFERROR(VLOOKUP(D691,'Lookup Tables'!$A:$C,3,FALSE),IF(ISNUMBER(SEARCH("STEEL",F691)),"Steel","Others"))</f>
        <v>0</v>
      </c>
      <c r="H691">
        <f>IF(ISNUMBER(SEARCH("scrubber",F691)) , "Scrubber", IF(ISNUMBER(SEARCH("container",F691)),"Container", IF(ISNUMBER(SEARCH("basket",F691)),"Basket", IF(ISNUMBER(SEARCH("lunch",F691)),"Lunch Box", IF(ISNUMBER(SEARCH("cutlery",F691)),"Cutlery","Other")))))</f>
        <v>0</v>
      </c>
      <c r="I691">
        <f>IF('Raw Data'!G691&lt;&gt;'','Raw Data'!G691,IFERROR(MID(F691,SEARCH("MODEL",F691)+6,20),""))</f>
        <v>0</v>
      </c>
      <c r="J691">
        <f>'Raw Data'!H691</f>
        <v>0</v>
      </c>
      <c r="K691">
        <f>'Raw Data'!I691</f>
        <v>0</v>
      </c>
      <c r="L691">
        <f>IF('Raw Data'!N691&lt;&gt;0,'Raw Data'!N691,IFERROR(VALUE(MID(F691,SEARCH("QTY",F691)+4,IFERROR(FIND(" ",F691,SEARCH("QTY",F691)+4)-(SEARCH("QTY",F691)+4),3))),""))</f>
        <v>0</v>
      </c>
      <c r="M691">
        <f>'Raw Data'!O691</f>
        <v>0</v>
      </c>
      <c r="N691">
        <f>'Raw Data'!P691</f>
        <v>0</v>
      </c>
      <c r="O691">
        <f>'Raw Data'!Q691</f>
        <v>0</v>
      </c>
      <c r="P691">
        <f>'Raw Data'!R691</f>
        <v>0</v>
      </c>
      <c r="Q691">
        <f>'Raw Data'!S691</f>
        <v>0</v>
      </c>
      <c r="R691">
        <f>'Raw Data'!T691</f>
        <v>0</v>
      </c>
      <c r="S691">
        <f>IFERROR(O691,0)+IFERROR(R691,0)</f>
        <v>0</v>
      </c>
      <c r="T691">
        <f>IF(A691="","",YEAR(A691))</f>
        <v>0</v>
      </c>
    </row>
    <row r="692" spans="1:20">
      <c r="A692">
        <f>'Raw Data'!B692</f>
        <v>0</v>
      </c>
      <c r="B692">
        <f>'Raw Data'!A692</f>
        <v>0</v>
      </c>
      <c r="C692">
        <f>'Raw Data'!C692</f>
        <v>0</v>
      </c>
      <c r="D692">
        <f>'Raw Data'!D692</f>
        <v>0</v>
      </c>
      <c r="E692">
        <f>IFERROR(VLOOKUP(D692,'Lookup Tables'!$A:$B,2,FALSE),"Unknown")</f>
        <v>0</v>
      </c>
      <c r="F692">
        <f>'Raw Data'!E692</f>
        <v>0</v>
      </c>
      <c r="G692">
        <f>IFERROR(VLOOKUP(D692,'Lookup Tables'!$A:$C,3,FALSE),IF(ISNUMBER(SEARCH("STEEL",F692)),"Steel","Others"))</f>
        <v>0</v>
      </c>
      <c r="H692">
        <f>IF(ISNUMBER(SEARCH("scrubber",F692)) , "Scrubber", IF(ISNUMBER(SEARCH("container",F692)),"Container", IF(ISNUMBER(SEARCH("basket",F692)),"Basket", IF(ISNUMBER(SEARCH("lunch",F692)),"Lunch Box", IF(ISNUMBER(SEARCH("cutlery",F692)),"Cutlery","Other")))))</f>
        <v>0</v>
      </c>
      <c r="I692">
        <f>IF('Raw Data'!G692&lt;&gt;'','Raw Data'!G692,IFERROR(MID(F692,SEARCH("MODEL",F692)+6,20),""))</f>
        <v>0</v>
      </c>
      <c r="J692">
        <f>'Raw Data'!H692</f>
        <v>0</v>
      </c>
      <c r="K692">
        <f>'Raw Data'!I692</f>
        <v>0</v>
      </c>
      <c r="L692">
        <f>IF('Raw Data'!N692&lt;&gt;0,'Raw Data'!N692,IFERROR(VALUE(MID(F692,SEARCH("QTY",F692)+4,IFERROR(FIND(" ",F692,SEARCH("QTY",F692)+4)-(SEARCH("QTY",F692)+4),3))),""))</f>
        <v>0</v>
      </c>
      <c r="M692">
        <f>'Raw Data'!O692</f>
        <v>0</v>
      </c>
      <c r="N692">
        <f>'Raw Data'!P692</f>
        <v>0</v>
      </c>
      <c r="O692">
        <f>'Raw Data'!Q692</f>
        <v>0</v>
      </c>
      <c r="P692">
        <f>'Raw Data'!R692</f>
        <v>0</v>
      </c>
      <c r="Q692">
        <f>'Raw Data'!S692</f>
        <v>0</v>
      </c>
      <c r="R692">
        <f>'Raw Data'!T692</f>
        <v>0</v>
      </c>
      <c r="S692">
        <f>IFERROR(O692,0)+IFERROR(R692,0)</f>
        <v>0</v>
      </c>
      <c r="T692">
        <f>IF(A692="","",YEAR(A692))</f>
        <v>0</v>
      </c>
    </row>
    <row r="693" spans="1:20">
      <c r="A693">
        <f>'Raw Data'!B693</f>
        <v>0</v>
      </c>
      <c r="B693">
        <f>'Raw Data'!A693</f>
        <v>0</v>
      </c>
      <c r="C693">
        <f>'Raw Data'!C693</f>
        <v>0</v>
      </c>
      <c r="D693">
        <f>'Raw Data'!D693</f>
        <v>0</v>
      </c>
      <c r="E693">
        <f>IFERROR(VLOOKUP(D693,'Lookup Tables'!$A:$B,2,FALSE),"Unknown")</f>
        <v>0</v>
      </c>
      <c r="F693">
        <f>'Raw Data'!E693</f>
        <v>0</v>
      </c>
      <c r="G693">
        <f>IFERROR(VLOOKUP(D693,'Lookup Tables'!$A:$C,3,FALSE),IF(ISNUMBER(SEARCH("STEEL",F693)),"Steel","Others"))</f>
        <v>0</v>
      </c>
      <c r="H693">
        <f>IF(ISNUMBER(SEARCH("scrubber",F693)) , "Scrubber", IF(ISNUMBER(SEARCH("container",F693)),"Container", IF(ISNUMBER(SEARCH("basket",F693)),"Basket", IF(ISNUMBER(SEARCH("lunch",F693)),"Lunch Box", IF(ISNUMBER(SEARCH("cutlery",F693)),"Cutlery","Other")))))</f>
        <v>0</v>
      </c>
      <c r="I693">
        <f>IF('Raw Data'!G693&lt;&gt;'','Raw Data'!G693,IFERROR(MID(F693,SEARCH("MODEL",F693)+6,20),""))</f>
        <v>0</v>
      </c>
      <c r="J693">
        <f>'Raw Data'!H693</f>
        <v>0</v>
      </c>
      <c r="K693">
        <f>'Raw Data'!I693</f>
        <v>0</v>
      </c>
      <c r="L693">
        <f>IF('Raw Data'!N693&lt;&gt;0,'Raw Data'!N693,IFERROR(VALUE(MID(F693,SEARCH("QTY",F693)+4,IFERROR(FIND(" ",F693,SEARCH("QTY",F693)+4)-(SEARCH("QTY",F693)+4),3))),""))</f>
        <v>0</v>
      </c>
      <c r="M693">
        <f>'Raw Data'!O693</f>
        <v>0</v>
      </c>
      <c r="N693">
        <f>'Raw Data'!P693</f>
        <v>0</v>
      </c>
      <c r="O693">
        <f>'Raw Data'!Q693</f>
        <v>0</v>
      </c>
      <c r="P693">
        <f>'Raw Data'!R693</f>
        <v>0</v>
      </c>
      <c r="Q693">
        <f>'Raw Data'!S693</f>
        <v>0</v>
      </c>
      <c r="R693">
        <f>'Raw Data'!T693</f>
        <v>0</v>
      </c>
      <c r="S693">
        <f>IFERROR(O693,0)+IFERROR(R693,0)</f>
        <v>0</v>
      </c>
      <c r="T693">
        <f>IF(A693="","",YEAR(A693))</f>
        <v>0</v>
      </c>
    </row>
    <row r="694" spans="1:20">
      <c r="A694">
        <f>'Raw Data'!B694</f>
        <v>0</v>
      </c>
      <c r="B694">
        <f>'Raw Data'!A694</f>
        <v>0</v>
      </c>
      <c r="C694">
        <f>'Raw Data'!C694</f>
        <v>0</v>
      </c>
      <c r="D694">
        <f>'Raw Data'!D694</f>
        <v>0</v>
      </c>
      <c r="E694">
        <f>IFERROR(VLOOKUP(D694,'Lookup Tables'!$A:$B,2,FALSE),"Unknown")</f>
        <v>0</v>
      </c>
      <c r="F694">
        <f>'Raw Data'!E694</f>
        <v>0</v>
      </c>
      <c r="G694">
        <f>IFERROR(VLOOKUP(D694,'Lookup Tables'!$A:$C,3,FALSE),IF(ISNUMBER(SEARCH("STEEL",F694)),"Steel","Others"))</f>
        <v>0</v>
      </c>
      <c r="H694">
        <f>IF(ISNUMBER(SEARCH("scrubber",F694)) , "Scrubber", IF(ISNUMBER(SEARCH("container",F694)),"Container", IF(ISNUMBER(SEARCH("basket",F694)),"Basket", IF(ISNUMBER(SEARCH("lunch",F694)),"Lunch Box", IF(ISNUMBER(SEARCH("cutlery",F694)),"Cutlery","Other")))))</f>
        <v>0</v>
      </c>
      <c r="I694">
        <f>IF('Raw Data'!G694&lt;&gt;'','Raw Data'!G694,IFERROR(MID(F694,SEARCH("MODEL",F694)+6,20),""))</f>
        <v>0</v>
      </c>
      <c r="J694">
        <f>'Raw Data'!H694</f>
        <v>0</v>
      </c>
      <c r="K694">
        <f>'Raw Data'!I694</f>
        <v>0</v>
      </c>
      <c r="L694">
        <f>IF('Raw Data'!N694&lt;&gt;0,'Raw Data'!N694,IFERROR(VALUE(MID(F694,SEARCH("QTY",F694)+4,IFERROR(FIND(" ",F694,SEARCH("QTY",F694)+4)-(SEARCH("QTY",F694)+4),3))),""))</f>
        <v>0</v>
      </c>
      <c r="M694">
        <f>'Raw Data'!O694</f>
        <v>0</v>
      </c>
      <c r="N694">
        <f>'Raw Data'!P694</f>
        <v>0</v>
      </c>
      <c r="O694">
        <f>'Raw Data'!Q694</f>
        <v>0</v>
      </c>
      <c r="P694">
        <f>'Raw Data'!R694</f>
        <v>0</v>
      </c>
      <c r="Q694">
        <f>'Raw Data'!S694</f>
        <v>0</v>
      </c>
      <c r="R694">
        <f>'Raw Data'!T694</f>
        <v>0</v>
      </c>
      <c r="S694">
        <f>IFERROR(O694,0)+IFERROR(R694,0)</f>
        <v>0</v>
      </c>
      <c r="T694">
        <f>IF(A694="","",YEAR(A694))</f>
        <v>0</v>
      </c>
    </row>
    <row r="695" spans="1:20">
      <c r="A695">
        <f>'Raw Data'!B695</f>
        <v>0</v>
      </c>
      <c r="B695">
        <f>'Raw Data'!A695</f>
        <v>0</v>
      </c>
      <c r="C695">
        <f>'Raw Data'!C695</f>
        <v>0</v>
      </c>
      <c r="D695">
        <f>'Raw Data'!D695</f>
        <v>0</v>
      </c>
      <c r="E695">
        <f>IFERROR(VLOOKUP(D695,'Lookup Tables'!$A:$B,2,FALSE),"Unknown")</f>
        <v>0</v>
      </c>
      <c r="F695">
        <f>'Raw Data'!E695</f>
        <v>0</v>
      </c>
      <c r="G695">
        <f>IFERROR(VLOOKUP(D695,'Lookup Tables'!$A:$C,3,FALSE),IF(ISNUMBER(SEARCH("STEEL",F695)),"Steel","Others"))</f>
        <v>0</v>
      </c>
      <c r="H695">
        <f>IF(ISNUMBER(SEARCH("scrubber",F695)) , "Scrubber", IF(ISNUMBER(SEARCH("container",F695)),"Container", IF(ISNUMBER(SEARCH("basket",F695)),"Basket", IF(ISNUMBER(SEARCH("lunch",F695)),"Lunch Box", IF(ISNUMBER(SEARCH("cutlery",F695)),"Cutlery","Other")))))</f>
        <v>0</v>
      </c>
      <c r="I695">
        <f>IF('Raw Data'!G695&lt;&gt;'','Raw Data'!G695,IFERROR(MID(F695,SEARCH("MODEL",F695)+6,20),""))</f>
        <v>0</v>
      </c>
      <c r="J695">
        <f>'Raw Data'!H695</f>
        <v>0</v>
      </c>
      <c r="K695">
        <f>'Raw Data'!I695</f>
        <v>0</v>
      </c>
      <c r="L695">
        <f>IF('Raw Data'!N695&lt;&gt;0,'Raw Data'!N695,IFERROR(VALUE(MID(F695,SEARCH("QTY",F695)+4,IFERROR(FIND(" ",F695,SEARCH("QTY",F695)+4)-(SEARCH("QTY",F695)+4),3))),""))</f>
        <v>0</v>
      </c>
      <c r="M695">
        <f>'Raw Data'!O695</f>
        <v>0</v>
      </c>
      <c r="N695">
        <f>'Raw Data'!P695</f>
        <v>0</v>
      </c>
      <c r="O695">
        <f>'Raw Data'!Q695</f>
        <v>0</v>
      </c>
      <c r="P695">
        <f>'Raw Data'!R695</f>
        <v>0</v>
      </c>
      <c r="Q695">
        <f>'Raw Data'!S695</f>
        <v>0</v>
      </c>
      <c r="R695">
        <f>'Raw Data'!T695</f>
        <v>0</v>
      </c>
      <c r="S695">
        <f>IFERROR(O695,0)+IFERROR(R695,0)</f>
        <v>0</v>
      </c>
      <c r="T695">
        <f>IF(A695="","",YEAR(A695))</f>
        <v>0</v>
      </c>
    </row>
    <row r="696" spans="1:20">
      <c r="A696">
        <f>'Raw Data'!B696</f>
        <v>0</v>
      </c>
      <c r="B696">
        <f>'Raw Data'!A696</f>
        <v>0</v>
      </c>
      <c r="C696">
        <f>'Raw Data'!C696</f>
        <v>0</v>
      </c>
      <c r="D696">
        <f>'Raw Data'!D696</f>
        <v>0</v>
      </c>
      <c r="E696">
        <f>IFERROR(VLOOKUP(D696,'Lookup Tables'!$A:$B,2,FALSE),"Unknown")</f>
        <v>0</v>
      </c>
      <c r="F696">
        <f>'Raw Data'!E696</f>
        <v>0</v>
      </c>
      <c r="G696">
        <f>IFERROR(VLOOKUP(D696,'Lookup Tables'!$A:$C,3,FALSE),IF(ISNUMBER(SEARCH("STEEL",F696)),"Steel","Others"))</f>
        <v>0</v>
      </c>
      <c r="H696">
        <f>IF(ISNUMBER(SEARCH("scrubber",F696)) , "Scrubber", IF(ISNUMBER(SEARCH("container",F696)),"Container", IF(ISNUMBER(SEARCH("basket",F696)),"Basket", IF(ISNUMBER(SEARCH("lunch",F696)),"Lunch Box", IF(ISNUMBER(SEARCH("cutlery",F696)),"Cutlery","Other")))))</f>
        <v>0</v>
      </c>
      <c r="I696">
        <f>IF('Raw Data'!G696&lt;&gt;'','Raw Data'!G696,IFERROR(MID(F696,SEARCH("MODEL",F696)+6,20),""))</f>
        <v>0</v>
      </c>
      <c r="J696">
        <f>'Raw Data'!H696</f>
        <v>0</v>
      </c>
      <c r="K696">
        <f>'Raw Data'!I696</f>
        <v>0</v>
      </c>
      <c r="L696">
        <f>IF('Raw Data'!N696&lt;&gt;0,'Raw Data'!N696,IFERROR(VALUE(MID(F696,SEARCH("QTY",F696)+4,IFERROR(FIND(" ",F696,SEARCH("QTY",F696)+4)-(SEARCH("QTY",F696)+4),3))),""))</f>
        <v>0</v>
      </c>
      <c r="M696">
        <f>'Raw Data'!O696</f>
        <v>0</v>
      </c>
      <c r="N696">
        <f>'Raw Data'!P696</f>
        <v>0</v>
      </c>
      <c r="O696">
        <f>'Raw Data'!Q696</f>
        <v>0</v>
      </c>
      <c r="P696">
        <f>'Raw Data'!R696</f>
        <v>0</v>
      </c>
      <c r="Q696">
        <f>'Raw Data'!S696</f>
        <v>0</v>
      </c>
      <c r="R696">
        <f>'Raw Data'!T696</f>
        <v>0</v>
      </c>
      <c r="S696">
        <f>IFERROR(O696,0)+IFERROR(R696,0)</f>
        <v>0</v>
      </c>
      <c r="T696">
        <f>IF(A696="","",YEAR(A696))</f>
        <v>0</v>
      </c>
    </row>
    <row r="697" spans="1:20">
      <c r="A697">
        <f>'Raw Data'!B697</f>
        <v>0</v>
      </c>
      <c r="B697">
        <f>'Raw Data'!A697</f>
        <v>0</v>
      </c>
      <c r="C697">
        <f>'Raw Data'!C697</f>
        <v>0</v>
      </c>
      <c r="D697">
        <f>'Raw Data'!D697</f>
        <v>0</v>
      </c>
      <c r="E697">
        <f>IFERROR(VLOOKUP(D697,'Lookup Tables'!$A:$B,2,FALSE),"Unknown")</f>
        <v>0</v>
      </c>
      <c r="F697">
        <f>'Raw Data'!E697</f>
        <v>0</v>
      </c>
      <c r="G697">
        <f>IFERROR(VLOOKUP(D697,'Lookup Tables'!$A:$C,3,FALSE),IF(ISNUMBER(SEARCH("STEEL",F697)),"Steel","Others"))</f>
        <v>0</v>
      </c>
      <c r="H697">
        <f>IF(ISNUMBER(SEARCH("scrubber",F697)) , "Scrubber", IF(ISNUMBER(SEARCH("container",F697)),"Container", IF(ISNUMBER(SEARCH("basket",F697)),"Basket", IF(ISNUMBER(SEARCH("lunch",F697)),"Lunch Box", IF(ISNUMBER(SEARCH("cutlery",F697)),"Cutlery","Other")))))</f>
        <v>0</v>
      </c>
      <c r="I697">
        <f>IF('Raw Data'!G697&lt;&gt;'','Raw Data'!G697,IFERROR(MID(F697,SEARCH("MODEL",F697)+6,20),""))</f>
        <v>0</v>
      </c>
      <c r="J697">
        <f>'Raw Data'!H697</f>
        <v>0</v>
      </c>
      <c r="K697">
        <f>'Raw Data'!I697</f>
        <v>0</v>
      </c>
      <c r="L697">
        <f>IF('Raw Data'!N697&lt;&gt;0,'Raw Data'!N697,IFERROR(VALUE(MID(F697,SEARCH("QTY",F697)+4,IFERROR(FIND(" ",F697,SEARCH("QTY",F697)+4)-(SEARCH("QTY",F697)+4),3))),""))</f>
        <v>0</v>
      </c>
      <c r="M697">
        <f>'Raw Data'!O697</f>
        <v>0</v>
      </c>
      <c r="N697">
        <f>'Raw Data'!P697</f>
        <v>0</v>
      </c>
      <c r="O697">
        <f>'Raw Data'!Q697</f>
        <v>0</v>
      </c>
      <c r="P697">
        <f>'Raw Data'!R697</f>
        <v>0</v>
      </c>
      <c r="Q697">
        <f>'Raw Data'!S697</f>
        <v>0</v>
      </c>
      <c r="R697">
        <f>'Raw Data'!T697</f>
        <v>0</v>
      </c>
      <c r="S697">
        <f>IFERROR(O697,0)+IFERROR(R697,0)</f>
        <v>0</v>
      </c>
      <c r="T697">
        <f>IF(A697="","",YEAR(A697))</f>
        <v>0</v>
      </c>
    </row>
    <row r="698" spans="1:20">
      <c r="A698">
        <f>'Raw Data'!B698</f>
        <v>0</v>
      </c>
      <c r="B698">
        <f>'Raw Data'!A698</f>
        <v>0</v>
      </c>
      <c r="C698">
        <f>'Raw Data'!C698</f>
        <v>0</v>
      </c>
      <c r="D698">
        <f>'Raw Data'!D698</f>
        <v>0</v>
      </c>
      <c r="E698">
        <f>IFERROR(VLOOKUP(D698,'Lookup Tables'!$A:$B,2,FALSE),"Unknown")</f>
        <v>0</v>
      </c>
      <c r="F698">
        <f>'Raw Data'!E698</f>
        <v>0</v>
      </c>
      <c r="G698">
        <f>IFERROR(VLOOKUP(D698,'Lookup Tables'!$A:$C,3,FALSE),IF(ISNUMBER(SEARCH("STEEL",F698)),"Steel","Others"))</f>
        <v>0</v>
      </c>
      <c r="H698">
        <f>IF(ISNUMBER(SEARCH("scrubber",F698)) , "Scrubber", IF(ISNUMBER(SEARCH("container",F698)),"Container", IF(ISNUMBER(SEARCH("basket",F698)),"Basket", IF(ISNUMBER(SEARCH("lunch",F698)),"Lunch Box", IF(ISNUMBER(SEARCH("cutlery",F698)),"Cutlery","Other")))))</f>
        <v>0</v>
      </c>
      <c r="I698">
        <f>IF('Raw Data'!G698&lt;&gt;'','Raw Data'!G698,IFERROR(MID(F698,SEARCH("MODEL",F698)+6,20),""))</f>
        <v>0</v>
      </c>
      <c r="J698">
        <f>'Raw Data'!H698</f>
        <v>0</v>
      </c>
      <c r="K698">
        <f>'Raw Data'!I698</f>
        <v>0</v>
      </c>
      <c r="L698">
        <f>IF('Raw Data'!N698&lt;&gt;0,'Raw Data'!N698,IFERROR(VALUE(MID(F698,SEARCH("QTY",F698)+4,IFERROR(FIND(" ",F698,SEARCH("QTY",F698)+4)-(SEARCH("QTY",F698)+4),3))),""))</f>
        <v>0</v>
      </c>
      <c r="M698">
        <f>'Raw Data'!O698</f>
        <v>0</v>
      </c>
      <c r="N698">
        <f>'Raw Data'!P698</f>
        <v>0</v>
      </c>
      <c r="O698">
        <f>'Raw Data'!Q698</f>
        <v>0</v>
      </c>
      <c r="P698">
        <f>'Raw Data'!R698</f>
        <v>0</v>
      </c>
      <c r="Q698">
        <f>'Raw Data'!S698</f>
        <v>0</v>
      </c>
      <c r="R698">
        <f>'Raw Data'!T698</f>
        <v>0</v>
      </c>
      <c r="S698">
        <f>IFERROR(O698,0)+IFERROR(R698,0)</f>
        <v>0</v>
      </c>
      <c r="T698">
        <f>IF(A698="","",YEAR(A698))</f>
        <v>0</v>
      </c>
    </row>
    <row r="699" spans="1:20">
      <c r="A699">
        <f>'Raw Data'!B699</f>
        <v>0</v>
      </c>
      <c r="B699">
        <f>'Raw Data'!A699</f>
        <v>0</v>
      </c>
      <c r="C699">
        <f>'Raw Data'!C699</f>
        <v>0</v>
      </c>
      <c r="D699">
        <f>'Raw Data'!D699</f>
        <v>0</v>
      </c>
      <c r="E699">
        <f>IFERROR(VLOOKUP(D699,'Lookup Tables'!$A:$B,2,FALSE),"Unknown")</f>
        <v>0</v>
      </c>
      <c r="F699">
        <f>'Raw Data'!E699</f>
        <v>0</v>
      </c>
      <c r="G699">
        <f>IFERROR(VLOOKUP(D699,'Lookup Tables'!$A:$C,3,FALSE),IF(ISNUMBER(SEARCH("STEEL",F699)),"Steel","Others"))</f>
        <v>0</v>
      </c>
      <c r="H699">
        <f>IF(ISNUMBER(SEARCH("scrubber",F699)) , "Scrubber", IF(ISNUMBER(SEARCH("container",F699)),"Container", IF(ISNUMBER(SEARCH("basket",F699)),"Basket", IF(ISNUMBER(SEARCH("lunch",F699)),"Lunch Box", IF(ISNUMBER(SEARCH("cutlery",F699)),"Cutlery","Other")))))</f>
        <v>0</v>
      </c>
      <c r="I699">
        <f>IF('Raw Data'!G699&lt;&gt;'','Raw Data'!G699,IFERROR(MID(F699,SEARCH("MODEL",F699)+6,20),""))</f>
        <v>0</v>
      </c>
      <c r="J699">
        <f>'Raw Data'!H699</f>
        <v>0</v>
      </c>
      <c r="K699">
        <f>'Raw Data'!I699</f>
        <v>0</v>
      </c>
      <c r="L699">
        <f>IF('Raw Data'!N699&lt;&gt;0,'Raw Data'!N699,IFERROR(VALUE(MID(F699,SEARCH("QTY",F699)+4,IFERROR(FIND(" ",F699,SEARCH("QTY",F699)+4)-(SEARCH("QTY",F699)+4),3))),""))</f>
        <v>0</v>
      </c>
      <c r="M699">
        <f>'Raw Data'!O699</f>
        <v>0</v>
      </c>
      <c r="N699">
        <f>'Raw Data'!P699</f>
        <v>0</v>
      </c>
      <c r="O699">
        <f>'Raw Data'!Q699</f>
        <v>0</v>
      </c>
      <c r="P699">
        <f>'Raw Data'!R699</f>
        <v>0</v>
      </c>
      <c r="Q699">
        <f>'Raw Data'!S699</f>
        <v>0</v>
      </c>
      <c r="R699">
        <f>'Raw Data'!T699</f>
        <v>0</v>
      </c>
      <c r="S699">
        <f>IFERROR(O699,0)+IFERROR(R699,0)</f>
        <v>0</v>
      </c>
      <c r="T699">
        <f>IF(A699="","",YEAR(A699))</f>
        <v>0</v>
      </c>
    </row>
    <row r="700" spans="1:20">
      <c r="A700">
        <f>'Raw Data'!B700</f>
        <v>0</v>
      </c>
      <c r="B700">
        <f>'Raw Data'!A700</f>
        <v>0</v>
      </c>
      <c r="C700">
        <f>'Raw Data'!C700</f>
        <v>0</v>
      </c>
      <c r="D700">
        <f>'Raw Data'!D700</f>
        <v>0</v>
      </c>
      <c r="E700">
        <f>IFERROR(VLOOKUP(D700,'Lookup Tables'!$A:$B,2,FALSE),"Unknown")</f>
        <v>0</v>
      </c>
      <c r="F700">
        <f>'Raw Data'!E700</f>
        <v>0</v>
      </c>
      <c r="G700">
        <f>IFERROR(VLOOKUP(D700,'Lookup Tables'!$A:$C,3,FALSE),IF(ISNUMBER(SEARCH("STEEL",F700)),"Steel","Others"))</f>
        <v>0</v>
      </c>
      <c r="H700">
        <f>IF(ISNUMBER(SEARCH("scrubber",F700)) , "Scrubber", IF(ISNUMBER(SEARCH("container",F700)),"Container", IF(ISNUMBER(SEARCH("basket",F700)),"Basket", IF(ISNUMBER(SEARCH("lunch",F700)),"Lunch Box", IF(ISNUMBER(SEARCH("cutlery",F700)),"Cutlery","Other")))))</f>
        <v>0</v>
      </c>
      <c r="I700">
        <f>IF('Raw Data'!G700&lt;&gt;'','Raw Data'!G700,IFERROR(MID(F700,SEARCH("MODEL",F700)+6,20),""))</f>
        <v>0</v>
      </c>
      <c r="J700">
        <f>'Raw Data'!H700</f>
        <v>0</v>
      </c>
      <c r="K700">
        <f>'Raw Data'!I700</f>
        <v>0</v>
      </c>
      <c r="L700">
        <f>IF('Raw Data'!N700&lt;&gt;0,'Raw Data'!N700,IFERROR(VALUE(MID(F700,SEARCH("QTY",F700)+4,IFERROR(FIND(" ",F700,SEARCH("QTY",F700)+4)-(SEARCH("QTY",F700)+4),3))),""))</f>
        <v>0</v>
      </c>
      <c r="M700">
        <f>'Raw Data'!O700</f>
        <v>0</v>
      </c>
      <c r="N700">
        <f>'Raw Data'!P700</f>
        <v>0</v>
      </c>
      <c r="O700">
        <f>'Raw Data'!Q700</f>
        <v>0</v>
      </c>
      <c r="P700">
        <f>'Raw Data'!R700</f>
        <v>0</v>
      </c>
      <c r="Q700">
        <f>'Raw Data'!S700</f>
        <v>0</v>
      </c>
      <c r="R700">
        <f>'Raw Data'!T700</f>
        <v>0</v>
      </c>
      <c r="S700">
        <f>IFERROR(O700,0)+IFERROR(R700,0)</f>
        <v>0</v>
      </c>
      <c r="T700">
        <f>IF(A700="","",YEAR(A700))</f>
        <v>0</v>
      </c>
    </row>
    <row r="701" spans="1:20">
      <c r="A701">
        <f>'Raw Data'!B701</f>
        <v>0</v>
      </c>
      <c r="B701">
        <f>'Raw Data'!A701</f>
        <v>0</v>
      </c>
      <c r="C701">
        <f>'Raw Data'!C701</f>
        <v>0</v>
      </c>
      <c r="D701">
        <f>'Raw Data'!D701</f>
        <v>0</v>
      </c>
      <c r="E701">
        <f>IFERROR(VLOOKUP(D701,'Lookup Tables'!$A:$B,2,FALSE),"Unknown")</f>
        <v>0</v>
      </c>
      <c r="F701">
        <f>'Raw Data'!E701</f>
        <v>0</v>
      </c>
      <c r="G701">
        <f>IFERROR(VLOOKUP(D701,'Lookup Tables'!$A:$C,3,FALSE),IF(ISNUMBER(SEARCH("STEEL",F701)),"Steel","Others"))</f>
        <v>0</v>
      </c>
      <c r="H701">
        <f>IF(ISNUMBER(SEARCH("scrubber",F701)) , "Scrubber", IF(ISNUMBER(SEARCH("container",F701)),"Container", IF(ISNUMBER(SEARCH("basket",F701)),"Basket", IF(ISNUMBER(SEARCH("lunch",F701)),"Lunch Box", IF(ISNUMBER(SEARCH("cutlery",F701)),"Cutlery","Other")))))</f>
        <v>0</v>
      </c>
      <c r="I701">
        <f>IF('Raw Data'!G701&lt;&gt;'','Raw Data'!G701,IFERROR(MID(F701,SEARCH("MODEL",F701)+6,20),""))</f>
        <v>0</v>
      </c>
      <c r="J701">
        <f>'Raw Data'!H701</f>
        <v>0</v>
      </c>
      <c r="K701">
        <f>'Raw Data'!I701</f>
        <v>0</v>
      </c>
      <c r="L701">
        <f>IF('Raw Data'!N701&lt;&gt;0,'Raw Data'!N701,IFERROR(VALUE(MID(F701,SEARCH("QTY",F701)+4,IFERROR(FIND(" ",F701,SEARCH("QTY",F701)+4)-(SEARCH("QTY",F701)+4),3))),""))</f>
        <v>0</v>
      </c>
      <c r="M701">
        <f>'Raw Data'!O701</f>
        <v>0</v>
      </c>
      <c r="N701">
        <f>'Raw Data'!P701</f>
        <v>0</v>
      </c>
      <c r="O701">
        <f>'Raw Data'!Q701</f>
        <v>0</v>
      </c>
      <c r="P701">
        <f>'Raw Data'!R701</f>
        <v>0</v>
      </c>
      <c r="Q701">
        <f>'Raw Data'!S701</f>
        <v>0</v>
      </c>
      <c r="R701">
        <f>'Raw Data'!T701</f>
        <v>0</v>
      </c>
      <c r="S701">
        <f>IFERROR(O701,0)+IFERROR(R701,0)</f>
        <v>0</v>
      </c>
      <c r="T701">
        <f>IF(A701="","",YEAR(A701))</f>
        <v>0</v>
      </c>
    </row>
    <row r="702" spans="1:20">
      <c r="A702">
        <f>'Raw Data'!B702</f>
        <v>0</v>
      </c>
      <c r="B702">
        <f>'Raw Data'!A702</f>
        <v>0</v>
      </c>
      <c r="C702">
        <f>'Raw Data'!C702</f>
        <v>0</v>
      </c>
      <c r="D702">
        <f>'Raw Data'!D702</f>
        <v>0</v>
      </c>
      <c r="E702">
        <f>IFERROR(VLOOKUP(D702,'Lookup Tables'!$A:$B,2,FALSE),"Unknown")</f>
        <v>0</v>
      </c>
      <c r="F702">
        <f>'Raw Data'!E702</f>
        <v>0</v>
      </c>
      <c r="G702">
        <f>IFERROR(VLOOKUP(D702,'Lookup Tables'!$A:$C,3,FALSE),IF(ISNUMBER(SEARCH("STEEL",F702)),"Steel","Others"))</f>
        <v>0</v>
      </c>
      <c r="H702">
        <f>IF(ISNUMBER(SEARCH("scrubber",F702)) , "Scrubber", IF(ISNUMBER(SEARCH("container",F702)),"Container", IF(ISNUMBER(SEARCH("basket",F702)),"Basket", IF(ISNUMBER(SEARCH("lunch",F702)),"Lunch Box", IF(ISNUMBER(SEARCH("cutlery",F702)),"Cutlery","Other")))))</f>
        <v>0</v>
      </c>
      <c r="I702">
        <f>IF('Raw Data'!G702&lt;&gt;'','Raw Data'!G702,IFERROR(MID(F702,SEARCH("MODEL",F702)+6,20),""))</f>
        <v>0</v>
      </c>
      <c r="J702">
        <f>'Raw Data'!H702</f>
        <v>0</v>
      </c>
      <c r="K702">
        <f>'Raw Data'!I702</f>
        <v>0</v>
      </c>
      <c r="L702">
        <f>IF('Raw Data'!N702&lt;&gt;0,'Raw Data'!N702,IFERROR(VALUE(MID(F702,SEARCH("QTY",F702)+4,IFERROR(FIND(" ",F702,SEARCH("QTY",F702)+4)-(SEARCH("QTY",F702)+4),3))),""))</f>
        <v>0</v>
      </c>
      <c r="M702">
        <f>'Raw Data'!O702</f>
        <v>0</v>
      </c>
      <c r="N702">
        <f>'Raw Data'!P702</f>
        <v>0</v>
      </c>
      <c r="O702">
        <f>'Raw Data'!Q702</f>
        <v>0</v>
      </c>
      <c r="P702">
        <f>'Raw Data'!R702</f>
        <v>0</v>
      </c>
      <c r="Q702">
        <f>'Raw Data'!S702</f>
        <v>0</v>
      </c>
      <c r="R702">
        <f>'Raw Data'!T702</f>
        <v>0</v>
      </c>
      <c r="S702">
        <f>IFERROR(O702,0)+IFERROR(R702,0)</f>
        <v>0</v>
      </c>
      <c r="T702">
        <f>IF(A702="","",YEAR(A702))</f>
        <v>0</v>
      </c>
    </row>
    <row r="703" spans="1:20">
      <c r="A703">
        <f>'Raw Data'!B703</f>
        <v>0</v>
      </c>
      <c r="B703">
        <f>'Raw Data'!A703</f>
        <v>0</v>
      </c>
      <c r="C703">
        <f>'Raw Data'!C703</f>
        <v>0</v>
      </c>
      <c r="D703">
        <f>'Raw Data'!D703</f>
        <v>0</v>
      </c>
      <c r="E703">
        <f>IFERROR(VLOOKUP(D703,'Lookup Tables'!$A:$B,2,FALSE),"Unknown")</f>
        <v>0</v>
      </c>
      <c r="F703">
        <f>'Raw Data'!E703</f>
        <v>0</v>
      </c>
      <c r="G703">
        <f>IFERROR(VLOOKUP(D703,'Lookup Tables'!$A:$C,3,FALSE),IF(ISNUMBER(SEARCH("STEEL",F703)),"Steel","Others"))</f>
        <v>0</v>
      </c>
      <c r="H703">
        <f>IF(ISNUMBER(SEARCH("scrubber",F703)) , "Scrubber", IF(ISNUMBER(SEARCH("container",F703)),"Container", IF(ISNUMBER(SEARCH("basket",F703)),"Basket", IF(ISNUMBER(SEARCH("lunch",F703)),"Lunch Box", IF(ISNUMBER(SEARCH("cutlery",F703)),"Cutlery","Other")))))</f>
        <v>0</v>
      </c>
      <c r="I703">
        <f>IF('Raw Data'!G703&lt;&gt;'','Raw Data'!G703,IFERROR(MID(F703,SEARCH("MODEL",F703)+6,20),""))</f>
        <v>0</v>
      </c>
      <c r="J703">
        <f>'Raw Data'!H703</f>
        <v>0</v>
      </c>
      <c r="K703">
        <f>'Raw Data'!I703</f>
        <v>0</v>
      </c>
      <c r="L703">
        <f>IF('Raw Data'!N703&lt;&gt;0,'Raw Data'!N703,IFERROR(VALUE(MID(F703,SEARCH("QTY",F703)+4,IFERROR(FIND(" ",F703,SEARCH("QTY",F703)+4)-(SEARCH("QTY",F703)+4),3))),""))</f>
        <v>0</v>
      </c>
      <c r="M703">
        <f>'Raw Data'!O703</f>
        <v>0</v>
      </c>
      <c r="N703">
        <f>'Raw Data'!P703</f>
        <v>0</v>
      </c>
      <c r="O703">
        <f>'Raw Data'!Q703</f>
        <v>0</v>
      </c>
      <c r="P703">
        <f>'Raw Data'!R703</f>
        <v>0</v>
      </c>
      <c r="Q703">
        <f>'Raw Data'!S703</f>
        <v>0</v>
      </c>
      <c r="R703">
        <f>'Raw Data'!T703</f>
        <v>0</v>
      </c>
      <c r="S703">
        <f>IFERROR(O703,0)+IFERROR(R703,0)</f>
        <v>0</v>
      </c>
      <c r="T703">
        <f>IF(A703="","",YEAR(A703))</f>
        <v>0</v>
      </c>
    </row>
    <row r="704" spans="1:20">
      <c r="A704">
        <f>'Raw Data'!B704</f>
        <v>0</v>
      </c>
      <c r="B704">
        <f>'Raw Data'!A704</f>
        <v>0</v>
      </c>
      <c r="C704">
        <f>'Raw Data'!C704</f>
        <v>0</v>
      </c>
      <c r="D704">
        <f>'Raw Data'!D704</f>
        <v>0</v>
      </c>
      <c r="E704">
        <f>IFERROR(VLOOKUP(D704,'Lookup Tables'!$A:$B,2,FALSE),"Unknown")</f>
        <v>0</v>
      </c>
      <c r="F704">
        <f>'Raw Data'!E704</f>
        <v>0</v>
      </c>
      <c r="G704">
        <f>IFERROR(VLOOKUP(D704,'Lookup Tables'!$A:$C,3,FALSE),IF(ISNUMBER(SEARCH("STEEL",F704)),"Steel","Others"))</f>
        <v>0</v>
      </c>
      <c r="H704">
        <f>IF(ISNUMBER(SEARCH("scrubber",F704)) , "Scrubber", IF(ISNUMBER(SEARCH("container",F704)),"Container", IF(ISNUMBER(SEARCH("basket",F704)),"Basket", IF(ISNUMBER(SEARCH("lunch",F704)),"Lunch Box", IF(ISNUMBER(SEARCH("cutlery",F704)),"Cutlery","Other")))))</f>
        <v>0</v>
      </c>
      <c r="I704">
        <f>IF('Raw Data'!G704&lt;&gt;'','Raw Data'!G704,IFERROR(MID(F704,SEARCH("MODEL",F704)+6,20),""))</f>
        <v>0</v>
      </c>
      <c r="J704">
        <f>'Raw Data'!H704</f>
        <v>0</v>
      </c>
      <c r="K704">
        <f>'Raw Data'!I704</f>
        <v>0</v>
      </c>
      <c r="L704">
        <f>IF('Raw Data'!N704&lt;&gt;0,'Raw Data'!N704,IFERROR(VALUE(MID(F704,SEARCH("QTY",F704)+4,IFERROR(FIND(" ",F704,SEARCH("QTY",F704)+4)-(SEARCH("QTY",F704)+4),3))),""))</f>
        <v>0</v>
      </c>
      <c r="M704">
        <f>'Raw Data'!O704</f>
        <v>0</v>
      </c>
      <c r="N704">
        <f>'Raw Data'!P704</f>
        <v>0</v>
      </c>
      <c r="O704">
        <f>'Raw Data'!Q704</f>
        <v>0</v>
      </c>
      <c r="P704">
        <f>'Raw Data'!R704</f>
        <v>0</v>
      </c>
      <c r="Q704">
        <f>'Raw Data'!S704</f>
        <v>0</v>
      </c>
      <c r="R704">
        <f>'Raw Data'!T704</f>
        <v>0</v>
      </c>
      <c r="S704">
        <f>IFERROR(O704,0)+IFERROR(R704,0)</f>
        <v>0</v>
      </c>
      <c r="T704">
        <f>IF(A704="","",YEAR(A704))</f>
        <v>0</v>
      </c>
    </row>
    <row r="705" spans="1:20">
      <c r="A705">
        <f>'Raw Data'!B705</f>
        <v>0</v>
      </c>
      <c r="B705">
        <f>'Raw Data'!A705</f>
        <v>0</v>
      </c>
      <c r="C705">
        <f>'Raw Data'!C705</f>
        <v>0</v>
      </c>
      <c r="D705">
        <f>'Raw Data'!D705</f>
        <v>0</v>
      </c>
      <c r="E705">
        <f>IFERROR(VLOOKUP(D705,'Lookup Tables'!$A:$B,2,FALSE),"Unknown")</f>
        <v>0</v>
      </c>
      <c r="F705">
        <f>'Raw Data'!E705</f>
        <v>0</v>
      </c>
      <c r="G705">
        <f>IFERROR(VLOOKUP(D705,'Lookup Tables'!$A:$C,3,FALSE),IF(ISNUMBER(SEARCH("STEEL",F705)),"Steel","Others"))</f>
        <v>0</v>
      </c>
      <c r="H705">
        <f>IF(ISNUMBER(SEARCH("scrubber",F705)) , "Scrubber", IF(ISNUMBER(SEARCH("container",F705)),"Container", IF(ISNUMBER(SEARCH("basket",F705)),"Basket", IF(ISNUMBER(SEARCH("lunch",F705)),"Lunch Box", IF(ISNUMBER(SEARCH("cutlery",F705)),"Cutlery","Other")))))</f>
        <v>0</v>
      </c>
      <c r="I705">
        <f>IF('Raw Data'!G705&lt;&gt;'','Raw Data'!G705,IFERROR(MID(F705,SEARCH("MODEL",F705)+6,20),""))</f>
        <v>0</v>
      </c>
      <c r="J705">
        <f>'Raw Data'!H705</f>
        <v>0</v>
      </c>
      <c r="K705">
        <f>'Raw Data'!I705</f>
        <v>0</v>
      </c>
      <c r="L705">
        <f>IF('Raw Data'!N705&lt;&gt;0,'Raw Data'!N705,IFERROR(VALUE(MID(F705,SEARCH("QTY",F705)+4,IFERROR(FIND(" ",F705,SEARCH("QTY",F705)+4)-(SEARCH("QTY",F705)+4),3))),""))</f>
        <v>0</v>
      </c>
      <c r="M705">
        <f>'Raw Data'!O705</f>
        <v>0</v>
      </c>
      <c r="N705">
        <f>'Raw Data'!P705</f>
        <v>0</v>
      </c>
      <c r="O705">
        <f>'Raw Data'!Q705</f>
        <v>0</v>
      </c>
      <c r="P705">
        <f>'Raw Data'!R705</f>
        <v>0</v>
      </c>
      <c r="Q705">
        <f>'Raw Data'!S705</f>
        <v>0</v>
      </c>
      <c r="R705">
        <f>'Raw Data'!T705</f>
        <v>0</v>
      </c>
      <c r="S705">
        <f>IFERROR(O705,0)+IFERROR(R705,0)</f>
        <v>0</v>
      </c>
      <c r="T705">
        <f>IF(A705="","",YEAR(A705))</f>
        <v>0</v>
      </c>
    </row>
    <row r="706" spans="1:20">
      <c r="A706">
        <f>'Raw Data'!B706</f>
        <v>0</v>
      </c>
      <c r="B706">
        <f>'Raw Data'!A706</f>
        <v>0</v>
      </c>
      <c r="C706">
        <f>'Raw Data'!C706</f>
        <v>0</v>
      </c>
      <c r="D706">
        <f>'Raw Data'!D706</f>
        <v>0</v>
      </c>
      <c r="E706">
        <f>IFERROR(VLOOKUP(D706,'Lookup Tables'!$A:$B,2,FALSE),"Unknown")</f>
        <v>0</v>
      </c>
      <c r="F706">
        <f>'Raw Data'!E706</f>
        <v>0</v>
      </c>
      <c r="G706">
        <f>IFERROR(VLOOKUP(D706,'Lookup Tables'!$A:$C,3,FALSE),IF(ISNUMBER(SEARCH("STEEL",F706)),"Steel","Others"))</f>
        <v>0</v>
      </c>
      <c r="H706">
        <f>IF(ISNUMBER(SEARCH("scrubber",F706)) , "Scrubber", IF(ISNUMBER(SEARCH("container",F706)),"Container", IF(ISNUMBER(SEARCH("basket",F706)),"Basket", IF(ISNUMBER(SEARCH("lunch",F706)),"Lunch Box", IF(ISNUMBER(SEARCH("cutlery",F706)),"Cutlery","Other")))))</f>
        <v>0</v>
      </c>
      <c r="I706">
        <f>IF('Raw Data'!G706&lt;&gt;'','Raw Data'!G706,IFERROR(MID(F706,SEARCH("MODEL",F706)+6,20),""))</f>
        <v>0</v>
      </c>
      <c r="J706">
        <f>'Raw Data'!H706</f>
        <v>0</v>
      </c>
      <c r="K706">
        <f>'Raw Data'!I706</f>
        <v>0</v>
      </c>
      <c r="L706">
        <f>IF('Raw Data'!N706&lt;&gt;0,'Raw Data'!N706,IFERROR(VALUE(MID(F706,SEARCH("QTY",F706)+4,IFERROR(FIND(" ",F706,SEARCH("QTY",F706)+4)-(SEARCH("QTY",F706)+4),3))),""))</f>
        <v>0</v>
      </c>
      <c r="M706">
        <f>'Raw Data'!O706</f>
        <v>0</v>
      </c>
      <c r="N706">
        <f>'Raw Data'!P706</f>
        <v>0</v>
      </c>
      <c r="O706">
        <f>'Raw Data'!Q706</f>
        <v>0</v>
      </c>
      <c r="P706">
        <f>'Raw Data'!R706</f>
        <v>0</v>
      </c>
      <c r="Q706">
        <f>'Raw Data'!S706</f>
        <v>0</v>
      </c>
      <c r="R706">
        <f>'Raw Data'!T706</f>
        <v>0</v>
      </c>
      <c r="S706">
        <f>IFERROR(O706,0)+IFERROR(R706,0)</f>
        <v>0</v>
      </c>
      <c r="T706">
        <f>IF(A706="","",YEAR(A706))</f>
        <v>0</v>
      </c>
    </row>
    <row r="707" spans="1:20">
      <c r="A707">
        <f>'Raw Data'!B707</f>
        <v>0</v>
      </c>
      <c r="B707">
        <f>'Raw Data'!A707</f>
        <v>0</v>
      </c>
      <c r="C707">
        <f>'Raw Data'!C707</f>
        <v>0</v>
      </c>
      <c r="D707">
        <f>'Raw Data'!D707</f>
        <v>0</v>
      </c>
      <c r="E707">
        <f>IFERROR(VLOOKUP(D707,'Lookup Tables'!$A:$B,2,FALSE),"Unknown")</f>
        <v>0</v>
      </c>
      <c r="F707">
        <f>'Raw Data'!E707</f>
        <v>0</v>
      </c>
      <c r="G707">
        <f>IFERROR(VLOOKUP(D707,'Lookup Tables'!$A:$C,3,FALSE),IF(ISNUMBER(SEARCH("STEEL",F707)),"Steel","Others"))</f>
        <v>0</v>
      </c>
      <c r="H707">
        <f>IF(ISNUMBER(SEARCH("scrubber",F707)) , "Scrubber", IF(ISNUMBER(SEARCH("container",F707)),"Container", IF(ISNUMBER(SEARCH("basket",F707)),"Basket", IF(ISNUMBER(SEARCH("lunch",F707)),"Lunch Box", IF(ISNUMBER(SEARCH("cutlery",F707)),"Cutlery","Other")))))</f>
        <v>0</v>
      </c>
      <c r="I707">
        <f>IF('Raw Data'!G707&lt;&gt;'','Raw Data'!G707,IFERROR(MID(F707,SEARCH("MODEL",F707)+6,20),""))</f>
        <v>0</v>
      </c>
      <c r="J707">
        <f>'Raw Data'!H707</f>
        <v>0</v>
      </c>
      <c r="K707">
        <f>'Raw Data'!I707</f>
        <v>0</v>
      </c>
      <c r="L707">
        <f>IF('Raw Data'!N707&lt;&gt;0,'Raw Data'!N707,IFERROR(VALUE(MID(F707,SEARCH("QTY",F707)+4,IFERROR(FIND(" ",F707,SEARCH("QTY",F707)+4)-(SEARCH("QTY",F707)+4),3))),""))</f>
        <v>0</v>
      </c>
      <c r="M707">
        <f>'Raw Data'!O707</f>
        <v>0</v>
      </c>
      <c r="N707">
        <f>'Raw Data'!P707</f>
        <v>0</v>
      </c>
      <c r="O707">
        <f>'Raw Data'!Q707</f>
        <v>0</v>
      </c>
      <c r="P707">
        <f>'Raw Data'!R707</f>
        <v>0</v>
      </c>
      <c r="Q707">
        <f>'Raw Data'!S707</f>
        <v>0</v>
      </c>
      <c r="R707">
        <f>'Raw Data'!T707</f>
        <v>0</v>
      </c>
      <c r="S707">
        <f>IFERROR(O707,0)+IFERROR(R707,0)</f>
        <v>0</v>
      </c>
      <c r="T707">
        <f>IF(A707="","",YEAR(A707))</f>
        <v>0</v>
      </c>
    </row>
    <row r="708" spans="1:20">
      <c r="A708">
        <f>'Raw Data'!B708</f>
        <v>0</v>
      </c>
      <c r="B708">
        <f>'Raw Data'!A708</f>
        <v>0</v>
      </c>
      <c r="C708">
        <f>'Raw Data'!C708</f>
        <v>0</v>
      </c>
      <c r="D708">
        <f>'Raw Data'!D708</f>
        <v>0</v>
      </c>
      <c r="E708">
        <f>IFERROR(VLOOKUP(D708,'Lookup Tables'!$A:$B,2,FALSE),"Unknown")</f>
        <v>0</v>
      </c>
      <c r="F708">
        <f>'Raw Data'!E708</f>
        <v>0</v>
      </c>
      <c r="G708">
        <f>IFERROR(VLOOKUP(D708,'Lookup Tables'!$A:$C,3,FALSE),IF(ISNUMBER(SEARCH("STEEL",F708)),"Steel","Others"))</f>
        <v>0</v>
      </c>
      <c r="H708">
        <f>IF(ISNUMBER(SEARCH("scrubber",F708)) , "Scrubber", IF(ISNUMBER(SEARCH("container",F708)),"Container", IF(ISNUMBER(SEARCH("basket",F708)),"Basket", IF(ISNUMBER(SEARCH("lunch",F708)),"Lunch Box", IF(ISNUMBER(SEARCH("cutlery",F708)),"Cutlery","Other")))))</f>
        <v>0</v>
      </c>
      <c r="I708">
        <f>IF('Raw Data'!G708&lt;&gt;'','Raw Data'!G708,IFERROR(MID(F708,SEARCH("MODEL",F708)+6,20),""))</f>
        <v>0</v>
      </c>
      <c r="J708">
        <f>'Raw Data'!H708</f>
        <v>0</v>
      </c>
      <c r="K708">
        <f>'Raw Data'!I708</f>
        <v>0</v>
      </c>
      <c r="L708">
        <f>IF('Raw Data'!N708&lt;&gt;0,'Raw Data'!N708,IFERROR(VALUE(MID(F708,SEARCH("QTY",F708)+4,IFERROR(FIND(" ",F708,SEARCH("QTY",F708)+4)-(SEARCH("QTY",F708)+4),3))),""))</f>
        <v>0</v>
      </c>
      <c r="M708">
        <f>'Raw Data'!O708</f>
        <v>0</v>
      </c>
      <c r="N708">
        <f>'Raw Data'!P708</f>
        <v>0</v>
      </c>
      <c r="O708">
        <f>'Raw Data'!Q708</f>
        <v>0</v>
      </c>
      <c r="P708">
        <f>'Raw Data'!R708</f>
        <v>0</v>
      </c>
      <c r="Q708">
        <f>'Raw Data'!S708</f>
        <v>0</v>
      </c>
      <c r="R708">
        <f>'Raw Data'!T708</f>
        <v>0</v>
      </c>
      <c r="S708">
        <f>IFERROR(O708,0)+IFERROR(R708,0)</f>
        <v>0</v>
      </c>
      <c r="T708">
        <f>IF(A708="","",YEAR(A708))</f>
        <v>0</v>
      </c>
    </row>
    <row r="709" spans="1:20">
      <c r="A709">
        <f>'Raw Data'!B709</f>
        <v>0</v>
      </c>
      <c r="B709">
        <f>'Raw Data'!A709</f>
        <v>0</v>
      </c>
      <c r="C709">
        <f>'Raw Data'!C709</f>
        <v>0</v>
      </c>
      <c r="D709">
        <f>'Raw Data'!D709</f>
        <v>0</v>
      </c>
      <c r="E709">
        <f>IFERROR(VLOOKUP(D709,'Lookup Tables'!$A:$B,2,FALSE),"Unknown")</f>
        <v>0</v>
      </c>
      <c r="F709">
        <f>'Raw Data'!E709</f>
        <v>0</v>
      </c>
      <c r="G709">
        <f>IFERROR(VLOOKUP(D709,'Lookup Tables'!$A:$C,3,FALSE),IF(ISNUMBER(SEARCH("STEEL",F709)),"Steel","Others"))</f>
        <v>0</v>
      </c>
      <c r="H709">
        <f>IF(ISNUMBER(SEARCH("scrubber",F709)) , "Scrubber", IF(ISNUMBER(SEARCH("container",F709)),"Container", IF(ISNUMBER(SEARCH("basket",F709)),"Basket", IF(ISNUMBER(SEARCH("lunch",F709)),"Lunch Box", IF(ISNUMBER(SEARCH("cutlery",F709)),"Cutlery","Other")))))</f>
        <v>0</v>
      </c>
      <c r="I709">
        <f>IF('Raw Data'!G709&lt;&gt;'','Raw Data'!G709,IFERROR(MID(F709,SEARCH("MODEL",F709)+6,20),""))</f>
        <v>0</v>
      </c>
      <c r="J709">
        <f>'Raw Data'!H709</f>
        <v>0</v>
      </c>
      <c r="K709">
        <f>'Raw Data'!I709</f>
        <v>0</v>
      </c>
      <c r="L709">
        <f>IF('Raw Data'!N709&lt;&gt;0,'Raw Data'!N709,IFERROR(VALUE(MID(F709,SEARCH("QTY",F709)+4,IFERROR(FIND(" ",F709,SEARCH("QTY",F709)+4)-(SEARCH("QTY",F709)+4),3))),""))</f>
        <v>0</v>
      </c>
      <c r="M709">
        <f>'Raw Data'!O709</f>
        <v>0</v>
      </c>
      <c r="N709">
        <f>'Raw Data'!P709</f>
        <v>0</v>
      </c>
      <c r="O709">
        <f>'Raw Data'!Q709</f>
        <v>0</v>
      </c>
      <c r="P709">
        <f>'Raw Data'!R709</f>
        <v>0</v>
      </c>
      <c r="Q709">
        <f>'Raw Data'!S709</f>
        <v>0</v>
      </c>
      <c r="R709">
        <f>'Raw Data'!T709</f>
        <v>0</v>
      </c>
      <c r="S709">
        <f>IFERROR(O709,0)+IFERROR(R709,0)</f>
        <v>0</v>
      </c>
      <c r="T709">
        <f>IF(A709="","",YEAR(A709))</f>
        <v>0</v>
      </c>
    </row>
    <row r="710" spans="1:20">
      <c r="A710">
        <f>'Raw Data'!B710</f>
        <v>0</v>
      </c>
      <c r="B710">
        <f>'Raw Data'!A710</f>
        <v>0</v>
      </c>
      <c r="C710">
        <f>'Raw Data'!C710</f>
        <v>0</v>
      </c>
      <c r="D710">
        <f>'Raw Data'!D710</f>
        <v>0</v>
      </c>
      <c r="E710">
        <f>IFERROR(VLOOKUP(D710,'Lookup Tables'!$A:$B,2,FALSE),"Unknown")</f>
        <v>0</v>
      </c>
      <c r="F710">
        <f>'Raw Data'!E710</f>
        <v>0</v>
      </c>
      <c r="G710">
        <f>IFERROR(VLOOKUP(D710,'Lookup Tables'!$A:$C,3,FALSE),IF(ISNUMBER(SEARCH("STEEL",F710)),"Steel","Others"))</f>
        <v>0</v>
      </c>
      <c r="H710">
        <f>IF(ISNUMBER(SEARCH("scrubber",F710)) , "Scrubber", IF(ISNUMBER(SEARCH("container",F710)),"Container", IF(ISNUMBER(SEARCH("basket",F710)),"Basket", IF(ISNUMBER(SEARCH("lunch",F710)),"Lunch Box", IF(ISNUMBER(SEARCH("cutlery",F710)),"Cutlery","Other")))))</f>
        <v>0</v>
      </c>
      <c r="I710">
        <f>IF('Raw Data'!G710&lt;&gt;'','Raw Data'!G710,IFERROR(MID(F710,SEARCH("MODEL",F710)+6,20),""))</f>
        <v>0</v>
      </c>
      <c r="J710">
        <f>'Raw Data'!H710</f>
        <v>0</v>
      </c>
      <c r="K710">
        <f>'Raw Data'!I710</f>
        <v>0</v>
      </c>
      <c r="L710">
        <f>IF('Raw Data'!N710&lt;&gt;0,'Raw Data'!N710,IFERROR(VALUE(MID(F710,SEARCH("QTY",F710)+4,IFERROR(FIND(" ",F710,SEARCH("QTY",F710)+4)-(SEARCH("QTY",F710)+4),3))),""))</f>
        <v>0</v>
      </c>
      <c r="M710">
        <f>'Raw Data'!O710</f>
        <v>0</v>
      </c>
      <c r="N710">
        <f>'Raw Data'!P710</f>
        <v>0</v>
      </c>
      <c r="O710">
        <f>'Raw Data'!Q710</f>
        <v>0</v>
      </c>
      <c r="P710">
        <f>'Raw Data'!R710</f>
        <v>0</v>
      </c>
      <c r="Q710">
        <f>'Raw Data'!S710</f>
        <v>0</v>
      </c>
      <c r="R710">
        <f>'Raw Data'!T710</f>
        <v>0</v>
      </c>
      <c r="S710">
        <f>IFERROR(O710,0)+IFERROR(R710,0)</f>
        <v>0</v>
      </c>
      <c r="T710">
        <f>IF(A710="","",YEAR(A710))</f>
        <v>0</v>
      </c>
    </row>
    <row r="711" spans="1:20">
      <c r="A711">
        <f>'Raw Data'!B711</f>
        <v>0</v>
      </c>
      <c r="B711">
        <f>'Raw Data'!A711</f>
        <v>0</v>
      </c>
      <c r="C711">
        <f>'Raw Data'!C711</f>
        <v>0</v>
      </c>
      <c r="D711">
        <f>'Raw Data'!D711</f>
        <v>0</v>
      </c>
      <c r="E711">
        <f>IFERROR(VLOOKUP(D711,'Lookup Tables'!$A:$B,2,FALSE),"Unknown")</f>
        <v>0</v>
      </c>
      <c r="F711">
        <f>'Raw Data'!E711</f>
        <v>0</v>
      </c>
      <c r="G711">
        <f>IFERROR(VLOOKUP(D711,'Lookup Tables'!$A:$C,3,FALSE),IF(ISNUMBER(SEARCH("STEEL",F711)),"Steel","Others"))</f>
        <v>0</v>
      </c>
      <c r="H711">
        <f>IF(ISNUMBER(SEARCH("scrubber",F711)) , "Scrubber", IF(ISNUMBER(SEARCH("container",F711)),"Container", IF(ISNUMBER(SEARCH("basket",F711)),"Basket", IF(ISNUMBER(SEARCH("lunch",F711)),"Lunch Box", IF(ISNUMBER(SEARCH("cutlery",F711)),"Cutlery","Other")))))</f>
        <v>0</v>
      </c>
      <c r="I711">
        <f>IF('Raw Data'!G711&lt;&gt;'','Raw Data'!G711,IFERROR(MID(F711,SEARCH("MODEL",F711)+6,20),""))</f>
        <v>0</v>
      </c>
      <c r="J711">
        <f>'Raw Data'!H711</f>
        <v>0</v>
      </c>
      <c r="K711">
        <f>'Raw Data'!I711</f>
        <v>0</v>
      </c>
      <c r="L711">
        <f>IF('Raw Data'!N711&lt;&gt;0,'Raw Data'!N711,IFERROR(VALUE(MID(F711,SEARCH("QTY",F711)+4,IFERROR(FIND(" ",F711,SEARCH("QTY",F711)+4)-(SEARCH("QTY",F711)+4),3))),""))</f>
        <v>0</v>
      </c>
      <c r="M711">
        <f>'Raw Data'!O711</f>
        <v>0</v>
      </c>
      <c r="N711">
        <f>'Raw Data'!P711</f>
        <v>0</v>
      </c>
      <c r="O711">
        <f>'Raw Data'!Q711</f>
        <v>0</v>
      </c>
      <c r="P711">
        <f>'Raw Data'!R711</f>
        <v>0</v>
      </c>
      <c r="Q711">
        <f>'Raw Data'!S711</f>
        <v>0</v>
      </c>
      <c r="R711">
        <f>'Raw Data'!T711</f>
        <v>0</v>
      </c>
      <c r="S711">
        <f>IFERROR(O711,0)+IFERROR(R711,0)</f>
        <v>0</v>
      </c>
      <c r="T711">
        <f>IF(A711="","",YEAR(A711))</f>
        <v>0</v>
      </c>
    </row>
    <row r="712" spans="1:20">
      <c r="A712">
        <f>'Raw Data'!B712</f>
        <v>0</v>
      </c>
      <c r="B712">
        <f>'Raw Data'!A712</f>
        <v>0</v>
      </c>
      <c r="C712">
        <f>'Raw Data'!C712</f>
        <v>0</v>
      </c>
      <c r="D712">
        <f>'Raw Data'!D712</f>
        <v>0</v>
      </c>
      <c r="E712">
        <f>IFERROR(VLOOKUP(D712,'Lookup Tables'!$A:$B,2,FALSE),"Unknown")</f>
        <v>0</v>
      </c>
      <c r="F712">
        <f>'Raw Data'!E712</f>
        <v>0</v>
      </c>
      <c r="G712">
        <f>IFERROR(VLOOKUP(D712,'Lookup Tables'!$A:$C,3,FALSE),IF(ISNUMBER(SEARCH("STEEL",F712)),"Steel","Others"))</f>
        <v>0</v>
      </c>
      <c r="H712">
        <f>IF(ISNUMBER(SEARCH("scrubber",F712)) , "Scrubber", IF(ISNUMBER(SEARCH("container",F712)),"Container", IF(ISNUMBER(SEARCH("basket",F712)),"Basket", IF(ISNUMBER(SEARCH("lunch",F712)),"Lunch Box", IF(ISNUMBER(SEARCH("cutlery",F712)),"Cutlery","Other")))))</f>
        <v>0</v>
      </c>
      <c r="I712">
        <f>IF('Raw Data'!G712&lt;&gt;'','Raw Data'!G712,IFERROR(MID(F712,SEARCH("MODEL",F712)+6,20),""))</f>
        <v>0</v>
      </c>
      <c r="J712">
        <f>'Raw Data'!H712</f>
        <v>0</v>
      </c>
      <c r="K712">
        <f>'Raw Data'!I712</f>
        <v>0</v>
      </c>
      <c r="L712">
        <f>IF('Raw Data'!N712&lt;&gt;0,'Raw Data'!N712,IFERROR(VALUE(MID(F712,SEARCH("QTY",F712)+4,IFERROR(FIND(" ",F712,SEARCH("QTY",F712)+4)-(SEARCH("QTY",F712)+4),3))),""))</f>
        <v>0</v>
      </c>
      <c r="M712">
        <f>'Raw Data'!O712</f>
        <v>0</v>
      </c>
      <c r="N712">
        <f>'Raw Data'!P712</f>
        <v>0</v>
      </c>
      <c r="O712">
        <f>'Raw Data'!Q712</f>
        <v>0</v>
      </c>
      <c r="P712">
        <f>'Raw Data'!R712</f>
        <v>0</v>
      </c>
      <c r="Q712">
        <f>'Raw Data'!S712</f>
        <v>0</v>
      </c>
      <c r="R712">
        <f>'Raw Data'!T712</f>
        <v>0</v>
      </c>
      <c r="S712">
        <f>IFERROR(O712,0)+IFERROR(R712,0)</f>
        <v>0</v>
      </c>
      <c r="T712">
        <f>IF(A712="","",YEAR(A712))</f>
        <v>0</v>
      </c>
    </row>
    <row r="713" spans="1:20">
      <c r="A713">
        <f>'Raw Data'!B713</f>
        <v>0</v>
      </c>
      <c r="B713">
        <f>'Raw Data'!A713</f>
        <v>0</v>
      </c>
      <c r="C713">
        <f>'Raw Data'!C713</f>
        <v>0</v>
      </c>
      <c r="D713">
        <f>'Raw Data'!D713</f>
        <v>0</v>
      </c>
      <c r="E713">
        <f>IFERROR(VLOOKUP(D713,'Lookup Tables'!$A:$B,2,FALSE),"Unknown")</f>
        <v>0</v>
      </c>
      <c r="F713">
        <f>'Raw Data'!E713</f>
        <v>0</v>
      </c>
      <c r="G713">
        <f>IFERROR(VLOOKUP(D713,'Lookup Tables'!$A:$C,3,FALSE),IF(ISNUMBER(SEARCH("STEEL",F713)),"Steel","Others"))</f>
        <v>0</v>
      </c>
      <c r="H713">
        <f>IF(ISNUMBER(SEARCH("scrubber",F713)) , "Scrubber", IF(ISNUMBER(SEARCH("container",F713)),"Container", IF(ISNUMBER(SEARCH("basket",F713)),"Basket", IF(ISNUMBER(SEARCH("lunch",F713)),"Lunch Box", IF(ISNUMBER(SEARCH("cutlery",F713)),"Cutlery","Other")))))</f>
        <v>0</v>
      </c>
      <c r="I713">
        <f>IF('Raw Data'!G713&lt;&gt;'','Raw Data'!G713,IFERROR(MID(F713,SEARCH("MODEL",F713)+6,20),""))</f>
        <v>0</v>
      </c>
      <c r="J713">
        <f>'Raw Data'!H713</f>
        <v>0</v>
      </c>
      <c r="K713">
        <f>'Raw Data'!I713</f>
        <v>0</v>
      </c>
      <c r="L713">
        <f>IF('Raw Data'!N713&lt;&gt;0,'Raw Data'!N713,IFERROR(VALUE(MID(F713,SEARCH("QTY",F713)+4,IFERROR(FIND(" ",F713,SEARCH("QTY",F713)+4)-(SEARCH("QTY",F713)+4),3))),""))</f>
        <v>0</v>
      </c>
      <c r="M713">
        <f>'Raw Data'!O713</f>
        <v>0</v>
      </c>
      <c r="N713">
        <f>'Raw Data'!P713</f>
        <v>0</v>
      </c>
      <c r="O713">
        <f>'Raw Data'!Q713</f>
        <v>0</v>
      </c>
      <c r="P713">
        <f>'Raw Data'!R713</f>
        <v>0</v>
      </c>
      <c r="Q713">
        <f>'Raw Data'!S713</f>
        <v>0</v>
      </c>
      <c r="R713">
        <f>'Raw Data'!T713</f>
        <v>0</v>
      </c>
      <c r="S713">
        <f>IFERROR(O713,0)+IFERROR(R713,0)</f>
        <v>0</v>
      </c>
      <c r="T713">
        <f>IF(A713="","",YEAR(A713))</f>
        <v>0</v>
      </c>
    </row>
    <row r="714" spans="1:20">
      <c r="A714">
        <f>'Raw Data'!B714</f>
        <v>0</v>
      </c>
      <c r="B714">
        <f>'Raw Data'!A714</f>
        <v>0</v>
      </c>
      <c r="C714">
        <f>'Raw Data'!C714</f>
        <v>0</v>
      </c>
      <c r="D714">
        <f>'Raw Data'!D714</f>
        <v>0</v>
      </c>
      <c r="E714">
        <f>IFERROR(VLOOKUP(D714,'Lookup Tables'!$A:$B,2,FALSE),"Unknown")</f>
        <v>0</v>
      </c>
      <c r="F714">
        <f>'Raw Data'!E714</f>
        <v>0</v>
      </c>
      <c r="G714">
        <f>IFERROR(VLOOKUP(D714,'Lookup Tables'!$A:$C,3,FALSE),IF(ISNUMBER(SEARCH("STEEL",F714)),"Steel","Others"))</f>
        <v>0</v>
      </c>
      <c r="H714">
        <f>IF(ISNUMBER(SEARCH("scrubber",F714)) , "Scrubber", IF(ISNUMBER(SEARCH("container",F714)),"Container", IF(ISNUMBER(SEARCH("basket",F714)),"Basket", IF(ISNUMBER(SEARCH("lunch",F714)),"Lunch Box", IF(ISNUMBER(SEARCH("cutlery",F714)),"Cutlery","Other")))))</f>
        <v>0</v>
      </c>
      <c r="I714">
        <f>IF('Raw Data'!G714&lt;&gt;'','Raw Data'!G714,IFERROR(MID(F714,SEARCH("MODEL",F714)+6,20),""))</f>
        <v>0</v>
      </c>
      <c r="J714">
        <f>'Raw Data'!H714</f>
        <v>0</v>
      </c>
      <c r="K714">
        <f>'Raw Data'!I714</f>
        <v>0</v>
      </c>
      <c r="L714">
        <f>IF('Raw Data'!N714&lt;&gt;0,'Raw Data'!N714,IFERROR(VALUE(MID(F714,SEARCH("QTY",F714)+4,IFERROR(FIND(" ",F714,SEARCH("QTY",F714)+4)-(SEARCH("QTY",F714)+4),3))),""))</f>
        <v>0</v>
      </c>
      <c r="M714">
        <f>'Raw Data'!O714</f>
        <v>0</v>
      </c>
      <c r="N714">
        <f>'Raw Data'!P714</f>
        <v>0</v>
      </c>
      <c r="O714">
        <f>'Raw Data'!Q714</f>
        <v>0</v>
      </c>
      <c r="P714">
        <f>'Raw Data'!R714</f>
        <v>0</v>
      </c>
      <c r="Q714">
        <f>'Raw Data'!S714</f>
        <v>0</v>
      </c>
      <c r="R714">
        <f>'Raw Data'!T714</f>
        <v>0</v>
      </c>
      <c r="S714">
        <f>IFERROR(O714,0)+IFERROR(R714,0)</f>
        <v>0</v>
      </c>
      <c r="T714">
        <f>IF(A714="","",YEAR(A714))</f>
        <v>0</v>
      </c>
    </row>
    <row r="715" spans="1:20">
      <c r="A715">
        <f>'Raw Data'!B715</f>
        <v>0</v>
      </c>
      <c r="B715">
        <f>'Raw Data'!A715</f>
        <v>0</v>
      </c>
      <c r="C715">
        <f>'Raw Data'!C715</f>
        <v>0</v>
      </c>
      <c r="D715">
        <f>'Raw Data'!D715</f>
        <v>0</v>
      </c>
      <c r="E715">
        <f>IFERROR(VLOOKUP(D715,'Lookup Tables'!$A:$B,2,FALSE),"Unknown")</f>
        <v>0</v>
      </c>
      <c r="F715">
        <f>'Raw Data'!E715</f>
        <v>0</v>
      </c>
      <c r="G715">
        <f>IFERROR(VLOOKUP(D715,'Lookup Tables'!$A:$C,3,FALSE),IF(ISNUMBER(SEARCH("STEEL",F715)),"Steel","Others"))</f>
        <v>0</v>
      </c>
      <c r="H715">
        <f>IF(ISNUMBER(SEARCH("scrubber",F715)) , "Scrubber", IF(ISNUMBER(SEARCH("container",F715)),"Container", IF(ISNUMBER(SEARCH("basket",F715)),"Basket", IF(ISNUMBER(SEARCH("lunch",F715)),"Lunch Box", IF(ISNUMBER(SEARCH("cutlery",F715)),"Cutlery","Other")))))</f>
        <v>0</v>
      </c>
      <c r="I715">
        <f>IF('Raw Data'!G715&lt;&gt;'','Raw Data'!G715,IFERROR(MID(F715,SEARCH("MODEL",F715)+6,20),""))</f>
        <v>0</v>
      </c>
      <c r="J715">
        <f>'Raw Data'!H715</f>
        <v>0</v>
      </c>
      <c r="K715">
        <f>'Raw Data'!I715</f>
        <v>0</v>
      </c>
      <c r="L715">
        <f>IF('Raw Data'!N715&lt;&gt;0,'Raw Data'!N715,IFERROR(VALUE(MID(F715,SEARCH("QTY",F715)+4,IFERROR(FIND(" ",F715,SEARCH("QTY",F715)+4)-(SEARCH("QTY",F715)+4),3))),""))</f>
        <v>0</v>
      </c>
      <c r="M715">
        <f>'Raw Data'!O715</f>
        <v>0</v>
      </c>
      <c r="N715">
        <f>'Raw Data'!P715</f>
        <v>0</v>
      </c>
      <c r="O715">
        <f>'Raw Data'!Q715</f>
        <v>0</v>
      </c>
      <c r="P715">
        <f>'Raw Data'!R715</f>
        <v>0</v>
      </c>
      <c r="Q715">
        <f>'Raw Data'!S715</f>
        <v>0</v>
      </c>
      <c r="R715">
        <f>'Raw Data'!T715</f>
        <v>0</v>
      </c>
      <c r="S715">
        <f>IFERROR(O715,0)+IFERROR(R715,0)</f>
        <v>0</v>
      </c>
      <c r="T715">
        <f>IF(A715="","",YEAR(A715))</f>
        <v>0</v>
      </c>
    </row>
    <row r="716" spans="1:20">
      <c r="A716">
        <f>'Raw Data'!B716</f>
        <v>0</v>
      </c>
      <c r="B716">
        <f>'Raw Data'!A716</f>
        <v>0</v>
      </c>
      <c r="C716">
        <f>'Raw Data'!C716</f>
        <v>0</v>
      </c>
      <c r="D716">
        <f>'Raw Data'!D716</f>
        <v>0</v>
      </c>
      <c r="E716">
        <f>IFERROR(VLOOKUP(D716,'Lookup Tables'!$A:$B,2,FALSE),"Unknown")</f>
        <v>0</v>
      </c>
      <c r="F716">
        <f>'Raw Data'!E716</f>
        <v>0</v>
      </c>
      <c r="G716">
        <f>IFERROR(VLOOKUP(D716,'Lookup Tables'!$A:$C,3,FALSE),IF(ISNUMBER(SEARCH("STEEL",F716)),"Steel","Others"))</f>
        <v>0</v>
      </c>
      <c r="H716">
        <f>IF(ISNUMBER(SEARCH("scrubber",F716)) , "Scrubber", IF(ISNUMBER(SEARCH("container",F716)),"Container", IF(ISNUMBER(SEARCH("basket",F716)),"Basket", IF(ISNUMBER(SEARCH("lunch",F716)),"Lunch Box", IF(ISNUMBER(SEARCH("cutlery",F716)),"Cutlery","Other")))))</f>
        <v>0</v>
      </c>
      <c r="I716">
        <f>IF('Raw Data'!G716&lt;&gt;'','Raw Data'!G716,IFERROR(MID(F716,SEARCH("MODEL",F716)+6,20),""))</f>
        <v>0</v>
      </c>
      <c r="J716">
        <f>'Raw Data'!H716</f>
        <v>0</v>
      </c>
      <c r="K716">
        <f>'Raw Data'!I716</f>
        <v>0</v>
      </c>
      <c r="L716">
        <f>IF('Raw Data'!N716&lt;&gt;0,'Raw Data'!N716,IFERROR(VALUE(MID(F716,SEARCH("QTY",F716)+4,IFERROR(FIND(" ",F716,SEARCH("QTY",F716)+4)-(SEARCH("QTY",F716)+4),3))),""))</f>
        <v>0</v>
      </c>
      <c r="M716">
        <f>'Raw Data'!O716</f>
        <v>0</v>
      </c>
      <c r="N716">
        <f>'Raw Data'!P716</f>
        <v>0</v>
      </c>
      <c r="O716">
        <f>'Raw Data'!Q716</f>
        <v>0</v>
      </c>
      <c r="P716">
        <f>'Raw Data'!R716</f>
        <v>0</v>
      </c>
      <c r="Q716">
        <f>'Raw Data'!S716</f>
        <v>0</v>
      </c>
      <c r="R716">
        <f>'Raw Data'!T716</f>
        <v>0</v>
      </c>
      <c r="S716">
        <f>IFERROR(O716,0)+IFERROR(R716,0)</f>
        <v>0</v>
      </c>
      <c r="T716">
        <f>IF(A716="","",YEAR(A716))</f>
        <v>0</v>
      </c>
    </row>
    <row r="717" spans="1:20">
      <c r="A717">
        <f>'Raw Data'!B717</f>
        <v>0</v>
      </c>
      <c r="B717">
        <f>'Raw Data'!A717</f>
        <v>0</v>
      </c>
      <c r="C717">
        <f>'Raw Data'!C717</f>
        <v>0</v>
      </c>
      <c r="D717">
        <f>'Raw Data'!D717</f>
        <v>0</v>
      </c>
      <c r="E717">
        <f>IFERROR(VLOOKUP(D717,'Lookup Tables'!$A:$B,2,FALSE),"Unknown")</f>
        <v>0</v>
      </c>
      <c r="F717">
        <f>'Raw Data'!E717</f>
        <v>0</v>
      </c>
      <c r="G717">
        <f>IFERROR(VLOOKUP(D717,'Lookup Tables'!$A:$C,3,FALSE),IF(ISNUMBER(SEARCH("STEEL",F717)),"Steel","Others"))</f>
        <v>0</v>
      </c>
      <c r="H717">
        <f>IF(ISNUMBER(SEARCH("scrubber",F717)) , "Scrubber", IF(ISNUMBER(SEARCH("container",F717)),"Container", IF(ISNUMBER(SEARCH("basket",F717)),"Basket", IF(ISNUMBER(SEARCH("lunch",F717)),"Lunch Box", IF(ISNUMBER(SEARCH("cutlery",F717)),"Cutlery","Other")))))</f>
        <v>0</v>
      </c>
      <c r="I717">
        <f>IF('Raw Data'!G717&lt;&gt;'','Raw Data'!G717,IFERROR(MID(F717,SEARCH("MODEL",F717)+6,20),""))</f>
        <v>0</v>
      </c>
      <c r="J717">
        <f>'Raw Data'!H717</f>
        <v>0</v>
      </c>
      <c r="K717">
        <f>'Raw Data'!I717</f>
        <v>0</v>
      </c>
      <c r="L717">
        <f>IF('Raw Data'!N717&lt;&gt;0,'Raw Data'!N717,IFERROR(VALUE(MID(F717,SEARCH("QTY",F717)+4,IFERROR(FIND(" ",F717,SEARCH("QTY",F717)+4)-(SEARCH("QTY",F717)+4),3))),""))</f>
        <v>0</v>
      </c>
      <c r="M717">
        <f>'Raw Data'!O717</f>
        <v>0</v>
      </c>
      <c r="N717">
        <f>'Raw Data'!P717</f>
        <v>0</v>
      </c>
      <c r="O717">
        <f>'Raw Data'!Q717</f>
        <v>0</v>
      </c>
      <c r="P717">
        <f>'Raw Data'!R717</f>
        <v>0</v>
      </c>
      <c r="Q717">
        <f>'Raw Data'!S717</f>
        <v>0</v>
      </c>
      <c r="R717">
        <f>'Raw Data'!T717</f>
        <v>0</v>
      </c>
      <c r="S717">
        <f>IFERROR(O717,0)+IFERROR(R717,0)</f>
        <v>0</v>
      </c>
      <c r="T717">
        <f>IF(A717="","",YEAR(A717))</f>
        <v>0</v>
      </c>
    </row>
    <row r="718" spans="1:20">
      <c r="A718">
        <f>'Raw Data'!B718</f>
        <v>0</v>
      </c>
      <c r="B718">
        <f>'Raw Data'!A718</f>
        <v>0</v>
      </c>
      <c r="C718">
        <f>'Raw Data'!C718</f>
        <v>0</v>
      </c>
      <c r="D718">
        <f>'Raw Data'!D718</f>
        <v>0</v>
      </c>
      <c r="E718">
        <f>IFERROR(VLOOKUP(D718,'Lookup Tables'!$A:$B,2,FALSE),"Unknown")</f>
        <v>0</v>
      </c>
      <c r="F718">
        <f>'Raw Data'!E718</f>
        <v>0</v>
      </c>
      <c r="G718">
        <f>IFERROR(VLOOKUP(D718,'Lookup Tables'!$A:$C,3,FALSE),IF(ISNUMBER(SEARCH("STEEL",F718)),"Steel","Others"))</f>
        <v>0</v>
      </c>
      <c r="H718">
        <f>IF(ISNUMBER(SEARCH("scrubber",F718)) , "Scrubber", IF(ISNUMBER(SEARCH("container",F718)),"Container", IF(ISNUMBER(SEARCH("basket",F718)),"Basket", IF(ISNUMBER(SEARCH("lunch",F718)),"Lunch Box", IF(ISNUMBER(SEARCH("cutlery",F718)),"Cutlery","Other")))))</f>
        <v>0</v>
      </c>
      <c r="I718">
        <f>IF('Raw Data'!G718&lt;&gt;'','Raw Data'!G718,IFERROR(MID(F718,SEARCH("MODEL",F718)+6,20),""))</f>
        <v>0</v>
      </c>
      <c r="J718">
        <f>'Raw Data'!H718</f>
        <v>0</v>
      </c>
      <c r="K718">
        <f>'Raw Data'!I718</f>
        <v>0</v>
      </c>
      <c r="L718">
        <f>IF('Raw Data'!N718&lt;&gt;0,'Raw Data'!N718,IFERROR(VALUE(MID(F718,SEARCH("QTY",F718)+4,IFERROR(FIND(" ",F718,SEARCH("QTY",F718)+4)-(SEARCH("QTY",F718)+4),3))),""))</f>
        <v>0</v>
      </c>
      <c r="M718">
        <f>'Raw Data'!O718</f>
        <v>0</v>
      </c>
      <c r="N718">
        <f>'Raw Data'!P718</f>
        <v>0</v>
      </c>
      <c r="O718">
        <f>'Raw Data'!Q718</f>
        <v>0</v>
      </c>
      <c r="P718">
        <f>'Raw Data'!R718</f>
        <v>0</v>
      </c>
      <c r="Q718">
        <f>'Raw Data'!S718</f>
        <v>0</v>
      </c>
      <c r="R718">
        <f>'Raw Data'!T718</f>
        <v>0</v>
      </c>
      <c r="S718">
        <f>IFERROR(O718,0)+IFERROR(R718,0)</f>
        <v>0</v>
      </c>
      <c r="T718">
        <f>IF(A718="","",YEAR(A718))</f>
        <v>0</v>
      </c>
    </row>
    <row r="719" spans="1:20">
      <c r="A719">
        <f>'Raw Data'!B719</f>
        <v>0</v>
      </c>
      <c r="B719">
        <f>'Raw Data'!A719</f>
        <v>0</v>
      </c>
      <c r="C719">
        <f>'Raw Data'!C719</f>
        <v>0</v>
      </c>
      <c r="D719">
        <f>'Raw Data'!D719</f>
        <v>0</v>
      </c>
      <c r="E719">
        <f>IFERROR(VLOOKUP(D719,'Lookup Tables'!$A:$B,2,FALSE),"Unknown")</f>
        <v>0</v>
      </c>
      <c r="F719">
        <f>'Raw Data'!E719</f>
        <v>0</v>
      </c>
      <c r="G719">
        <f>IFERROR(VLOOKUP(D719,'Lookup Tables'!$A:$C,3,FALSE),IF(ISNUMBER(SEARCH("STEEL",F719)),"Steel","Others"))</f>
        <v>0</v>
      </c>
      <c r="H719">
        <f>IF(ISNUMBER(SEARCH("scrubber",F719)) , "Scrubber", IF(ISNUMBER(SEARCH("container",F719)),"Container", IF(ISNUMBER(SEARCH("basket",F719)),"Basket", IF(ISNUMBER(SEARCH("lunch",F719)),"Lunch Box", IF(ISNUMBER(SEARCH("cutlery",F719)),"Cutlery","Other")))))</f>
        <v>0</v>
      </c>
      <c r="I719">
        <f>IF('Raw Data'!G719&lt;&gt;'','Raw Data'!G719,IFERROR(MID(F719,SEARCH("MODEL",F719)+6,20),""))</f>
        <v>0</v>
      </c>
      <c r="J719">
        <f>'Raw Data'!H719</f>
        <v>0</v>
      </c>
      <c r="K719">
        <f>'Raw Data'!I719</f>
        <v>0</v>
      </c>
      <c r="L719">
        <f>IF('Raw Data'!N719&lt;&gt;0,'Raw Data'!N719,IFERROR(VALUE(MID(F719,SEARCH("QTY",F719)+4,IFERROR(FIND(" ",F719,SEARCH("QTY",F719)+4)-(SEARCH("QTY",F719)+4),3))),""))</f>
        <v>0</v>
      </c>
      <c r="M719">
        <f>'Raw Data'!O719</f>
        <v>0</v>
      </c>
      <c r="N719">
        <f>'Raw Data'!P719</f>
        <v>0</v>
      </c>
      <c r="O719">
        <f>'Raw Data'!Q719</f>
        <v>0</v>
      </c>
      <c r="P719">
        <f>'Raw Data'!R719</f>
        <v>0</v>
      </c>
      <c r="Q719">
        <f>'Raw Data'!S719</f>
        <v>0</v>
      </c>
      <c r="R719">
        <f>'Raw Data'!T719</f>
        <v>0</v>
      </c>
      <c r="S719">
        <f>IFERROR(O719,0)+IFERROR(R719,0)</f>
        <v>0</v>
      </c>
      <c r="T719">
        <f>IF(A719="","",YEAR(A719))</f>
        <v>0</v>
      </c>
    </row>
    <row r="720" spans="1:20">
      <c r="A720">
        <f>'Raw Data'!B720</f>
        <v>0</v>
      </c>
      <c r="B720">
        <f>'Raw Data'!A720</f>
        <v>0</v>
      </c>
      <c r="C720">
        <f>'Raw Data'!C720</f>
        <v>0</v>
      </c>
      <c r="D720">
        <f>'Raw Data'!D720</f>
        <v>0</v>
      </c>
      <c r="E720">
        <f>IFERROR(VLOOKUP(D720,'Lookup Tables'!$A:$B,2,FALSE),"Unknown")</f>
        <v>0</v>
      </c>
      <c r="F720">
        <f>'Raw Data'!E720</f>
        <v>0</v>
      </c>
      <c r="G720">
        <f>IFERROR(VLOOKUP(D720,'Lookup Tables'!$A:$C,3,FALSE),IF(ISNUMBER(SEARCH("STEEL",F720)),"Steel","Others"))</f>
        <v>0</v>
      </c>
      <c r="H720">
        <f>IF(ISNUMBER(SEARCH("scrubber",F720)) , "Scrubber", IF(ISNUMBER(SEARCH("container",F720)),"Container", IF(ISNUMBER(SEARCH("basket",F720)),"Basket", IF(ISNUMBER(SEARCH("lunch",F720)),"Lunch Box", IF(ISNUMBER(SEARCH("cutlery",F720)),"Cutlery","Other")))))</f>
        <v>0</v>
      </c>
      <c r="I720">
        <f>IF('Raw Data'!G720&lt;&gt;'','Raw Data'!G720,IFERROR(MID(F720,SEARCH("MODEL",F720)+6,20),""))</f>
        <v>0</v>
      </c>
      <c r="J720">
        <f>'Raw Data'!H720</f>
        <v>0</v>
      </c>
      <c r="K720">
        <f>'Raw Data'!I720</f>
        <v>0</v>
      </c>
      <c r="L720">
        <f>IF('Raw Data'!N720&lt;&gt;0,'Raw Data'!N720,IFERROR(VALUE(MID(F720,SEARCH("QTY",F720)+4,IFERROR(FIND(" ",F720,SEARCH("QTY",F720)+4)-(SEARCH("QTY",F720)+4),3))),""))</f>
        <v>0</v>
      </c>
      <c r="M720">
        <f>'Raw Data'!O720</f>
        <v>0</v>
      </c>
      <c r="N720">
        <f>'Raw Data'!P720</f>
        <v>0</v>
      </c>
      <c r="O720">
        <f>'Raw Data'!Q720</f>
        <v>0</v>
      </c>
      <c r="P720">
        <f>'Raw Data'!R720</f>
        <v>0</v>
      </c>
      <c r="Q720">
        <f>'Raw Data'!S720</f>
        <v>0</v>
      </c>
      <c r="R720">
        <f>'Raw Data'!T720</f>
        <v>0</v>
      </c>
      <c r="S720">
        <f>IFERROR(O720,0)+IFERROR(R720,0)</f>
        <v>0</v>
      </c>
      <c r="T720">
        <f>IF(A720="","",YEAR(A720))</f>
        <v>0</v>
      </c>
    </row>
    <row r="721" spans="1:20">
      <c r="A721">
        <f>'Raw Data'!B721</f>
        <v>0</v>
      </c>
      <c r="B721">
        <f>'Raw Data'!A721</f>
        <v>0</v>
      </c>
      <c r="C721">
        <f>'Raw Data'!C721</f>
        <v>0</v>
      </c>
      <c r="D721">
        <f>'Raw Data'!D721</f>
        <v>0</v>
      </c>
      <c r="E721">
        <f>IFERROR(VLOOKUP(D721,'Lookup Tables'!$A:$B,2,FALSE),"Unknown")</f>
        <v>0</v>
      </c>
      <c r="F721">
        <f>'Raw Data'!E721</f>
        <v>0</v>
      </c>
      <c r="G721">
        <f>IFERROR(VLOOKUP(D721,'Lookup Tables'!$A:$C,3,FALSE),IF(ISNUMBER(SEARCH("STEEL",F721)),"Steel","Others"))</f>
        <v>0</v>
      </c>
      <c r="H721">
        <f>IF(ISNUMBER(SEARCH("scrubber",F721)) , "Scrubber", IF(ISNUMBER(SEARCH("container",F721)),"Container", IF(ISNUMBER(SEARCH("basket",F721)),"Basket", IF(ISNUMBER(SEARCH("lunch",F721)),"Lunch Box", IF(ISNUMBER(SEARCH("cutlery",F721)),"Cutlery","Other")))))</f>
        <v>0</v>
      </c>
      <c r="I721">
        <f>IF('Raw Data'!G721&lt;&gt;'','Raw Data'!G721,IFERROR(MID(F721,SEARCH("MODEL",F721)+6,20),""))</f>
        <v>0</v>
      </c>
      <c r="J721">
        <f>'Raw Data'!H721</f>
        <v>0</v>
      </c>
      <c r="K721">
        <f>'Raw Data'!I721</f>
        <v>0</v>
      </c>
      <c r="L721">
        <f>IF('Raw Data'!N721&lt;&gt;0,'Raw Data'!N721,IFERROR(VALUE(MID(F721,SEARCH("QTY",F721)+4,IFERROR(FIND(" ",F721,SEARCH("QTY",F721)+4)-(SEARCH("QTY",F721)+4),3))),""))</f>
        <v>0</v>
      </c>
      <c r="M721">
        <f>'Raw Data'!O721</f>
        <v>0</v>
      </c>
      <c r="N721">
        <f>'Raw Data'!P721</f>
        <v>0</v>
      </c>
      <c r="O721">
        <f>'Raw Data'!Q721</f>
        <v>0</v>
      </c>
      <c r="P721">
        <f>'Raw Data'!R721</f>
        <v>0</v>
      </c>
      <c r="Q721">
        <f>'Raw Data'!S721</f>
        <v>0</v>
      </c>
      <c r="R721">
        <f>'Raw Data'!T721</f>
        <v>0</v>
      </c>
      <c r="S721">
        <f>IFERROR(O721,0)+IFERROR(R721,0)</f>
        <v>0</v>
      </c>
      <c r="T721">
        <f>IF(A721="","",YEAR(A721))</f>
        <v>0</v>
      </c>
    </row>
    <row r="722" spans="1:20">
      <c r="A722">
        <f>'Raw Data'!B722</f>
        <v>0</v>
      </c>
      <c r="B722">
        <f>'Raw Data'!A722</f>
        <v>0</v>
      </c>
      <c r="C722">
        <f>'Raw Data'!C722</f>
        <v>0</v>
      </c>
      <c r="D722">
        <f>'Raw Data'!D722</f>
        <v>0</v>
      </c>
      <c r="E722">
        <f>IFERROR(VLOOKUP(D722,'Lookup Tables'!$A:$B,2,FALSE),"Unknown")</f>
        <v>0</v>
      </c>
      <c r="F722">
        <f>'Raw Data'!E722</f>
        <v>0</v>
      </c>
      <c r="G722">
        <f>IFERROR(VLOOKUP(D722,'Lookup Tables'!$A:$C,3,FALSE),IF(ISNUMBER(SEARCH("STEEL",F722)),"Steel","Others"))</f>
        <v>0</v>
      </c>
      <c r="H722">
        <f>IF(ISNUMBER(SEARCH("scrubber",F722)) , "Scrubber", IF(ISNUMBER(SEARCH("container",F722)),"Container", IF(ISNUMBER(SEARCH("basket",F722)),"Basket", IF(ISNUMBER(SEARCH("lunch",F722)),"Lunch Box", IF(ISNUMBER(SEARCH("cutlery",F722)),"Cutlery","Other")))))</f>
        <v>0</v>
      </c>
      <c r="I722">
        <f>IF('Raw Data'!G722&lt;&gt;'','Raw Data'!G722,IFERROR(MID(F722,SEARCH("MODEL",F722)+6,20),""))</f>
        <v>0</v>
      </c>
      <c r="J722">
        <f>'Raw Data'!H722</f>
        <v>0</v>
      </c>
      <c r="K722">
        <f>'Raw Data'!I722</f>
        <v>0</v>
      </c>
      <c r="L722">
        <f>IF('Raw Data'!N722&lt;&gt;0,'Raw Data'!N722,IFERROR(VALUE(MID(F722,SEARCH("QTY",F722)+4,IFERROR(FIND(" ",F722,SEARCH("QTY",F722)+4)-(SEARCH("QTY",F722)+4),3))),""))</f>
        <v>0</v>
      </c>
      <c r="M722">
        <f>'Raw Data'!O722</f>
        <v>0</v>
      </c>
      <c r="N722">
        <f>'Raw Data'!P722</f>
        <v>0</v>
      </c>
      <c r="O722">
        <f>'Raw Data'!Q722</f>
        <v>0</v>
      </c>
      <c r="P722">
        <f>'Raw Data'!R722</f>
        <v>0</v>
      </c>
      <c r="Q722">
        <f>'Raw Data'!S722</f>
        <v>0</v>
      </c>
      <c r="R722">
        <f>'Raw Data'!T722</f>
        <v>0</v>
      </c>
      <c r="S722">
        <f>IFERROR(O722,0)+IFERROR(R722,0)</f>
        <v>0</v>
      </c>
      <c r="T722">
        <f>IF(A722="","",YEAR(A722))</f>
        <v>0</v>
      </c>
    </row>
    <row r="723" spans="1:20">
      <c r="A723">
        <f>'Raw Data'!B723</f>
        <v>0</v>
      </c>
      <c r="B723">
        <f>'Raw Data'!A723</f>
        <v>0</v>
      </c>
      <c r="C723">
        <f>'Raw Data'!C723</f>
        <v>0</v>
      </c>
      <c r="D723">
        <f>'Raw Data'!D723</f>
        <v>0</v>
      </c>
      <c r="E723">
        <f>IFERROR(VLOOKUP(D723,'Lookup Tables'!$A:$B,2,FALSE),"Unknown")</f>
        <v>0</v>
      </c>
      <c r="F723">
        <f>'Raw Data'!E723</f>
        <v>0</v>
      </c>
      <c r="G723">
        <f>IFERROR(VLOOKUP(D723,'Lookup Tables'!$A:$C,3,FALSE),IF(ISNUMBER(SEARCH("STEEL",F723)),"Steel","Others"))</f>
        <v>0</v>
      </c>
      <c r="H723">
        <f>IF(ISNUMBER(SEARCH("scrubber",F723)) , "Scrubber", IF(ISNUMBER(SEARCH("container",F723)),"Container", IF(ISNUMBER(SEARCH("basket",F723)),"Basket", IF(ISNUMBER(SEARCH("lunch",F723)),"Lunch Box", IF(ISNUMBER(SEARCH("cutlery",F723)),"Cutlery","Other")))))</f>
        <v>0</v>
      </c>
      <c r="I723">
        <f>IF('Raw Data'!G723&lt;&gt;'','Raw Data'!G723,IFERROR(MID(F723,SEARCH("MODEL",F723)+6,20),""))</f>
        <v>0</v>
      </c>
      <c r="J723">
        <f>'Raw Data'!H723</f>
        <v>0</v>
      </c>
      <c r="K723">
        <f>'Raw Data'!I723</f>
        <v>0</v>
      </c>
      <c r="L723">
        <f>IF('Raw Data'!N723&lt;&gt;0,'Raw Data'!N723,IFERROR(VALUE(MID(F723,SEARCH("QTY",F723)+4,IFERROR(FIND(" ",F723,SEARCH("QTY",F723)+4)-(SEARCH("QTY",F723)+4),3))),""))</f>
        <v>0</v>
      </c>
      <c r="M723">
        <f>'Raw Data'!O723</f>
        <v>0</v>
      </c>
      <c r="N723">
        <f>'Raw Data'!P723</f>
        <v>0</v>
      </c>
      <c r="O723">
        <f>'Raw Data'!Q723</f>
        <v>0</v>
      </c>
      <c r="P723">
        <f>'Raw Data'!R723</f>
        <v>0</v>
      </c>
      <c r="Q723">
        <f>'Raw Data'!S723</f>
        <v>0</v>
      </c>
      <c r="R723">
        <f>'Raw Data'!T723</f>
        <v>0</v>
      </c>
      <c r="S723">
        <f>IFERROR(O723,0)+IFERROR(R723,0)</f>
        <v>0</v>
      </c>
      <c r="T723">
        <f>IF(A723="","",YEAR(A723))</f>
        <v>0</v>
      </c>
    </row>
    <row r="724" spans="1:20">
      <c r="A724">
        <f>'Raw Data'!B724</f>
        <v>0</v>
      </c>
      <c r="B724">
        <f>'Raw Data'!A724</f>
        <v>0</v>
      </c>
      <c r="C724">
        <f>'Raw Data'!C724</f>
        <v>0</v>
      </c>
      <c r="D724">
        <f>'Raw Data'!D724</f>
        <v>0</v>
      </c>
      <c r="E724">
        <f>IFERROR(VLOOKUP(D724,'Lookup Tables'!$A:$B,2,FALSE),"Unknown")</f>
        <v>0</v>
      </c>
      <c r="F724">
        <f>'Raw Data'!E724</f>
        <v>0</v>
      </c>
      <c r="G724">
        <f>IFERROR(VLOOKUP(D724,'Lookup Tables'!$A:$C,3,FALSE),IF(ISNUMBER(SEARCH("STEEL",F724)),"Steel","Others"))</f>
        <v>0</v>
      </c>
      <c r="H724">
        <f>IF(ISNUMBER(SEARCH("scrubber",F724)) , "Scrubber", IF(ISNUMBER(SEARCH("container",F724)),"Container", IF(ISNUMBER(SEARCH("basket",F724)),"Basket", IF(ISNUMBER(SEARCH("lunch",F724)),"Lunch Box", IF(ISNUMBER(SEARCH("cutlery",F724)),"Cutlery","Other")))))</f>
        <v>0</v>
      </c>
      <c r="I724">
        <f>IF('Raw Data'!G724&lt;&gt;'','Raw Data'!G724,IFERROR(MID(F724,SEARCH("MODEL",F724)+6,20),""))</f>
        <v>0</v>
      </c>
      <c r="J724">
        <f>'Raw Data'!H724</f>
        <v>0</v>
      </c>
      <c r="K724">
        <f>'Raw Data'!I724</f>
        <v>0</v>
      </c>
      <c r="L724">
        <f>IF('Raw Data'!N724&lt;&gt;0,'Raw Data'!N724,IFERROR(VALUE(MID(F724,SEARCH("QTY",F724)+4,IFERROR(FIND(" ",F724,SEARCH("QTY",F724)+4)-(SEARCH("QTY",F724)+4),3))),""))</f>
        <v>0</v>
      </c>
      <c r="M724">
        <f>'Raw Data'!O724</f>
        <v>0</v>
      </c>
      <c r="N724">
        <f>'Raw Data'!P724</f>
        <v>0</v>
      </c>
      <c r="O724">
        <f>'Raw Data'!Q724</f>
        <v>0</v>
      </c>
      <c r="P724">
        <f>'Raw Data'!R724</f>
        <v>0</v>
      </c>
      <c r="Q724">
        <f>'Raw Data'!S724</f>
        <v>0</v>
      </c>
      <c r="R724">
        <f>'Raw Data'!T724</f>
        <v>0</v>
      </c>
      <c r="S724">
        <f>IFERROR(O724,0)+IFERROR(R724,0)</f>
        <v>0</v>
      </c>
      <c r="T724">
        <f>IF(A724="","",YEAR(A724))</f>
        <v>0</v>
      </c>
    </row>
    <row r="725" spans="1:20">
      <c r="A725">
        <f>'Raw Data'!B725</f>
        <v>0</v>
      </c>
      <c r="B725">
        <f>'Raw Data'!A725</f>
        <v>0</v>
      </c>
      <c r="C725">
        <f>'Raw Data'!C725</f>
        <v>0</v>
      </c>
      <c r="D725">
        <f>'Raw Data'!D725</f>
        <v>0</v>
      </c>
      <c r="E725">
        <f>IFERROR(VLOOKUP(D725,'Lookup Tables'!$A:$B,2,FALSE),"Unknown")</f>
        <v>0</v>
      </c>
      <c r="F725">
        <f>'Raw Data'!E725</f>
        <v>0</v>
      </c>
      <c r="G725">
        <f>IFERROR(VLOOKUP(D725,'Lookup Tables'!$A:$C,3,FALSE),IF(ISNUMBER(SEARCH("STEEL",F725)),"Steel","Others"))</f>
        <v>0</v>
      </c>
      <c r="H725">
        <f>IF(ISNUMBER(SEARCH("scrubber",F725)) , "Scrubber", IF(ISNUMBER(SEARCH("container",F725)),"Container", IF(ISNUMBER(SEARCH("basket",F725)),"Basket", IF(ISNUMBER(SEARCH("lunch",F725)),"Lunch Box", IF(ISNUMBER(SEARCH("cutlery",F725)),"Cutlery","Other")))))</f>
        <v>0</v>
      </c>
      <c r="I725">
        <f>IF('Raw Data'!G725&lt;&gt;'','Raw Data'!G725,IFERROR(MID(F725,SEARCH("MODEL",F725)+6,20),""))</f>
        <v>0</v>
      </c>
      <c r="J725">
        <f>'Raw Data'!H725</f>
        <v>0</v>
      </c>
      <c r="K725">
        <f>'Raw Data'!I725</f>
        <v>0</v>
      </c>
      <c r="L725">
        <f>IF('Raw Data'!N725&lt;&gt;0,'Raw Data'!N725,IFERROR(VALUE(MID(F725,SEARCH("QTY",F725)+4,IFERROR(FIND(" ",F725,SEARCH("QTY",F725)+4)-(SEARCH("QTY",F725)+4),3))),""))</f>
        <v>0</v>
      </c>
      <c r="M725">
        <f>'Raw Data'!O725</f>
        <v>0</v>
      </c>
      <c r="N725">
        <f>'Raw Data'!P725</f>
        <v>0</v>
      </c>
      <c r="O725">
        <f>'Raw Data'!Q725</f>
        <v>0</v>
      </c>
      <c r="P725">
        <f>'Raw Data'!R725</f>
        <v>0</v>
      </c>
      <c r="Q725">
        <f>'Raw Data'!S725</f>
        <v>0</v>
      </c>
      <c r="R725">
        <f>'Raw Data'!T725</f>
        <v>0</v>
      </c>
      <c r="S725">
        <f>IFERROR(O725,0)+IFERROR(R725,0)</f>
        <v>0</v>
      </c>
      <c r="T725">
        <f>IF(A725="","",YEAR(A725))</f>
        <v>0</v>
      </c>
    </row>
    <row r="726" spans="1:20">
      <c r="A726">
        <f>'Raw Data'!B726</f>
        <v>0</v>
      </c>
      <c r="B726">
        <f>'Raw Data'!A726</f>
        <v>0</v>
      </c>
      <c r="C726">
        <f>'Raw Data'!C726</f>
        <v>0</v>
      </c>
      <c r="D726">
        <f>'Raw Data'!D726</f>
        <v>0</v>
      </c>
      <c r="E726">
        <f>IFERROR(VLOOKUP(D726,'Lookup Tables'!$A:$B,2,FALSE),"Unknown")</f>
        <v>0</v>
      </c>
      <c r="F726">
        <f>'Raw Data'!E726</f>
        <v>0</v>
      </c>
      <c r="G726">
        <f>IFERROR(VLOOKUP(D726,'Lookup Tables'!$A:$C,3,FALSE),IF(ISNUMBER(SEARCH("STEEL",F726)),"Steel","Others"))</f>
        <v>0</v>
      </c>
      <c r="H726">
        <f>IF(ISNUMBER(SEARCH("scrubber",F726)) , "Scrubber", IF(ISNUMBER(SEARCH("container",F726)),"Container", IF(ISNUMBER(SEARCH("basket",F726)),"Basket", IF(ISNUMBER(SEARCH("lunch",F726)),"Lunch Box", IF(ISNUMBER(SEARCH("cutlery",F726)),"Cutlery","Other")))))</f>
        <v>0</v>
      </c>
      <c r="I726">
        <f>IF('Raw Data'!G726&lt;&gt;'','Raw Data'!G726,IFERROR(MID(F726,SEARCH("MODEL",F726)+6,20),""))</f>
        <v>0</v>
      </c>
      <c r="J726">
        <f>'Raw Data'!H726</f>
        <v>0</v>
      </c>
      <c r="K726">
        <f>'Raw Data'!I726</f>
        <v>0</v>
      </c>
      <c r="L726">
        <f>IF('Raw Data'!N726&lt;&gt;0,'Raw Data'!N726,IFERROR(VALUE(MID(F726,SEARCH("QTY",F726)+4,IFERROR(FIND(" ",F726,SEARCH("QTY",F726)+4)-(SEARCH("QTY",F726)+4),3))),""))</f>
        <v>0</v>
      </c>
      <c r="M726">
        <f>'Raw Data'!O726</f>
        <v>0</v>
      </c>
      <c r="N726">
        <f>'Raw Data'!P726</f>
        <v>0</v>
      </c>
      <c r="O726">
        <f>'Raw Data'!Q726</f>
        <v>0</v>
      </c>
      <c r="P726">
        <f>'Raw Data'!R726</f>
        <v>0</v>
      </c>
      <c r="Q726">
        <f>'Raw Data'!S726</f>
        <v>0</v>
      </c>
      <c r="R726">
        <f>'Raw Data'!T726</f>
        <v>0</v>
      </c>
      <c r="S726">
        <f>IFERROR(O726,0)+IFERROR(R726,0)</f>
        <v>0</v>
      </c>
      <c r="T726">
        <f>IF(A726="","",YEAR(A726))</f>
        <v>0</v>
      </c>
    </row>
    <row r="727" spans="1:20">
      <c r="A727">
        <f>'Raw Data'!B727</f>
        <v>0</v>
      </c>
      <c r="B727">
        <f>'Raw Data'!A727</f>
        <v>0</v>
      </c>
      <c r="C727">
        <f>'Raw Data'!C727</f>
        <v>0</v>
      </c>
      <c r="D727">
        <f>'Raw Data'!D727</f>
        <v>0</v>
      </c>
      <c r="E727">
        <f>IFERROR(VLOOKUP(D727,'Lookup Tables'!$A:$B,2,FALSE),"Unknown")</f>
        <v>0</v>
      </c>
      <c r="F727">
        <f>'Raw Data'!E727</f>
        <v>0</v>
      </c>
      <c r="G727">
        <f>IFERROR(VLOOKUP(D727,'Lookup Tables'!$A:$C,3,FALSE),IF(ISNUMBER(SEARCH("STEEL",F727)),"Steel","Others"))</f>
        <v>0</v>
      </c>
      <c r="H727">
        <f>IF(ISNUMBER(SEARCH("scrubber",F727)) , "Scrubber", IF(ISNUMBER(SEARCH("container",F727)),"Container", IF(ISNUMBER(SEARCH("basket",F727)),"Basket", IF(ISNUMBER(SEARCH("lunch",F727)),"Lunch Box", IF(ISNUMBER(SEARCH("cutlery",F727)),"Cutlery","Other")))))</f>
        <v>0</v>
      </c>
      <c r="I727">
        <f>IF('Raw Data'!G727&lt;&gt;'','Raw Data'!G727,IFERROR(MID(F727,SEARCH("MODEL",F727)+6,20),""))</f>
        <v>0</v>
      </c>
      <c r="J727">
        <f>'Raw Data'!H727</f>
        <v>0</v>
      </c>
      <c r="K727">
        <f>'Raw Data'!I727</f>
        <v>0</v>
      </c>
      <c r="L727">
        <f>IF('Raw Data'!N727&lt;&gt;0,'Raw Data'!N727,IFERROR(VALUE(MID(F727,SEARCH("QTY",F727)+4,IFERROR(FIND(" ",F727,SEARCH("QTY",F727)+4)-(SEARCH("QTY",F727)+4),3))),""))</f>
        <v>0</v>
      </c>
      <c r="M727">
        <f>'Raw Data'!O727</f>
        <v>0</v>
      </c>
      <c r="N727">
        <f>'Raw Data'!P727</f>
        <v>0</v>
      </c>
      <c r="O727">
        <f>'Raw Data'!Q727</f>
        <v>0</v>
      </c>
      <c r="P727">
        <f>'Raw Data'!R727</f>
        <v>0</v>
      </c>
      <c r="Q727">
        <f>'Raw Data'!S727</f>
        <v>0</v>
      </c>
      <c r="R727">
        <f>'Raw Data'!T727</f>
        <v>0</v>
      </c>
      <c r="S727">
        <f>IFERROR(O727,0)+IFERROR(R727,0)</f>
        <v>0</v>
      </c>
      <c r="T727">
        <f>IF(A727="","",YEAR(A727))</f>
        <v>0</v>
      </c>
    </row>
    <row r="728" spans="1:20">
      <c r="A728">
        <f>'Raw Data'!B728</f>
        <v>0</v>
      </c>
      <c r="B728">
        <f>'Raw Data'!A728</f>
        <v>0</v>
      </c>
      <c r="C728">
        <f>'Raw Data'!C728</f>
        <v>0</v>
      </c>
      <c r="D728">
        <f>'Raw Data'!D728</f>
        <v>0</v>
      </c>
      <c r="E728">
        <f>IFERROR(VLOOKUP(D728,'Lookup Tables'!$A:$B,2,FALSE),"Unknown")</f>
        <v>0</v>
      </c>
      <c r="F728">
        <f>'Raw Data'!E728</f>
        <v>0</v>
      </c>
      <c r="G728">
        <f>IFERROR(VLOOKUP(D728,'Lookup Tables'!$A:$C,3,FALSE),IF(ISNUMBER(SEARCH("STEEL",F728)),"Steel","Others"))</f>
        <v>0</v>
      </c>
      <c r="H728">
        <f>IF(ISNUMBER(SEARCH("scrubber",F728)) , "Scrubber", IF(ISNUMBER(SEARCH("container",F728)),"Container", IF(ISNUMBER(SEARCH("basket",F728)),"Basket", IF(ISNUMBER(SEARCH("lunch",F728)),"Lunch Box", IF(ISNUMBER(SEARCH("cutlery",F728)),"Cutlery","Other")))))</f>
        <v>0</v>
      </c>
      <c r="I728">
        <f>IF('Raw Data'!G728&lt;&gt;'','Raw Data'!G728,IFERROR(MID(F728,SEARCH("MODEL",F728)+6,20),""))</f>
        <v>0</v>
      </c>
      <c r="J728">
        <f>'Raw Data'!H728</f>
        <v>0</v>
      </c>
      <c r="K728">
        <f>'Raw Data'!I728</f>
        <v>0</v>
      </c>
      <c r="L728">
        <f>IF('Raw Data'!N728&lt;&gt;0,'Raw Data'!N728,IFERROR(VALUE(MID(F728,SEARCH("QTY",F728)+4,IFERROR(FIND(" ",F728,SEARCH("QTY",F728)+4)-(SEARCH("QTY",F728)+4),3))),""))</f>
        <v>0</v>
      </c>
      <c r="M728">
        <f>'Raw Data'!O728</f>
        <v>0</v>
      </c>
      <c r="N728">
        <f>'Raw Data'!P728</f>
        <v>0</v>
      </c>
      <c r="O728">
        <f>'Raw Data'!Q728</f>
        <v>0</v>
      </c>
      <c r="P728">
        <f>'Raw Data'!R728</f>
        <v>0</v>
      </c>
      <c r="Q728">
        <f>'Raw Data'!S728</f>
        <v>0</v>
      </c>
      <c r="R728">
        <f>'Raw Data'!T728</f>
        <v>0</v>
      </c>
      <c r="S728">
        <f>IFERROR(O728,0)+IFERROR(R728,0)</f>
        <v>0</v>
      </c>
      <c r="T728">
        <f>IF(A728="","",YEAR(A728))</f>
        <v>0</v>
      </c>
    </row>
    <row r="729" spans="1:20">
      <c r="A729">
        <f>'Raw Data'!B729</f>
        <v>0</v>
      </c>
      <c r="B729">
        <f>'Raw Data'!A729</f>
        <v>0</v>
      </c>
      <c r="C729">
        <f>'Raw Data'!C729</f>
        <v>0</v>
      </c>
      <c r="D729">
        <f>'Raw Data'!D729</f>
        <v>0</v>
      </c>
      <c r="E729">
        <f>IFERROR(VLOOKUP(D729,'Lookup Tables'!$A:$B,2,FALSE),"Unknown")</f>
        <v>0</v>
      </c>
      <c r="F729">
        <f>'Raw Data'!E729</f>
        <v>0</v>
      </c>
      <c r="G729">
        <f>IFERROR(VLOOKUP(D729,'Lookup Tables'!$A:$C,3,FALSE),IF(ISNUMBER(SEARCH("STEEL",F729)),"Steel","Others"))</f>
        <v>0</v>
      </c>
      <c r="H729">
        <f>IF(ISNUMBER(SEARCH("scrubber",F729)) , "Scrubber", IF(ISNUMBER(SEARCH("container",F729)),"Container", IF(ISNUMBER(SEARCH("basket",F729)),"Basket", IF(ISNUMBER(SEARCH("lunch",F729)),"Lunch Box", IF(ISNUMBER(SEARCH("cutlery",F729)),"Cutlery","Other")))))</f>
        <v>0</v>
      </c>
      <c r="I729">
        <f>IF('Raw Data'!G729&lt;&gt;'','Raw Data'!G729,IFERROR(MID(F729,SEARCH("MODEL",F729)+6,20),""))</f>
        <v>0</v>
      </c>
      <c r="J729">
        <f>'Raw Data'!H729</f>
        <v>0</v>
      </c>
      <c r="K729">
        <f>'Raw Data'!I729</f>
        <v>0</v>
      </c>
      <c r="L729">
        <f>IF('Raw Data'!N729&lt;&gt;0,'Raw Data'!N729,IFERROR(VALUE(MID(F729,SEARCH("QTY",F729)+4,IFERROR(FIND(" ",F729,SEARCH("QTY",F729)+4)-(SEARCH("QTY",F729)+4),3))),""))</f>
        <v>0</v>
      </c>
      <c r="M729">
        <f>'Raw Data'!O729</f>
        <v>0</v>
      </c>
      <c r="N729">
        <f>'Raw Data'!P729</f>
        <v>0</v>
      </c>
      <c r="O729">
        <f>'Raw Data'!Q729</f>
        <v>0</v>
      </c>
      <c r="P729">
        <f>'Raw Data'!R729</f>
        <v>0</v>
      </c>
      <c r="Q729">
        <f>'Raw Data'!S729</f>
        <v>0</v>
      </c>
      <c r="R729">
        <f>'Raw Data'!T729</f>
        <v>0</v>
      </c>
      <c r="S729">
        <f>IFERROR(O729,0)+IFERROR(R729,0)</f>
        <v>0</v>
      </c>
      <c r="T729">
        <f>IF(A729="","",YEAR(A729))</f>
        <v>0</v>
      </c>
    </row>
    <row r="730" spans="1:20">
      <c r="A730">
        <f>'Raw Data'!B730</f>
        <v>0</v>
      </c>
      <c r="B730">
        <f>'Raw Data'!A730</f>
        <v>0</v>
      </c>
      <c r="C730">
        <f>'Raw Data'!C730</f>
        <v>0</v>
      </c>
      <c r="D730">
        <f>'Raw Data'!D730</f>
        <v>0</v>
      </c>
      <c r="E730">
        <f>IFERROR(VLOOKUP(D730,'Lookup Tables'!$A:$B,2,FALSE),"Unknown")</f>
        <v>0</v>
      </c>
      <c r="F730">
        <f>'Raw Data'!E730</f>
        <v>0</v>
      </c>
      <c r="G730">
        <f>IFERROR(VLOOKUP(D730,'Lookup Tables'!$A:$C,3,FALSE),IF(ISNUMBER(SEARCH("STEEL",F730)),"Steel","Others"))</f>
        <v>0</v>
      </c>
      <c r="H730">
        <f>IF(ISNUMBER(SEARCH("scrubber",F730)) , "Scrubber", IF(ISNUMBER(SEARCH("container",F730)),"Container", IF(ISNUMBER(SEARCH("basket",F730)),"Basket", IF(ISNUMBER(SEARCH("lunch",F730)),"Lunch Box", IF(ISNUMBER(SEARCH("cutlery",F730)),"Cutlery","Other")))))</f>
        <v>0</v>
      </c>
      <c r="I730">
        <f>IF('Raw Data'!G730&lt;&gt;'','Raw Data'!G730,IFERROR(MID(F730,SEARCH("MODEL",F730)+6,20),""))</f>
        <v>0</v>
      </c>
      <c r="J730">
        <f>'Raw Data'!H730</f>
        <v>0</v>
      </c>
      <c r="K730">
        <f>'Raw Data'!I730</f>
        <v>0</v>
      </c>
      <c r="L730">
        <f>IF('Raw Data'!N730&lt;&gt;0,'Raw Data'!N730,IFERROR(VALUE(MID(F730,SEARCH("QTY",F730)+4,IFERROR(FIND(" ",F730,SEARCH("QTY",F730)+4)-(SEARCH("QTY",F730)+4),3))),""))</f>
        <v>0</v>
      </c>
      <c r="M730">
        <f>'Raw Data'!O730</f>
        <v>0</v>
      </c>
      <c r="N730">
        <f>'Raw Data'!P730</f>
        <v>0</v>
      </c>
      <c r="O730">
        <f>'Raw Data'!Q730</f>
        <v>0</v>
      </c>
      <c r="P730">
        <f>'Raw Data'!R730</f>
        <v>0</v>
      </c>
      <c r="Q730">
        <f>'Raw Data'!S730</f>
        <v>0</v>
      </c>
      <c r="R730">
        <f>'Raw Data'!T730</f>
        <v>0</v>
      </c>
      <c r="S730">
        <f>IFERROR(O730,0)+IFERROR(R730,0)</f>
        <v>0</v>
      </c>
      <c r="T730">
        <f>IF(A730="","",YEAR(A730))</f>
        <v>0</v>
      </c>
    </row>
    <row r="731" spans="1:20">
      <c r="A731">
        <f>'Raw Data'!B731</f>
        <v>0</v>
      </c>
      <c r="B731">
        <f>'Raw Data'!A731</f>
        <v>0</v>
      </c>
      <c r="C731">
        <f>'Raw Data'!C731</f>
        <v>0</v>
      </c>
      <c r="D731">
        <f>'Raw Data'!D731</f>
        <v>0</v>
      </c>
      <c r="E731">
        <f>IFERROR(VLOOKUP(D731,'Lookup Tables'!$A:$B,2,FALSE),"Unknown")</f>
        <v>0</v>
      </c>
      <c r="F731">
        <f>'Raw Data'!E731</f>
        <v>0</v>
      </c>
      <c r="G731">
        <f>IFERROR(VLOOKUP(D731,'Lookup Tables'!$A:$C,3,FALSE),IF(ISNUMBER(SEARCH("STEEL",F731)),"Steel","Others"))</f>
        <v>0</v>
      </c>
      <c r="H731">
        <f>IF(ISNUMBER(SEARCH("scrubber",F731)) , "Scrubber", IF(ISNUMBER(SEARCH("container",F731)),"Container", IF(ISNUMBER(SEARCH("basket",F731)),"Basket", IF(ISNUMBER(SEARCH("lunch",F731)),"Lunch Box", IF(ISNUMBER(SEARCH("cutlery",F731)),"Cutlery","Other")))))</f>
        <v>0</v>
      </c>
      <c r="I731">
        <f>IF('Raw Data'!G731&lt;&gt;'','Raw Data'!G731,IFERROR(MID(F731,SEARCH("MODEL",F731)+6,20),""))</f>
        <v>0</v>
      </c>
      <c r="J731">
        <f>'Raw Data'!H731</f>
        <v>0</v>
      </c>
      <c r="K731">
        <f>'Raw Data'!I731</f>
        <v>0</v>
      </c>
      <c r="L731">
        <f>IF('Raw Data'!N731&lt;&gt;0,'Raw Data'!N731,IFERROR(VALUE(MID(F731,SEARCH("QTY",F731)+4,IFERROR(FIND(" ",F731,SEARCH("QTY",F731)+4)-(SEARCH("QTY",F731)+4),3))),""))</f>
        <v>0</v>
      </c>
      <c r="M731">
        <f>'Raw Data'!O731</f>
        <v>0</v>
      </c>
      <c r="N731">
        <f>'Raw Data'!P731</f>
        <v>0</v>
      </c>
      <c r="O731">
        <f>'Raw Data'!Q731</f>
        <v>0</v>
      </c>
      <c r="P731">
        <f>'Raw Data'!R731</f>
        <v>0</v>
      </c>
      <c r="Q731">
        <f>'Raw Data'!S731</f>
        <v>0</v>
      </c>
      <c r="R731">
        <f>'Raw Data'!T731</f>
        <v>0</v>
      </c>
      <c r="S731">
        <f>IFERROR(O731,0)+IFERROR(R731,0)</f>
        <v>0</v>
      </c>
      <c r="T731">
        <f>IF(A731="","",YEAR(A731))</f>
        <v>0</v>
      </c>
    </row>
    <row r="732" spans="1:20">
      <c r="A732">
        <f>'Raw Data'!B732</f>
        <v>0</v>
      </c>
      <c r="B732">
        <f>'Raw Data'!A732</f>
        <v>0</v>
      </c>
      <c r="C732">
        <f>'Raw Data'!C732</f>
        <v>0</v>
      </c>
      <c r="D732">
        <f>'Raw Data'!D732</f>
        <v>0</v>
      </c>
      <c r="E732">
        <f>IFERROR(VLOOKUP(D732,'Lookup Tables'!$A:$B,2,FALSE),"Unknown")</f>
        <v>0</v>
      </c>
      <c r="F732">
        <f>'Raw Data'!E732</f>
        <v>0</v>
      </c>
      <c r="G732">
        <f>IFERROR(VLOOKUP(D732,'Lookup Tables'!$A:$C,3,FALSE),IF(ISNUMBER(SEARCH("STEEL",F732)),"Steel","Others"))</f>
        <v>0</v>
      </c>
      <c r="H732">
        <f>IF(ISNUMBER(SEARCH("scrubber",F732)) , "Scrubber", IF(ISNUMBER(SEARCH("container",F732)),"Container", IF(ISNUMBER(SEARCH("basket",F732)),"Basket", IF(ISNUMBER(SEARCH("lunch",F732)),"Lunch Box", IF(ISNUMBER(SEARCH("cutlery",F732)),"Cutlery","Other")))))</f>
        <v>0</v>
      </c>
      <c r="I732">
        <f>IF('Raw Data'!G732&lt;&gt;'','Raw Data'!G732,IFERROR(MID(F732,SEARCH("MODEL",F732)+6,20),""))</f>
        <v>0</v>
      </c>
      <c r="J732">
        <f>'Raw Data'!H732</f>
        <v>0</v>
      </c>
      <c r="K732">
        <f>'Raw Data'!I732</f>
        <v>0</v>
      </c>
      <c r="L732">
        <f>IF('Raw Data'!N732&lt;&gt;0,'Raw Data'!N732,IFERROR(VALUE(MID(F732,SEARCH("QTY",F732)+4,IFERROR(FIND(" ",F732,SEARCH("QTY",F732)+4)-(SEARCH("QTY",F732)+4),3))),""))</f>
        <v>0</v>
      </c>
      <c r="M732">
        <f>'Raw Data'!O732</f>
        <v>0</v>
      </c>
      <c r="N732">
        <f>'Raw Data'!P732</f>
        <v>0</v>
      </c>
      <c r="O732">
        <f>'Raw Data'!Q732</f>
        <v>0</v>
      </c>
      <c r="P732">
        <f>'Raw Data'!R732</f>
        <v>0</v>
      </c>
      <c r="Q732">
        <f>'Raw Data'!S732</f>
        <v>0</v>
      </c>
      <c r="R732">
        <f>'Raw Data'!T732</f>
        <v>0</v>
      </c>
      <c r="S732">
        <f>IFERROR(O732,0)+IFERROR(R732,0)</f>
        <v>0</v>
      </c>
      <c r="T732">
        <f>IF(A732="","",YEAR(A732))</f>
        <v>0</v>
      </c>
    </row>
    <row r="733" spans="1:20">
      <c r="A733">
        <f>'Raw Data'!B733</f>
        <v>0</v>
      </c>
      <c r="B733">
        <f>'Raw Data'!A733</f>
        <v>0</v>
      </c>
      <c r="C733">
        <f>'Raw Data'!C733</f>
        <v>0</v>
      </c>
      <c r="D733">
        <f>'Raw Data'!D733</f>
        <v>0</v>
      </c>
      <c r="E733">
        <f>IFERROR(VLOOKUP(D733,'Lookup Tables'!$A:$B,2,FALSE),"Unknown")</f>
        <v>0</v>
      </c>
      <c r="F733">
        <f>'Raw Data'!E733</f>
        <v>0</v>
      </c>
      <c r="G733">
        <f>IFERROR(VLOOKUP(D733,'Lookup Tables'!$A:$C,3,FALSE),IF(ISNUMBER(SEARCH("STEEL",F733)),"Steel","Others"))</f>
        <v>0</v>
      </c>
      <c r="H733">
        <f>IF(ISNUMBER(SEARCH("scrubber",F733)) , "Scrubber", IF(ISNUMBER(SEARCH("container",F733)),"Container", IF(ISNUMBER(SEARCH("basket",F733)),"Basket", IF(ISNUMBER(SEARCH("lunch",F733)),"Lunch Box", IF(ISNUMBER(SEARCH("cutlery",F733)),"Cutlery","Other")))))</f>
        <v>0</v>
      </c>
      <c r="I733">
        <f>IF('Raw Data'!G733&lt;&gt;'','Raw Data'!G733,IFERROR(MID(F733,SEARCH("MODEL",F733)+6,20),""))</f>
        <v>0</v>
      </c>
      <c r="J733">
        <f>'Raw Data'!H733</f>
        <v>0</v>
      </c>
      <c r="K733">
        <f>'Raw Data'!I733</f>
        <v>0</v>
      </c>
      <c r="L733">
        <f>IF('Raw Data'!N733&lt;&gt;0,'Raw Data'!N733,IFERROR(VALUE(MID(F733,SEARCH("QTY",F733)+4,IFERROR(FIND(" ",F733,SEARCH("QTY",F733)+4)-(SEARCH("QTY",F733)+4),3))),""))</f>
        <v>0</v>
      </c>
      <c r="M733">
        <f>'Raw Data'!O733</f>
        <v>0</v>
      </c>
      <c r="N733">
        <f>'Raw Data'!P733</f>
        <v>0</v>
      </c>
      <c r="O733">
        <f>'Raw Data'!Q733</f>
        <v>0</v>
      </c>
      <c r="P733">
        <f>'Raw Data'!R733</f>
        <v>0</v>
      </c>
      <c r="Q733">
        <f>'Raw Data'!S733</f>
        <v>0</v>
      </c>
      <c r="R733">
        <f>'Raw Data'!T733</f>
        <v>0</v>
      </c>
      <c r="S733">
        <f>IFERROR(O733,0)+IFERROR(R733,0)</f>
        <v>0</v>
      </c>
      <c r="T733">
        <f>IF(A733="","",YEAR(A733))</f>
        <v>0</v>
      </c>
    </row>
    <row r="734" spans="1:20">
      <c r="A734">
        <f>'Raw Data'!B734</f>
        <v>0</v>
      </c>
      <c r="B734">
        <f>'Raw Data'!A734</f>
        <v>0</v>
      </c>
      <c r="C734">
        <f>'Raw Data'!C734</f>
        <v>0</v>
      </c>
      <c r="D734">
        <f>'Raw Data'!D734</f>
        <v>0</v>
      </c>
      <c r="E734">
        <f>IFERROR(VLOOKUP(D734,'Lookup Tables'!$A:$B,2,FALSE),"Unknown")</f>
        <v>0</v>
      </c>
      <c r="F734">
        <f>'Raw Data'!E734</f>
        <v>0</v>
      </c>
      <c r="G734">
        <f>IFERROR(VLOOKUP(D734,'Lookup Tables'!$A:$C,3,FALSE),IF(ISNUMBER(SEARCH("STEEL",F734)),"Steel","Others"))</f>
        <v>0</v>
      </c>
      <c r="H734">
        <f>IF(ISNUMBER(SEARCH("scrubber",F734)) , "Scrubber", IF(ISNUMBER(SEARCH("container",F734)),"Container", IF(ISNUMBER(SEARCH("basket",F734)),"Basket", IF(ISNUMBER(SEARCH("lunch",F734)),"Lunch Box", IF(ISNUMBER(SEARCH("cutlery",F734)),"Cutlery","Other")))))</f>
        <v>0</v>
      </c>
      <c r="I734">
        <f>IF('Raw Data'!G734&lt;&gt;'','Raw Data'!G734,IFERROR(MID(F734,SEARCH("MODEL",F734)+6,20),""))</f>
        <v>0</v>
      </c>
      <c r="J734">
        <f>'Raw Data'!H734</f>
        <v>0</v>
      </c>
      <c r="K734">
        <f>'Raw Data'!I734</f>
        <v>0</v>
      </c>
      <c r="L734">
        <f>IF('Raw Data'!N734&lt;&gt;0,'Raw Data'!N734,IFERROR(VALUE(MID(F734,SEARCH("QTY",F734)+4,IFERROR(FIND(" ",F734,SEARCH("QTY",F734)+4)-(SEARCH("QTY",F734)+4),3))),""))</f>
        <v>0</v>
      </c>
      <c r="M734">
        <f>'Raw Data'!O734</f>
        <v>0</v>
      </c>
      <c r="N734">
        <f>'Raw Data'!P734</f>
        <v>0</v>
      </c>
      <c r="O734">
        <f>'Raw Data'!Q734</f>
        <v>0</v>
      </c>
      <c r="P734">
        <f>'Raw Data'!R734</f>
        <v>0</v>
      </c>
      <c r="Q734">
        <f>'Raw Data'!S734</f>
        <v>0</v>
      </c>
      <c r="R734">
        <f>'Raw Data'!T734</f>
        <v>0</v>
      </c>
      <c r="S734">
        <f>IFERROR(O734,0)+IFERROR(R734,0)</f>
        <v>0</v>
      </c>
      <c r="T734">
        <f>IF(A734="","",YEAR(A734))</f>
        <v>0</v>
      </c>
    </row>
    <row r="735" spans="1:20">
      <c r="A735">
        <f>'Raw Data'!B735</f>
        <v>0</v>
      </c>
      <c r="B735">
        <f>'Raw Data'!A735</f>
        <v>0</v>
      </c>
      <c r="C735">
        <f>'Raw Data'!C735</f>
        <v>0</v>
      </c>
      <c r="D735">
        <f>'Raw Data'!D735</f>
        <v>0</v>
      </c>
      <c r="E735">
        <f>IFERROR(VLOOKUP(D735,'Lookup Tables'!$A:$B,2,FALSE),"Unknown")</f>
        <v>0</v>
      </c>
      <c r="F735">
        <f>'Raw Data'!E735</f>
        <v>0</v>
      </c>
      <c r="G735">
        <f>IFERROR(VLOOKUP(D735,'Lookup Tables'!$A:$C,3,FALSE),IF(ISNUMBER(SEARCH("STEEL",F735)),"Steel","Others"))</f>
        <v>0</v>
      </c>
      <c r="H735">
        <f>IF(ISNUMBER(SEARCH("scrubber",F735)) , "Scrubber", IF(ISNUMBER(SEARCH("container",F735)),"Container", IF(ISNUMBER(SEARCH("basket",F735)),"Basket", IF(ISNUMBER(SEARCH("lunch",F735)),"Lunch Box", IF(ISNUMBER(SEARCH("cutlery",F735)),"Cutlery","Other")))))</f>
        <v>0</v>
      </c>
      <c r="I735">
        <f>IF('Raw Data'!G735&lt;&gt;'','Raw Data'!G735,IFERROR(MID(F735,SEARCH("MODEL",F735)+6,20),""))</f>
        <v>0</v>
      </c>
      <c r="J735">
        <f>'Raw Data'!H735</f>
        <v>0</v>
      </c>
      <c r="K735">
        <f>'Raw Data'!I735</f>
        <v>0</v>
      </c>
      <c r="L735">
        <f>IF('Raw Data'!N735&lt;&gt;0,'Raw Data'!N735,IFERROR(VALUE(MID(F735,SEARCH("QTY",F735)+4,IFERROR(FIND(" ",F735,SEARCH("QTY",F735)+4)-(SEARCH("QTY",F735)+4),3))),""))</f>
        <v>0</v>
      </c>
      <c r="M735">
        <f>'Raw Data'!O735</f>
        <v>0</v>
      </c>
      <c r="N735">
        <f>'Raw Data'!P735</f>
        <v>0</v>
      </c>
      <c r="O735">
        <f>'Raw Data'!Q735</f>
        <v>0</v>
      </c>
      <c r="P735">
        <f>'Raw Data'!R735</f>
        <v>0</v>
      </c>
      <c r="Q735">
        <f>'Raw Data'!S735</f>
        <v>0</v>
      </c>
      <c r="R735">
        <f>'Raw Data'!T735</f>
        <v>0</v>
      </c>
      <c r="S735">
        <f>IFERROR(O735,0)+IFERROR(R735,0)</f>
        <v>0</v>
      </c>
      <c r="T735">
        <f>IF(A735="","",YEAR(A735))</f>
        <v>0</v>
      </c>
    </row>
    <row r="736" spans="1:20">
      <c r="A736">
        <f>'Raw Data'!B736</f>
        <v>0</v>
      </c>
      <c r="B736">
        <f>'Raw Data'!A736</f>
        <v>0</v>
      </c>
      <c r="C736">
        <f>'Raw Data'!C736</f>
        <v>0</v>
      </c>
      <c r="D736">
        <f>'Raw Data'!D736</f>
        <v>0</v>
      </c>
      <c r="E736">
        <f>IFERROR(VLOOKUP(D736,'Lookup Tables'!$A:$B,2,FALSE),"Unknown")</f>
        <v>0</v>
      </c>
      <c r="F736">
        <f>'Raw Data'!E736</f>
        <v>0</v>
      </c>
      <c r="G736">
        <f>IFERROR(VLOOKUP(D736,'Lookup Tables'!$A:$C,3,FALSE),IF(ISNUMBER(SEARCH("STEEL",F736)),"Steel","Others"))</f>
        <v>0</v>
      </c>
      <c r="H736">
        <f>IF(ISNUMBER(SEARCH("scrubber",F736)) , "Scrubber", IF(ISNUMBER(SEARCH("container",F736)),"Container", IF(ISNUMBER(SEARCH("basket",F736)),"Basket", IF(ISNUMBER(SEARCH("lunch",F736)),"Lunch Box", IF(ISNUMBER(SEARCH("cutlery",F736)),"Cutlery","Other")))))</f>
        <v>0</v>
      </c>
      <c r="I736">
        <f>IF('Raw Data'!G736&lt;&gt;'','Raw Data'!G736,IFERROR(MID(F736,SEARCH("MODEL",F736)+6,20),""))</f>
        <v>0</v>
      </c>
      <c r="J736">
        <f>'Raw Data'!H736</f>
        <v>0</v>
      </c>
      <c r="K736">
        <f>'Raw Data'!I736</f>
        <v>0</v>
      </c>
      <c r="L736">
        <f>IF('Raw Data'!N736&lt;&gt;0,'Raw Data'!N736,IFERROR(VALUE(MID(F736,SEARCH("QTY",F736)+4,IFERROR(FIND(" ",F736,SEARCH("QTY",F736)+4)-(SEARCH("QTY",F736)+4),3))),""))</f>
        <v>0</v>
      </c>
      <c r="M736">
        <f>'Raw Data'!O736</f>
        <v>0</v>
      </c>
      <c r="N736">
        <f>'Raw Data'!P736</f>
        <v>0</v>
      </c>
      <c r="O736">
        <f>'Raw Data'!Q736</f>
        <v>0</v>
      </c>
      <c r="P736">
        <f>'Raw Data'!R736</f>
        <v>0</v>
      </c>
      <c r="Q736">
        <f>'Raw Data'!S736</f>
        <v>0</v>
      </c>
      <c r="R736">
        <f>'Raw Data'!T736</f>
        <v>0</v>
      </c>
      <c r="S736">
        <f>IFERROR(O736,0)+IFERROR(R736,0)</f>
        <v>0</v>
      </c>
      <c r="T736">
        <f>IF(A736="","",YEAR(A736))</f>
        <v>0</v>
      </c>
    </row>
    <row r="737" spans="1:20">
      <c r="A737">
        <f>'Raw Data'!B737</f>
        <v>0</v>
      </c>
      <c r="B737">
        <f>'Raw Data'!A737</f>
        <v>0</v>
      </c>
      <c r="C737">
        <f>'Raw Data'!C737</f>
        <v>0</v>
      </c>
      <c r="D737">
        <f>'Raw Data'!D737</f>
        <v>0</v>
      </c>
      <c r="E737">
        <f>IFERROR(VLOOKUP(D737,'Lookup Tables'!$A:$B,2,FALSE),"Unknown")</f>
        <v>0</v>
      </c>
      <c r="F737">
        <f>'Raw Data'!E737</f>
        <v>0</v>
      </c>
      <c r="G737">
        <f>IFERROR(VLOOKUP(D737,'Lookup Tables'!$A:$C,3,FALSE),IF(ISNUMBER(SEARCH("STEEL",F737)),"Steel","Others"))</f>
        <v>0</v>
      </c>
      <c r="H737">
        <f>IF(ISNUMBER(SEARCH("scrubber",F737)) , "Scrubber", IF(ISNUMBER(SEARCH("container",F737)),"Container", IF(ISNUMBER(SEARCH("basket",F737)),"Basket", IF(ISNUMBER(SEARCH("lunch",F737)),"Lunch Box", IF(ISNUMBER(SEARCH("cutlery",F737)),"Cutlery","Other")))))</f>
        <v>0</v>
      </c>
      <c r="I737">
        <f>IF('Raw Data'!G737&lt;&gt;'','Raw Data'!G737,IFERROR(MID(F737,SEARCH("MODEL",F737)+6,20),""))</f>
        <v>0</v>
      </c>
      <c r="J737">
        <f>'Raw Data'!H737</f>
        <v>0</v>
      </c>
      <c r="K737">
        <f>'Raw Data'!I737</f>
        <v>0</v>
      </c>
      <c r="L737">
        <f>IF('Raw Data'!N737&lt;&gt;0,'Raw Data'!N737,IFERROR(VALUE(MID(F737,SEARCH("QTY",F737)+4,IFERROR(FIND(" ",F737,SEARCH("QTY",F737)+4)-(SEARCH("QTY",F737)+4),3))),""))</f>
        <v>0</v>
      </c>
      <c r="M737">
        <f>'Raw Data'!O737</f>
        <v>0</v>
      </c>
      <c r="N737">
        <f>'Raw Data'!P737</f>
        <v>0</v>
      </c>
      <c r="O737">
        <f>'Raw Data'!Q737</f>
        <v>0</v>
      </c>
      <c r="P737">
        <f>'Raw Data'!R737</f>
        <v>0</v>
      </c>
      <c r="Q737">
        <f>'Raw Data'!S737</f>
        <v>0</v>
      </c>
      <c r="R737">
        <f>'Raw Data'!T737</f>
        <v>0</v>
      </c>
      <c r="S737">
        <f>IFERROR(O737,0)+IFERROR(R737,0)</f>
        <v>0</v>
      </c>
      <c r="T737">
        <f>IF(A737="","",YEAR(A737))</f>
        <v>0</v>
      </c>
    </row>
    <row r="738" spans="1:20">
      <c r="A738">
        <f>'Raw Data'!B738</f>
        <v>0</v>
      </c>
      <c r="B738">
        <f>'Raw Data'!A738</f>
        <v>0</v>
      </c>
      <c r="C738">
        <f>'Raw Data'!C738</f>
        <v>0</v>
      </c>
      <c r="D738">
        <f>'Raw Data'!D738</f>
        <v>0</v>
      </c>
      <c r="E738">
        <f>IFERROR(VLOOKUP(D738,'Lookup Tables'!$A:$B,2,FALSE),"Unknown")</f>
        <v>0</v>
      </c>
      <c r="F738">
        <f>'Raw Data'!E738</f>
        <v>0</v>
      </c>
      <c r="G738">
        <f>IFERROR(VLOOKUP(D738,'Lookup Tables'!$A:$C,3,FALSE),IF(ISNUMBER(SEARCH("STEEL",F738)),"Steel","Others"))</f>
        <v>0</v>
      </c>
      <c r="H738">
        <f>IF(ISNUMBER(SEARCH("scrubber",F738)) , "Scrubber", IF(ISNUMBER(SEARCH("container",F738)),"Container", IF(ISNUMBER(SEARCH("basket",F738)),"Basket", IF(ISNUMBER(SEARCH("lunch",F738)),"Lunch Box", IF(ISNUMBER(SEARCH("cutlery",F738)),"Cutlery","Other")))))</f>
        <v>0</v>
      </c>
      <c r="I738">
        <f>IF('Raw Data'!G738&lt;&gt;'','Raw Data'!G738,IFERROR(MID(F738,SEARCH("MODEL",F738)+6,20),""))</f>
        <v>0</v>
      </c>
      <c r="J738">
        <f>'Raw Data'!H738</f>
        <v>0</v>
      </c>
      <c r="K738">
        <f>'Raw Data'!I738</f>
        <v>0</v>
      </c>
      <c r="L738">
        <f>IF('Raw Data'!N738&lt;&gt;0,'Raw Data'!N738,IFERROR(VALUE(MID(F738,SEARCH("QTY",F738)+4,IFERROR(FIND(" ",F738,SEARCH("QTY",F738)+4)-(SEARCH("QTY",F738)+4),3))),""))</f>
        <v>0</v>
      </c>
      <c r="M738">
        <f>'Raw Data'!O738</f>
        <v>0</v>
      </c>
      <c r="N738">
        <f>'Raw Data'!P738</f>
        <v>0</v>
      </c>
      <c r="O738">
        <f>'Raw Data'!Q738</f>
        <v>0</v>
      </c>
      <c r="P738">
        <f>'Raw Data'!R738</f>
        <v>0</v>
      </c>
      <c r="Q738">
        <f>'Raw Data'!S738</f>
        <v>0</v>
      </c>
      <c r="R738">
        <f>'Raw Data'!T738</f>
        <v>0</v>
      </c>
      <c r="S738">
        <f>IFERROR(O738,0)+IFERROR(R738,0)</f>
        <v>0</v>
      </c>
      <c r="T738">
        <f>IF(A738="","",YEAR(A738))</f>
        <v>0</v>
      </c>
    </row>
    <row r="739" spans="1:20">
      <c r="A739">
        <f>'Raw Data'!B739</f>
        <v>0</v>
      </c>
      <c r="B739">
        <f>'Raw Data'!A739</f>
        <v>0</v>
      </c>
      <c r="C739">
        <f>'Raw Data'!C739</f>
        <v>0</v>
      </c>
      <c r="D739">
        <f>'Raw Data'!D739</f>
        <v>0</v>
      </c>
      <c r="E739">
        <f>IFERROR(VLOOKUP(D739,'Lookup Tables'!$A:$B,2,FALSE),"Unknown")</f>
        <v>0</v>
      </c>
      <c r="F739">
        <f>'Raw Data'!E739</f>
        <v>0</v>
      </c>
      <c r="G739">
        <f>IFERROR(VLOOKUP(D739,'Lookup Tables'!$A:$C,3,FALSE),IF(ISNUMBER(SEARCH("STEEL",F739)),"Steel","Others"))</f>
        <v>0</v>
      </c>
      <c r="H739">
        <f>IF(ISNUMBER(SEARCH("scrubber",F739)) , "Scrubber", IF(ISNUMBER(SEARCH("container",F739)),"Container", IF(ISNUMBER(SEARCH("basket",F739)),"Basket", IF(ISNUMBER(SEARCH("lunch",F739)),"Lunch Box", IF(ISNUMBER(SEARCH("cutlery",F739)),"Cutlery","Other")))))</f>
        <v>0</v>
      </c>
      <c r="I739">
        <f>IF('Raw Data'!G739&lt;&gt;'','Raw Data'!G739,IFERROR(MID(F739,SEARCH("MODEL",F739)+6,20),""))</f>
        <v>0</v>
      </c>
      <c r="J739">
        <f>'Raw Data'!H739</f>
        <v>0</v>
      </c>
      <c r="K739">
        <f>'Raw Data'!I739</f>
        <v>0</v>
      </c>
      <c r="L739">
        <f>IF('Raw Data'!N739&lt;&gt;0,'Raw Data'!N739,IFERROR(VALUE(MID(F739,SEARCH("QTY",F739)+4,IFERROR(FIND(" ",F739,SEARCH("QTY",F739)+4)-(SEARCH("QTY",F739)+4),3))),""))</f>
        <v>0</v>
      </c>
      <c r="M739">
        <f>'Raw Data'!O739</f>
        <v>0</v>
      </c>
      <c r="N739">
        <f>'Raw Data'!P739</f>
        <v>0</v>
      </c>
      <c r="O739">
        <f>'Raw Data'!Q739</f>
        <v>0</v>
      </c>
      <c r="P739">
        <f>'Raw Data'!R739</f>
        <v>0</v>
      </c>
      <c r="Q739">
        <f>'Raw Data'!S739</f>
        <v>0</v>
      </c>
      <c r="R739">
        <f>'Raw Data'!T739</f>
        <v>0</v>
      </c>
      <c r="S739">
        <f>IFERROR(O739,0)+IFERROR(R739,0)</f>
        <v>0</v>
      </c>
      <c r="T739">
        <f>IF(A739="","",YEAR(A739))</f>
        <v>0</v>
      </c>
    </row>
    <row r="740" spans="1:20">
      <c r="A740">
        <f>'Raw Data'!B740</f>
        <v>0</v>
      </c>
      <c r="B740">
        <f>'Raw Data'!A740</f>
        <v>0</v>
      </c>
      <c r="C740">
        <f>'Raw Data'!C740</f>
        <v>0</v>
      </c>
      <c r="D740">
        <f>'Raw Data'!D740</f>
        <v>0</v>
      </c>
      <c r="E740">
        <f>IFERROR(VLOOKUP(D740,'Lookup Tables'!$A:$B,2,FALSE),"Unknown")</f>
        <v>0</v>
      </c>
      <c r="F740">
        <f>'Raw Data'!E740</f>
        <v>0</v>
      </c>
      <c r="G740">
        <f>IFERROR(VLOOKUP(D740,'Lookup Tables'!$A:$C,3,FALSE),IF(ISNUMBER(SEARCH("STEEL",F740)),"Steel","Others"))</f>
        <v>0</v>
      </c>
      <c r="H740">
        <f>IF(ISNUMBER(SEARCH("scrubber",F740)) , "Scrubber", IF(ISNUMBER(SEARCH("container",F740)),"Container", IF(ISNUMBER(SEARCH("basket",F740)),"Basket", IF(ISNUMBER(SEARCH("lunch",F740)),"Lunch Box", IF(ISNUMBER(SEARCH("cutlery",F740)),"Cutlery","Other")))))</f>
        <v>0</v>
      </c>
      <c r="I740">
        <f>IF('Raw Data'!G740&lt;&gt;'','Raw Data'!G740,IFERROR(MID(F740,SEARCH("MODEL",F740)+6,20),""))</f>
        <v>0</v>
      </c>
      <c r="J740">
        <f>'Raw Data'!H740</f>
        <v>0</v>
      </c>
      <c r="K740">
        <f>'Raw Data'!I740</f>
        <v>0</v>
      </c>
      <c r="L740">
        <f>IF('Raw Data'!N740&lt;&gt;0,'Raw Data'!N740,IFERROR(VALUE(MID(F740,SEARCH("QTY",F740)+4,IFERROR(FIND(" ",F740,SEARCH("QTY",F740)+4)-(SEARCH("QTY",F740)+4),3))),""))</f>
        <v>0</v>
      </c>
      <c r="M740">
        <f>'Raw Data'!O740</f>
        <v>0</v>
      </c>
      <c r="N740">
        <f>'Raw Data'!P740</f>
        <v>0</v>
      </c>
      <c r="O740">
        <f>'Raw Data'!Q740</f>
        <v>0</v>
      </c>
      <c r="P740">
        <f>'Raw Data'!R740</f>
        <v>0</v>
      </c>
      <c r="Q740">
        <f>'Raw Data'!S740</f>
        <v>0</v>
      </c>
      <c r="R740">
        <f>'Raw Data'!T740</f>
        <v>0</v>
      </c>
      <c r="S740">
        <f>IFERROR(O740,0)+IFERROR(R740,0)</f>
        <v>0</v>
      </c>
      <c r="T740">
        <f>IF(A740="","",YEAR(A740))</f>
        <v>0</v>
      </c>
    </row>
    <row r="741" spans="1:20">
      <c r="A741">
        <f>'Raw Data'!B741</f>
        <v>0</v>
      </c>
      <c r="B741">
        <f>'Raw Data'!A741</f>
        <v>0</v>
      </c>
      <c r="C741">
        <f>'Raw Data'!C741</f>
        <v>0</v>
      </c>
      <c r="D741">
        <f>'Raw Data'!D741</f>
        <v>0</v>
      </c>
      <c r="E741">
        <f>IFERROR(VLOOKUP(D741,'Lookup Tables'!$A:$B,2,FALSE),"Unknown")</f>
        <v>0</v>
      </c>
      <c r="F741">
        <f>'Raw Data'!E741</f>
        <v>0</v>
      </c>
      <c r="G741">
        <f>IFERROR(VLOOKUP(D741,'Lookup Tables'!$A:$C,3,FALSE),IF(ISNUMBER(SEARCH("STEEL",F741)),"Steel","Others"))</f>
        <v>0</v>
      </c>
      <c r="H741">
        <f>IF(ISNUMBER(SEARCH("scrubber",F741)) , "Scrubber", IF(ISNUMBER(SEARCH("container",F741)),"Container", IF(ISNUMBER(SEARCH("basket",F741)),"Basket", IF(ISNUMBER(SEARCH("lunch",F741)),"Lunch Box", IF(ISNUMBER(SEARCH("cutlery",F741)),"Cutlery","Other")))))</f>
        <v>0</v>
      </c>
      <c r="I741">
        <f>IF('Raw Data'!G741&lt;&gt;'','Raw Data'!G741,IFERROR(MID(F741,SEARCH("MODEL",F741)+6,20),""))</f>
        <v>0</v>
      </c>
      <c r="J741">
        <f>'Raw Data'!H741</f>
        <v>0</v>
      </c>
      <c r="K741">
        <f>'Raw Data'!I741</f>
        <v>0</v>
      </c>
      <c r="L741">
        <f>IF('Raw Data'!N741&lt;&gt;0,'Raw Data'!N741,IFERROR(VALUE(MID(F741,SEARCH("QTY",F741)+4,IFERROR(FIND(" ",F741,SEARCH("QTY",F741)+4)-(SEARCH("QTY",F741)+4),3))),""))</f>
        <v>0</v>
      </c>
      <c r="M741">
        <f>'Raw Data'!O741</f>
        <v>0</v>
      </c>
      <c r="N741">
        <f>'Raw Data'!P741</f>
        <v>0</v>
      </c>
      <c r="O741">
        <f>'Raw Data'!Q741</f>
        <v>0</v>
      </c>
      <c r="P741">
        <f>'Raw Data'!R741</f>
        <v>0</v>
      </c>
      <c r="Q741">
        <f>'Raw Data'!S741</f>
        <v>0</v>
      </c>
      <c r="R741">
        <f>'Raw Data'!T741</f>
        <v>0</v>
      </c>
      <c r="S741">
        <f>IFERROR(O741,0)+IFERROR(R741,0)</f>
        <v>0</v>
      </c>
      <c r="T741">
        <f>IF(A741="","",YEAR(A741))</f>
        <v>0</v>
      </c>
    </row>
    <row r="742" spans="1:20">
      <c r="A742">
        <f>'Raw Data'!B742</f>
        <v>0</v>
      </c>
      <c r="B742">
        <f>'Raw Data'!A742</f>
        <v>0</v>
      </c>
      <c r="C742">
        <f>'Raw Data'!C742</f>
        <v>0</v>
      </c>
      <c r="D742">
        <f>'Raw Data'!D742</f>
        <v>0</v>
      </c>
      <c r="E742">
        <f>IFERROR(VLOOKUP(D742,'Lookup Tables'!$A:$B,2,FALSE),"Unknown")</f>
        <v>0</v>
      </c>
      <c r="F742">
        <f>'Raw Data'!E742</f>
        <v>0</v>
      </c>
      <c r="G742">
        <f>IFERROR(VLOOKUP(D742,'Lookup Tables'!$A:$C,3,FALSE),IF(ISNUMBER(SEARCH("STEEL",F742)),"Steel","Others"))</f>
        <v>0</v>
      </c>
      <c r="H742">
        <f>IF(ISNUMBER(SEARCH("scrubber",F742)) , "Scrubber", IF(ISNUMBER(SEARCH("container",F742)),"Container", IF(ISNUMBER(SEARCH("basket",F742)),"Basket", IF(ISNUMBER(SEARCH("lunch",F742)),"Lunch Box", IF(ISNUMBER(SEARCH("cutlery",F742)),"Cutlery","Other")))))</f>
        <v>0</v>
      </c>
      <c r="I742">
        <f>IF('Raw Data'!G742&lt;&gt;'','Raw Data'!G742,IFERROR(MID(F742,SEARCH("MODEL",F742)+6,20),""))</f>
        <v>0</v>
      </c>
      <c r="J742">
        <f>'Raw Data'!H742</f>
        <v>0</v>
      </c>
      <c r="K742">
        <f>'Raw Data'!I742</f>
        <v>0</v>
      </c>
      <c r="L742">
        <f>IF('Raw Data'!N742&lt;&gt;0,'Raw Data'!N742,IFERROR(VALUE(MID(F742,SEARCH("QTY",F742)+4,IFERROR(FIND(" ",F742,SEARCH("QTY",F742)+4)-(SEARCH("QTY",F742)+4),3))),""))</f>
        <v>0</v>
      </c>
      <c r="M742">
        <f>'Raw Data'!O742</f>
        <v>0</v>
      </c>
      <c r="N742">
        <f>'Raw Data'!P742</f>
        <v>0</v>
      </c>
      <c r="O742">
        <f>'Raw Data'!Q742</f>
        <v>0</v>
      </c>
      <c r="P742">
        <f>'Raw Data'!R742</f>
        <v>0</v>
      </c>
      <c r="Q742">
        <f>'Raw Data'!S742</f>
        <v>0</v>
      </c>
      <c r="R742">
        <f>'Raw Data'!T742</f>
        <v>0</v>
      </c>
      <c r="S742">
        <f>IFERROR(O742,0)+IFERROR(R742,0)</f>
        <v>0</v>
      </c>
      <c r="T742">
        <f>IF(A742="","",YEAR(A742))</f>
        <v>0</v>
      </c>
    </row>
    <row r="743" spans="1:20">
      <c r="A743">
        <f>'Raw Data'!B743</f>
        <v>0</v>
      </c>
      <c r="B743">
        <f>'Raw Data'!A743</f>
        <v>0</v>
      </c>
      <c r="C743">
        <f>'Raw Data'!C743</f>
        <v>0</v>
      </c>
      <c r="D743">
        <f>'Raw Data'!D743</f>
        <v>0</v>
      </c>
      <c r="E743">
        <f>IFERROR(VLOOKUP(D743,'Lookup Tables'!$A:$B,2,FALSE),"Unknown")</f>
        <v>0</v>
      </c>
      <c r="F743">
        <f>'Raw Data'!E743</f>
        <v>0</v>
      </c>
      <c r="G743">
        <f>IFERROR(VLOOKUP(D743,'Lookup Tables'!$A:$C,3,FALSE),IF(ISNUMBER(SEARCH("STEEL",F743)),"Steel","Others"))</f>
        <v>0</v>
      </c>
      <c r="H743">
        <f>IF(ISNUMBER(SEARCH("scrubber",F743)) , "Scrubber", IF(ISNUMBER(SEARCH("container",F743)),"Container", IF(ISNUMBER(SEARCH("basket",F743)),"Basket", IF(ISNUMBER(SEARCH("lunch",F743)),"Lunch Box", IF(ISNUMBER(SEARCH("cutlery",F743)),"Cutlery","Other")))))</f>
        <v>0</v>
      </c>
      <c r="I743">
        <f>IF('Raw Data'!G743&lt;&gt;'','Raw Data'!G743,IFERROR(MID(F743,SEARCH("MODEL",F743)+6,20),""))</f>
        <v>0</v>
      </c>
      <c r="J743">
        <f>'Raw Data'!H743</f>
        <v>0</v>
      </c>
      <c r="K743">
        <f>'Raw Data'!I743</f>
        <v>0</v>
      </c>
      <c r="L743">
        <f>IF('Raw Data'!N743&lt;&gt;0,'Raw Data'!N743,IFERROR(VALUE(MID(F743,SEARCH("QTY",F743)+4,IFERROR(FIND(" ",F743,SEARCH("QTY",F743)+4)-(SEARCH("QTY",F743)+4),3))),""))</f>
        <v>0</v>
      </c>
      <c r="M743">
        <f>'Raw Data'!O743</f>
        <v>0</v>
      </c>
      <c r="N743">
        <f>'Raw Data'!P743</f>
        <v>0</v>
      </c>
      <c r="O743">
        <f>'Raw Data'!Q743</f>
        <v>0</v>
      </c>
      <c r="P743">
        <f>'Raw Data'!R743</f>
        <v>0</v>
      </c>
      <c r="Q743">
        <f>'Raw Data'!S743</f>
        <v>0</v>
      </c>
      <c r="R743">
        <f>'Raw Data'!T743</f>
        <v>0</v>
      </c>
      <c r="S743">
        <f>IFERROR(O743,0)+IFERROR(R743,0)</f>
        <v>0</v>
      </c>
      <c r="T743">
        <f>IF(A743="","",YEAR(A743))</f>
        <v>0</v>
      </c>
    </row>
    <row r="744" spans="1:20">
      <c r="A744">
        <f>'Raw Data'!B744</f>
        <v>0</v>
      </c>
      <c r="B744">
        <f>'Raw Data'!A744</f>
        <v>0</v>
      </c>
      <c r="C744">
        <f>'Raw Data'!C744</f>
        <v>0</v>
      </c>
      <c r="D744">
        <f>'Raw Data'!D744</f>
        <v>0</v>
      </c>
      <c r="E744">
        <f>IFERROR(VLOOKUP(D744,'Lookup Tables'!$A:$B,2,FALSE),"Unknown")</f>
        <v>0</v>
      </c>
      <c r="F744">
        <f>'Raw Data'!E744</f>
        <v>0</v>
      </c>
      <c r="G744">
        <f>IFERROR(VLOOKUP(D744,'Lookup Tables'!$A:$C,3,FALSE),IF(ISNUMBER(SEARCH("STEEL",F744)),"Steel","Others"))</f>
        <v>0</v>
      </c>
      <c r="H744">
        <f>IF(ISNUMBER(SEARCH("scrubber",F744)) , "Scrubber", IF(ISNUMBER(SEARCH("container",F744)),"Container", IF(ISNUMBER(SEARCH("basket",F744)),"Basket", IF(ISNUMBER(SEARCH("lunch",F744)),"Lunch Box", IF(ISNUMBER(SEARCH("cutlery",F744)),"Cutlery","Other")))))</f>
        <v>0</v>
      </c>
      <c r="I744">
        <f>IF('Raw Data'!G744&lt;&gt;'','Raw Data'!G744,IFERROR(MID(F744,SEARCH("MODEL",F744)+6,20),""))</f>
        <v>0</v>
      </c>
      <c r="J744">
        <f>'Raw Data'!H744</f>
        <v>0</v>
      </c>
      <c r="K744">
        <f>'Raw Data'!I744</f>
        <v>0</v>
      </c>
      <c r="L744">
        <f>IF('Raw Data'!N744&lt;&gt;0,'Raw Data'!N744,IFERROR(VALUE(MID(F744,SEARCH("QTY",F744)+4,IFERROR(FIND(" ",F744,SEARCH("QTY",F744)+4)-(SEARCH("QTY",F744)+4),3))),""))</f>
        <v>0</v>
      </c>
      <c r="M744">
        <f>'Raw Data'!O744</f>
        <v>0</v>
      </c>
      <c r="N744">
        <f>'Raw Data'!P744</f>
        <v>0</v>
      </c>
      <c r="O744">
        <f>'Raw Data'!Q744</f>
        <v>0</v>
      </c>
      <c r="P744">
        <f>'Raw Data'!R744</f>
        <v>0</v>
      </c>
      <c r="Q744">
        <f>'Raw Data'!S744</f>
        <v>0</v>
      </c>
      <c r="R744">
        <f>'Raw Data'!T744</f>
        <v>0</v>
      </c>
      <c r="S744">
        <f>IFERROR(O744,0)+IFERROR(R744,0)</f>
        <v>0</v>
      </c>
      <c r="T744">
        <f>IF(A744="","",YEAR(A744))</f>
        <v>0</v>
      </c>
    </row>
    <row r="745" spans="1:20">
      <c r="A745">
        <f>'Raw Data'!B745</f>
        <v>0</v>
      </c>
      <c r="B745">
        <f>'Raw Data'!A745</f>
        <v>0</v>
      </c>
      <c r="C745">
        <f>'Raw Data'!C745</f>
        <v>0</v>
      </c>
      <c r="D745">
        <f>'Raw Data'!D745</f>
        <v>0</v>
      </c>
      <c r="E745">
        <f>IFERROR(VLOOKUP(D745,'Lookup Tables'!$A:$B,2,FALSE),"Unknown")</f>
        <v>0</v>
      </c>
      <c r="F745">
        <f>'Raw Data'!E745</f>
        <v>0</v>
      </c>
      <c r="G745">
        <f>IFERROR(VLOOKUP(D745,'Lookup Tables'!$A:$C,3,FALSE),IF(ISNUMBER(SEARCH("STEEL",F745)),"Steel","Others"))</f>
        <v>0</v>
      </c>
      <c r="H745">
        <f>IF(ISNUMBER(SEARCH("scrubber",F745)) , "Scrubber", IF(ISNUMBER(SEARCH("container",F745)),"Container", IF(ISNUMBER(SEARCH("basket",F745)),"Basket", IF(ISNUMBER(SEARCH("lunch",F745)),"Lunch Box", IF(ISNUMBER(SEARCH("cutlery",F745)),"Cutlery","Other")))))</f>
        <v>0</v>
      </c>
      <c r="I745">
        <f>IF('Raw Data'!G745&lt;&gt;'','Raw Data'!G745,IFERROR(MID(F745,SEARCH("MODEL",F745)+6,20),""))</f>
        <v>0</v>
      </c>
      <c r="J745">
        <f>'Raw Data'!H745</f>
        <v>0</v>
      </c>
      <c r="K745">
        <f>'Raw Data'!I745</f>
        <v>0</v>
      </c>
      <c r="L745">
        <f>IF('Raw Data'!N745&lt;&gt;0,'Raw Data'!N745,IFERROR(VALUE(MID(F745,SEARCH("QTY",F745)+4,IFERROR(FIND(" ",F745,SEARCH("QTY",F745)+4)-(SEARCH("QTY",F745)+4),3))),""))</f>
        <v>0</v>
      </c>
      <c r="M745">
        <f>'Raw Data'!O745</f>
        <v>0</v>
      </c>
      <c r="N745">
        <f>'Raw Data'!P745</f>
        <v>0</v>
      </c>
      <c r="O745">
        <f>'Raw Data'!Q745</f>
        <v>0</v>
      </c>
      <c r="P745">
        <f>'Raw Data'!R745</f>
        <v>0</v>
      </c>
      <c r="Q745">
        <f>'Raw Data'!S745</f>
        <v>0</v>
      </c>
      <c r="R745">
        <f>'Raw Data'!T745</f>
        <v>0</v>
      </c>
      <c r="S745">
        <f>IFERROR(O745,0)+IFERROR(R745,0)</f>
        <v>0</v>
      </c>
      <c r="T745">
        <f>IF(A745="","",YEAR(A745))</f>
        <v>0</v>
      </c>
    </row>
    <row r="746" spans="1:20">
      <c r="A746">
        <f>'Raw Data'!B746</f>
        <v>0</v>
      </c>
      <c r="B746">
        <f>'Raw Data'!A746</f>
        <v>0</v>
      </c>
      <c r="C746">
        <f>'Raw Data'!C746</f>
        <v>0</v>
      </c>
      <c r="D746">
        <f>'Raw Data'!D746</f>
        <v>0</v>
      </c>
      <c r="E746">
        <f>IFERROR(VLOOKUP(D746,'Lookup Tables'!$A:$B,2,FALSE),"Unknown")</f>
        <v>0</v>
      </c>
      <c r="F746">
        <f>'Raw Data'!E746</f>
        <v>0</v>
      </c>
      <c r="G746">
        <f>IFERROR(VLOOKUP(D746,'Lookup Tables'!$A:$C,3,FALSE),IF(ISNUMBER(SEARCH("STEEL",F746)),"Steel","Others"))</f>
        <v>0</v>
      </c>
      <c r="H746">
        <f>IF(ISNUMBER(SEARCH("scrubber",F746)) , "Scrubber", IF(ISNUMBER(SEARCH("container",F746)),"Container", IF(ISNUMBER(SEARCH("basket",F746)),"Basket", IF(ISNUMBER(SEARCH("lunch",F746)),"Lunch Box", IF(ISNUMBER(SEARCH("cutlery",F746)),"Cutlery","Other")))))</f>
        <v>0</v>
      </c>
      <c r="I746">
        <f>IF('Raw Data'!G746&lt;&gt;'','Raw Data'!G746,IFERROR(MID(F746,SEARCH("MODEL",F746)+6,20),""))</f>
        <v>0</v>
      </c>
      <c r="J746">
        <f>'Raw Data'!H746</f>
        <v>0</v>
      </c>
      <c r="K746">
        <f>'Raw Data'!I746</f>
        <v>0</v>
      </c>
      <c r="L746">
        <f>IF('Raw Data'!N746&lt;&gt;0,'Raw Data'!N746,IFERROR(VALUE(MID(F746,SEARCH("QTY",F746)+4,IFERROR(FIND(" ",F746,SEARCH("QTY",F746)+4)-(SEARCH("QTY",F746)+4),3))),""))</f>
        <v>0</v>
      </c>
      <c r="M746">
        <f>'Raw Data'!O746</f>
        <v>0</v>
      </c>
      <c r="N746">
        <f>'Raw Data'!P746</f>
        <v>0</v>
      </c>
      <c r="O746">
        <f>'Raw Data'!Q746</f>
        <v>0</v>
      </c>
      <c r="P746">
        <f>'Raw Data'!R746</f>
        <v>0</v>
      </c>
      <c r="Q746">
        <f>'Raw Data'!S746</f>
        <v>0</v>
      </c>
      <c r="R746">
        <f>'Raw Data'!T746</f>
        <v>0</v>
      </c>
      <c r="S746">
        <f>IFERROR(O746,0)+IFERROR(R746,0)</f>
        <v>0</v>
      </c>
      <c r="T746">
        <f>IF(A746="","",YEAR(A746))</f>
        <v>0</v>
      </c>
    </row>
    <row r="747" spans="1:20">
      <c r="A747">
        <f>'Raw Data'!B747</f>
        <v>0</v>
      </c>
      <c r="B747">
        <f>'Raw Data'!A747</f>
        <v>0</v>
      </c>
      <c r="C747">
        <f>'Raw Data'!C747</f>
        <v>0</v>
      </c>
      <c r="D747">
        <f>'Raw Data'!D747</f>
        <v>0</v>
      </c>
      <c r="E747">
        <f>IFERROR(VLOOKUP(D747,'Lookup Tables'!$A:$B,2,FALSE),"Unknown")</f>
        <v>0</v>
      </c>
      <c r="F747">
        <f>'Raw Data'!E747</f>
        <v>0</v>
      </c>
      <c r="G747">
        <f>IFERROR(VLOOKUP(D747,'Lookup Tables'!$A:$C,3,FALSE),IF(ISNUMBER(SEARCH("STEEL",F747)),"Steel","Others"))</f>
        <v>0</v>
      </c>
      <c r="H747">
        <f>IF(ISNUMBER(SEARCH("scrubber",F747)) , "Scrubber", IF(ISNUMBER(SEARCH("container",F747)),"Container", IF(ISNUMBER(SEARCH("basket",F747)),"Basket", IF(ISNUMBER(SEARCH("lunch",F747)),"Lunch Box", IF(ISNUMBER(SEARCH("cutlery",F747)),"Cutlery","Other")))))</f>
        <v>0</v>
      </c>
      <c r="I747">
        <f>IF('Raw Data'!G747&lt;&gt;'','Raw Data'!G747,IFERROR(MID(F747,SEARCH("MODEL",F747)+6,20),""))</f>
        <v>0</v>
      </c>
      <c r="J747">
        <f>'Raw Data'!H747</f>
        <v>0</v>
      </c>
      <c r="K747">
        <f>'Raw Data'!I747</f>
        <v>0</v>
      </c>
      <c r="L747">
        <f>IF('Raw Data'!N747&lt;&gt;0,'Raw Data'!N747,IFERROR(VALUE(MID(F747,SEARCH("QTY",F747)+4,IFERROR(FIND(" ",F747,SEARCH("QTY",F747)+4)-(SEARCH("QTY",F747)+4),3))),""))</f>
        <v>0</v>
      </c>
      <c r="M747">
        <f>'Raw Data'!O747</f>
        <v>0</v>
      </c>
      <c r="N747">
        <f>'Raw Data'!P747</f>
        <v>0</v>
      </c>
      <c r="O747">
        <f>'Raw Data'!Q747</f>
        <v>0</v>
      </c>
      <c r="P747">
        <f>'Raw Data'!R747</f>
        <v>0</v>
      </c>
      <c r="Q747">
        <f>'Raw Data'!S747</f>
        <v>0</v>
      </c>
      <c r="R747">
        <f>'Raw Data'!T747</f>
        <v>0</v>
      </c>
      <c r="S747">
        <f>IFERROR(O747,0)+IFERROR(R747,0)</f>
        <v>0</v>
      </c>
      <c r="T747">
        <f>IF(A747="","",YEAR(A747))</f>
        <v>0</v>
      </c>
    </row>
    <row r="748" spans="1:20">
      <c r="A748">
        <f>'Raw Data'!B748</f>
        <v>0</v>
      </c>
      <c r="B748">
        <f>'Raw Data'!A748</f>
        <v>0</v>
      </c>
      <c r="C748">
        <f>'Raw Data'!C748</f>
        <v>0</v>
      </c>
      <c r="D748">
        <f>'Raw Data'!D748</f>
        <v>0</v>
      </c>
      <c r="E748">
        <f>IFERROR(VLOOKUP(D748,'Lookup Tables'!$A:$B,2,FALSE),"Unknown")</f>
        <v>0</v>
      </c>
      <c r="F748">
        <f>'Raw Data'!E748</f>
        <v>0</v>
      </c>
      <c r="G748">
        <f>IFERROR(VLOOKUP(D748,'Lookup Tables'!$A:$C,3,FALSE),IF(ISNUMBER(SEARCH("STEEL",F748)),"Steel","Others"))</f>
        <v>0</v>
      </c>
      <c r="H748">
        <f>IF(ISNUMBER(SEARCH("scrubber",F748)) , "Scrubber", IF(ISNUMBER(SEARCH("container",F748)),"Container", IF(ISNUMBER(SEARCH("basket",F748)),"Basket", IF(ISNUMBER(SEARCH("lunch",F748)),"Lunch Box", IF(ISNUMBER(SEARCH("cutlery",F748)),"Cutlery","Other")))))</f>
        <v>0</v>
      </c>
      <c r="I748">
        <f>IF('Raw Data'!G748&lt;&gt;'','Raw Data'!G748,IFERROR(MID(F748,SEARCH("MODEL",F748)+6,20),""))</f>
        <v>0</v>
      </c>
      <c r="J748">
        <f>'Raw Data'!H748</f>
        <v>0</v>
      </c>
      <c r="K748">
        <f>'Raw Data'!I748</f>
        <v>0</v>
      </c>
      <c r="L748">
        <f>IF('Raw Data'!N748&lt;&gt;0,'Raw Data'!N748,IFERROR(VALUE(MID(F748,SEARCH("QTY",F748)+4,IFERROR(FIND(" ",F748,SEARCH("QTY",F748)+4)-(SEARCH("QTY",F748)+4),3))),""))</f>
        <v>0</v>
      </c>
      <c r="M748">
        <f>'Raw Data'!O748</f>
        <v>0</v>
      </c>
      <c r="N748">
        <f>'Raw Data'!P748</f>
        <v>0</v>
      </c>
      <c r="O748">
        <f>'Raw Data'!Q748</f>
        <v>0</v>
      </c>
      <c r="P748">
        <f>'Raw Data'!R748</f>
        <v>0</v>
      </c>
      <c r="Q748">
        <f>'Raw Data'!S748</f>
        <v>0</v>
      </c>
      <c r="R748">
        <f>'Raw Data'!T748</f>
        <v>0</v>
      </c>
      <c r="S748">
        <f>IFERROR(O748,0)+IFERROR(R748,0)</f>
        <v>0</v>
      </c>
      <c r="T748">
        <f>IF(A748="","",YEAR(A748))</f>
        <v>0</v>
      </c>
    </row>
    <row r="749" spans="1:20">
      <c r="A749">
        <f>'Raw Data'!B749</f>
        <v>0</v>
      </c>
      <c r="B749">
        <f>'Raw Data'!A749</f>
        <v>0</v>
      </c>
      <c r="C749">
        <f>'Raw Data'!C749</f>
        <v>0</v>
      </c>
      <c r="D749">
        <f>'Raw Data'!D749</f>
        <v>0</v>
      </c>
      <c r="E749">
        <f>IFERROR(VLOOKUP(D749,'Lookup Tables'!$A:$B,2,FALSE),"Unknown")</f>
        <v>0</v>
      </c>
      <c r="F749">
        <f>'Raw Data'!E749</f>
        <v>0</v>
      </c>
      <c r="G749">
        <f>IFERROR(VLOOKUP(D749,'Lookup Tables'!$A:$C,3,FALSE),IF(ISNUMBER(SEARCH("STEEL",F749)),"Steel","Others"))</f>
        <v>0</v>
      </c>
      <c r="H749">
        <f>IF(ISNUMBER(SEARCH("scrubber",F749)) , "Scrubber", IF(ISNUMBER(SEARCH("container",F749)),"Container", IF(ISNUMBER(SEARCH("basket",F749)),"Basket", IF(ISNUMBER(SEARCH("lunch",F749)),"Lunch Box", IF(ISNUMBER(SEARCH("cutlery",F749)),"Cutlery","Other")))))</f>
        <v>0</v>
      </c>
      <c r="I749">
        <f>IF('Raw Data'!G749&lt;&gt;'','Raw Data'!G749,IFERROR(MID(F749,SEARCH("MODEL",F749)+6,20),""))</f>
        <v>0</v>
      </c>
      <c r="J749">
        <f>'Raw Data'!H749</f>
        <v>0</v>
      </c>
      <c r="K749">
        <f>'Raw Data'!I749</f>
        <v>0</v>
      </c>
      <c r="L749">
        <f>IF('Raw Data'!N749&lt;&gt;0,'Raw Data'!N749,IFERROR(VALUE(MID(F749,SEARCH("QTY",F749)+4,IFERROR(FIND(" ",F749,SEARCH("QTY",F749)+4)-(SEARCH("QTY",F749)+4),3))),""))</f>
        <v>0</v>
      </c>
      <c r="M749">
        <f>'Raw Data'!O749</f>
        <v>0</v>
      </c>
      <c r="N749">
        <f>'Raw Data'!P749</f>
        <v>0</v>
      </c>
      <c r="O749">
        <f>'Raw Data'!Q749</f>
        <v>0</v>
      </c>
      <c r="P749">
        <f>'Raw Data'!R749</f>
        <v>0</v>
      </c>
      <c r="Q749">
        <f>'Raw Data'!S749</f>
        <v>0</v>
      </c>
      <c r="R749">
        <f>'Raw Data'!T749</f>
        <v>0</v>
      </c>
      <c r="S749">
        <f>IFERROR(O749,0)+IFERROR(R749,0)</f>
        <v>0</v>
      </c>
      <c r="T749">
        <f>IF(A749="","",YEAR(A749))</f>
        <v>0</v>
      </c>
    </row>
    <row r="750" spans="1:20">
      <c r="A750">
        <f>'Raw Data'!B750</f>
        <v>0</v>
      </c>
      <c r="B750">
        <f>'Raw Data'!A750</f>
        <v>0</v>
      </c>
      <c r="C750">
        <f>'Raw Data'!C750</f>
        <v>0</v>
      </c>
      <c r="D750">
        <f>'Raw Data'!D750</f>
        <v>0</v>
      </c>
      <c r="E750">
        <f>IFERROR(VLOOKUP(D750,'Lookup Tables'!$A:$B,2,FALSE),"Unknown")</f>
        <v>0</v>
      </c>
      <c r="F750">
        <f>'Raw Data'!E750</f>
        <v>0</v>
      </c>
      <c r="G750">
        <f>IFERROR(VLOOKUP(D750,'Lookup Tables'!$A:$C,3,FALSE),IF(ISNUMBER(SEARCH("STEEL",F750)),"Steel","Others"))</f>
        <v>0</v>
      </c>
      <c r="H750">
        <f>IF(ISNUMBER(SEARCH("scrubber",F750)) , "Scrubber", IF(ISNUMBER(SEARCH("container",F750)),"Container", IF(ISNUMBER(SEARCH("basket",F750)),"Basket", IF(ISNUMBER(SEARCH("lunch",F750)),"Lunch Box", IF(ISNUMBER(SEARCH("cutlery",F750)),"Cutlery","Other")))))</f>
        <v>0</v>
      </c>
      <c r="I750">
        <f>IF('Raw Data'!G750&lt;&gt;'','Raw Data'!G750,IFERROR(MID(F750,SEARCH("MODEL",F750)+6,20),""))</f>
        <v>0</v>
      </c>
      <c r="J750">
        <f>'Raw Data'!H750</f>
        <v>0</v>
      </c>
      <c r="K750">
        <f>'Raw Data'!I750</f>
        <v>0</v>
      </c>
      <c r="L750">
        <f>IF('Raw Data'!N750&lt;&gt;0,'Raw Data'!N750,IFERROR(VALUE(MID(F750,SEARCH("QTY",F750)+4,IFERROR(FIND(" ",F750,SEARCH("QTY",F750)+4)-(SEARCH("QTY",F750)+4),3))),""))</f>
        <v>0</v>
      </c>
      <c r="M750">
        <f>'Raw Data'!O750</f>
        <v>0</v>
      </c>
      <c r="N750">
        <f>'Raw Data'!P750</f>
        <v>0</v>
      </c>
      <c r="O750">
        <f>'Raw Data'!Q750</f>
        <v>0</v>
      </c>
      <c r="P750">
        <f>'Raw Data'!R750</f>
        <v>0</v>
      </c>
      <c r="Q750">
        <f>'Raw Data'!S750</f>
        <v>0</v>
      </c>
      <c r="R750">
        <f>'Raw Data'!T750</f>
        <v>0</v>
      </c>
      <c r="S750">
        <f>IFERROR(O750,0)+IFERROR(R750,0)</f>
        <v>0</v>
      </c>
      <c r="T750">
        <f>IF(A750="","",YEAR(A750))</f>
        <v>0</v>
      </c>
    </row>
    <row r="751" spans="1:20">
      <c r="A751">
        <f>'Raw Data'!B751</f>
        <v>0</v>
      </c>
      <c r="B751">
        <f>'Raw Data'!A751</f>
        <v>0</v>
      </c>
      <c r="C751">
        <f>'Raw Data'!C751</f>
        <v>0</v>
      </c>
      <c r="D751">
        <f>'Raw Data'!D751</f>
        <v>0</v>
      </c>
      <c r="E751">
        <f>IFERROR(VLOOKUP(D751,'Lookup Tables'!$A:$B,2,FALSE),"Unknown")</f>
        <v>0</v>
      </c>
      <c r="F751">
        <f>'Raw Data'!E751</f>
        <v>0</v>
      </c>
      <c r="G751">
        <f>IFERROR(VLOOKUP(D751,'Lookup Tables'!$A:$C,3,FALSE),IF(ISNUMBER(SEARCH("STEEL",F751)),"Steel","Others"))</f>
        <v>0</v>
      </c>
      <c r="H751">
        <f>IF(ISNUMBER(SEARCH("scrubber",F751)) , "Scrubber", IF(ISNUMBER(SEARCH("container",F751)),"Container", IF(ISNUMBER(SEARCH("basket",F751)),"Basket", IF(ISNUMBER(SEARCH("lunch",F751)),"Lunch Box", IF(ISNUMBER(SEARCH("cutlery",F751)),"Cutlery","Other")))))</f>
        <v>0</v>
      </c>
      <c r="I751">
        <f>IF('Raw Data'!G751&lt;&gt;'','Raw Data'!G751,IFERROR(MID(F751,SEARCH("MODEL",F751)+6,20),""))</f>
        <v>0</v>
      </c>
      <c r="J751">
        <f>'Raw Data'!H751</f>
        <v>0</v>
      </c>
      <c r="K751">
        <f>'Raw Data'!I751</f>
        <v>0</v>
      </c>
      <c r="L751">
        <f>IF('Raw Data'!N751&lt;&gt;0,'Raw Data'!N751,IFERROR(VALUE(MID(F751,SEARCH("QTY",F751)+4,IFERROR(FIND(" ",F751,SEARCH("QTY",F751)+4)-(SEARCH("QTY",F751)+4),3))),""))</f>
        <v>0</v>
      </c>
      <c r="M751">
        <f>'Raw Data'!O751</f>
        <v>0</v>
      </c>
      <c r="N751">
        <f>'Raw Data'!P751</f>
        <v>0</v>
      </c>
      <c r="O751">
        <f>'Raw Data'!Q751</f>
        <v>0</v>
      </c>
      <c r="P751">
        <f>'Raw Data'!R751</f>
        <v>0</v>
      </c>
      <c r="Q751">
        <f>'Raw Data'!S751</f>
        <v>0</v>
      </c>
      <c r="R751">
        <f>'Raw Data'!T751</f>
        <v>0</v>
      </c>
      <c r="S751">
        <f>IFERROR(O751,0)+IFERROR(R751,0)</f>
        <v>0</v>
      </c>
      <c r="T751">
        <f>IF(A751="","",YEAR(A751))</f>
        <v>0</v>
      </c>
    </row>
    <row r="752" spans="1:20">
      <c r="A752">
        <f>'Raw Data'!B752</f>
        <v>0</v>
      </c>
      <c r="B752">
        <f>'Raw Data'!A752</f>
        <v>0</v>
      </c>
      <c r="C752">
        <f>'Raw Data'!C752</f>
        <v>0</v>
      </c>
      <c r="D752">
        <f>'Raw Data'!D752</f>
        <v>0</v>
      </c>
      <c r="E752">
        <f>IFERROR(VLOOKUP(D752,'Lookup Tables'!$A:$B,2,FALSE),"Unknown")</f>
        <v>0</v>
      </c>
      <c r="F752">
        <f>'Raw Data'!E752</f>
        <v>0</v>
      </c>
      <c r="G752">
        <f>IFERROR(VLOOKUP(D752,'Lookup Tables'!$A:$C,3,FALSE),IF(ISNUMBER(SEARCH("STEEL",F752)),"Steel","Others"))</f>
        <v>0</v>
      </c>
      <c r="H752">
        <f>IF(ISNUMBER(SEARCH("scrubber",F752)) , "Scrubber", IF(ISNUMBER(SEARCH("container",F752)),"Container", IF(ISNUMBER(SEARCH("basket",F752)),"Basket", IF(ISNUMBER(SEARCH("lunch",F752)),"Lunch Box", IF(ISNUMBER(SEARCH("cutlery",F752)),"Cutlery","Other")))))</f>
        <v>0</v>
      </c>
      <c r="I752">
        <f>IF('Raw Data'!G752&lt;&gt;'','Raw Data'!G752,IFERROR(MID(F752,SEARCH("MODEL",F752)+6,20),""))</f>
        <v>0</v>
      </c>
      <c r="J752">
        <f>'Raw Data'!H752</f>
        <v>0</v>
      </c>
      <c r="K752">
        <f>'Raw Data'!I752</f>
        <v>0</v>
      </c>
      <c r="L752">
        <f>IF('Raw Data'!N752&lt;&gt;0,'Raw Data'!N752,IFERROR(VALUE(MID(F752,SEARCH("QTY",F752)+4,IFERROR(FIND(" ",F752,SEARCH("QTY",F752)+4)-(SEARCH("QTY",F752)+4),3))),""))</f>
        <v>0</v>
      </c>
      <c r="M752">
        <f>'Raw Data'!O752</f>
        <v>0</v>
      </c>
      <c r="N752">
        <f>'Raw Data'!P752</f>
        <v>0</v>
      </c>
      <c r="O752">
        <f>'Raw Data'!Q752</f>
        <v>0</v>
      </c>
      <c r="P752">
        <f>'Raw Data'!R752</f>
        <v>0</v>
      </c>
      <c r="Q752">
        <f>'Raw Data'!S752</f>
        <v>0</v>
      </c>
      <c r="R752">
        <f>'Raw Data'!T752</f>
        <v>0</v>
      </c>
      <c r="S752">
        <f>IFERROR(O752,0)+IFERROR(R752,0)</f>
        <v>0</v>
      </c>
      <c r="T752">
        <f>IF(A752="","",YEAR(A752))</f>
        <v>0</v>
      </c>
    </row>
    <row r="753" spans="1:20">
      <c r="A753">
        <f>'Raw Data'!B753</f>
        <v>0</v>
      </c>
      <c r="B753">
        <f>'Raw Data'!A753</f>
        <v>0</v>
      </c>
      <c r="C753">
        <f>'Raw Data'!C753</f>
        <v>0</v>
      </c>
      <c r="D753">
        <f>'Raw Data'!D753</f>
        <v>0</v>
      </c>
      <c r="E753">
        <f>IFERROR(VLOOKUP(D753,'Lookup Tables'!$A:$B,2,FALSE),"Unknown")</f>
        <v>0</v>
      </c>
      <c r="F753">
        <f>'Raw Data'!E753</f>
        <v>0</v>
      </c>
      <c r="G753">
        <f>IFERROR(VLOOKUP(D753,'Lookup Tables'!$A:$C,3,FALSE),IF(ISNUMBER(SEARCH("STEEL",F753)),"Steel","Others"))</f>
        <v>0</v>
      </c>
      <c r="H753">
        <f>IF(ISNUMBER(SEARCH("scrubber",F753)) , "Scrubber", IF(ISNUMBER(SEARCH("container",F753)),"Container", IF(ISNUMBER(SEARCH("basket",F753)),"Basket", IF(ISNUMBER(SEARCH("lunch",F753)),"Lunch Box", IF(ISNUMBER(SEARCH("cutlery",F753)),"Cutlery","Other")))))</f>
        <v>0</v>
      </c>
      <c r="I753">
        <f>IF('Raw Data'!G753&lt;&gt;'','Raw Data'!G753,IFERROR(MID(F753,SEARCH("MODEL",F753)+6,20),""))</f>
        <v>0</v>
      </c>
      <c r="J753">
        <f>'Raw Data'!H753</f>
        <v>0</v>
      </c>
      <c r="K753">
        <f>'Raw Data'!I753</f>
        <v>0</v>
      </c>
      <c r="L753">
        <f>IF('Raw Data'!N753&lt;&gt;0,'Raw Data'!N753,IFERROR(VALUE(MID(F753,SEARCH("QTY",F753)+4,IFERROR(FIND(" ",F753,SEARCH("QTY",F753)+4)-(SEARCH("QTY",F753)+4),3))),""))</f>
        <v>0</v>
      </c>
      <c r="M753">
        <f>'Raw Data'!O753</f>
        <v>0</v>
      </c>
      <c r="N753">
        <f>'Raw Data'!P753</f>
        <v>0</v>
      </c>
      <c r="O753">
        <f>'Raw Data'!Q753</f>
        <v>0</v>
      </c>
      <c r="P753">
        <f>'Raw Data'!R753</f>
        <v>0</v>
      </c>
      <c r="Q753">
        <f>'Raw Data'!S753</f>
        <v>0</v>
      </c>
      <c r="R753">
        <f>'Raw Data'!T753</f>
        <v>0</v>
      </c>
      <c r="S753">
        <f>IFERROR(O753,0)+IFERROR(R753,0)</f>
        <v>0</v>
      </c>
      <c r="T753">
        <f>IF(A753="","",YEAR(A753))</f>
        <v>0</v>
      </c>
    </row>
    <row r="754" spans="1:20">
      <c r="A754">
        <f>'Raw Data'!B754</f>
        <v>0</v>
      </c>
      <c r="B754">
        <f>'Raw Data'!A754</f>
        <v>0</v>
      </c>
      <c r="C754">
        <f>'Raw Data'!C754</f>
        <v>0</v>
      </c>
      <c r="D754">
        <f>'Raw Data'!D754</f>
        <v>0</v>
      </c>
      <c r="E754">
        <f>IFERROR(VLOOKUP(D754,'Lookup Tables'!$A:$B,2,FALSE),"Unknown")</f>
        <v>0</v>
      </c>
      <c r="F754">
        <f>'Raw Data'!E754</f>
        <v>0</v>
      </c>
      <c r="G754">
        <f>IFERROR(VLOOKUP(D754,'Lookup Tables'!$A:$C,3,FALSE),IF(ISNUMBER(SEARCH("STEEL",F754)),"Steel","Others"))</f>
        <v>0</v>
      </c>
      <c r="H754">
        <f>IF(ISNUMBER(SEARCH("scrubber",F754)) , "Scrubber", IF(ISNUMBER(SEARCH("container",F754)),"Container", IF(ISNUMBER(SEARCH("basket",F754)),"Basket", IF(ISNUMBER(SEARCH("lunch",F754)),"Lunch Box", IF(ISNUMBER(SEARCH("cutlery",F754)),"Cutlery","Other")))))</f>
        <v>0</v>
      </c>
      <c r="I754">
        <f>IF('Raw Data'!G754&lt;&gt;'','Raw Data'!G754,IFERROR(MID(F754,SEARCH("MODEL",F754)+6,20),""))</f>
        <v>0</v>
      </c>
      <c r="J754">
        <f>'Raw Data'!H754</f>
        <v>0</v>
      </c>
      <c r="K754">
        <f>'Raw Data'!I754</f>
        <v>0</v>
      </c>
      <c r="L754">
        <f>IF('Raw Data'!N754&lt;&gt;0,'Raw Data'!N754,IFERROR(VALUE(MID(F754,SEARCH("QTY",F754)+4,IFERROR(FIND(" ",F754,SEARCH("QTY",F754)+4)-(SEARCH("QTY",F754)+4),3))),""))</f>
        <v>0</v>
      </c>
      <c r="M754">
        <f>'Raw Data'!O754</f>
        <v>0</v>
      </c>
      <c r="N754">
        <f>'Raw Data'!P754</f>
        <v>0</v>
      </c>
      <c r="O754">
        <f>'Raw Data'!Q754</f>
        <v>0</v>
      </c>
      <c r="P754">
        <f>'Raw Data'!R754</f>
        <v>0</v>
      </c>
      <c r="Q754">
        <f>'Raw Data'!S754</f>
        <v>0</v>
      </c>
      <c r="R754">
        <f>'Raw Data'!T754</f>
        <v>0</v>
      </c>
      <c r="S754">
        <f>IFERROR(O754,0)+IFERROR(R754,0)</f>
        <v>0</v>
      </c>
      <c r="T754">
        <f>IF(A754="","",YEAR(A754))</f>
        <v>0</v>
      </c>
    </row>
    <row r="755" spans="1:20">
      <c r="A755">
        <f>'Raw Data'!B755</f>
        <v>0</v>
      </c>
      <c r="B755">
        <f>'Raw Data'!A755</f>
        <v>0</v>
      </c>
      <c r="C755">
        <f>'Raw Data'!C755</f>
        <v>0</v>
      </c>
      <c r="D755">
        <f>'Raw Data'!D755</f>
        <v>0</v>
      </c>
      <c r="E755">
        <f>IFERROR(VLOOKUP(D755,'Lookup Tables'!$A:$B,2,FALSE),"Unknown")</f>
        <v>0</v>
      </c>
      <c r="F755">
        <f>'Raw Data'!E755</f>
        <v>0</v>
      </c>
      <c r="G755">
        <f>IFERROR(VLOOKUP(D755,'Lookup Tables'!$A:$C,3,FALSE),IF(ISNUMBER(SEARCH("STEEL",F755)),"Steel","Others"))</f>
        <v>0</v>
      </c>
      <c r="H755">
        <f>IF(ISNUMBER(SEARCH("scrubber",F755)) , "Scrubber", IF(ISNUMBER(SEARCH("container",F755)),"Container", IF(ISNUMBER(SEARCH("basket",F755)),"Basket", IF(ISNUMBER(SEARCH("lunch",F755)),"Lunch Box", IF(ISNUMBER(SEARCH("cutlery",F755)),"Cutlery","Other")))))</f>
        <v>0</v>
      </c>
      <c r="I755">
        <f>IF('Raw Data'!G755&lt;&gt;'','Raw Data'!G755,IFERROR(MID(F755,SEARCH("MODEL",F755)+6,20),""))</f>
        <v>0</v>
      </c>
      <c r="J755">
        <f>'Raw Data'!H755</f>
        <v>0</v>
      </c>
      <c r="K755">
        <f>'Raw Data'!I755</f>
        <v>0</v>
      </c>
      <c r="L755">
        <f>IF('Raw Data'!N755&lt;&gt;0,'Raw Data'!N755,IFERROR(VALUE(MID(F755,SEARCH("QTY",F755)+4,IFERROR(FIND(" ",F755,SEARCH("QTY",F755)+4)-(SEARCH("QTY",F755)+4),3))),""))</f>
        <v>0</v>
      </c>
      <c r="M755">
        <f>'Raw Data'!O755</f>
        <v>0</v>
      </c>
      <c r="N755">
        <f>'Raw Data'!P755</f>
        <v>0</v>
      </c>
      <c r="O755">
        <f>'Raw Data'!Q755</f>
        <v>0</v>
      </c>
      <c r="P755">
        <f>'Raw Data'!R755</f>
        <v>0</v>
      </c>
      <c r="Q755">
        <f>'Raw Data'!S755</f>
        <v>0</v>
      </c>
      <c r="R755">
        <f>'Raw Data'!T755</f>
        <v>0</v>
      </c>
      <c r="S755">
        <f>IFERROR(O755,0)+IFERROR(R755,0)</f>
        <v>0</v>
      </c>
      <c r="T755">
        <f>IF(A755="","",YEAR(A755))</f>
        <v>0</v>
      </c>
    </row>
    <row r="756" spans="1:20">
      <c r="A756">
        <f>'Raw Data'!B756</f>
        <v>0</v>
      </c>
      <c r="B756">
        <f>'Raw Data'!A756</f>
        <v>0</v>
      </c>
      <c r="C756">
        <f>'Raw Data'!C756</f>
        <v>0</v>
      </c>
      <c r="D756">
        <f>'Raw Data'!D756</f>
        <v>0</v>
      </c>
      <c r="E756">
        <f>IFERROR(VLOOKUP(D756,'Lookup Tables'!$A:$B,2,FALSE),"Unknown")</f>
        <v>0</v>
      </c>
      <c r="F756">
        <f>'Raw Data'!E756</f>
        <v>0</v>
      </c>
      <c r="G756">
        <f>IFERROR(VLOOKUP(D756,'Lookup Tables'!$A:$C,3,FALSE),IF(ISNUMBER(SEARCH("STEEL",F756)),"Steel","Others"))</f>
        <v>0</v>
      </c>
      <c r="H756">
        <f>IF(ISNUMBER(SEARCH("scrubber",F756)) , "Scrubber", IF(ISNUMBER(SEARCH("container",F756)),"Container", IF(ISNUMBER(SEARCH("basket",F756)),"Basket", IF(ISNUMBER(SEARCH("lunch",F756)),"Lunch Box", IF(ISNUMBER(SEARCH("cutlery",F756)),"Cutlery","Other")))))</f>
        <v>0</v>
      </c>
      <c r="I756">
        <f>IF('Raw Data'!G756&lt;&gt;'','Raw Data'!G756,IFERROR(MID(F756,SEARCH("MODEL",F756)+6,20),""))</f>
        <v>0</v>
      </c>
      <c r="J756">
        <f>'Raw Data'!H756</f>
        <v>0</v>
      </c>
      <c r="K756">
        <f>'Raw Data'!I756</f>
        <v>0</v>
      </c>
      <c r="L756">
        <f>IF('Raw Data'!N756&lt;&gt;0,'Raw Data'!N756,IFERROR(VALUE(MID(F756,SEARCH("QTY",F756)+4,IFERROR(FIND(" ",F756,SEARCH("QTY",F756)+4)-(SEARCH("QTY",F756)+4),3))),""))</f>
        <v>0</v>
      </c>
      <c r="M756">
        <f>'Raw Data'!O756</f>
        <v>0</v>
      </c>
      <c r="N756">
        <f>'Raw Data'!P756</f>
        <v>0</v>
      </c>
      <c r="O756">
        <f>'Raw Data'!Q756</f>
        <v>0</v>
      </c>
      <c r="P756">
        <f>'Raw Data'!R756</f>
        <v>0</v>
      </c>
      <c r="Q756">
        <f>'Raw Data'!S756</f>
        <v>0</v>
      </c>
      <c r="R756">
        <f>'Raw Data'!T756</f>
        <v>0</v>
      </c>
      <c r="S756">
        <f>IFERROR(O756,0)+IFERROR(R756,0)</f>
        <v>0</v>
      </c>
      <c r="T756">
        <f>IF(A756="","",YEAR(A756))</f>
        <v>0</v>
      </c>
    </row>
    <row r="757" spans="1:20">
      <c r="A757">
        <f>'Raw Data'!B757</f>
        <v>0</v>
      </c>
      <c r="B757">
        <f>'Raw Data'!A757</f>
        <v>0</v>
      </c>
      <c r="C757">
        <f>'Raw Data'!C757</f>
        <v>0</v>
      </c>
      <c r="D757">
        <f>'Raw Data'!D757</f>
        <v>0</v>
      </c>
      <c r="E757">
        <f>IFERROR(VLOOKUP(D757,'Lookup Tables'!$A:$B,2,FALSE),"Unknown")</f>
        <v>0</v>
      </c>
      <c r="F757">
        <f>'Raw Data'!E757</f>
        <v>0</v>
      </c>
      <c r="G757">
        <f>IFERROR(VLOOKUP(D757,'Lookup Tables'!$A:$C,3,FALSE),IF(ISNUMBER(SEARCH("STEEL",F757)),"Steel","Others"))</f>
        <v>0</v>
      </c>
      <c r="H757">
        <f>IF(ISNUMBER(SEARCH("scrubber",F757)) , "Scrubber", IF(ISNUMBER(SEARCH("container",F757)),"Container", IF(ISNUMBER(SEARCH("basket",F757)),"Basket", IF(ISNUMBER(SEARCH("lunch",F757)),"Lunch Box", IF(ISNUMBER(SEARCH("cutlery",F757)),"Cutlery","Other")))))</f>
        <v>0</v>
      </c>
      <c r="I757">
        <f>IF('Raw Data'!G757&lt;&gt;'','Raw Data'!G757,IFERROR(MID(F757,SEARCH("MODEL",F757)+6,20),""))</f>
        <v>0</v>
      </c>
      <c r="J757">
        <f>'Raw Data'!H757</f>
        <v>0</v>
      </c>
      <c r="K757">
        <f>'Raw Data'!I757</f>
        <v>0</v>
      </c>
      <c r="L757">
        <f>IF('Raw Data'!N757&lt;&gt;0,'Raw Data'!N757,IFERROR(VALUE(MID(F757,SEARCH("QTY",F757)+4,IFERROR(FIND(" ",F757,SEARCH("QTY",F757)+4)-(SEARCH("QTY",F757)+4),3))),""))</f>
        <v>0</v>
      </c>
      <c r="M757">
        <f>'Raw Data'!O757</f>
        <v>0</v>
      </c>
      <c r="N757">
        <f>'Raw Data'!P757</f>
        <v>0</v>
      </c>
      <c r="O757">
        <f>'Raw Data'!Q757</f>
        <v>0</v>
      </c>
      <c r="P757">
        <f>'Raw Data'!R757</f>
        <v>0</v>
      </c>
      <c r="Q757">
        <f>'Raw Data'!S757</f>
        <v>0</v>
      </c>
      <c r="R757">
        <f>'Raw Data'!T757</f>
        <v>0</v>
      </c>
      <c r="S757">
        <f>IFERROR(O757,0)+IFERROR(R757,0)</f>
        <v>0</v>
      </c>
      <c r="T757">
        <f>IF(A757="","",YEAR(A757))</f>
        <v>0</v>
      </c>
    </row>
    <row r="758" spans="1:20">
      <c r="A758">
        <f>'Raw Data'!B758</f>
        <v>0</v>
      </c>
      <c r="B758">
        <f>'Raw Data'!A758</f>
        <v>0</v>
      </c>
      <c r="C758">
        <f>'Raw Data'!C758</f>
        <v>0</v>
      </c>
      <c r="D758">
        <f>'Raw Data'!D758</f>
        <v>0</v>
      </c>
      <c r="E758">
        <f>IFERROR(VLOOKUP(D758,'Lookup Tables'!$A:$B,2,FALSE),"Unknown")</f>
        <v>0</v>
      </c>
      <c r="F758">
        <f>'Raw Data'!E758</f>
        <v>0</v>
      </c>
      <c r="G758">
        <f>IFERROR(VLOOKUP(D758,'Lookup Tables'!$A:$C,3,FALSE),IF(ISNUMBER(SEARCH("STEEL",F758)),"Steel","Others"))</f>
        <v>0</v>
      </c>
      <c r="H758">
        <f>IF(ISNUMBER(SEARCH("scrubber",F758)) , "Scrubber", IF(ISNUMBER(SEARCH("container",F758)),"Container", IF(ISNUMBER(SEARCH("basket",F758)),"Basket", IF(ISNUMBER(SEARCH("lunch",F758)),"Lunch Box", IF(ISNUMBER(SEARCH("cutlery",F758)),"Cutlery","Other")))))</f>
        <v>0</v>
      </c>
      <c r="I758">
        <f>IF('Raw Data'!G758&lt;&gt;'','Raw Data'!G758,IFERROR(MID(F758,SEARCH("MODEL",F758)+6,20),""))</f>
        <v>0</v>
      </c>
      <c r="J758">
        <f>'Raw Data'!H758</f>
        <v>0</v>
      </c>
      <c r="K758">
        <f>'Raw Data'!I758</f>
        <v>0</v>
      </c>
      <c r="L758">
        <f>IF('Raw Data'!N758&lt;&gt;0,'Raw Data'!N758,IFERROR(VALUE(MID(F758,SEARCH("QTY",F758)+4,IFERROR(FIND(" ",F758,SEARCH("QTY",F758)+4)-(SEARCH("QTY",F758)+4),3))),""))</f>
        <v>0</v>
      </c>
      <c r="M758">
        <f>'Raw Data'!O758</f>
        <v>0</v>
      </c>
      <c r="N758">
        <f>'Raw Data'!P758</f>
        <v>0</v>
      </c>
      <c r="O758">
        <f>'Raw Data'!Q758</f>
        <v>0</v>
      </c>
      <c r="P758">
        <f>'Raw Data'!R758</f>
        <v>0</v>
      </c>
      <c r="Q758">
        <f>'Raw Data'!S758</f>
        <v>0</v>
      </c>
      <c r="R758">
        <f>'Raw Data'!T758</f>
        <v>0</v>
      </c>
      <c r="S758">
        <f>IFERROR(O758,0)+IFERROR(R758,0)</f>
        <v>0</v>
      </c>
      <c r="T758">
        <f>IF(A758="","",YEAR(A758))</f>
        <v>0</v>
      </c>
    </row>
    <row r="759" spans="1:20">
      <c r="A759">
        <f>'Raw Data'!B759</f>
        <v>0</v>
      </c>
      <c r="B759">
        <f>'Raw Data'!A759</f>
        <v>0</v>
      </c>
      <c r="C759">
        <f>'Raw Data'!C759</f>
        <v>0</v>
      </c>
      <c r="D759">
        <f>'Raw Data'!D759</f>
        <v>0</v>
      </c>
      <c r="E759">
        <f>IFERROR(VLOOKUP(D759,'Lookup Tables'!$A:$B,2,FALSE),"Unknown")</f>
        <v>0</v>
      </c>
      <c r="F759">
        <f>'Raw Data'!E759</f>
        <v>0</v>
      </c>
      <c r="G759">
        <f>IFERROR(VLOOKUP(D759,'Lookup Tables'!$A:$C,3,FALSE),IF(ISNUMBER(SEARCH("STEEL",F759)),"Steel","Others"))</f>
        <v>0</v>
      </c>
      <c r="H759">
        <f>IF(ISNUMBER(SEARCH("scrubber",F759)) , "Scrubber", IF(ISNUMBER(SEARCH("container",F759)),"Container", IF(ISNUMBER(SEARCH("basket",F759)),"Basket", IF(ISNUMBER(SEARCH("lunch",F759)),"Lunch Box", IF(ISNUMBER(SEARCH("cutlery",F759)),"Cutlery","Other")))))</f>
        <v>0</v>
      </c>
      <c r="I759">
        <f>IF('Raw Data'!G759&lt;&gt;'','Raw Data'!G759,IFERROR(MID(F759,SEARCH("MODEL",F759)+6,20),""))</f>
        <v>0</v>
      </c>
      <c r="J759">
        <f>'Raw Data'!H759</f>
        <v>0</v>
      </c>
      <c r="K759">
        <f>'Raw Data'!I759</f>
        <v>0</v>
      </c>
      <c r="L759">
        <f>IF('Raw Data'!N759&lt;&gt;0,'Raw Data'!N759,IFERROR(VALUE(MID(F759,SEARCH("QTY",F759)+4,IFERROR(FIND(" ",F759,SEARCH("QTY",F759)+4)-(SEARCH("QTY",F759)+4),3))),""))</f>
        <v>0</v>
      </c>
      <c r="M759">
        <f>'Raw Data'!O759</f>
        <v>0</v>
      </c>
      <c r="N759">
        <f>'Raw Data'!P759</f>
        <v>0</v>
      </c>
      <c r="O759">
        <f>'Raw Data'!Q759</f>
        <v>0</v>
      </c>
      <c r="P759">
        <f>'Raw Data'!R759</f>
        <v>0</v>
      </c>
      <c r="Q759">
        <f>'Raw Data'!S759</f>
        <v>0</v>
      </c>
      <c r="R759">
        <f>'Raw Data'!T759</f>
        <v>0</v>
      </c>
      <c r="S759">
        <f>IFERROR(O759,0)+IFERROR(R759,0)</f>
        <v>0</v>
      </c>
      <c r="T759">
        <f>IF(A759="","",YEAR(A759))</f>
        <v>0</v>
      </c>
    </row>
    <row r="760" spans="1:20">
      <c r="A760">
        <f>'Raw Data'!B760</f>
        <v>0</v>
      </c>
      <c r="B760">
        <f>'Raw Data'!A760</f>
        <v>0</v>
      </c>
      <c r="C760">
        <f>'Raw Data'!C760</f>
        <v>0</v>
      </c>
      <c r="D760">
        <f>'Raw Data'!D760</f>
        <v>0</v>
      </c>
      <c r="E760">
        <f>IFERROR(VLOOKUP(D760,'Lookup Tables'!$A:$B,2,FALSE),"Unknown")</f>
        <v>0</v>
      </c>
      <c r="F760">
        <f>'Raw Data'!E760</f>
        <v>0</v>
      </c>
      <c r="G760">
        <f>IFERROR(VLOOKUP(D760,'Lookup Tables'!$A:$C,3,FALSE),IF(ISNUMBER(SEARCH("STEEL",F760)),"Steel","Others"))</f>
        <v>0</v>
      </c>
      <c r="H760">
        <f>IF(ISNUMBER(SEARCH("scrubber",F760)) , "Scrubber", IF(ISNUMBER(SEARCH("container",F760)),"Container", IF(ISNUMBER(SEARCH("basket",F760)),"Basket", IF(ISNUMBER(SEARCH("lunch",F760)),"Lunch Box", IF(ISNUMBER(SEARCH("cutlery",F760)),"Cutlery","Other")))))</f>
        <v>0</v>
      </c>
      <c r="I760">
        <f>IF('Raw Data'!G760&lt;&gt;'','Raw Data'!G760,IFERROR(MID(F760,SEARCH("MODEL",F760)+6,20),""))</f>
        <v>0</v>
      </c>
      <c r="J760">
        <f>'Raw Data'!H760</f>
        <v>0</v>
      </c>
      <c r="K760">
        <f>'Raw Data'!I760</f>
        <v>0</v>
      </c>
      <c r="L760">
        <f>IF('Raw Data'!N760&lt;&gt;0,'Raw Data'!N760,IFERROR(VALUE(MID(F760,SEARCH("QTY",F760)+4,IFERROR(FIND(" ",F760,SEARCH("QTY",F760)+4)-(SEARCH("QTY",F760)+4),3))),""))</f>
        <v>0</v>
      </c>
      <c r="M760">
        <f>'Raw Data'!O760</f>
        <v>0</v>
      </c>
      <c r="N760">
        <f>'Raw Data'!P760</f>
        <v>0</v>
      </c>
      <c r="O760">
        <f>'Raw Data'!Q760</f>
        <v>0</v>
      </c>
      <c r="P760">
        <f>'Raw Data'!R760</f>
        <v>0</v>
      </c>
      <c r="Q760">
        <f>'Raw Data'!S760</f>
        <v>0</v>
      </c>
      <c r="R760">
        <f>'Raw Data'!T760</f>
        <v>0</v>
      </c>
      <c r="S760">
        <f>IFERROR(O760,0)+IFERROR(R760,0)</f>
        <v>0</v>
      </c>
      <c r="T760">
        <f>IF(A760="","",YEAR(A760))</f>
        <v>0</v>
      </c>
    </row>
    <row r="761" spans="1:20">
      <c r="A761">
        <f>'Raw Data'!B761</f>
        <v>0</v>
      </c>
      <c r="B761">
        <f>'Raw Data'!A761</f>
        <v>0</v>
      </c>
      <c r="C761">
        <f>'Raw Data'!C761</f>
        <v>0</v>
      </c>
      <c r="D761">
        <f>'Raw Data'!D761</f>
        <v>0</v>
      </c>
      <c r="E761">
        <f>IFERROR(VLOOKUP(D761,'Lookup Tables'!$A:$B,2,FALSE),"Unknown")</f>
        <v>0</v>
      </c>
      <c r="F761">
        <f>'Raw Data'!E761</f>
        <v>0</v>
      </c>
      <c r="G761">
        <f>IFERROR(VLOOKUP(D761,'Lookup Tables'!$A:$C,3,FALSE),IF(ISNUMBER(SEARCH("STEEL",F761)),"Steel","Others"))</f>
        <v>0</v>
      </c>
      <c r="H761">
        <f>IF(ISNUMBER(SEARCH("scrubber",F761)) , "Scrubber", IF(ISNUMBER(SEARCH("container",F761)),"Container", IF(ISNUMBER(SEARCH("basket",F761)),"Basket", IF(ISNUMBER(SEARCH("lunch",F761)),"Lunch Box", IF(ISNUMBER(SEARCH("cutlery",F761)),"Cutlery","Other")))))</f>
        <v>0</v>
      </c>
      <c r="I761">
        <f>IF('Raw Data'!G761&lt;&gt;'','Raw Data'!G761,IFERROR(MID(F761,SEARCH("MODEL",F761)+6,20),""))</f>
        <v>0</v>
      </c>
      <c r="J761">
        <f>'Raw Data'!H761</f>
        <v>0</v>
      </c>
      <c r="K761">
        <f>'Raw Data'!I761</f>
        <v>0</v>
      </c>
      <c r="L761">
        <f>IF('Raw Data'!N761&lt;&gt;0,'Raw Data'!N761,IFERROR(VALUE(MID(F761,SEARCH("QTY",F761)+4,IFERROR(FIND(" ",F761,SEARCH("QTY",F761)+4)-(SEARCH("QTY",F761)+4),3))),""))</f>
        <v>0</v>
      </c>
      <c r="M761">
        <f>'Raw Data'!O761</f>
        <v>0</v>
      </c>
      <c r="N761">
        <f>'Raw Data'!P761</f>
        <v>0</v>
      </c>
      <c r="O761">
        <f>'Raw Data'!Q761</f>
        <v>0</v>
      </c>
      <c r="P761">
        <f>'Raw Data'!R761</f>
        <v>0</v>
      </c>
      <c r="Q761">
        <f>'Raw Data'!S761</f>
        <v>0</v>
      </c>
      <c r="R761">
        <f>'Raw Data'!T761</f>
        <v>0</v>
      </c>
      <c r="S761">
        <f>IFERROR(O761,0)+IFERROR(R761,0)</f>
        <v>0</v>
      </c>
      <c r="T761">
        <f>IF(A761="","",YEAR(A761))</f>
        <v>0</v>
      </c>
    </row>
    <row r="762" spans="1:20">
      <c r="A762">
        <f>'Raw Data'!B762</f>
        <v>0</v>
      </c>
      <c r="B762">
        <f>'Raw Data'!A762</f>
        <v>0</v>
      </c>
      <c r="C762">
        <f>'Raw Data'!C762</f>
        <v>0</v>
      </c>
      <c r="D762">
        <f>'Raw Data'!D762</f>
        <v>0</v>
      </c>
      <c r="E762">
        <f>IFERROR(VLOOKUP(D762,'Lookup Tables'!$A:$B,2,FALSE),"Unknown")</f>
        <v>0</v>
      </c>
      <c r="F762">
        <f>'Raw Data'!E762</f>
        <v>0</v>
      </c>
      <c r="G762">
        <f>IFERROR(VLOOKUP(D762,'Lookup Tables'!$A:$C,3,FALSE),IF(ISNUMBER(SEARCH("STEEL",F762)),"Steel","Others"))</f>
        <v>0</v>
      </c>
      <c r="H762">
        <f>IF(ISNUMBER(SEARCH("scrubber",F762)) , "Scrubber", IF(ISNUMBER(SEARCH("container",F762)),"Container", IF(ISNUMBER(SEARCH("basket",F762)),"Basket", IF(ISNUMBER(SEARCH("lunch",F762)),"Lunch Box", IF(ISNUMBER(SEARCH("cutlery",F762)),"Cutlery","Other")))))</f>
        <v>0</v>
      </c>
      <c r="I762">
        <f>IF('Raw Data'!G762&lt;&gt;'','Raw Data'!G762,IFERROR(MID(F762,SEARCH("MODEL",F762)+6,20),""))</f>
        <v>0</v>
      </c>
      <c r="J762">
        <f>'Raw Data'!H762</f>
        <v>0</v>
      </c>
      <c r="K762">
        <f>'Raw Data'!I762</f>
        <v>0</v>
      </c>
      <c r="L762">
        <f>IF('Raw Data'!N762&lt;&gt;0,'Raw Data'!N762,IFERROR(VALUE(MID(F762,SEARCH("QTY",F762)+4,IFERROR(FIND(" ",F762,SEARCH("QTY",F762)+4)-(SEARCH("QTY",F762)+4),3))),""))</f>
        <v>0</v>
      </c>
      <c r="M762">
        <f>'Raw Data'!O762</f>
        <v>0</v>
      </c>
      <c r="N762">
        <f>'Raw Data'!P762</f>
        <v>0</v>
      </c>
      <c r="O762">
        <f>'Raw Data'!Q762</f>
        <v>0</v>
      </c>
      <c r="P762">
        <f>'Raw Data'!R762</f>
        <v>0</v>
      </c>
      <c r="Q762">
        <f>'Raw Data'!S762</f>
        <v>0</v>
      </c>
      <c r="R762">
        <f>'Raw Data'!T762</f>
        <v>0</v>
      </c>
      <c r="S762">
        <f>IFERROR(O762,0)+IFERROR(R762,0)</f>
        <v>0</v>
      </c>
      <c r="T762">
        <f>IF(A762="","",YEAR(A762))</f>
        <v>0</v>
      </c>
    </row>
    <row r="763" spans="1:20">
      <c r="A763">
        <f>'Raw Data'!B763</f>
        <v>0</v>
      </c>
      <c r="B763">
        <f>'Raw Data'!A763</f>
        <v>0</v>
      </c>
      <c r="C763">
        <f>'Raw Data'!C763</f>
        <v>0</v>
      </c>
      <c r="D763">
        <f>'Raw Data'!D763</f>
        <v>0</v>
      </c>
      <c r="E763">
        <f>IFERROR(VLOOKUP(D763,'Lookup Tables'!$A:$B,2,FALSE),"Unknown")</f>
        <v>0</v>
      </c>
      <c r="F763">
        <f>'Raw Data'!E763</f>
        <v>0</v>
      </c>
      <c r="G763">
        <f>IFERROR(VLOOKUP(D763,'Lookup Tables'!$A:$C,3,FALSE),IF(ISNUMBER(SEARCH("STEEL",F763)),"Steel","Others"))</f>
        <v>0</v>
      </c>
      <c r="H763">
        <f>IF(ISNUMBER(SEARCH("scrubber",F763)) , "Scrubber", IF(ISNUMBER(SEARCH("container",F763)),"Container", IF(ISNUMBER(SEARCH("basket",F763)),"Basket", IF(ISNUMBER(SEARCH("lunch",F763)),"Lunch Box", IF(ISNUMBER(SEARCH("cutlery",F763)),"Cutlery","Other")))))</f>
        <v>0</v>
      </c>
      <c r="I763">
        <f>IF('Raw Data'!G763&lt;&gt;'','Raw Data'!G763,IFERROR(MID(F763,SEARCH("MODEL",F763)+6,20),""))</f>
        <v>0</v>
      </c>
      <c r="J763">
        <f>'Raw Data'!H763</f>
        <v>0</v>
      </c>
      <c r="K763">
        <f>'Raw Data'!I763</f>
        <v>0</v>
      </c>
      <c r="L763">
        <f>IF('Raw Data'!N763&lt;&gt;0,'Raw Data'!N763,IFERROR(VALUE(MID(F763,SEARCH("QTY",F763)+4,IFERROR(FIND(" ",F763,SEARCH("QTY",F763)+4)-(SEARCH("QTY",F763)+4),3))),""))</f>
        <v>0</v>
      </c>
      <c r="M763">
        <f>'Raw Data'!O763</f>
        <v>0</v>
      </c>
      <c r="N763">
        <f>'Raw Data'!P763</f>
        <v>0</v>
      </c>
      <c r="O763">
        <f>'Raw Data'!Q763</f>
        <v>0</v>
      </c>
      <c r="P763">
        <f>'Raw Data'!R763</f>
        <v>0</v>
      </c>
      <c r="Q763">
        <f>'Raw Data'!S763</f>
        <v>0</v>
      </c>
      <c r="R763">
        <f>'Raw Data'!T763</f>
        <v>0</v>
      </c>
      <c r="S763">
        <f>IFERROR(O763,0)+IFERROR(R763,0)</f>
        <v>0</v>
      </c>
      <c r="T763">
        <f>IF(A763="","",YEAR(A763))</f>
        <v>0</v>
      </c>
    </row>
    <row r="764" spans="1:20">
      <c r="A764">
        <f>'Raw Data'!B764</f>
        <v>0</v>
      </c>
      <c r="B764">
        <f>'Raw Data'!A764</f>
        <v>0</v>
      </c>
      <c r="C764">
        <f>'Raw Data'!C764</f>
        <v>0</v>
      </c>
      <c r="D764">
        <f>'Raw Data'!D764</f>
        <v>0</v>
      </c>
      <c r="E764">
        <f>IFERROR(VLOOKUP(D764,'Lookup Tables'!$A:$B,2,FALSE),"Unknown")</f>
        <v>0</v>
      </c>
      <c r="F764">
        <f>'Raw Data'!E764</f>
        <v>0</v>
      </c>
      <c r="G764">
        <f>IFERROR(VLOOKUP(D764,'Lookup Tables'!$A:$C,3,FALSE),IF(ISNUMBER(SEARCH("STEEL",F764)),"Steel","Others"))</f>
        <v>0</v>
      </c>
      <c r="H764">
        <f>IF(ISNUMBER(SEARCH("scrubber",F764)) , "Scrubber", IF(ISNUMBER(SEARCH("container",F764)),"Container", IF(ISNUMBER(SEARCH("basket",F764)),"Basket", IF(ISNUMBER(SEARCH("lunch",F764)),"Lunch Box", IF(ISNUMBER(SEARCH("cutlery",F764)),"Cutlery","Other")))))</f>
        <v>0</v>
      </c>
      <c r="I764">
        <f>IF('Raw Data'!G764&lt;&gt;'','Raw Data'!G764,IFERROR(MID(F764,SEARCH("MODEL",F764)+6,20),""))</f>
        <v>0</v>
      </c>
      <c r="J764">
        <f>'Raw Data'!H764</f>
        <v>0</v>
      </c>
      <c r="K764">
        <f>'Raw Data'!I764</f>
        <v>0</v>
      </c>
      <c r="L764">
        <f>IF('Raw Data'!N764&lt;&gt;0,'Raw Data'!N764,IFERROR(VALUE(MID(F764,SEARCH("QTY",F764)+4,IFERROR(FIND(" ",F764,SEARCH("QTY",F764)+4)-(SEARCH("QTY",F764)+4),3))),""))</f>
        <v>0</v>
      </c>
      <c r="M764">
        <f>'Raw Data'!O764</f>
        <v>0</v>
      </c>
      <c r="N764">
        <f>'Raw Data'!P764</f>
        <v>0</v>
      </c>
      <c r="O764">
        <f>'Raw Data'!Q764</f>
        <v>0</v>
      </c>
      <c r="P764">
        <f>'Raw Data'!R764</f>
        <v>0</v>
      </c>
      <c r="Q764">
        <f>'Raw Data'!S764</f>
        <v>0</v>
      </c>
      <c r="R764">
        <f>'Raw Data'!T764</f>
        <v>0</v>
      </c>
      <c r="S764">
        <f>IFERROR(O764,0)+IFERROR(R764,0)</f>
        <v>0</v>
      </c>
      <c r="T764">
        <f>IF(A764="","",YEAR(A764))</f>
        <v>0</v>
      </c>
    </row>
    <row r="765" spans="1:20">
      <c r="A765">
        <f>'Raw Data'!B765</f>
        <v>0</v>
      </c>
      <c r="B765">
        <f>'Raw Data'!A765</f>
        <v>0</v>
      </c>
      <c r="C765">
        <f>'Raw Data'!C765</f>
        <v>0</v>
      </c>
      <c r="D765">
        <f>'Raw Data'!D765</f>
        <v>0</v>
      </c>
      <c r="E765">
        <f>IFERROR(VLOOKUP(D765,'Lookup Tables'!$A:$B,2,FALSE),"Unknown")</f>
        <v>0</v>
      </c>
      <c r="F765">
        <f>'Raw Data'!E765</f>
        <v>0</v>
      </c>
      <c r="G765">
        <f>IFERROR(VLOOKUP(D765,'Lookup Tables'!$A:$C,3,FALSE),IF(ISNUMBER(SEARCH("STEEL",F765)),"Steel","Others"))</f>
        <v>0</v>
      </c>
      <c r="H765">
        <f>IF(ISNUMBER(SEARCH("scrubber",F765)) , "Scrubber", IF(ISNUMBER(SEARCH("container",F765)),"Container", IF(ISNUMBER(SEARCH("basket",F765)),"Basket", IF(ISNUMBER(SEARCH("lunch",F765)),"Lunch Box", IF(ISNUMBER(SEARCH("cutlery",F765)),"Cutlery","Other")))))</f>
        <v>0</v>
      </c>
      <c r="I765">
        <f>IF('Raw Data'!G765&lt;&gt;'','Raw Data'!G765,IFERROR(MID(F765,SEARCH("MODEL",F765)+6,20),""))</f>
        <v>0</v>
      </c>
      <c r="J765">
        <f>'Raw Data'!H765</f>
        <v>0</v>
      </c>
      <c r="K765">
        <f>'Raw Data'!I765</f>
        <v>0</v>
      </c>
      <c r="L765">
        <f>IF('Raw Data'!N765&lt;&gt;0,'Raw Data'!N765,IFERROR(VALUE(MID(F765,SEARCH("QTY",F765)+4,IFERROR(FIND(" ",F765,SEARCH("QTY",F765)+4)-(SEARCH("QTY",F765)+4),3))),""))</f>
        <v>0</v>
      </c>
      <c r="M765">
        <f>'Raw Data'!O765</f>
        <v>0</v>
      </c>
      <c r="N765">
        <f>'Raw Data'!P765</f>
        <v>0</v>
      </c>
      <c r="O765">
        <f>'Raw Data'!Q765</f>
        <v>0</v>
      </c>
      <c r="P765">
        <f>'Raw Data'!R765</f>
        <v>0</v>
      </c>
      <c r="Q765">
        <f>'Raw Data'!S765</f>
        <v>0</v>
      </c>
      <c r="R765">
        <f>'Raw Data'!T765</f>
        <v>0</v>
      </c>
      <c r="S765">
        <f>IFERROR(O765,0)+IFERROR(R765,0)</f>
        <v>0</v>
      </c>
      <c r="T765">
        <f>IF(A765="","",YEAR(A765))</f>
        <v>0</v>
      </c>
    </row>
    <row r="766" spans="1:20">
      <c r="A766">
        <f>'Raw Data'!B766</f>
        <v>0</v>
      </c>
      <c r="B766">
        <f>'Raw Data'!A766</f>
        <v>0</v>
      </c>
      <c r="C766">
        <f>'Raw Data'!C766</f>
        <v>0</v>
      </c>
      <c r="D766">
        <f>'Raw Data'!D766</f>
        <v>0</v>
      </c>
      <c r="E766">
        <f>IFERROR(VLOOKUP(D766,'Lookup Tables'!$A:$B,2,FALSE),"Unknown")</f>
        <v>0</v>
      </c>
      <c r="F766">
        <f>'Raw Data'!E766</f>
        <v>0</v>
      </c>
      <c r="G766">
        <f>IFERROR(VLOOKUP(D766,'Lookup Tables'!$A:$C,3,FALSE),IF(ISNUMBER(SEARCH("STEEL",F766)),"Steel","Others"))</f>
        <v>0</v>
      </c>
      <c r="H766">
        <f>IF(ISNUMBER(SEARCH("scrubber",F766)) , "Scrubber", IF(ISNUMBER(SEARCH("container",F766)),"Container", IF(ISNUMBER(SEARCH("basket",F766)),"Basket", IF(ISNUMBER(SEARCH("lunch",F766)),"Lunch Box", IF(ISNUMBER(SEARCH("cutlery",F766)),"Cutlery","Other")))))</f>
        <v>0</v>
      </c>
      <c r="I766">
        <f>IF('Raw Data'!G766&lt;&gt;'','Raw Data'!G766,IFERROR(MID(F766,SEARCH("MODEL",F766)+6,20),""))</f>
        <v>0</v>
      </c>
      <c r="J766">
        <f>'Raw Data'!H766</f>
        <v>0</v>
      </c>
      <c r="K766">
        <f>'Raw Data'!I766</f>
        <v>0</v>
      </c>
      <c r="L766">
        <f>IF('Raw Data'!N766&lt;&gt;0,'Raw Data'!N766,IFERROR(VALUE(MID(F766,SEARCH("QTY",F766)+4,IFERROR(FIND(" ",F766,SEARCH("QTY",F766)+4)-(SEARCH("QTY",F766)+4),3))),""))</f>
        <v>0</v>
      </c>
      <c r="M766">
        <f>'Raw Data'!O766</f>
        <v>0</v>
      </c>
      <c r="N766">
        <f>'Raw Data'!P766</f>
        <v>0</v>
      </c>
      <c r="O766">
        <f>'Raw Data'!Q766</f>
        <v>0</v>
      </c>
      <c r="P766">
        <f>'Raw Data'!R766</f>
        <v>0</v>
      </c>
      <c r="Q766">
        <f>'Raw Data'!S766</f>
        <v>0</v>
      </c>
      <c r="R766">
        <f>'Raw Data'!T766</f>
        <v>0</v>
      </c>
      <c r="S766">
        <f>IFERROR(O766,0)+IFERROR(R766,0)</f>
        <v>0</v>
      </c>
      <c r="T766">
        <f>IF(A766="","",YEAR(A766))</f>
        <v>0</v>
      </c>
    </row>
    <row r="767" spans="1:20">
      <c r="A767">
        <f>'Raw Data'!B767</f>
        <v>0</v>
      </c>
      <c r="B767">
        <f>'Raw Data'!A767</f>
        <v>0</v>
      </c>
      <c r="C767">
        <f>'Raw Data'!C767</f>
        <v>0</v>
      </c>
      <c r="D767">
        <f>'Raw Data'!D767</f>
        <v>0</v>
      </c>
      <c r="E767">
        <f>IFERROR(VLOOKUP(D767,'Lookup Tables'!$A:$B,2,FALSE),"Unknown")</f>
        <v>0</v>
      </c>
      <c r="F767">
        <f>'Raw Data'!E767</f>
        <v>0</v>
      </c>
      <c r="G767">
        <f>IFERROR(VLOOKUP(D767,'Lookup Tables'!$A:$C,3,FALSE),IF(ISNUMBER(SEARCH("STEEL",F767)),"Steel","Others"))</f>
        <v>0</v>
      </c>
      <c r="H767">
        <f>IF(ISNUMBER(SEARCH("scrubber",F767)) , "Scrubber", IF(ISNUMBER(SEARCH("container",F767)),"Container", IF(ISNUMBER(SEARCH("basket",F767)),"Basket", IF(ISNUMBER(SEARCH("lunch",F767)),"Lunch Box", IF(ISNUMBER(SEARCH("cutlery",F767)),"Cutlery","Other")))))</f>
        <v>0</v>
      </c>
      <c r="I767">
        <f>IF('Raw Data'!G767&lt;&gt;'','Raw Data'!G767,IFERROR(MID(F767,SEARCH("MODEL",F767)+6,20),""))</f>
        <v>0</v>
      </c>
      <c r="J767">
        <f>'Raw Data'!H767</f>
        <v>0</v>
      </c>
      <c r="K767">
        <f>'Raw Data'!I767</f>
        <v>0</v>
      </c>
      <c r="L767">
        <f>IF('Raw Data'!N767&lt;&gt;0,'Raw Data'!N767,IFERROR(VALUE(MID(F767,SEARCH("QTY",F767)+4,IFERROR(FIND(" ",F767,SEARCH("QTY",F767)+4)-(SEARCH("QTY",F767)+4),3))),""))</f>
        <v>0</v>
      </c>
      <c r="M767">
        <f>'Raw Data'!O767</f>
        <v>0</v>
      </c>
      <c r="N767">
        <f>'Raw Data'!P767</f>
        <v>0</v>
      </c>
      <c r="O767">
        <f>'Raw Data'!Q767</f>
        <v>0</v>
      </c>
      <c r="P767">
        <f>'Raw Data'!R767</f>
        <v>0</v>
      </c>
      <c r="Q767">
        <f>'Raw Data'!S767</f>
        <v>0</v>
      </c>
      <c r="R767">
        <f>'Raw Data'!T767</f>
        <v>0</v>
      </c>
      <c r="S767">
        <f>IFERROR(O767,0)+IFERROR(R767,0)</f>
        <v>0</v>
      </c>
      <c r="T767">
        <f>IF(A767="","",YEAR(A767))</f>
        <v>0</v>
      </c>
    </row>
    <row r="768" spans="1:20">
      <c r="A768">
        <f>'Raw Data'!B768</f>
        <v>0</v>
      </c>
      <c r="B768">
        <f>'Raw Data'!A768</f>
        <v>0</v>
      </c>
      <c r="C768">
        <f>'Raw Data'!C768</f>
        <v>0</v>
      </c>
      <c r="D768">
        <f>'Raw Data'!D768</f>
        <v>0</v>
      </c>
      <c r="E768">
        <f>IFERROR(VLOOKUP(D768,'Lookup Tables'!$A:$B,2,FALSE),"Unknown")</f>
        <v>0</v>
      </c>
      <c r="F768">
        <f>'Raw Data'!E768</f>
        <v>0</v>
      </c>
      <c r="G768">
        <f>IFERROR(VLOOKUP(D768,'Lookup Tables'!$A:$C,3,FALSE),IF(ISNUMBER(SEARCH("STEEL",F768)),"Steel","Others"))</f>
        <v>0</v>
      </c>
      <c r="H768">
        <f>IF(ISNUMBER(SEARCH("scrubber",F768)) , "Scrubber", IF(ISNUMBER(SEARCH("container",F768)),"Container", IF(ISNUMBER(SEARCH("basket",F768)),"Basket", IF(ISNUMBER(SEARCH("lunch",F768)),"Lunch Box", IF(ISNUMBER(SEARCH("cutlery",F768)),"Cutlery","Other")))))</f>
        <v>0</v>
      </c>
      <c r="I768">
        <f>IF('Raw Data'!G768&lt;&gt;'','Raw Data'!G768,IFERROR(MID(F768,SEARCH("MODEL",F768)+6,20),""))</f>
        <v>0</v>
      </c>
      <c r="J768">
        <f>'Raw Data'!H768</f>
        <v>0</v>
      </c>
      <c r="K768">
        <f>'Raw Data'!I768</f>
        <v>0</v>
      </c>
      <c r="L768">
        <f>IF('Raw Data'!N768&lt;&gt;0,'Raw Data'!N768,IFERROR(VALUE(MID(F768,SEARCH("QTY",F768)+4,IFERROR(FIND(" ",F768,SEARCH("QTY",F768)+4)-(SEARCH("QTY",F768)+4),3))),""))</f>
        <v>0</v>
      </c>
      <c r="M768">
        <f>'Raw Data'!O768</f>
        <v>0</v>
      </c>
      <c r="N768">
        <f>'Raw Data'!P768</f>
        <v>0</v>
      </c>
      <c r="O768">
        <f>'Raw Data'!Q768</f>
        <v>0</v>
      </c>
      <c r="P768">
        <f>'Raw Data'!R768</f>
        <v>0</v>
      </c>
      <c r="Q768">
        <f>'Raw Data'!S768</f>
        <v>0</v>
      </c>
      <c r="R768">
        <f>'Raw Data'!T768</f>
        <v>0</v>
      </c>
      <c r="S768">
        <f>IFERROR(O768,0)+IFERROR(R768,0)</f>
        <v>0</v>
      </c>
      <c r="T768">
        <f>IF(A768="","",YEAR(A768))</f>
        <v>0</v>
      </c>
    </row>
    <row r="769" spans="1:20">
      <c r="A769">
        <f>'Raw Data'!B769</f>
        <v>0</v>
      </c>
      <c r="B769">
        <f>'Raw Data'!A769</f>
        <v>0</v>
      </c>
      <c r="C769">
        <f>'Raw Data'!C769</f>
        <v>0</v>
      </c>
      <c r="D769">
        <f>'Raw Data'!D769</f>
        <v>0</v>
      </c>
      <c r="E769">
        <f>IFERROR(VLOOKUP(D769,'Lookup Tables'!$A:$B,2,FALSE),"Unknown")</f>
        <v>0</v>
      </c>
      <c r="F769">
        <f>'Raw Data'!E769</f>
        <v>0</v>
      </c>
      <c r="G769">
        <f>IFERROR(VLOOKUP(D769,'Lookup Tables'!$A:$C,3,FALSE),IF(ISNUMBER(SEARCH("STEEL",F769)),"Steel","Others"))</f>
        <v>0</v>
      </c>
      <c r="H769">
        <f>IF(ISNUMBER(SEARCH("scrubber",F769)) , "Scrubber", IF(ISNUMBER(SEARCH("container",F769)),"Container", IF(ISNUMBER(SEARCH("basket",F769)),"Basket", IF(ISNUMBER(SEARCH("lunch",F769)),"Lunch Box", IF(ISNUMBER(SEARCH("cutlery",F769)),"Cutlery","Other")))))</f>
        <v>0</v>
      </c>
      <c r="I769">
        <f>IF('Raw Data'!G769&lt;&gt;'','Raw Data'!G769,IFERROR(MID(F769,SEARCH("MODEL",F769)+6,20),""))</f>
        <v>0</v>
      </c>
      <c r="J769">
        <f>'Raw Data'!H769</f>
        <v>0</v>
      </c>
      <c r="K769">
        <f>'Raw Data'!I769</f>
        <v>0</v>
      </c>
      <c r="L769">
        <f>IF('Raw Data'!N769&lt;&gt;0,'Raw Data'!N769,IFERROR(VALUE(MID(F769,SEARCH("QTY",F769)+4,IFERROR(FIND(" ",F769,SEARCH("QTY",F769)+4)-(SEARCH("QTY",F769)+4),3))),""))</f>
        <v>0</v>
      </c>
      <c r="M769">
        <f>'Raw Data'!O769</f>
        <v>0</v>
      </c>
      <c r="N769">
        <f>'Raw Data'!P769</f>
        <v>0</v>
      </c>
      <c r="O769">
        <f>'Raw Data'!Q769</f>
        <v>0</v>
      </c>
      <c r="P769">
        <f>'Raw Data'!R769</f>
        <v>0</v>
      </c>
      <c r="Q769">
        <f>'Raw Data'!S769</f>
        <v>0</v>
      </c>
      <c r="R769">
        <f>'Raw Data'!T769</f>
        <v>0</v>
      </c>
      <c r="S769">
        <f>IFERROR(O769,0)+IFERROR(R769,0)</f>
        <v>0</v>
      </c>
      <c r="T769">
        <f>IF(A769="","",YEAR(A769))</f>
        <v>0</v>
      </c>
    </row>
    <row r="770" spans="1:20">
      <c r="A770">
        <f>'Raw Data'!B770</f>
        <v>0</v>
      </c>
      <c r="B770">
        <f>'Raw Data'!A770</f>
        <v>0</v>
      </c>
      <c r="C770">
        <f>'Raw Data'!C770</f>
        <v>0</v>
      </c>
      <c r="D770">
        <f>'Raw Data'!D770</f>
        <v>0</v>
      </c>
      <c r="E770">
        <f>IFERROR(VLOOKUP(D770,'Lookup Tables'!$A:$B,2,FALSE),"Unknown")</f>
        <v>0</v>
      </c>
      <c r="F770">
        <f>'Raw Data'!E770</f>
        <v>0</v>
      </c>
      <c r="G770">
        <f>IFERROR(VLOOKUP(D770,'Lookup Tables'!$A:$C,3,FALSE),IF(ISNUMBER(SEARCH("STEEL",F770)),"Steel","Others"))</f>
        <v>0</v>
      </c>
      <c r="H770">
        <f>IF(ISNUMBER(SEARCH("scrubber",F770)) , "Scrubber", IF(ISNUMBER(SEARCH("container",F770)),"Container", IF(ISNUMBER(SEARCH("basket",F770)),"Basket", IF(ISNUMBER(SEARCH("lunch",F770)),"Lunch Box", IF(ISNUMBER(SEARCH("cutlery",F770)),"Cutlery","Other")))))</f>
        <v>0</v>
      </c>
      <c r="I770">
        <f>IF('Raw Data'!G770&lt;&gt;'','Raw Data'!G770,IFERROR(MID(F770,SEARCH("MODEL",F770)+6,20),""))</f>
        <v>0</v>
      </c>
      <c r="J770">
        <f>'Raw Data'!H770</f>
        <v>0</v>
      </c>
      <c r="K770">
        <f>'Raw Data'!I770</f>
        <v>0</v>
      </c>
      <c r="L770">
        <f>IF('Raw Data'!N770&lt;&gt;0,'Raw Data'!N770,IFERROR(VALUE(MID(F770,SEARCH("QTY",F770)+4,IFERROR(FIND(" ",F770,SEARCH("QTY",F770)+4)-(SEARCH("QTY",F770)+4),3))),""))</f>
        <v>0</v>
      </c>
      <c r="M770">
        <f>'Raw Data'!O770</f>
        <v>0</v>
      </c>
      <c r="N770">
        <f>'Raw Data'!P770</f>
        <v>0</v>
      </c>
      <c r="O770">
        <f>'Raw Data'!Q770</f>
        <v>0</v>
      </c>
      <c r="P770">
        <f>'Raw Data'!R770</f>
        <v>0</v>
      </c>
      <c r="Q770">
        <f>'Raw Data'!S770</f>
        <v>0</v>
      </c>
      <c r="R770">
        <f>'Raw Data'!T770</f>
        <v>0</v>
      </c>
      <c r="S770">
        <f>IFERROR(O770,0)+IFERROR(R770,0)</f>
        <v>0</v>
      </c>
      <c r="T770">
        <f>IF(A770="","",YEAR(A770))</f>
        <v>0</v>
      </c>
    </row>
    <row r="771" spans="1:20">
      <c r="A771">
        <f>'Raw Data'!B771</f>
        <v>0</v>
      </c>
      <c r="B771">
        <f>'Raw Data'!A771</f>
        <v>0</v>
      </c>
      <c r="C771">
        <f>'Raw Data'!C771</f>
        <v>0</v>
      </c>
      <c r="D771">
        <f>'Raw Data'!D771</f>
        <v>0</v>
      </c>
      <c r="E771">
        <f>IFERROR(VLOOKUP(D771,'Lookup Tables'!$A:$B,2,FALSE),"Unknown")</f>
        <v>0</v>
      </c>
      <c r="F771">
        <f>'Raw Data'!E771</f>
        <v>0</v>
      </c>
      <c r="G771">
        <f>IFERROR(VLOOKUP(D771,'Lookup Tables'!$A:$C,3,FALSE),IF(ISNUMBER(SEARCH("STEEL",F771)),"Steel","Others"))</f>
        <v>0</v>
      </c>
      <c r="H771">
        <f>IF(ISNUMBER(SEARCH("scrubber",F771)) , "Scrubber", IF(ISNUMBER(SEARCH("container",F771)),"Container", IF(ISNUMBER(SEARCH("basket",F771)),"Basket", IF(ISNUMBER(SEARCH("lunch",F771)),"Lunch Box", IF(ISNUMBER(SEARCH("cutlery",F771)),"Cutlery","Other")))))</f>
        <v>0</v>
      </c>
      <c r="I771">
        <f>IF('Raw Data'!G771&lt;&gt;'','Raw Data'!G771,IFERROR(MID(F771,SEARCH("MODEL",F771)+6,20),""))</f>
        <v>0</v>
      </c>
      <c r="J771">
        <f>'Raw Data'!H771</f>
        <v>0</v>
      </c>
      <c r="K771">
        <f>'Raw Data'!I771</f>
        <v>0</v>
      </c>
      <c r="L771">
        <f>IF('Raw Data'!N771&lt;&gt;0,'Raw Data'!N771,IFERROR(VALUE(MID(F771,SEARCH("QTY",F771)+4,IFERROR(FIND(" ",F771,SEARCH("QTY",F771)+4)-(SEARCH("QTY",F771)+4),3))),""))</f>
        <v>0</v>
      </c>
      <c r="M771">
        <f>'Raw Data'!O771</f>
        <v>0</v>
      </c>
      <c r="N771">
        <f>'Raw Data'!P771</f>
        <v>0</v>
      </c>
      <c r="O771">
        <f>'Raw Data'!Q771</f>
        <v>0</v>
      </c>
      <c r="P771">
        <f>'Raw Data'!R771</f>
        <v>0</v>
      </c>
      <c r="Q771">
        <f>'Raw Data'!S771</f>
        <v>0</v>
      </c>
      <c r="R771">
        <f>'Raw Data'!T771</f>
        <v>0</v>
      </c>
      <c r="S771">
        <f>IFERROR(O771,0)+IFERROR(R771,0)</f>
        <v>0</v>
      </c>
      <c r="T771">
        <f>IF(A771="","",YEAR(A771))</f>
        <v>0</v>
      </c>
    </row>
    <row r="772" spans="1:20">
      <c r="A772">
        <f>'Raw Data'!B772</f>
        <v>0</v>
      </c>
      <c r="B772">
        <f>'Raw Data'!A772</f>
        <v>0</v>
      </c>
      <c r="C772">
        <f>'Raw Data'!C772</f>
        <v>0</v>
      </c>
      <c r="D772">
        <f>'Raw Data'!D772</f>
        <v>0</v>
      </c>
      <c r="E772">
        <f>IFERROR(VLOOKUP(D772,'Lookup Tables'!$A:$B,2,FALSE),"Unknown")</f>
        <v>0</v>
      </c>
      <c r="F772">
        <f>'Raw Data'!E772</f>
        <v>0</v>
      </c>
      <c r="G772">
        <f>IFERROR(VLOOKUP(D772,'Lookup Tables'!$A:$C,3,FALSE),IF(ISNUMBER(SEARCH("STEEL",F772)),"Steel","Others"))</f>
        <v>0</v>
      </c>
      <c r="H772">
        <f>IF(ISNUMBER(SEARCH("scrubber",F772)) , "Scrubber", IF(ISNUMBER(SEARCH("container",F772)),"Container", IF(ISNUMBER(SEARCH("basket",F772)),"Basket", IF(ISNUMBER(SEARCH("lunch",F772)),"Lunch Box", IF(ISNUMBER(SEARCH("cutlery",F772)),"Cutlery","Other")))))</f>
        <v>0</v>
      </c>
      <c r="I772">
        <f>IF('Raw Data'!G772&lt;&gt;'','Raw Data'!G772,IFERROR(MID(F772,SEARCH("MODEL",F772)+6,20),""))</f>
        <v>0</v>
      </c>
      <c r="J772">
        <f>'Raw Data'!H772</f>
        <v>0</v>
      </c>
      <c r="K772">
        <f>'Raw Data'!I772</f>
        <v>0</v>
      </c>
      <c r="L772">
        <f>IF('Raw Data'!N772&lt;&gt;0,'Raw Data'!N772,IFERROR(VALUE(MID(F772,SEARCH("QTY",F772)+4,IFERROR(FIND(" ",F772,SEARCH("QTY",F772)+4)-(SEARCH("QTY",F772)+4),3))),""))</f>
        <v>0</v>
      </c>
      <c r="M772">
        <f>'Raw Data'!O772</f>
        <v>0</v>
      </c>
      <c r="N772">
        <f>'Raw Data'!P772</f>
        <v>0</v>
      </c>
      <c r="O772">
        <f>'Raw Data'!Q772</f>
        <v>0</v>
      </c>
      <c r="P772">
        <f>'Raw Data'!R772</f>
        <v>0</v>
      </c>
      <c r="Q772">
        <f>'Raw Data'!S772</f>
        <v>0</v>
      </c>
      <c r="R772">
        <f>'Raw Data'!T772</f>
        <v>0</v>
      </c>
      <c r="S772">
        <f>IFERROR(O772,0)+IFERROR(R772,0)</f>
        <v>0</v>
      </c>
      <c r="T772">
        <f>IF(A772="","",YEAR(A772))</f>
        <v>0</v>
      </c>
    </row>
    <row r="773" spans="1:20">
      <c r="A773">
        <f>'Raw Data'!B773</f>
        <v>0</v>
      </c>
      <c r="B773">
        <f>'Raw Data'!A773</f>
        <v>0</v>
      </c>
      <c r="C773">
        <f>'Raw Data'!C773</f>
        <v>0</v>
      </c>
      <c r="D773">
        <f>'Raw Data'!D773</f>
        <v>0</v>
      </c>
      <c r="E773">
        <f>IFERROR(VLOOKUP(D773,'Lookup Tables'!$A:$B,2,FALSE),"Unknown")</f>
        <v>0</v>
      </c>
      <c r="F773">
        <f>'Raw Data'!E773</f>
        <v>0</v>
      </c>
      <c r="G773">
        <f>IFERROR(VLOOKUP(D773,'Lookup Tables'!$A:$C,3,FALSE),IF(ISNUMBER(SEARCH("STEEL",F773)),"Steel","Others"))</f>
        <v>0</v>
      </c>
      <c r="H773">
        <f>IF(ISNUMBER(SEARCH("scrubber",F773)) , "Scrubber", IF(ISNUMBER(SEARCH("container",F773)),"Container", IF(ISNUMBER(SEARCH("basket",F773)),"Basket", IF(ISNUMBER(SEARCH("lunch",F773)),"Lunch Box", IF(ISNUMBER(SEARCH("cutlery",F773)),"Cutlery","Other")))))</f>
        <v>0</v>
      </c>
      <c r="I773">
        <f>IF('Raw Data'!G773&lt;&gt;'','Raw Data'!G773,IFERROR(MID(F773,SEARCH("MODEL",F773)+6,20),""))</f>
        <v>0</v>
      </c>
      <c r="J773">
        <f>'Raw Data'!H773</f>
        <v>0</v>
      </c>
      <c r="K773">
        <f>'Raw Data'!I773</f>
        <v>0</v>
      </c>
      <c r="L773">
        <f>IF('Raw Data'!N773&lt;&gt;0,'Raw Data'!N773,IFERROR(VALUE(MID(F773,SEARCH("QTY",F773)+4,IFERROR(FIND(" ",F773,SEARCH("QTY",F773)+4)-(SEARCH("QTY",F773)+4),3))),""))</f>
        <v>0</v>
      </c>
      <c r="M773">
        <f>'Raw Data'!O773</f>
        <v>0</v>
      </c>
      <c r="N773">
        <f>'Raw Data'!P773</f>
        <v>0</v>
      </c>
      <c r="O773">
        <f>'Raw Data'!Q773</f>
        <v>0</v>
      </c>
      <c r="P773">
        <f>'Raw Data'!R773</f>
        <v>0</v>
      </c>
      <c r="Q773">
        <f>'Raw Data'!S773</f>
        <v>0</v>
      </c>
      <c r="R773">
        <f>'Raw Data'!T773</f>
        <v>0</v>
      </c>
      <c r="S773">
        <f>IFERROR(O773,0)+IFERROR(R773,0)</f>
        <v>0</v>
      </c>
      <c r="T773">
        <f>IF(A773="","",YEAR(A773))</f>
        <v>0</v>
      </c>
    </row>
    <row r="774" spans="1:20">
      <c r="A774">
        <f>'Raw Data'!B774</f>
        <v>0</v>
      </c>
      <c r="B774">
        <f>'Raw Data'!A774</f>
        <v>0</v>
      </c>
      <c r="C774">
        <f>'Raw Data'!C774</f>
        <v>0</v>
      </c>
      <c r="D774">
        <f>'Raw Data'!D774</f>
        <v>0</v>
      </c>
      <c r="E774">
        <f>IFERROR(VLOOKUP(D774,'Lookup Tables'!$A:$B,2,FALSE),"Unknown")</f>
        <v>0</v>
      </c>
      <c r="F774">
        <f>'Raw Data'!E774</f>
        <v>0</v>
      </c>
      <c r="G774">
        <f>IFERROR(VLOOKUP(D774,'Lookup Tables'!$A:$C,3,FALSE),IF(ISNUMBER(SEARCH("STEEL",F774)),"Steel","Others"))</f>
        <v>0</v>
      </c>
      <c r="H774">
        <f>IF(ISNUMBER(SEARCH("scrubber",F774)) , "Scrubber", IF(ISNUMBER(SEARCH("container",F774)),"Container", IF(ISNUMBER(SEARCH("basket",F774)),"Basket", IF(ISNUMBER(SEARCH("lunch",F774)),"Lunch Box", IF(ISNUMBER(SEARCH("cutlery",F774)),"Cutlery","Other")))))</f>
        <v>0</v>
      </c>
      <c r="I774">
        <f>IF('Raw Data'!G774&lt;&gt;'','Raw Data'!G774,IFERROR(MID(F774,SEARCH("MODEL",F774)+6,20),""))</f>
        <v>0</v>
      </c>
      <c r="J774">
        <f>'Raw Data'!H774</f>
        <v>0</v>
      </c>
      <c r="K774">
        <f>'Raw Data'!I774</f>
        <v>0</v>
      </c>
      <c r="L774">
        <f>IF('Raw Data'!N774&lt;&gt;0,'Raw Data'!N774,IFERROR(VALUE(MID(F774,SEARCH("QTY",F774)+4,IFERROR(FIND(" ",F774,SEARCH("QTY",F774)+4)-(SEARCH("QTY",F774)+4),3))),""))</f>
        <v>0</v>
      </c>
      <c r="M774">
        <f>'Raw Data'!O774</f>
        <v>0</v>
      </c>
      <c r="N774">
        <f>'Raw Data'!P774</f>
        <v>0</v>
      </c>
      <c r="O774">
        <f>'Raw Data'!Q774</f>
        <v>0</v>
      </c>
      <c r="P774">
        <f>'Raw Data'!R774</f>
        <v>0</v>
      </c>
      <c r="Q774">
        <f>'Raw Data'!S774</f>
        <v>0</v>
      </c>
      <c r="R774">
        <f>'Raw Data'!T774</f>
        <v>0</v>
      </c>
      <c r="S774">
        <f>IFERROR(O774,0)+IFERROR(R774,0)</f>
        <v>0</v>
      </c>
      <c r="T774">
        <f>IF(A774="","",YEAR(A774))</f>
        <v>0</v>
      </c>
    </row>
    <row r="775" spans="1:20">
      <c r="A775">
        <f>'Raw Data'!B775</f>
        <v>0</v>
      </c>
      <c r="B775">
        <f>'Raw Data'!A775</f>
        <v>0</v>
      </c>
      <c r="C775">
        <f>'Raw Data'!C775</f>
        <v>0</v>
      </c>
      <c r="D775">
        <f>'Raw Data'!D775</f>
        <v>0</v>
      </c>
      <c r="E775">
        <f>IFERROR(VLOOKUP(D775,'Lookup Tables'!$A:$B,2,FALSE),"Unknown")</f>
        <v>0</v>
      </c>
      <c r="F775">
        <f>'Raw Data'!E775</f>
        <v>0</v>
      </c>
      <c r="G775">
        <f>IFERROR(VLOOKUP(D775,'Lookup Tables'!$A:$C,3,FALSE),IF(ISNUMBER(SEARCH("STEEL",F775)),"Steel","Others"))</f>
        <v>0</v>
      </c>
      <c r="H775">
        <f>IF(ISNUMBER(SEARCH("scrubber",F775)) , "Scrubber", IF(ISNUMBER(SEARCH("container",F775)),"Container", IF(ISNUMBER(SEARCH("basket",F775)),"Basket", IF(ISNUMBER(SEARCH("lunch",F775)),"Lunch Box", IF(ISNUMBER(SEARCH("cutlery",F775)),"Cutlery","Other")))))</f>
        <v>0</v>
      </c>
      <c r="I775">
        <f>IF('Raw Data'!G775&lt;&gt;'','Raw Data'!G775,IFERROR(MID(F775,SEARCH("MODEL",F775)+6,20),""))</f>
        <v>0</v>
      </c>
      <c r="J775">
        <f>'Raw Data'!H775</f>
        <v>0</v>
      </c>
      <c r="K775">
        <f>'Raw Data'!I775</f>
        <v>0</v>
      </c>
      <c r="L775">
        <f>IF('Raw Data'!N775&lt;&gt;0,'Raw Data'!N775,IFERROR(VALUE(MID(F775,SEARCH("QTY",F775)+4,IFERROR(FIND(" ",F775,SEARCH("QTY",F775)+4)-(SEARCH("QTY",F775)+4),3))),""))</f>
        <v>0</v>
      </c>
      <c r="M775">
        <f>'Raw Data'!O775</f>
        <v>0</v>
      </c>
      <c r="N775">
        <f>'Raw Data'!P775</f>
        <v>0</v>
      </c>
      <c r="O775">
        <f>'Raw Data'!Q775</f>
        <v>0</v>
      </c>
      <c r="P775">
        <f>'Raw Data'!R775</f>
        <v>0</v>
      </c>
      <c r="Q775">
        <f>'Raw Data'!S775</f>
        <v>0</v>
      </c>
      <c r="R775">
        <f>'Raw Data'!T775</f>
        <v>0</v>
      </c>
      <c r="S775">
        <f>IFERROR(O775,0)+IFERROR(R775,0)</f>
        <v>0</v>
      </c>
      <c r="T775">
        <f>IF(A775="","",YEAR(A775))</f>
        <v>0</v>
      </c>
    </row>
    <row r="776" spans="1:20">
      <c r="A776">
        <f>'Raw Data'!B776</f>
        <v>0</v>
      </c>
      <c r="B776">
        <f>'Raw Data'!A776</f>
        <v>0</v>
      </c>
      <c r="C776">
        <f>'Raw Data'!C776</f>
        <v>0</v>
      </c>
      <c r="D776">
        <f>'Raw Data'!D776</f>
        <v>0</v>
      </c>
      <c r="E776">
        <f>IFERROR(VLOOKUP(D776,'Lookup Tables'!$A:$B,2,FALSE),"Unknown")</f>
        <v>0</v>
      </c>
      <c r="F776">
        <f>'Raw Data'!E776</f>
        <v>0</v>
      </c>
      <c r="G776">
        <f>IFERROR(VLOOKUP(D776,'Lookup Tables'!$A:$C,3,FALSE),IF(ISNUMBER(SEARCH("STEEL",F776)),"Steel","Others"))</f>
        <v>0</v>
      </c>
      <c r="H776">
        <f>IF(ISNUMBER(SEARCH("scrubber",F776)) , "Scrubber", IF(ISNUMBER(SEARCH("container",F776)),"Container", IF(ISNUMBER(SEARCH("basket",F776)),"Basket", IF(ISNUMBER(SEARCH("lunch",F776)),"Lunch Box", IF(ISNUMBER(SEARCH("cutlery",F776)),"Cutlery","Other")))))</f>
        <v>0</v>
      </c>
      <c r="I776">
        <f>IF('Raw Data'!G776&lt;&gt;'','Raw Data'!G776,IFERROR(MID(F776,SEARCH("MODEL",F776)+6,20),""))</f>
        <v>0</v>
      </c>
      <c r="J776">
        <f>'Raw Data'!H776</f>
        <v>0</v>
      </c>
      <c r="K776">
        <f>'Raw Data'!I776</f>
        <v>0</v>
      </c>
      <c r="L776">
        <f>IF('Raw Data'!N776&lt;&gt;0,'Raw Data'!N776,IFERROR(VALUE(MID(F776,SEARCH("QTY",F776)+4,IFERROR(FIND(" ",F776,SEARCH("QTY",F776)+4)-(SEARCH("QTY",F776)+4),3))),""))</f>
        <v>0</v>
      </c>
      <c r="M776">
        <f>'Raw Data'!O776</f>
        <v>0</v>
      </c>
      <c r="N776">
        <f>'Raw Data'!P776</f>
        <v>0</v>
      </c>
      <c r="O776">
        <f>'Raw Data'!Q776</f>
        <v>0</v>
      </c>
      <c r="P776">
        <f>'Raw Data'!R776</f>
        <v>0</v>
      </c>
      <c r="Q776">
        <f>'Raw Data'!S776</f>
        <v>0</v>
      </c>
      <c r="R776">
        <f>'Raw Data'!T776</f>
        <v>0</v>
      </c>
      <c r="S776">
        <f>IFERROR(O776,0)+IFERROR(R776,0)</f>
        <v>0</v>
      </c>
      <c r="T776">
        <f>IF(A776="","",YEAR(A776))</f>
        <v>0</v>
      </c>
    </row>
    <row r="777" spans="1:20">
      <c r="A777">
        <f>'Raw Data'!B777</f>
        <v>0</v>
      </c>
      <c r="B777">
        <f>'Raw Data'!A777</f>
        <v>0</v>
      </c>
      <c r="C777">
        <f>'Raw Data'!C777</f>
        <v>0</v>
      </c>
      <c r="D777">
        <f>'Raw Data'!D777</f>
        <v>0</v>
      </c>
      <c r="E777">
        <f>IFERROR(VLOOKUP(D777,'Lookup Tables'!$A:$B,2,FALSE),"Unknown")</f>
        <v>0</v>
      </c>
      <c r="F777">
        <f>'Raw Data'!E777</f>
        <v>0</v>
      </c>
      <c r="G777">
        <f>IFERROR(VLOOKUP(D777,'Lookup Tables'!$A:$C,3,FALSE),IF(ISNUMBER(SEARCH("STEEL",F777)),"Steel","Others"))</f>
        <v>0</v>
      </c>
      <c r="H777">
        <f>IF(ISNUMBER(SEARCH("scrubber",F777)) , "Scrubber", IF(ISNUMBER(SEARCH("container",F777)),"Container", IF(ISNUMBER(SEARCH("basket",F777)),"Basket", IF(ISNUMBER(SEARCH("lunch",F777)),"Lunch Box", IF(ISNUMBER(SEARCH("cutlery",F777)),"Cutlery","Other")))))</f>
        <v>0</v>
      </c>
      <c r="I777">
        <f>IF('Raw Data'!G777&lt;&gt;'','Raw Data'!G777,IFERROR(MID(F777,SEARCH("MODEL",F777)+6,20),""))</f>
        <v>0</v>
      </c>
      <c r="J777">
        <f>'Raw Data'!H777</f>
        <v>0</v>
      </c>
      <c r="K777">
        <f>'Raw Data'!I777</f>
        <v>0</v>
      </c>
      <c r="L777">
        <f>IF('Raw Data'!N777&lt;&gt;0,'Raw Data'!N777,IFERROR(VALUE(MID(F777,SEARCH("QTY",F777)+4,IFERROR(FIND(" ",F777,SEARCH("QTY",F777)+4)-(SEARCH("QTY",F777)+4),3))),""))</f>
        <v>0</v>
      </c>
      <c r="M777">
        <f>'Raw Data'!O777</f>
        <v>0</v>
      </c>
      <c r="N777">
        <f>'Raw Data'!P777</f>
        <v>0</v>
      </c>
      <c r="O777">
        <f>'Raw Data'!Q777</f>
        <v>0</v>
      </c>
      <c r="P777">
        <f>'Raw Data'!R777</f>
        <v>0</v>
      </c>
      <c r="Q777">
        <f>'Raw Data'!S777</f>
        <v>0</v>
      </c>
      <c r="R777">
        <f>'Raw Data'!T777</f>
        <v>0</v>
      </c>
      <c r="S777">
        <f>IFERROR(O777,0)+IFERROR(R777,0)</f>
        <v>0</v>
      </c>
      <c r="T777">
        <f>IF(A777="","",YEAR(A777))</f>
        <v>0</v>
      </c>
    </row>
    <row r="778" spans="1:20">
      <c r="A778">
        <f>'Raw Data'!B778</f>
        <v>0</v>
      </c>
      <c r="B778">
        <f>'Raw Data'!A778</f>
        <v>0</v>
      </c>
      <c r="C778">
        <f>'Raw Data'!C778</f>
        <v>0</v>
      </c>
      <c r="D778">
        <f>'Raw Data'!D778</f>
        <v>0</v>
      </c>
      <c r="E778">
        <f>IFERROR(VLOOKUP(D778,'Lookup Tables'!$A:$B,2,FALSE),"Unknown")</f>
        <v>0</v>
      </c>
      <c r="F778">
        <f>'Raw Data'!E778</f>
        <v>0</v>
      </c>
      <c r="G778">
        <f>IFERROR(VLOOKUP(D778,'Lookup Tables'!$A:$C,3,FALSE),IF(ISNUMBER(SEARCH("STEEL",F778)),"Steel","Others"))</f>
        <v>0</v>
      </c>
      <c r="H778">
        <f>IF(ISNUMBER(SEARCH("scrubber",F778)) , "Scrubber", IF(ISNUMBER(SEARCH("container",F778)),"Container", IF(ISNUMBER(SEARCH("basket",F778)),"Basket", IF(ISNUMBER(SEARCH("lunch",F778)),"Lunch Box", IF(ISNUMBER(SEARCH("cutlery",F778)),"Cutlery","Other")))))</f>
        <v>0</v>
      </c>
      <c r="I778">
        <f>IF('Raw Data'!G778&lt;&gt;'','Raw Data'!G778,IFERROR(MID(F778,SEARCH("MODEL",F778)+6,20),""))</f>
        <v>0</v>
      </c>
      <c r="J778">
        <f>'Raw Data'!H778</f>
        <v>0</v>
      </c>
      <c r="K778">
        <f>'Raw Data'!I778</f>
        <v>0</v>
      </c>
      <c r="L778">
        <f>IF('Raw Data'!N778&lt;&gt;0,'Raw Data'!N778,IFERROR(VALUE(MID(F778,SEARCH("QTY",F778)+4,IFERROR(FIND(" ",F778,SEARCH("QTY",F778)+4)-(SEARCH("QTY",F778)+4),3))),""))</f>
        <v>0</v>
      </c>
      <c r="M778">
        <f>'Raw Data'!O778</f>
        <v>0</v>
      </c>
      <c r="N778">
        <f>'Raw Data'!P778</f>
        <v>0</v>
      </c>
      <c r="O778">
        <f>'Raw Data'!Q778</f>
        <v>0</v>
      </c>
      <c r="P778">
        <f>'Raw Data'!R778</f>
        <v>0</v>
      </c>
      <c r="Q778">
        <f>'Raw Data'!S778</f>
        <v>0</v>
      </c>
      <c r="R778">
        <f>'Raw Data'!T778</f>
        <v>0</v>
      </c>
      <c r="S778">
        <f>IFERROR(O778,0)+IFERROR(R778,0)</f>
        <v>0</v>
      </c>
      <c r="T778">
        <f>IF(A778="","",YEAR(A778))</f>
        <v>0</v>
      </c>
    </row>
    <row r="779" spans="1:20">
      <c r="A779">
        <f>'Raw Data'!B779</f>
        <v>0</v>
      </c>
      <c r="B779">
        <f>'Raw Data'!A779</f>
        <v>0</v>
      </c>
      <c r="C779">
        <f>'Raw Data'!C779</f>
        <v>0</v>
      </c>
      <c r="D779">
        <f>'Raw Data'!D779</f>
        <v>0</v>
      </c>
      <c r="E779">
        <f>IFERROR(VLOOKUP(D779,'Lookup Tables'!$A:$B,2,FALSE),"Unknown")</f>
        <v>0</v>
      </c>
      <c r="F779">
        <f>'Raw Data'!E779</f>
        <v>0</v>
      </c>
      <c r="G779">
        <f>IFERROR(VLOOKUP(D779,'Lookup Tables'!$A:$C,3,FALSE),IF(ISNUMBER(SEARCH("STEEL",F779)),"Steel","Others"))</f>
        <v>0</v>
      </c>
      <c r="H779">
        <f>IF(ISNUMBER(SEARCH("scrubber",F779)) , "Scrubber", IF(ISNUMBER(SEARCH("container",F779)),"Container", IF(ISNUMBER(SEARCH("basket",F779)),"Basket", IF(ISNUMBER(SEARCH("lunch",F779)),"Lunch Box", IF(ISNUMBER(SEARCH("cutlery",F779)),"Cutlery","Other")))))</f>
        <v>0</v>
      </c>
      <c r="I779">
        <f>IF('Raw Data'!G779&lt;&gt;'','Raw Data'!G779,IFERROR(MID(F779,SEARCH("MODEL",F779)+6,20),""))</f>
        <v>0</v>
      </c>
      <c r="J779">
        <f>'Raw Data'!H779</f>
        <v>0</v>
      </c>
      <c r="K779">
        <f>'Raw Data'!I779</f>
        <v>0</v>
      </c>
      <c r="L779">
        <f>IF('Raw Data'!N779&lt;&gt;0,'Raw Data'!N779,IFERROR(VALUE(MID(F779,SEARCH("QTY",F779)+4,IFERROR(FIND(" ",F779,SEARCH("QTY",F779)+4)-(SEARCH("QTY",F779)+4),3))),""))</f>
        <v>0</v>
      </c>
      <c r="M779">
        <f>'Raw Data'!O779</f>
        <v>0</v>
      </c>
      <c r="N779">
        <f>'Raw Data'!P779</f>
        <v>0</v>
      </c>
      <c r="O779">
        <f>'Raw Data'!Q779</f>
        <v>0</v>
      </c>
      <c r="P779">
        <f>'Raw Data'!R779</f>
        <v>0</v>
      </c>
      <c r="Q779">
        <f>'Raw Data'!S779</f>
        <v>0</v>
      </c>
      <c r="R779">
        <f>'Raw Data'!T779</f>
        <v>0</v>
      </c>
      <c r="S779">
        <f>IFERROR(O779,0)+IFERROR(R779,0)</f>
        <v>0</v>
      </c>
      <c r="T779">
        <f>IF(A779="","",YEAR(A779))</f>
        <v>0</v>
      </c>
    </row>
    <row r="780" spans="1:20">
      <c r="A780">
        <f>'Raw Data'!B780</f>
        <v>0</v>
      </c>
      <c r="B780">
        <f>'Raw Data'!A780</f>
        <v>0</v>
      </c>
      <c r="C780">
        <f>'Raw Data'!C780</f>
        <v>0</v>
      </c>
      <c r="D780">
        <f>'Raw Data'!D780</f>
        <v>0</v>
      </c>
      <c r="E780">
        <f>IFERROR(VLOOKUP(D780,'Lookup Tables'!$A:$B,2,FALSE),"Unknown")</f>
        <v>0</v>
      </c>
      <c r="F780">
        <f>'Raw Data'!E780</f>
        <v>0</v>
      </c>
      <c r="G780">
        <f>IFERROR(VLOOKUP(D780,'Lookup Tables'!$A:$C,3,FALSE),IF(ISNUMBER(SEARCH("STEEL",F780)),"Steel","Others"))</f>
        <v>0</v>
      </c>
      <c r="H780">
        <f>IF(ISNUMBER(SEARCH("scrubber",F780)) , "Scrubber", IF(ISNUMBER(SEARCH("container",F780)),"Container", IF(ISNUMBER(SEARCH("basket",F780)),"Basket", IF(ISNUMBER(SEARCH("lunch",F780)),"Lunch Box", IF(ISNUMBER(SEARCH("cutlery",F780)),"Cutlery","Other")))))</f>
        <v>0</v>
      </c>
      <c r="I780">
        <f>IF('Raw Data'!G780&lt;&gt;'','Raw Data'!G780,IFERROR(MID(F780,SEARCH("MODEL",F780)+6,20),""))</f>
        <v>0</v>
      </c>
      <c r="J780">
        <f>'Raw Data'!H780</f>
        <v>0</v>
      </c>
      <c r="K780">
        <f>'Raw Data'!I780</f>
        <v>0</v>
      </c>
      <c r="L780">
        <f>IF('Raw Data'!N780&lt;&gt;0,'Raw Data'!N780,IFERROR(VALUE(MID(F780,SEARCH("QTY",F780)+4,IFERROR(FIND(" ",F780,SEARCH("QTY",F780)+4)-(SEARCH("QTY",F780)+4),3))),""))</f>
        <v>0</v>
      </c>
      <c r="M780">
        <f>'Raw Data'!O780</f>
        <v>0</v>
      </c>
      <c r="N780">
        <f>'Raw Data'!P780</f>
        <v>0</v>
      </c>
      <c r="O780">
        <f>'Raw Data'!Q780</f>
        <v>0</v>
      </c>
      <c r="P780">
        <f>'Raw Data'!R780</f>
        <v>0</v>
      </c>
      <c r="Q780">
        <f>'Raw Data'!S780</f>
        <v>0</v>
      </c>
      <c r="R780">
        <f>'Raw Data'!T780</f>
        <v>0</v>
      </c>
      <c r="S780">
        <f>IFERROR(O780,0)+IFERROR(R780,0)</f>
        <v>0</v>
      </c>
      <c r="T780">
        <f>IF(A780="","",YEAR(A780))</f>
        <v>0</v>
      </c>
    </row>
    <row r="781" spans="1:20">
      <c r="A781">
        <f>'Raw Data'!B781</f>
        <v>0</v>
      </c>
      <c r="B781">
        <f>'Raw Data'!A781</f>
        <v>0</v>
      </c>
      <c r="C781">
        <f>'Raw Data'!C781</f>
        <v>0</v>
      </c>
      <c r="D781">
        <f>'Raw Data'!D781</f>
        <v>0</v>
      </c>
      <c r="E781">
        <f>IFERROR(VLOOKUP(D781,'Lookup Tables'!$A:$B,2,FALSE),"Unknown")</f>
        <v>0</v>
      </c>
      <c r="F781">
        <f>'Raw Data'!E781</f>
        <v>0</v>
      </c>
      <c r="G781">
        <f>IFERROR(VLOOKUP(D781,'Lookup Tables'!$A:$C,3,FALSE),IF(ISNUMBER(SEARCH("STEEL",F781)),"Steel","Others"))</f>
        <v>0</v>
      </c>
      <c r="H781">
        <f>IF(ISNUMBER(SEARCH("scrubber",F781)) , "Scrubber", IF(ISNUMBER(SEARCH("container",F781)),"Container", IF(ISNUMBER(SEARCH("basket",F781)),"Basket", IF(ISNUMBER(SEARCH("lunch",F781)),"Lunch Box", IF(ISNUMBER(SEARCH("cutlery",F781)),"Cutlery","Other")))))</f>
        <v>0</v>
      </c>
      <c r="I781">
        <f>IF('Raw Data'!G781&lt;&gt;'','Raw Data'!G781,IFERROR(MID(F781,SEARCH("MODEL",F781)+6,20),""))</f>
        <v>0</v>
      </c>
      <c r="J781">
        <f>'Raw Data'!H781</f>
        <v>0</v>
      </c>
      <c r="K781">
        <f>'Raw Data'!I781</f>
        <v>0</v>
      </c>
      <c r="L781">
        <f>IF('Raw Data'!N781&lt;&gt;0,'Raw Data'!N781,IFERROR(VALUE(MID(F781,SEARCH("QTY",F781)+4,IFERROR(FIND(" ",F781,SEARCH("QTY",F781)+4)-(SEARCH("QTY",F781)+4),3))),""))</f>
        <v>0</v>
      </c>
      <c r="M781">
        <f>'Raw Data'!O781</f>
        <v>0</v>
      </c>
      <c r="N781">
        <f>'Raw Data'!P781</f>
        <v>0</v>
      </c>
      <c r="O781">
        <f>'Raw Data'!Q781</f>
        <v>0</v>
      </c>
      <c r="P781">
        <f>'Raw Data'!R781</f>
        <v>0</v>
      </c>
      <c r="Q781">
        <f>'Raw Data'!S781</f>
        <v>0</v>
      </c>
      <c r="R781">
        <f>'Raw Data'!T781</f>
        <v>0</v>
      </c>
      <c r="S781">
        <f>IFERROR(O781,0)+IFERROR(R781,0)</f>
        <v>0</v>
      </c>
      <c r="T781">
        <f>IF(A781="","",YEAR(A781))</f>
        <v>0</v>
      </c>
    </row>
    <row r="782" spans="1:20">
      <c r="A782">
        <f>'Raw Data'!B782</f>
        <v>0</v>
      </c>
      <c r="B782">
        <f>'Raw Data'!A782</f>
        <v>0</v>
      </c>
      <c r="C782">
        <f>'Raw Data'!C782</f>
        <v>0</v>
      </c>
      <c r="D782">
        <f>'Raw Data'!D782</f>
        <v>0</v>
      </c>
      <c r="E782">
        <f>IFERROR(VLOOKUP(D782,'Lookup Tables'!$A:$B,2,FALSE),"Unknown")</f>
        <v>0</v>
      </c>
      <c r="F782">
        <f>'Raw Data'!E782</f>
        <v>0</v>
      </c>
      <c r="G782">
        <f>IFERROR(VLOOKUP(D782,'Lookup Tables'!$A:$C,3,FALSE),IF(ISNUMBER(SEARCH("STEEL",F782)),"Steel","Others"))</f>
        <v>0</v>
      </c>
      <c r="H782">
        <f>IF(ISNUMBER(SEARCH("scrubber",F782)) , "Scrubber", IF(ISNUMBER(SEARCH("container",F782)),"Container", IF(ISNUMBER(SEARCH("basket",F782)),"Basket", IF(ISNUMBER(SEARCH("lunch",F782)),"Lunch Box", IF(ISNUMBER(SEARCH("cutlery",F782)),"Cutlery","Other")))))</f>
        <v>0</v>
      </c>
      <c r="I782">
        <f>IF('Raw Data'!G782&lt;&gt;'','Raw Data'!G782,IFERROR(MID(F782,SEARCH("MODEL",F782)+6,20),""))</f>
        <v>0</v>
      </c>
      <c r="J782">
        <f>'Raw Data'!H782</f>
        <v>0</v>
      </c>
      <c r="K782">
        <f>'Raw Data'!I782</f>
        <v>0</v>
      </c>
      <c r="L782">
        <f>IF('Raw Data'!N782&lt;&gt;0,'Raw Data'!N782,IFERROR(VALUE(MID(F782,SEARCH("QTY",F782)+4,IFERROR(FIND(" ",F782,SEARCH("QTY",F782)+4)-(SEARCH("QTY",F782)+4),3))),""))</f>
        <v>0</v>
      </c>
      <c r="M782">
        <f>'Raw Data'!O782</f>
        <v>0</v>
      </c>
      <c r="N782">
        <f>'Raw Data'!P782</f>
        <v>0</v>
      </c>
      <c r="O782">
        <f>'Raw Data'!Q782</f>
        <v>0</v>
      </c>
      <c r="P782">
        <f>'Raw Data'!R782</f>
        <v>0</v>
      </c>
      <c r="Q782">
        <f>'Raw Data'!S782</f>
        <v>0</v>
      </c>
      <c r="R782">
        <f>'Raw Data'!T782</f>
        <v>0</v>
      </c>
      <c r="S782">
        <f>IFERROR(O782,0)+IFERROR(R782,0)</f>
        <v>0</v>
      </c>
      <c r="T782">
        <f>IF(A782="","",YEAR(A782))</f>
        <v>0</v>
      </c>
    </row>
    <row r="783" spans="1:20">
      <c r="A783">
        <f>'Raw Data'!B783</f>
        <v>0</v>
      </c>
      <c r="B783">
        <f>'Raw Data'!A783</f>
        <v>0</v>
      </c>
      <c r="C783">
        <f>'Raw Data'!C783</f>
        <v>0</v>
      </c>
      <c r="D783">
        <f>'Raw Data'!D783</f>
        <v>0</v>
      </c>
      <c r="E783">
        <f>IFERROR(VLOOKUP(D783,'Lookup Tables'!$A:$B,2,FALSE),"Unknown")</f>
        <v>0</v>
      </c>
      <c r="F783">
        <f>'Raw Data'!E783</f>
        <v>0</v>
      </c>
      <c r="G783">
        <f>IFERROR(VLOOKUP(D783,'Lookup Tables'!$A:$C,3,FALSE),IF(ISNUMBER(SEARCH("STEEL",F783)),"Steel","Others"))</f>
        <v>0</v>
      </c>
      <c r="H783">
        <f>IF(ISNUMBER(SEARCH("scrubber",F783)) , "Scrubber", IF(ISNUMBER(SEARCH("container",F783)),"Container", IF(ISNUMBER(SEARCH("basket",F783)),"Basket", IF(ISNUMBER(SEARCH("lunch",F783)),"Lunch Box", IF(ISNUMBER(SEARCH("cutlery",F783)),"Cutlery","Other")))))</f>
        <v>0</v>
      </c>
      <c r="I783">
        <f>IF('Raw Data'!G783&lt;&gt;'','Raw Data'!G783,IFERROR(MID(F783,SEARCH("MODEL",F783)+6,20),""))</f>
        <v>0</v>
      </c>
      <c r="J783">
        <f>'Raw Data'!H783</f>
        <v>0</v>
      </c>
      <c r="K783">
        <f>'Raw Data'!I783</f>
        <v>0</v>
      </c>
      <c r="L783">
        <f>IF('Raw Data'!N783&lt;&gt;0,'Raw Data'!N783,IFERROR(VALUE(MID(F783,SEARCH("QTY",F783)+4,IFERROR(FIND(" ",F783,SEARCH("QTY",F783)+4)-(SEARCH("QTY",F783)+4),3))),""))</f>
        <v>0</v>
      </c>
      <c r="M783">
        <f>'Raw Data'!O783</f>
        <v>0</v>
      </c>
      <c r="N783">
        <f>'Raw Data'!P783</f>
        <v>0</v>
      </c>
      <c r="O783">
        <f>'Raw Data'!Q783</f>
        <v>0</v>
      </c>
      <c r="P783">
        <f>'Raw Data'!R783</f>
        <v>0</v>
      </c>
      <c r="Q783">
        <f>'Raw Data'!S783</f>
        <v>0</v>
      </c>
      <c r="R783">
        <f>'Raw Data'!T783</f>
        <v>0</v>
      </c>
      <c r="S783">
        <f>IFERROR(O783,0)+IFERROR(R783,0)</f>
        <v>0</v>
      </c>
      <c r="T783">
        <f>IF(A783="","",YEAR(A783))</f>
        <v>0</v>
      </c>
    </row>
    <row r="784" spans="1:20">
      <c r="A784">
        <f>'Raw Data'!B784</f>
        <v>0</v>
      </c>
      <c r="B784">
        <f>'Raw Data'!A784</f>
        <v>0</v>
      </c>
      <c r="C784">
        <f>'Raw Data'!C784</f>
        <v>0</v>
      </c>
      <c r="D784">
        <f>'Raw Data'!D784</f>
        <v>0</v>
      </c>
      <c r="E784">
        <f>IFERROR(VLOOKUP(D784,'Lookup Tables'!$A:$B,2,FALSE),"Unknown")</f>
        <v>0</v>
      </c>
      <c r="F784">
        <f>'Raw Data'!E784</f>
        <v>0</v>
      </c>
      <c r="G784">
        <f>IFERROR(VLOOKUP(D784,'Lookup Tables'!$A:$C,3,FALSE),IF(ISNUMBER(SEARCH("STEEL",F784)),"Steel","Others"))</f>
        <v>0</v>
      </c>
      <c r="H784">
        <f>IF(ISNUMBER(SEARCH("scrubber",F784)) , "Scrubber", IF(ISNUMBER(SEARCH("container",F784)),"Container", IF(ISNUMBER(SEARCH("basket",F784)),"Basket", IF(ISNUMBER(SEARCH("lunch",F784)),"Lunch Box", IF(ISNUMBER(SEARCH("cutlery",F784)),"Cutlery","Other")))))</f>
        <v>0</v>
      </c>
      <c r="I784">
        <f>IF('Raw Data'!G784&lt;&gt;'','Raw Data'!G784,IFERROR(MID(F784,SEARCH("MODEL",F784)+6,20),""))</f>
        <v>0</v>
      </c>
      <c r="J784">
        <f>'Raw Data'!H784</f>
        <v>0</v>
      </c>
      <c r="K784">
        <f>'Raw Data'!I784</f>
        <v>0</v>
      </c>
      <c r="L784">
        <f>IF('Raw Data'!N784&lt;&gt;0,'Raw Data'!N784,IFERROR(VALUE(MID(F784,SEARCH("QTY",F784)+4,IFERROR(FIND(" ",F784,SEARCH("QTY",F784)+4)-(SEARCH("QTY",F784)+4),3))),""))</f>
        <v>0</v>
      </c>
      <c r="M784">
        <f>'Raw Data'!O784</f>
        <v>0</v>
      </c>
      <c r="N784">
        <f>'Raw Data'!P784</f>
        <v>0</v>
      </c>
      <c r="O784">
        <f>'Raw Data'!Q784</f>
        <v>0</v>
      </c>
      <c r="P784">
        <f>'Raw Data'!R784</f>
        <v>0</v>
      </c>
      <c r="Q784">
        <f>'Raw Data'!S784</f>
        <v>0</v>
      </c>
      <c r="R784">
        <f>'Raw Data'!T784</f>
        <v>0</v>
      </c>
      <c r="S784">
        <f>IFERROR(O784,0)+IFERROR(R784,0)</f>
        <v>0</v>
      </c>
      <c r="T784">
        <f>IF(A784="","",YEAR(A784))</f>
        <v>0</v>
      </c>
    </row>
    <row r="785" spans="1:20">
      <c r="A785">
        <f>'Raw Data'!B785</f>
        <v>0</v>
      </c>
      <c r="B785">
        <f>'Raw Data'!A785</f>
        <v>0</v>
      </c>
      <c r="C785">
        <f>'Raw Data'!C785</f>
        <v>0</v>
      </c>
      <c r="D785">
        <f>'Raw Data'!D785</f>
        <v>0</v>
      </c>
      <c r="E785">
        <f>IFERROR(VLOOKUP(D785,'Lookup Tables'!$A:$B,2,FALSE),"Unknown")</f>
        <v>0</v>
      </c>
      <c r="F785">
        <f>'Raw Data'!E785</f>
        <v>0</v>
      </c>
      <c r="G785">
        <f>IFERROR(VLOOKUP(D785,'Lookup Tables'!$A:$C,3,FALSE),IF(ISNUMBER(SEARCH("STEEL",F785)),"Steel","Others"))</f>
        <v>0</v>
      </c>
      <c r="H785">
        <f>IF(ISNUMBER(SEARCH("scrubber",F785)) , "Scrubber", IF(ISNUMBER(SEARCH("container",F785)),"Container", IF(ISNUMBER(SEARCH("basket",F785)),"Basket", IF(ISNUMBER(SEARCH("lunch",F785)),"Lunch Box", IF(ISNUMBER(SEARCH("cutlery",F785)),"Cutlery","Other")))))</f>
        <v>0</v>
      </c>
      <c r="I785">
        <f>IF('Raw Data'!G785&lt;&gt;'','Raw Data'!G785,IFERROR(MID(F785,SEARCH("MODEL",F785)+6,20),""))</f>
        <v>0</v>
      </c>
      <c r="J785">
        <f>'Raw Data'!H785</f>
        <v>0</v>
      </c>
      <c r="K785">
        <f>'Raw Data'!I785</f>
        <v>0</v>
      </c>
      <c r="L785">
        <f>IF('Raw Data'!N785&lt;&gt;0,'Raw Data'!N785,IFERROR(VALUE(MID(F785,SEARCH("QTY",F785)+4,IFERROR(FIND(" ",F785,SEARCH("QTY",F785)+4)-(SEARCH("QTY",F785)+4),3))),""))</f>
        <v>0</v>
      </c>
      <c r="M785">
        <f>'Raw Data'!O785</f>
        <v>0</v>
      </c>
      <c r="N785">
        <f>'Raw Data'!P785</f>
        <v>0</v>
      </c>
      <c r="O785">
        <f>'Raw Data'!Q785</f>
        <v>0</v>
      </c>
      <c r="P785">
        <f>'Raw Data'!R785</f>
        <v>0</v>
      </c>
      <c r="Q785">
        <f>'Raw Data'!S785</f>
        <v>0</v>
      </c>
      <c r="R785">
        <f>'Raw Data'!T785</f>
        <v>0</v>
      </c>
      <c r="S785">
        <f>IFERROR(O785,0)+IFERROR(R785,0)</f>
        <v>0</v>
      </c>
      <c r="T785">
        <f>IF(A785="","",YEAR(A785))</f>
        <v>0</v>
      </c>
    </row>
    <row r="786" spans="1:20">
      <c r="A786">
        <f>'Raw Data'!B786</f>
        <v>0</v>
      </c>
      <c r="B786">
        <f>'Raw Data'!A786</f>
        <v>0</v>
      </c>
      <c r="C786">
        <f>'Raw Data'!C786</f>
        <v>0</v>
      </c>
      <c r="D786">
        <f>'Raw Data'!D786</f>
        <v>0</v>
      </c>
      <c r="E786">
        <f>IFERROR(VLOOKUP(D786,'Lookup Tables'!$A:$B,2,FALSE),"Unknown")</f>
        <v>0</v>
      </c>
      <c r="F786">
        <f>'Raw Data'!E786</f>
        <v>0</v>
      </c>
      <c r="G786">
        <f>IFERROR(VLOOKUP(D786,'Lookup Tables'!$A:$C,3,FALSE),IF(ISNUMBER(SEARCH("STEEL",F786)),"Steel","Others"))</f>
        <v>0</v>
      </c>
      <c r="H786">
        <f>IF(ISNUMBER(SEARCH("scrubber",F786)) , "Scrubber", IF(ISNUMBER(SEARCH("container",F786)),"Container", IF(ISNUMBER(SEARCH("basket",F786)),"Basket", IF(ISNUMBER(SEARCH("lunch",F786)),"Lunch Box", IF(ISNUMBER(SEARCH("cutlery",F786)),"Cutlery","Other")))))</f>
        <v>0</v>
      </c>
      <c r="I786">
        <f>IF('Raw Data'!G786&lt;&gt;'','Raw Data'!G786,IFERROR(MID(F786,SEARCH("MODEL",F786)+6,20),""))</f>
        <v>0</v>
      </c>
      <c r="J786">
        <f>'Raw Data'!H786</f>
        <v>0</v>
      </c>
      <c r="K786">
        <f>'Raw Data'!I786</f>
        <v>0</v>
      </c>
      <c r="L786">
        <f>IF('Raw Data'!N786&lt;&gt;0,'Raw Data'!N786,IFERROR(VALUE(MID(F786,SEARCH("QTY",F786)+4,IFERROR(FIND(" ",F786,SEARCH("QTY",F786)+4)-(SEARCH("QTY",F786)+4),3))),""))</f>
        <v>0</v>
      </c>
      <c r="M786">
        <f>'Raw Data'!O786</f>
        <v>0</v>
      </c>
      <c r="N786">
        <f>'Raw Data'!P786</f>
        <v>0</v>
      </c>
      <c r="O786">
        <f>'Raw Data'!Q786</f>
        <v>0</v>
      </c>
      <c r="P786">
        <f>'Raw Data'!R786</f>
        <v>0</v>
      </c>
      <c r="Q786">
        <f>'Raw Data'!S786</f>
        <v>0</v>
      </c>
      <c r="R786">
        <f>'Raw Data'!T786</f>
        <v>0</v>
      </c>
      <c r="S786">
        <f>IFERROR(O786,0)+IFERROR(R786,0)</f>
        <v>0</v>
      </c>
      <c r="T786">
        <f>IF(A786="","",YEAR(A786))</f>
        <v>0</v>
      </c>
    </row>
    <row r="787" spans="1:20">
      <c r="A787">
        <f>'Raw Data'!B787</f>
        <v>0</v>
      </c>
      <c r="B787">
        <f>'Raw Data'!A787</f>
        <v>0</v>
      </c>
      <c r="C787">
        <f>'Raw Data'!C787</f>
        <v>0</v>
      </c>
      <c r="D787">
        <f>'Raw Data'!D787</f>
        <v>0</v>
      </c>
      <c r="E787">
        <f>IFERROR(VLOOKUP(D787,'Lookup Tables'!$A:$B,2,FALSE),"Unknown")</f>
        <v>0</v>
      </c>
      <c r="F787">
        <f>'Raw Data'!E787</f>
        <v>0</v>
      </c>
      <c r="G787">
        <f>IFERROR(VLOOKUP(D787,'Lookup Tables'!$A:$C,3,FALSE),IF(ISNUMBER(SEARCH("STEEL",F787)),"Steel","Others"))</f>
        <v>0</v>
      </c>
      <c r="H787">
        <f>IF(ISNUMBER(SEARCH("scrubber",F787)) , "Scrubber", IF(ISNUMBER(SEARCH("container",F787)),"Container", IF(ISNUMBER(SEARCH("basket",F787)),"Basket", IF(ISNUMBER(SEARCH("lunch",F787)),"Lunch Box", IF(ISNUMBER(SEARCH("cutlery",F787)),"Cutlery","Other")))))</f>
        <v>0</v>
      </c>
      <c r="I787">
        <f>IF('Raw Data'!G787&lt;&gt;'','Raw Data'!G787,IFERROR(MID(F787,SEARCH("MODEL",F787)+6,20),""))</f>
        <v>0</v>
      </c>
      <c r="J787">
        <f>'Raw Data'!H787</f>
        <v>0</v>
      </c>
      <c r="K787">
        <f>'Raw Data'!I787</f>
        <v>0</v>
      </c>
      <c r="L787">
        <f>IF('Raw Data'!N787&lt;&gt;0,'Raw Data'!N787,IFERROR(VALUE(MID(F787,SEARCH("QTY",F787)+4,IFERROR(FIND(" ",F787,SEARCH("QTY",F787)+4)-(SEARCH("QTY",F787)+4),3))),""))</f>
        <v>0</v>
      </c>
      <c r="M787">
        <f>'Raw Data'!O787</f>
        <v>0</v>
      </c>
      <c r="N787">
        <f>'Raw Data'!P787</f>
        <v>0</v>
      </c>
      <c r="O787">
        <f>'Raw Data'!Q787</f>
        <v>0</v>
      </c>
      <c r="P787">
        <f>'Raw Data'!R787</f>
        <v>0</v>
      </c>
      <c r="Q787">
        <f>'Raw Data'!S787</f>
        <v>0</v>
      </c>
      <c r="R787">
        <f>'Raw Data'!T787</f>
        <v>0</v>
      </c>
      <c r="S787">
        <f>IFERROR(O787,0)+IFERROR(R787,0)</f>
        <v>0</v>
      </c>
      <c r="T787">
        <f>IF(A787="","",YEAR(A787))</f>
        <v>0</v>
      </c>
    </row>
    <row r="788" spans="1:20">
      <c r="A788">
        <f>'Raw Data'!B788</f>
        <v>0</v>
      </c>
      <c r="B788">
        <f>'Raw Data'!A788</f>
        <v>0</v>
      </c>
      <c r="C788">
        <f>'Raw Data'!C788</f>
        <v>0</v>
      </c>
      <c r="D788">
        <f>'Raw Data'!D788</f>
        <v>0</v>
      </c>
      <c r="E788">
        <f>IFERROR(VLOOKUP(D788,'Lookup Tables'!$A:$B,2,FALSE),"Unknown")</f>
        <v>0</v>
      </c>
      <c r="F788">
        <f>'Raw Data'!E788</f>
        <v>0</v>
      </c>
      <c r="G788">
        <f>IFERROR(VLOOKUP(D788,'Lookup Tables'!$A:$C,3,FALSE),IF(ISNUMBER(SEARCH("STEEL",F788)),"Steel","Others"))</f>
        <v>0</v>
      </c>
      <c r="H788">
        <f>IF(ISNUMBER(SEARCH("scrubber",F788)) , "Scrubber", IF(ISNUMBER(SEARCH("container",F788)),"Container", IF(ISNUMBER(SEARCH("basket",F788)),"Basket", IF(ISNUMBER(SEARCH("lunch",F788)),"Lunch Box", IF(ISNUMBER(SEARCH("cutlery",F788)),"Cutlery","Other")))))</f>
        <v>0</v>
      </c>
      <c r="I788">
        <f>IF('Raw Data'!G788&lt;&gt;'','Raw Data'!G788,IFERROR(MID(F788,SEARCH("MODEL",F788)+6,20),""))</f>
        <v>0</v>
      </c>
      <c r="J788">
        <f>'Raw Data'!H788</f>
        <v>0</v>
      </c>
      <c r="K788">
        <f>'Raw Data'!I788</f>
        <v>0</v>
      </c>
      <c r="L788">
        <f>IF('Raw Data'!N788&lt;&gt;0,'Raw Data'!N788,IFERROR(VALUE(MID(F788,SEARCH("QTY",F788)+4,IFERROR(FIND(" ",F788,SEARCH("QTY",F788)+4)-(SEARCH("QTY",F788)+4),3))),""))</f>
        <v>0</v>
      </c>
      <c r="M788">
        <f>'Raw Data'!O788</f>
        <v>0</v>
      </c>
      <c r="N788">
        <f>'Raw Data'!P788</f>
        <v>0</v>
      </c>
      <c r="O788">
        <f>'Raw Data'!Q788</f>
        <v>0</v>
      </c>
      <c r="P788">
        <f>'Raw Data'!R788</f>
        <v>0</v>
      </c>
      <c r="Q788">
        <f>'Raw Data'!S788</f>
        <v>0</v>
      </c>
      <c r="R788">
        <f>'Raw Data'!T788</f>
        <v>0</v>
      </c>
      <c r="S788">
        <f>IFERROR(O788,0)+IFERROR(R788,0)</f>
        <v>0</v>
      </c>
      <c r="T788">
        <f>IF(A788="","",YEAR(A788))</f>
        <v>0</v>
      </c>
    </row>
    <row r="789" spans="1:20">
      <c r="A789">
        <f>'Raw Data'!B789</f>
        <v>0</v>
      </c>
      <c r="B789">
        <f>'Raw Data'!A789</f>
        <v>0</v>
      </c>
      <c r="C789">
        <f>'Raw Data'!C789</f>
        <v>0</v>
      </c>
      <c r="D789">
        <f>'Raw Data'!D789</f>
        <v>0</v>
      </c>
      <c r="E789">
        <f>IFERROR(VLOOKUP(D789,'Lookup Tables'!$A:$B,2,FALSE),"Unknown")</f>
        <v>0</v>
      </c>
      <c r="F789">
        <f>'Raw Data'!E789</f>
        <v>0</v>
      </c>
      <c r="G789">
        <f>IFERROR(VLOOKUP(D789,'Lookup Tables'!$A:$C,3,FALSE),IF(ISNUMBER(SEARCH("STEEL",F789)),"Steel","Others"))</f>
        <v>0</v>
      </c>
      <c r="H789">
        <f>IF(ISNUMBER(SEARCH("scrubber",F789)) , "Scrubber", IF(ISNUMBER(SEARCH("container",F789)),"Container", IF(ISNUMBER(SEARCH("basket",F789)),"Basket", IF(ISNUMBER(SEARCH("lunch",F789)),"Lunch Box", IF(ISNUMBER(SEARCH("cutlery",F789)),"Cutlery","Other")))))</f>
        <v>0</v>
      </c>
      <c r="I789">
        <f>IF('Raw Data'!G789&lt;&gt;'','Raw Data'!G789,IFERROR(MID(F789,SEARCH("MODEL",F789)+6,20),""))</f>
        <v>0</v>
      </c>
      <c r="J789">
        <f>'Raw Data'!H789</f>
        <v>0</v>
      </c>
      <c r="K789">
        <f>'Raw Data'!I789</f>
        <v>0</v>
      </c>
      <c r="L789">
        <f>IF('Raw Data'!N789&lt;&gt;0,'Raw Data'!N789,IFERROR(VALUE(MID(F789,SEARCH("QTY",F789)+4,IFERROR(FIND(" ",F789,SEARCH("QTY",F789)+4)-(SEARCH("QTY",F789)+4),3))),""))</f>
        <v>0</v>
      </c>
      <c r="M789">
        <f>'Raw Data'!O789</f>
        <v>0</v>
      </c>
      <c r="N789">
        <f>'Raw Data'!P789</f>
        <v>0</v>
      </c>
      <c r="O789">
        <f>'Raw Data'!Q789</f>
        <v>0</v>
      </c>
      <c r="P789">
        <f>'Raw Data'!R789</f>
        <v>0</v>
      </c>
      <c r="Q789">
        <f>'Raw Data'!S789</f>
        <v>0</v>
      </c>
      <c r="R789">
        <f>'Raw Data'!T789</f>
        <v>0</v>
      </c>
      <c r="S789">
        <f>IFERROR(O789,0)+IFERROR(R789,0)</f>
        <v>0</v>
      </c>
      <c r="T789">
        <f>IF(A789="","",YEAR(A789))</f>
        <v>0</v>
      </c>
    </row>
    <row r="790" spans="1:20">
      <c r="A790">
        <f>'Raw Data'!B790</f>
        <v>0</v>
      </c>
      <c r="B790">
        <f>'Raw Data'!A790</f>
        <v>0</v>
      </c>
      <c r="C790">
        <f>'Raw Data'!C790</f>
        <v>0</v>
      </c>
      <c r="D790">
        <f>'Raw Data'!D790</f>
        <v>0</v>
      </c>
      <c r="E790">
        <f>IFERROR(VLOOKUP(D790,'Lookup Tables'!$A:$B,2,FALSE),"Unknown")</f>
        <v>0</v>
      </c>
      <c r="F790">
        <f>'Raw Data'!E790</f>
        <v>0</v>
      </c>
      <c r="G790">
        <f>IFERROR(VLOOKUP(D790,'Lookup Tables'!$A:$C,3,FALSE),IF(ISNUMBER(SEARCH("STEEL",F790)),"Steel","Others"))</f>
        <v>0</v>
      </c>
      <c r="H790">
        <f>IF(ISNUMBER(SEARCH("scrubber",F790)) , "Scrubber", IF(ISNUMBER(SEARCH("container",F790)),"Container", IF(ISNUMBER(SEARCH("basket",F790)),"Basket", IF(ISNUMBER(SEARCH("lunch",F790)),"Lunch Box", IF(ISNUMBER(SEARCH("cutlery",F790)),"Cutlery","Other")))))</f>
        <v>0</v>
      </c>
      <c r="I790">
        <f>IF('Raw Data'!G790&lt;&gt;'','Raw Data'!G790,IFERROR(MID(F790,SEARCH("MODEL",F790)+6,20),""))</f>
        <v>0</v>
      </c>
      <c r="J790">
        <f>'Raw Data'!H790</f>
        <v>0</v>
      </c>
      <c r="K790">
        <f>'Raw Data'!I790</f>
        <v>0</v>
      </c>
      <c r="L790">
        <f>IF('Raw Data'!N790&lt;&gt;0,'Raw Data'!N790,IFERROR(VALUE(MID(F790,SEARCH("QTY",F790)+4,IFERROR(FIND(" ",F790,SEARCH("QTY",F790)+4)-(SEARCH("QTY",F790)+4),3))),""))</f>
        <v>0</v>
      </c>
      <c r="M790">
        <f>'Raw Data'!O790</f>
        <v>0</v>
      </c>
      <c r="N790">
        <f>'Raw Data'!P790</f>
        <v>0</v>
      </c>
      <c r="O790">
        <f>'Raw Data'!Q790</f>
        <v>0</v>
      </c>
      <c r="P790">
        <f>'Raw Data'!R790</f>
        <v>0</v>
      </c>
      <c r="Q790">
        <f>'Raw Data'!S790</f>
        <v>0</v>
      </c>
      <c r="R790">
        <f>'Raw Data'!T790</f>
        <v>0</v>
      </c>
      <c r="S790">
        <f>IFERROR(O790,0)+IFERROR(R790,0)</f>
        <v>0</v>
      </c>
      <c r="T790">
        <f>IF(A790="","",YEAR(A790))</f>
        <v>0</v>
      </c>
    </row>
    <row r="791" spans="1:20">
      <c r="A791">
        <f>'Raw Data'!B791</f>
        <v>0</v>
      </c>
      <c r="B791">
        <f>'Raw Data'!A791</f>
        <v>0</v>
      </c>
      <c r="C791">
        <f>'Raw Data'!C791</f>
        <v>0</v>
      </c>
      <c r="D791">
        <f>'Raw Data'!D791</f>
        <v>0</v>
      </c>
      <c r="E791">
        <f>IFERROR(VLOOKUP(D791,'Lookup Tables'!$A:$B,2,FALSE),"Unknown")</f>
        <v>0</v>
      </c>
      <c r="F791">
        <f>'Raw Data'!E791</f>
        <v>0</v>
      </c>
      <c r="G791">
        <f>IFERROR(VLOOKUP(D791,'Lookup Tables'!$A:$C,3,FALSE),IF(ISNUMBER(SEARCH("STEEL",F791)),"Steel","Others"))</f>
        <v>0</v>
      </c>
      <c r="H791">
        <f>IF(ISNUMBER(SEARCH("scrubber",F791)) , "Scrubber", IF(ISNUMBER(SEARCH("container",F791)),"Container", IF(ISNUMBER(SEARCH("basket",F791)),"Basket", IF(ISNUMBER(SEARCH("lunch",F791)),"Lunch Box", IF(ISNUMBER(SEARCH("cutlery",F791)),"Cutlery","Other")))))</f>
        <v>0</v>
      </c>
      <c r="I791">
        <f>IF('Raw Data'!G791&lt;&gt;'','Raw Data'!G791,IFERROR(MID(F791,SEARCH("MODEL",F791)+6,20),""))</f>
        <v>0</v>
      </c>
      <c r="J791">
        <f>'Raw Data'!H791</f>
        <v>0</v>
      </c>
      <c r="K791">
        <f>'Raw Data'!I791</f>
        <v>0</v>
      </c>
      <c r="L791">
        <f>IF('Raw Data'!N791&lt;&gt;0,'Raw Data'!N791,IFERROR(VALUE(MID(F791,SEARCH("QTY",F791)+4,IFERROR(FIND(" ",F791,SEARCH("QTY",F791)+4)-(SEARCH("QTY",F791)+4),3))),""))</f>
        <v>0</v>
      </c>
      <c r="M791">
        <f>'Raw Data'!O791</f>
        <v>0</v>
      </c>
      <c r="N791">
        <f>'Raw Data'!P791</f>
        <v>0</v>
      </c>
      <c r="O791">
        <f>'Raw Data'!Q791</f>
        <v>0</v>
      </c>
      <c r="P791">
        <f>'Raw Data'!R791</f>
        <v>0</v>
      </c>
      <c r="Q791">
        <f>'Raw Data'!S791</f>
        <v>0</v>
      </c>
      <c r="R791">
        <f>'Raw Data'!T791</f>
        <v>0</v>
      </c>
      <c r="S791">
        <f>IFERROR(O791,0)+IFERROR(R791,0)</f>
        <v>0</v>
      </c>
      <c r="T791">
        <f>IF(A791="","",YEAR(A791))</f>
        <v>0</v>
      </c>
    </row>
    <row r="792" spans="1:20">
      <c r="A792">
        <f>'Raw Data'!B792</f>
        <v>0</v>
      </c>
      <c r="B792">
        <f>'Raw Data'!A792</f>
        <v>0</v>
      </c>
      <c r="C792">
        <f>'Raw Data'!C792</f>
        <v>0</v>
      </c>
      <c r="D792">
        <f>'Raw Data'!D792</f>
        <v>0</v>
      </c>
      <c r="E792">
        <f>IFERROR(VLOOKUP(D792,'Lookup Tables'!$A:$B,2,FALSE),"Unknown")</f>
        <v>0</v>
      </c>
      <c r="F792">
        <f>'Raw Data'!E792</f>
        <v>0</v>
      </c>
      <c r="G792">
        <f>IFERROR(VLOOKUP(D792,'Lookup Tables'!$A:$C,3,FALSE),IF(ISNUMBER(SEARCH("STEEL",F792)),"Steel","Others"))</f>
        <v>0</v>
      </c>
      <c r="H792">
        <f>IF(ISNUMBER(SEARCH("scrubber",F792)) , "Scrubber", IF(ISNUMBER(SEARCH("container",F792)),"Container", IF(ISNUMBER(SEARCH("basket",F792)),"Basket", IF(ISNUMBER(SEARCH("lunch",F792)),"Lunch Box", IF(ISNUMBER(SEARCH("cutlery",F792)),"Cutlery","Other")))))</f>
        <v>0</v>
      </c>
      <c r="I792">
        <f>IF('Raw Data'!G792&lt;&gt;'','Raw Data'!G792,IFERROR(MID(F792,SEARCH("MODEL",F792)+6,20),""))</f>
        <v>0</v>
      </c>
      <c r="J792">
        <f>'Raw Data'!H792</f>
        <v>0</v>
      </c>
      <c r="K792">
        <f>'Raw Data'!I792</f>
        <v>0</v>
      </c>
      <c r="L792">
        <f>IF('Raw Data'!N792&lt;&gt;0,'Raw Data'!N792,IFERROR(VALUE(MID(F792,SEARCH("QTY",F792)+4,IFERROR(FIND(" ",F792,SEARCH("QTY",F792)+4)-(SEARCH("QTY",F792)+4),3))),""))</f>
        <v>0</v>
      </c>
      <c r="M792">
        <f>'Raw Data'!O792</f>
        <v>0</v>
      </c>
      <c r="N792">
        <f>'Raw Data'!P792</f>
        <v>0</v>
      </c>
      <c r="O792">
        <f>'Raw Data'!Q792</f>
        <v>0</v>
      </c>
      <c r="P792">
        <f>'Raw Data'!R792</f>
        <v>0</v>
      </c>
      <c r="Q792">
        <f>'Raw Data'!S792</f>
        <v>0</v>
      </c>
      <c r="R792">
        <f>'Raw Data'!T792</f>
        <v>0</v>
      </c>
      <c r="S792">
        <f>IFERROR(O792,0)+IFERROR(R792,0)</f>
        <v>0</v>
      </c>
      <c r="T792">
        <f>IF(A792="","",YEAR(A792))</f>
        <v>0</v>
      </c>
    </row>
    <row r="793" spans="1:20">
      <c r="A793">
        <f>'Raw Data'!B793</f>
        <v>0</v>
      </c>
      <c r="B793">
        <f>'Raw Data'!A793</f>
        <v>0</v>
      </c>
      <c r="C793">
        <f>'Raw Data'!C793</f>
        <v>0</v>
      </c>
      <c r="D793">
        <f>'Raw Data'!D793</f>
        <v>0</v>
      </c>
      <c r="E793">
        <f>IFERROR(VLOOKUP(D793,'Lookup Tables'!$A:$B,2,FALSE),"Unknown")</f>
        <v>0</v>
      </c>
      <c r="F793">
        <f>'Raw Data'!E793</f>
        <v>0</v>
      </c>
      <c r="G793">
        <f>IFERROR(VLOOKUP(D793,'Lookup Tables'!$A:$C,3,FALSE),IF(ISNUMBER(SEARCH("STEEL",F793)),"Steel","Others"))</f>
        <v>0</v>
      </c>
      <c r="H793">
        <f>IF(ISNUMBER(SEARCH("scrubber",F793)) , "Scrubber", IF(ISNUMBER(SEARCH("container",F793)),"Container", IF(ISNUMBER(SEARCH("basket",F793)),"Basket", IF(ISNUMBER(SEARCH("lunch",F793)),"Lunch Box", IF(ISNUMBER(SEARCH("cutlery",F793)),"Cutlery","Other")))))</f>
        <v>0</v>
      </c>
      <c r="I793">
        <f>IF('Raw Data'!G793&lt;&gt;'','Raw Data'!G793,IFERROR(MID(F793,SEARCH("MODEL",F793)+6,20),""))</f>
        <v>0</v>
      </c>
      <c r="J793">
        <f>'Raw Data'!H793</f>
        <v>0</v>
      </c>
      <c r="K793">
        <f>'Raw Data'!I793</f>
        <v>0</v>
      </c>
      <c r="L793">
        <f>IF('Raw Data'!N793&lt;&gt;0,'Raw Data'!N793,IFERROR(VALUE(MID(F793,SEARCH("QTY",F793)+4,IFERROR(FIND(" ",F793,SEARCH("QTY",F793)+4)-(SEARCH("QTY",F793)+4),3))),""))</f>
        <v>0</v>
      </c>
      <c r="M793">
        <f>'Raw Data'!O793</f>
        <v>0</v>
      </c>
      <c r="N793">
        <f>'Raw Data'!P793</f>
        <v>0</v>
      </c>
      <c r="O793">
        <f>'Raw Data'!Q793</f>
        <v>0</v>
      </c>
      <c r="P793">
        <f>'Raw Data'!R793</f>
        <v>0</v>
      </c>
      <c r="Q793">
        <f>'Raw Data'!S793</f>
        <v>0</v>
      </c>
      <c r="R793">
        <f>'Raw Data'!T793</f>
        <v>0</v>
      </c>
      <c r="S793">
        <f>IFERROR(O793,0)+IFERROR(R793,0)</f>
        <v>0</v>
      </c>
      <c r="T793">
        <f>IF(A793="","",YEAR(A793))</f>
        <v>0</v>
      </c>
    </row>
    <row r="794" spans="1:20">
      <c r="A794">
        <f>'Raw Data'!B794</f>
        <v>0</v>
      </c>
      <c r="B794">
        <f>'Raw Data'!A794</f>
        <v>0</v>
      </c>
      <c r="C794">
        <f>'Raw Data'!C794</f>
        <v>0</v>
      </c>
      <c r="D794">
        <f>'Raw Data'!D794</f>
        <v>0</v>
      </c>
      <c r="E794">
        <f>IFERROR(VLOOKUP(D794,'Lookup Tables'!$A:$B,2,FALSE),"Unknown")</f>
        <v>0</v>
      </c>
      <c r="F794">
        <f>'Raw Data'!E794</f>
        <v>0</v>
      </c>
      <c r="G794">
        <f>IFERROR(VLOOKUP(D794,'Lookup Tables'!$A:$C,3,FALSE),IF(ISNUMBER(SEARCH("STEEL",F794)),"Steel","Others"))</f>
        <v>0</v>
      </c>
      <c r="H794">
        <f>IF(ISNUMBER(SEARCH("scrubber",F794)) , "Scrubber", IF(ISNUMBER(SEARCH("container",F794)),"Container", IF(ISNUMBER(SEARCH("basket",F794)),"Basket", IF(ISNUMBER(SEARCH("lunch",F794)),"Lunch Box", IF(ISNUMBER(SEARCH("cutlery",F794)),"Cutlery","Other")))))</f>
        <v>0</v>
      </c>
      <c r="I794">
        <f>IF('Raw Data'!G794&lt;&gt;'','Raw Data'!G794,IFERROR(MID(F794,SEARCH("MODEL",F794)+6,20),""))</f>
        <v>0</v>
      </c>
      <c r="J794">
        <f>'Raw Data'!H794</f>
        <v>0</v>
      </c>
      <c r="K794">
        <f>'Raw Data'!I794</f>
        <v>0</v>
      </c>
      <c r="L794">
        <f>IF('Raw Data'!N794&lt;&gt;0,'Raw Data'!N794,IFERROR(VALUE(MID(F794,SEARCH("QTY",F794)+4,IFERROR(FIND(" ",F794,SEARCH("QTY",F794)+4)-(SEARCH("QTY",F794)+4),3))),""))</f>
        <v>0</v>
      </c>
      <c r="M794">
        <f>'Raw Data'!O794</f>
        <v>0</v>
      </c>
      <c r="N794">
        <f>'Raw Data'!P794</f>
        <v>0</v>
      </c>
      <c r="O794">
        <f>'Raw Data'!Q794</f>
        <v>0</v>
      </c>
      <c r="P794">
        <f>'Raw Data'!R794</f>
        <v>0</v>
      </c>
      <c r="Q794">
        <f>'Raw Data'!S794</f>
        <v>0</v>
      </c>
      <c r="R794">
        <f>'Raw Data'!T794</f>
        <v>0</v>
      </c>
      <c r="S794">
        <f>IFERROR(O794,0)+IFERROR(R794,0)</f>
        <v>0</v>
      </c>
      <c r="T794">
        <f>IF(A794="","",YEAR(A794))</f>
        <v>0</v>
      </c>
    </row>
    <row r="795" spans="1:20">
      <c r="A795">
        <f>'Raw Data'!B795</f>
        <v>0</v>
      </c>
      <c r="B795">
        <f>'Raw Data'!A795</f>
        <v>0</v>
      </c>
      <c r="C795">
        <f>'Raw Data'!C795</f>
        <v>0</v>
      </c>
      <c r="D795">
        <f>'Raw Data'!D795</f>
        <v>0</v>
      </c>
      <c r="E795">
        <f>IFERROR(VLOOKUP(D795,'Lookup Tables'!$A:$B,2,FALSE),"Unknown")</f>
        <v>0</v>
      </c>
      <c r="F795">
        <f>'Raw Data'!E795</f>
        <v>0</v>
      </c>
      <c r="G795">
        <f>IFERROR(VLOOKUP(D795,'Lookup Tables'!$A:$C,3,FALSE),IF(ISNUMBER(SEARCH("STEEL",F795)),"Steel","Others"))</f>
        <v>0</v>
      </c>
      <c r="H795">
        <f>IF(ISNUMBER(SEARCH("scrubber",F795)) , "Scrubber", IF(ISNUMBER(SEARCH("container",F795)),"Container", IF(ISNUMBER(SEARCH("basket",F795)),"Basket", IF(ISNUMBER(SEARCH("lunch",F795)),"Lunch Box", IF(ISNUMBER(SEARCH("cutlery",F795)),"Cutlery","Other")))))</f>
        <v>0</v>
      </c>
      <c r="I795">
        <f>IF('Raw Data'!G795&lt;&gt;'','Raw Data'!G795,IFERROR(MID(F795,SEARCH("MODEL",F795)+6,20),""))</f>
        <v>0</v>
      </c>
      <c r="J795">
        <f>'Raw Data'!H795</f>
        <v>0</v>
      </c>
      <c r="K795">
        <f>'Raw Data'!I795</f>
        <v>0</v>
      </c>
      <c r="L795">
        <f>IF('Raw Data'!N795&lt;&gt;0,'Raw Data'!N795,IFERROR(VALUE(MID(F795,SEARCH("QTY",F795)+4,IFERROR(FIND(" ",F795,SEARCH("QTY",F795)+4)-(SEARCH("QTY",F795)+4),3))),""))</f>
        <v>0</v>
      </c>
      <c r="M795">
        <f>'Raw Data'!O795</f>
        <v>0</v>
      </c>
      <c r="N795">
        <f>'Raw Data'!P795</f>
        <v>0</v>
      </c>
      <c r="O795">
        <f>'Raw Data'!Q795</f>
        <v>0</v>
      </c>
      <c r="P795">
        <f>'Raw Data'!R795</f>
        <v>0</v>
      </c>
      <c r="Q795">
        <f>'Raw Data'!S795</f>
        <v>0</v>
      </c>
      <c r="R795">
        <f>'Raw Data'!T795</f>
        <v>0</v>
      </c>
      <c r="S795">
        <f>IFERROR(O795,0)+IFERROR(R795,0)</f>
        <v>0</v>
      </c>
      <c r="T795">
        <f>IF(A795="","",YEAR(A795))</f>
        <v>0</v>
      </c>
    </row>
    <row r="796" spans="1:20">
      <c r="A796">
        <f>'Raw Data'!B796</f>
        <v>0</v>
      </c>
      <c r="B796">
        <f>'Raw Data'!A796</f>
        <v>0</v>
      </c>
      <c r="C796">
        <f>'Raw Data'!C796</f>
        <v>0</v>
      </c>
      <c r="D796">
        <f>'Raw Data'!D796</f>
        <v>0</v>
      </c>
      <c r="E796">
        <f>IFERROR(VLOOKUP(D796,'Lookup Tables'!$A:$B,2,FALSE),"Unknown")</f>
        <v>0</v>
      </c>
      <c r="F796">
        <f>'Raw Data'!E796</f>
        <v>0</v>
      </c>
      <c r="G796">
        <f>IFERROR(VLOOKUP(D796,'Lookup Tables'!$A:$C,3,FALSE),IF(ISNUMBER(SEARCH("STEEL",F796)),"Steel","Others"))</f>
        <v>0</v>
      </c>
      <c r="H796">
        <f>IF(ISNUMBER(SEARCH("scrubber",F796)) , "Scrubber", IF(ISNUMBER(SEARCH("container",F796)),"Container", IF(ISNUMBER(SEARCH("basket",F796)),"Basket", IF(ISNUMBER(SEARCH("lunch",F796)),"Lunch Box", IF(ISNUMBER(SEARCH("cutlery",F796)),"Cutlery","Other")))))</f>
        <v>0</v>
      </c>
      <c r="I796">
        <f>IF('Raw Data'!G796&lt;&gt;'','Raw Data'!G796,IFERROR(MID(F796,SEARCH("MODEL",F796)+6,20),""))</f>
        <v>0</v>
      </c>
      <c r="J796">
        <f>'Raw Data'!H796</f>
        <v>0</v>
      </c>
      <c r="K796">
        <f>'Raw Data'!I796</f>
        <v>0</v>
      </c>
      <c r="L796">
        <f>IF('Raw Data'!N796&lt;&gt;0,'Raw Data'!N796,IFERROR(VALUE(MID(F796,SEARCH("QTY",F796)+4,IFERROR(FIND(" ",F796,SEARCH("QTY",F796)+4)-(SEARCH("QTY",F796)+4),3))),""))</f>
        <v>0</v>
      </c>
      <c r="M796">
        <f>'Raw Data'!O796</f>
        <v>0</v>
      </c>
      <c r="N796">
        <f>'Raw Data'!P796</f>
        <v>0</v>
      </c>
      <c r="O796">
        <f>'Raw Data'!Q796</f>
        <v>0</v>
      </c>
      <c r="P796">
        <f>'Raw Data'!R796</f>
        <v>0</v>
      </c>
      <c r="Q796">
        <f>'Raw Data'!S796</f>
        <v>0</v>
      </c>
      <c r="R796">
        <f>'Raw Data'!T796</f>
        <v>0</v>
      </c>
      <c r="S796">
        <f>IFERROR(O796,0)+IFERROR(R796,0)</f>
        <v>0</v>
      </c>
      <c r="T796">
        <f>IF(A796="","",YEAR(A796))</f>
        <v>0</v>
      </c>
    </row>
    <row r="797" spans="1:20">
      <c r="A797">
        <f>'Raw Data'!B797</f>
        <v>0</v>
      </c>
      <c r="B797">
        <f>'Raw Data'!A797</f>
        <v>0</v>
      </c>
      <c r="C797">
        <f>'Raw Data'!C797</f>
        <v>0</v>
      </c>
      <c r="D797">
        <f>'Raw Data'!D797</f>
        <v>0</v>
      </c>
      <c r="E797">
        <f>IFERROR(VLOOKUP(D797,'Lookup Tables'!$A:$B,2,FALSE),"Unknown")</f>
        <v>0</v>
      </c>
      <c r="F797">
        <f>'Raw Data'!E797</f>
        <v>0</v>
      </c>
      <c r="G797">
        <f>IFERROR(VLOOKUP(D797,'Lookup Tables'!$A:$C,3,FALSE),IF(ISNUMBER(SEARCH("STEEL",F797)),"Steel","Others"))</f>
        <v>0</v>
      </c>
      <c r="H797">
        <f>IF(ISNUMBER(SEARCH("scrubber",F797)) , "Scrubber", IF(ISNUMBER(SEARCH("container",F797)),"Container", IF(ISNUMBER(SEARCH("basket",F797)),"Basket", IF(ISNUMBER(SEARCH("lunch",F797)),"Lunch Box", IF(ISNUMBER(SEARCH("cutlery",F797)),"Cutlery","Other")))))</f>
        <v>0</v>
      </c>
      <c r="I797">
        <f>IF('Raw Data'!G797&lt;&gt;'','Raw Data'!G797,IFERROR(MID(F797,SEARCH("MODEL",F797)+6,20),""))</f>
        <v>0</v>
      </c>
      <c r="J797">
        <f>'Raw Data'!H797</f>
        <v>0</v>
      </c>
      <c r="K797">
        <f>'Raw Data'!I797</f>
        <v>0</v>
      </c>
      <c r="L797">
        <f>IF('Raw Data'!N797&lt;&gt;0,'Raw Data'!N797,IFERROR(VALUE(MID(F797,SEARCH("QTY",F797)+4,IFERROR(FIND(" ",F797,SEARCH("QTY",F797)+4)-(SEARCH("QTY",F797)+4),3))),""))</f>
        <v>0</v>
      </c>
      <c r="M797">
        <f>'Raw Data'!O797</f>
        <v>0</v>
      </c>
      <c r="N797">
        <f>'Raw Data'!P797</f>
        <v>0</v>
      </c>
      <c r="O797">
        <f>'Raw Data'!Q797</f>
        <v>0</v>
      </c>
      <c r="P797">
        <f>'Raw Data'!R797</f>
        <v>0</v>
      </c>
      <c r="Q797">
        <f>'Raw Data'!S797</f>
        <v>0</v>
      </c>
      <c r="R797">
        <f>'Raw Data'!T797</f>
        <v>0</v>
      </c>
      <c r="S797">
        <f>IFERROR(O797,0)+IFERROR(R797,0)</f>
        <v>0</v>
      </c>
      <c r="T797">
        <f>IF(A797="","",YEAR(A797))</f>
        <v>0</v>
      </c>
    </row>
    <row r="798" spans="1:20">
      <c r="A798">
        <f>'Raw Data'!B798</f>
        <v>0</v>
      </c>
      <c r="B798">
        <f>'Raw Data'!A798</f>
        <v>0</v>
      </c>
      <c r="C798">
        <f>'Raw Data'!C798</f>
        <v>0</v>
      </c>
      <c r="D798">
        <f>'Raw Data'!D798</f>
        <v>0</v>
      </c>
      <c r="E798">
        <f>IFERROR(VLOOKUP(D798,'Lookup Tables'!$A:$B,2,FALSE),"Unknown")</f>
        <v>0</v>
      </c>
      <c r="F798">
        <f>'Raw Data'!E798</f>
        <v>0</v>
      </c>
      <c r="G798">
        <f>IFERROR(VLOOKUP(D798,'Lookup Tables'!$A:$C,3,FALSE),IF(ISNUMBER(SEARCH("STEEL",F798)),"Steel","Others"))</f>
        <v>0</v>
      </c>
      <c r="H798">
        <f>IF(ISNUMBER(SEARCH("scrubber",F798)) , "Scrubber", IF(ISNUMBER(SEARCH("container",F798)),"Container", IF(ISNUMBER(SEARCH("basket",F798)),"Basket", IF(ISNUMBER(SEARCH("lunch",F798)),"Lunch Box", IF(ISNUMBER(SEARCH("cutlery",F798)),"Cutlery","Other")))))</f>
        <v>0</v>
      </c>
      <c r="I798">
        <f>IF('Raw Data'!G798&lt;&gt;'','Raw Data'!G798,IFERROR(MID(F798,SEARCH("MODEL",F798)+6,20),""))</f>
        <v>0</v>
      </c>
      <c r="J798">
        <f>'Raw Data'!H798</f>
        <v>0</v>
      </c>
      <c r="K798">
        <f>'Raw Data'!I798</f>
        <v>0</v>
      </c>
      <c r="L798">
        <f>IF('Raw Data'!N798&lt;&gt;0,'Raw Data'!N798,IFERROR(VALUE(MID(F798,SEARCH("QTY",F798)+4,IFERROR(FIND(" ",F798,SEARCH("QTY",F798)+4)-(SEARCH("QTY",F798)+4),3))),""))</f>
        <v>0</v>
      </c>
      <c r="M798">
        <f>'Raw Data'!O798</f>
        <v>0</v>
      </c>
      <c r="N798">
        <f>'Raw Data'!P798</f>
        <v>0</v>
      </c>
      <c r="O798">
        <f>'Raw Data'!Q798</f>
        <v>0</v>
      </c>
      <c r="P798">
        <f>'Raw Data'!R798</f>
        <v>0</v>
      </c>
      <c r="Q798">
        <f>'Raw Data'!S798</f>
        <v>0</v>
      </c>
      <c r="R798">
        <f>'Raw Data'!T798</f>
        <v>0</v>
      </c>
      <c r="S798">
        <f>IFERROR(O798,0)+IFERROR(R798,0)</f>
        <v>0</v>
      </c>
      <c r="T798">
        <f>IF(A798="","",YEAR(A798))</f>
        <v>0</v>
      </c>
    </row>
    <row r="799" spans="1:20">
      <c r="A799">
        <f>'Raw Data'!B799</f>
        <v>0</v>
      </c>
      <c r="B799">
        <f>'Raw Data'!A799</f>
        <v>0</v>
      </c>
      <c r="C799">
        <f>'Raw Data'!C799</f>
        <v>0</v>
      </c>
      <c r="D799">
        <f>'Raw Data'!D799</f>
        <v>0</v>
      </c>
      <c r="E799">
        <f>IFERROR(VLOOKUP(D799,'Lookup Tables'!$A:$B,2,FALSE),"Unknown")</f>
        <v>0</v>
      </c>
      <c r="F799">
        <f>'Raw Data'!E799</f>
        <v>0</v>
      </c>
      <c r="G799">
        <f>IFERROR(VLOOKUP(D799,'Lookup Tables'!$A:$C,3,FALSE),IF(ISNUMBER(SEARCH("STEEL",F799)),"Steel","Others"))</f>
        <v>0</v>
      </c>
      <c r="H799">
        <f>IF(ISNUMBER(SEARCH("scrubber",F799)) , "Scrubber", IF(ISNUMBER(SEARCH("container",F799)),"Container", IF(ISNUMBER(SEARCH("basket",F799)),"Basket", IF(ISNUMBER(SEARCH("lunch",F799)),"Lunch Box", IF(ISNUMBER(SEARCH("cutlery",F799)),"Cutlery","Other")))))</f>
        <v>0</v>
      </c>
      <c r="I799">
        <f>IF('Raw Data'!G799&lt;&gt;'','Raw Data'!G799,IFERROR(MID(F799,SEARCH("MODEL",F799)+6,20),""))</f>
        <v>0</v>
      </c>
      <c r="J799">
        <f>'Raw Data'!H799</f>
        <v>0</v>
      </c>
      <c r="K799">
        <f>'Raw Data'!I799</f>
        <v>0</v>
      </c>
      <c r="L799">
        <f>IF('Raw Data'!N799&lt;&gt;0,'Raw Data'!N799,IFERROR(VALUE(MID(F799,SEARCH("QTY",F799)+4,IFERROR(FIND(" ",F799,SEARCH("QTY",F799)+4)-(SEARCH("QTY",F799)+4),3))),""))</f>
        <v>0</v>
      </c>
      <c r="M799">
        <f>'Raw Data'!O799</f>
        <v>0</v>
      </c>
      <c r="N799">
        <f>'Raw Data'!P799</f>
        <v>0</v>
      </c>
      <c r="O799">
        <f>'Raw Data'!Q799</f>
        <v>0</v>
      </c>
      <c r="P799">
        <f>'Raw Data'!R799</f>
        <v>0</v>
      </c>
      <c r="Q799">
        <f>'Raw Data'!S799</f>
        <v>0</v>
      </c>
      <c r="R799">
        <f>'Raw Data'!T799</f>
        <v>0</v>
      </c>
      <c r="S799">
        <f>IFERROR(O799,0)+IFERROR(R799,0)</f>
        <v>0</v>
      </c>
      <c r="T799">
        <f>IF(A799="","",YEAR(A799))</f>
        <v>0</v>
      </c>
    </row>
    <row r="800" spans="1:20">
      <c r="A800">
        <f>'Raw Data'!B800</f>
        <v>0</v>
      </c>
      <c r="B800">
        <f>'Raw Data'!A800</f>
        <v>0</v>
      </c>
      <c r="C800">
        <f>'Raw Data'!C800</f>
        <v>0</v>
      </c>
      <c r="D800">
        <f>'Raw Data'!D800</f>
        <v>0</v>
      </c>
      <c r="E800">
        <f>IFERROR(VLOOKUP(D800,'Lookup Tables'!$A:$B,2,FALSE),"Unknown")</f>
        <v>0</v>
      </c>
      <c r="F800">
        <f>'Raw Data'!E800</f>
        <v>0</v>
      </c>
      <c r="G800">
        <f>IFERROR(VLOOKUP(D800,'Lookup Tables'!$A:$C,3,FALSE),IF(ISNUMBER(SEARCH("STEEL",F800)),"Steel","Others"))</f>
        <v>0</v>
      </c>
      <c r="H800">
        <f>IF(ISNUMBER(SEARCH("scrubber",F800)) , "Scrubber", IF(ISNUMBER(SEARCH("container",F800)),"Container", IF(ISNUMBER(SEARCH("basket",F800)),"Basket", IF(ISNUMBER(SEARCH("lunch",F800)),"Lunch Box", IF(ISNUMBER(SEARCH("cutlery",F800)),"Cutlery","Other")))))</f>
        <v>0</v>
      </c>
      <c r="I800">
        <f>IF('Raw Data'!G800&lt;&gt;'','Raw Data'!G800,IFERROR(MID(F800,SEARCH("MODEL",F800)+6,20),""))</f>
        <v>0</v>
      </c>
      <c r="J800">
        <f>'Raw Data'!H800</f>
        <v>0</v>
      </c>
      <c r="K800">
        <f>'Raw Data'!I800</f>
        <v>0</v>
      </c>
      <c r="L800">
        <f>IF('Raw Data'!N800&lt;&gt;0,'Raw Data'!N800,IFERROR(VALUE(MID(F800,SEARCH("QTY",F800)+4,IFERROR(FIND(" ",F800,SEARCH("QTY",F800)+4)-(SEARCH("QTY",F800)+4),3))),""))</f>
        <v>0</v>
      </c>
      <c r="M800">
        <f>'Raw Data'!O800</f>
        <v>0</v>
      </c>
      <c r="N800">
        <f>'Raw Data'!P800</f>
        <v>0</v>
      </c>
      <c r="O800">
        <f>'Raw Data'!Q800</f>
        <v>0</v>
      </c>
      <c r="P800">
        <f>'Raw Data'!R800</f>
        <v>0</v>
      </c>
      <c r="Q800">
        <f>'Raw Data'!S800</f>
        <v>0</v>
      </c>
      <c r="R800">
        <f>'Raw Data'!T800</f>
        <v>0</v>
      </c>
      <c r="S800">
        <f>IFERROR(O800,0)+IFERROR(R800,0)</f>
        <v>0</v>
      </c>
      <c r="T800">
        <f>IF(A800="","",YEAR(A800))</f>
        <v>0</v>
      </c>
    </row>
    <row r="801" spans="1:20">
      <c r="A801">
        <f>'Raw Data'!B801</f>
        <v>0</v>
      </c>
      <c r="B801">
        <f>'Raw Data'!A801</f>
        <v>0</v>
      </c>
      <c r="C801">
        <f>'Raw Data'!C801</f>
        <v>0</v>
      </c>
      <c r="D801">
        <f>'Raw Data'!D801</f>
        <v>0</v>
      </c>
      <c r="E801">
        <f>IFERROR(VLOOKUP(D801,'Lookup Tables'!$A:$B,2,FALSE),"Unknown")</f>
        <v>0</v>
      </c>
      <c r="F801">
        <f>'Raw Data'!E801</f>
        <v>0</v>
      </c>
      <c r="G801">
        <f>IFERROR(VLOOKUP(D801,'Lookup Tables'!$A:$C,3,FALSE),IF(ISNUMBER(SEARCH("STEEL",F801)),"Steel","Others"))</f>
        <v>0</v>
      </c>
      <c r="H801">
        <f>IF(ISNUMBER(SEARCH("scrubber",F801)) , "Scrubber", IF(ISNUMBER(SEARCH("container",F801)),"Container", IF(ISNUMBER(SEARCH("basket",F801)),"Basket", IF(ISNUMBER(SEARCH("lunch",F801)),"Lunch Box", IF(ISNUMBER(SEARCH("cutlery",F801)),"Cutlery","Other")))))</f>
        <v>0</v>
      </c>
      <c r="I801">
        <f>IF('Raw Data'!G801&lt;&gt;'','Raw Data'!G801,IFERROR(MID(F801,SEARCH("MODEL",F801)+6,20),""))</f>
        <v>0</v>
      </c>
      <c r="J801">
        <f>'Raw Data'!H801</f>
        <v>0</v>
      </c>
      <c r="K801">
        <f>'Raw Data'!I801</f>
        <v>0</v>
      </c>
      <c r="L801">
        <f>IF('Raw Data'!N801&lt;&gt;0,'Raw Data'!N801,IFERROR(VALUE(MID(F801,SEARCH("QTY",F801)+4,IFERROR(FIND(" ",F801,SEARCH("QTY",F801)+4)-(SEARCH("QTY",F801)+4),3))),""))</f>
        <v>0</v>
      </c>
      <c r="M801">
        <f>'Raw Data'!O801</f>
        <v>0</v>
      </c>
      <c r="N801">
        <f>'Raw Data'!P801</f>
        <v>0</v>
      </c>
      <c r="O801">
        <f>'Raw Data'!Q801</f>
        <v>0</v>
      </c>
      <c r="P801">
        <f>'Raw Data'!R801</f>
        <v>0</v>
      </c>
      <c r="Q801">
        <f>'Raw Data'!S801</f>
        <v>0</v>
      </c>
      <c r="R801">
        <f>'Raw Data'!T801</f>
        <v>0</v>
      </c>
      <c r="S801">
        <f>IFERROR(O801,0)+IFERROR(R801,0)</f>
        <v>0</v>
      </c>
      <c r="T801">
        <f>IF(A801="","",YEAR(A801))</f>
        <v>0</v>
      </c>
    </row>
    <row r="802" spans="1:20">
      <c r="A802">
        <f>'Raw Data'!B802</f>
        <v>0</v>
      </c>
      <c r="B802">
        <f>'Raw Data'!A802</f>
        <v>0</v>
      </c>
      <c r="C802">
        <f>'Raw Data'!C802</f>
        <v>0</v>
      </c>
      <c r="D802">
        <f>'Raw Data'!D802</f>
        <v>0</v>
      </c>
      <c r="E802">
        <f>IFERROR(VLOOKUP(D802,'Lookup Tables'!$A:$B,2,FALSE),"Unknown")</f>
        <v>0</v>
      </c>
      <c r="F802">
        <f>'Raw Data'!E802</f>
        <v>0</v>
      </c>
      <c r="G802">
        <f>IFERROR(VLOOKUP(D802,'Lookup Tables'!$A:$C,3,FALSE),IF(ISNUMBER(SEARCH("STEEL",F802)),"Steel","Others"))</f>
        <v>0</v>
      </c>
      <c r="H802">
        <f>IF(ISNUMBER(SEARCH("scrubber",F802)) , "Scrubber", IF(ISNUMBER(SEARCH("container",F802)),"Container", IF(ISNUMBER(SEARCH("basket",F802)),"Basket", IF(ISNUMBER(SEARCH("lunch",F802)),"Lunch Box", IF(ISNUMBER(SEARCH("cutlery",F802)),"Cutlery","Other")))))</f>
        <v>0</v>
      </c>
      <c r="I802">
        <f>IF('Raw Data'!G802&lt;&gt;'','Raw Data'!G802,IFERROR(MID(F802,SEARCH("MODEL",F802)+6,20),""))</f>
        <v>0</v>
      </c>
      <c r="J802">
        <f>'Raw Data'!H802</f>
        <v>0</v>
      </c>
      <c r="K802">
        <f>'Raw Data'!I802</f>
        <v>0</v>
      </c>
      <c r="L802">
        <f>IF('Raw Data'!N802&lt;&gt;0,'Raw Data'!N802,IFERROR(VALUE(MID(F802,SEARCH("QTY",F802)+4,IFERROR(FIND(" ",F802,SEARCH("QTY",F802)+4)-(SEARCH("QTY",F802)+4),3))),""))</f>
        <v>0</v>
      </c>
      <c r="M802">
        <f>'Raw Data'!O802</f>
        <v>0</v>
      </c>
      <c r="N802">
        <f>'Raw Data'!P802</f>
        <v>0</v>
      </c>
      <c r="O802">
        <f>'Raw Data'!Q802</f>
        <v>0</v>
      </c>
      <c r="P802">
        <f>'Raw Data'!R802</f>
        <v>0</v>
      </c>
      <c r="Q802">
        <f>'Raw Data'!S802</f>
        <v>0</v>
      </c>
      <c r="R802">
        <f>'Raw Data'!T802</f>
        <v>0</v>
      </c>
      <c r="S802">
        <f>IFERROR(O802,0)+IFERROR(R802,0)</f>
        <v>0</v>
      </c>
      <c r="T802">
        <f>IF(A802="","",YEAR(A802))</f>
        <v>0</v>
      </c>
    </row>
    <row r="803" spans="1:20">
      <c r="A803">
        <f>'Raw Data'!B803</f>
        <v>0</v>
      </c>
      <c r="B803">
        <f>'Raw Data'!A803</f>
        <v>0</v>
      </c>
      <c r="C803">
        <f>'Raw Data'!C803</f>
        <v>0</v>
      </c>
      <c r="D803">
        <f>'Raw Data'!D803</f>
        <v>0</v>
      </c>
      <c r="E803">
        <f>IFERROR(VLOOKUP(D803,'Lookup Tables'!$A:$B,2,FALSE),"Unknown")</f>
        <v>0</v>
      </c>
      <c r="F803">
        <f>'Raw Data'!E803</f>
        <v>0</v>
      </c>
      <c r="G803">
        <f>IFERROR(VLOOKUP(D803,'Lookup Tables'!$A:$C,3,FALSE),IF(ISNUMBER(SEARCH("STEEL",F803)),"Steel","Others"))</f>
        <v>0</v>
      </c>
      <c r="H803">
        <f>IF(ISNUMBER(SEARCH("scrubber",F803)) , "Scrubber", IF(ISNUMBER(SEARCH("container",F803)),"Container", IF(ISNUMBER(SEARCH("basket",F803)),"Basket", IF(ISNUMBER(SEARCH("lunch",F803)),"Lunch Box", IF(ISNUMBER(SEARCH("cutlery",F803)),"Cutlery","Other")))))</f>
        <v>0</v>
      </c>
      <c r="I803">
        <f>IF('Raw Data'!G803&lt;&gt;'','Raw Data'!G803,IFERROR(MID(F803,SEARCH("MODEL",F803)+6,20),""))</f>
        <v>0</v>
      </c>
      <c r="J803">
        <f>'Raw Data'!H803</f>
        <v>0</v>
      </c>
      <c r="K803">
        <f>'Raw Data'!I803</f>
        <v>0</v>
      </c>
      <c r="L803">
        <f>IF('Raw Data'!N803&lt;&gt;0,'Raw Data'!N803,IFERROR(VALUE(MID(F803,SEARCH("QTY",F803)+4,IFERROR(FIND(" ",F803,SEARCH("QTY",F803)+4)-(SEARCH("QTY",F803)+4),3))),""))</f>
        <v>0</v>
      </c>
      <c r="M803">
        <f>'Raw Data'!O803</f>
        <v>0</v>
      </c>
      <c r="N803">
        <f>'Raw Data'!P803</f>
        <v>0</v>
      </c>
      <c r="O803">
        <f>'Raw Data'!Q803</f>
        <v>0</v>
      </c>
      <c r="P803">
        <f>'Raw Data'!R803</f>
        <v>0</v>
      </c>
      <c r="Q803">
        <f>'Raw Data'!S803</f>
        <v>0</v>
      </c>
      <c r="R803">
        <f>'Raw Data'!T803</f>
        <v>0</v>
      </c>
      <c r="S803">
        <f>IFERROR(O803,0)+IFERROR(R803,0)</f>
        <v>0</v>
      </c>
      <c r="T803">
        <f>IF(A803="","",YEAR(A803))</f>
        <v>0</v>
      </c>
    </row>
    <row r="804" spans="1:20">
      <c r="A804">
        <f>'Raw Data'!B804</f>
        <v>0</v>
      </c>
      <c r="B804">
        <f>'Raw Data'!A804</f>
        <v>0</v>
      </c>
      <c r="C804">
        <f>'Raw Data'!C804</f>
        <v>0</v>
      </c>
      <c r="D804">
        <f>'Raw Data'!D804</f>
        <v>0</v>
      </c>
      <c r="E804">
        <f>IFERROR(VLOOKUP(D804,'Lookup Tables'!$A:$B,2,FALSE),"Unknown")</f>
        <v>0</v>
      </c>
      <c r="F804">
        <f>'Raw Data'!E804</f>
        <v>0</v>
      </c>
      <c r="G804">
        <f>IFERROR(VLOOKUP(D804,'Lookup Tables'!$A:$C,3,FALSE),IF(ISNUMBER(SEARCH("STEEL",F804)),"Steel","Others"))</f>
        <v>0</v>
      </c>
      <c r="H804">
        <f>IF(ISNUMBER(SEARCH("scrubber",F804)) , "Scrubber", IF(ISNUMBER(SEARCH("container",F804)),"Container", IF(ISNUMBER(SEARCH("basket",F804)),"Basket", IF(ISNUMBER(SEARCH("lunch",F804)),"Lunch Box", IF(ISNUMBER(SEARCH("cutlery",F804)),"Cutlery","Other")))))</f>
        <v>0</v>
      </c>
      <c r="I804">
        <f>IF('Raw Data'!G804&lt;&gt;'','Raw Data'!G804,IFERROR(MID(F804,SEARCH("MODEL",F804)+6,20),""))</f>
        <v>0</v>
      </c>
      <c r="J804">
        <f>'Raw Data'!H804</f>
        <v>0</v>
      </c>
      <c r="K804">
        <f>'Raw Data'!I804</f>
        <v>0</v>
      </c>
      <c r="L804">
        <f>IF('Raw Data'!N804&lt;&gt;0,'Raw Data'!N804,IFERROR(VALUE(MID(F804,SEARCH("QTY",F804)+4,IFERROR(FIND(" ",F804,SEARCH("QTY",F804)+4)-(SEARCH("QTY",F804)+4),3))),""))</f>
        <v>0</v>
      </c>
      <c r="M804">
        <f>'Raw Data'!O804</f>
        <v>0</v>
      </c>
      <c r="N804">
        <f>'Raw Data'!P804</f>
        <v>0</v>
      </c>
      <c r="O804">
        <f>'Raw Data'!Q804</f>
        <v>0</v>
      </c>
      <c r="P804">
        <f>'Raw Data'!R804</f>
        <v>0</v>
      </c>
      <c r="Q804">
        <f>'Raw Data'!S804</f>
        <v>0</v>
      </c>
      <c r="R804">
        <f>'Raw Data'!T804</f>
        <v>0</v>
      </c>
      <c r="S804">
        <f>IFERROR(O804,0)+IFERROR(R804,0)</f>
        <v>0</v>
      </c>
      <c r="T804">
        <f>IF(A804="","",YEAR(A804))</f>
        <v>0</v>
      </c>
    </row>
    <row r="805" spans="1:20">
      <c r="A805">
        <f>'Raw Data'!B805</f>
        <v>0</v>
      </c>
      <c r="B805">
        <f>'Raw Data'!A805</f>
        <v>0</v>
      </c>
      <c r="C805">
        <f>'Raw Data'!C805</f>
        <v>0</v>
      </c>
      <c r="D805">
        <f>'Raw Data'!D805</f>
        <v>0</v>
      </c>
      <c r="E805">
        <f>IFERROR(VLOOKUP(D805,'Lookup Tables'!$A:$B,2,FALSE),"Unknown")</f>
        <v>0</v>
      </c>
      <c r="F805">
        <f>'Raw Data'!E805</f>
        <v>0</v>
      </c>
      <c r="G805">
        <f>IFERROR(VLOOKUP(D805,'Lookup Tables'!$A:$C,3,FALSE),IF(ISNUMBER(SEARCH("STEEL",F805)),"Steel","Others"))</f>
        <v>0</v>
      </c>
      <c r="H805">
        <f>IF(ISNUMBER(SEARCH("scrubber",F805)) , "Scrubber", IF(ISNUMBER(SEARCH("container",F805)),"Container", IF(ISNUMBER(SEARCH("basket",F805)),"Basket", IF(ISNUMBER(SEARCH("lunch",F805)),"Lunch Box", IF(ISNUMBER(SEARCH("cutlery",F805)),"Cutlery","Other")))))</f>
        <v>0</v>
      </c>
      <c r="I805">
        <f>IF('Raw Data'!G805&lt;&gt;'','Raw Data'!G805,IFERROR(MID(F805,SEARCH("MODEL",F805)+6,20),""))</f>
        <v>0</v>
      </c>
      <c r="J805">
        <f>'Raw Data'!H805</f>
        <v>0</v>
      </c>
      <c r="K805">
        <f>'Raw Data'!I805</f>
        <v>0</v>
      </c>
      <c r="L805">
        <f>IF('Raw Data'!N805&lt;&gt;0,'Raw Data'!N805,IFERROR(VALUE(MID(F805,SEARCH("QTY",F805)+4,IFERROR(FIND(" ",F805,SEARCH("QTY",F805)+4)-(SEARCH("QTY",F805)+4),3))),""))</f>
        <v>0</v>
      </c>
      <c r="M805">
        <f>'Raw Data'!O805</f>
        <v>0</v>
      </c>
      <c r="N805">
        <f>'Raw Data'!P805</f>
        <v>0</v>
      </c>
      <c r="O805">
        <f>'Raw Data'!Q805</f>
        <v>0</v>
      </c>
      <c r="P805">
        <f>'Raw Data'!R805</f>
        <v>0</v>
      </c>
      <c r="Q805">
        <f>'Raw Data'!S805</f>
        <v>0</v>
      </c>
      <c r="R805">
        <f>'Raw Data'!T805</f>
        <v>0</v>
      </c>
      <c r="S805">
        <f>IFERROR(O805,0)+IFERROR(R805,0)</f>
        <v>0</v>
      </c>
      <c r="T805">
        <f>IF(A805="","",YEAR(A805))</f>
        <v>0</v>
      </c>
    </row>
    <row r="806" spans="1:20">
      <c r="A806">
        <f>'Raw Data'!B806</f>
        <v>0</v>
      </c>
      <c r="B806">
        <f>'Raw Data'!A806</f>
        <v>0</v>
      </c>
      <c r="C806">
        <f>'Raw Data'!C806</f>
        <v>0</v>
      </c>
      <c r="D806">
        <f>'Raw Data'!D806</f>
        <v>0</v>
      </c>
      <c r="E806">
        <f>IFERROR(VLOOKUP(D806,'Lookup Tables'!$A:$B,2,FALSE),"Unknown")</f>
        <v>0</v>
      </c>
      <c r="F806">
        <f>'Raw Data'!E806</f>
        <v>0</v>
      </c>
      <c r="G806">
        <f>IFERROR(VLOOKUP(D806,'Lookup Tables'!$A:$C,3,FALSE),IF(ISNUMBER(SEARCH("STEEL",F806)),"Steel","Others"))</f>
        <v>0</v>
      </c>
      <c r="H806">
        <f>IF(ISNUMBER(SEARCH("scrubber",F806)) , "Scrubber", IF(ISNUMBER(SEARCH("container",F806)),"Container", IF(ISNUMBER(SEARCH("basket",F806)),"Basket", IF(ISNUMBER(SEARCH("lunch",F806)),"Lunch Box", IF(ISNUMBER(SEARCH("cutlery",F806)),"Cutlery","Other")))))</f>
        <v>0</v>
      </c>
      <c r="I806">
        <f>IF('Raw Data'!G806&lt;&gt;'','Raw Data'!G806,IFERROR(MID(F806,SEARCH("MODEL",F806)+6,20),""))</f>
        <v>0</v>
      </c>
      <c r="J806">
        <f>'Raw Data'!H806</f>
        <v>0</v>
      </c>
      <c r="K806">
        <f>'Raw Data'!I806</f>
        <v>0</v>
      </c>
      <c r="L806">
        <f>IF('Raw Data'!N806&lt;&gt;0,'Raw Data'!N806,IFERROR(VALUE(MID(F806,SEARCH("QTY",F806)+4,IFERROR(FIND(" ",F806,SEARCH("QTY",F806)+4)-(SEARCH("QTY",F806)+4),3))),""))</f>
        <v>0</v>
      </c>
      <c r="M806">
        <f>'Raw Data'!O806</f>
        <v>0</v>
      </c>
      <c r="N806">
        <f>'Raw Data'!P806</f>
        <v>0</v>
      </c>
      <c r="O806">
        <f>'Raw Data'!Q806</f>
        <v>0</v>
      </c>
      <c r="P806">
        <f>'Raw Data'!R806</f>
        <v>0</v>
      </c>
      <c r="Q806">
        <f>'Raw Data'!S806</f>
        <v>0</v>
      </c>
      <c r="R806">
        <f>'Raw Data'!T806</f>
        <v>0</v>
      </c>
      <c r="S806">
        <f>IFERROR(O806,0)+IFERROR(R806,0)</f>
        <v>0</v>
      </c>
      <c r="T806">
        <f>IF(A806="","",YEAR(A806))</f>
        <v>0</v>
      </c>
    </row>
    <row r="807" spans="1:20">
      <c r="A807">
        <f>'Raw Data'!B807</f>
        <v>0</v>
      </c>
      <c r="B807">
        <f>'Raw Data'!A807</f>
        <v>0</v>
      </c>
      <c r="C807">
        <f>'Raw Data'!C807</f>
        <v>0</v>
      </c>
      <c r="D807">
        <f>'Raw Data'!D807</f>
        <v>0</v>
      </c>
      <c r="E807">
        <f>IFERROR(VLOOKUP(D807,'Lookup Tables'!$A:$B,2,FALSE),"Unknown")</f>
        <v>0</v>
      </c>
      <c r="F807">
        <f>'Raw Data'!E807</f>
        <v>0</v>
      </c>
      <c r="G807">
        <f>IFERROR(VLOOKUP(D807,'Lookup Tables'!$A:$C,3,FALSE),IF(ISNUMBER(SEARCH("STEEL",F807)),"Steel","Others"))</f>
        <v>0</v>
      </c>
      <c r="H807">
        <f>IF(ISNUMBER(SEARCH("scrubber",F807)) , "Scrubber", IF(ISNUMBER(SEARCH("container",F807)),"Container", IF(ISNUMBER(SEARCH("basket",F807)),"Basket", IF(ISNUMBER(SEARCH("lunch",F807)),"Lunch Box", IF(ISNUMBER(SEARCH("cutlery",F807)),"Cutlery","Other")))))</f>
        <v>0</v>
      </c>
      <c r="I807">
        <f>IF('Raw Data'!G807&lt;&gt;'','Raw Data'!G807,IFERROR(MID(F807,SEARCH("MODEL",F807)+6,20),""))</f>
        <v>0</v>
      </c>
      <c r="J807">
        <f>'Raw Data'!H807</f>
        <v>0</v>
      </c>
      <c r="K807">
        <f>'Raw Data'!I807</f>
        <v>0</v>
      </c>
      <c r="L807">
        <f>IF('Raw Data'!N807&lt;&gt;0,'Raw Data'!N807,IFERROR(VALUE(MID(F807,SEARCH("QTY",F807)+4,IFERROR(FIND(" ",F807,SEARCH("QTY",F807)+4)-(SEARCH("QTY",F807)+4),3))),""))</f>
        <v>0</v>
      </c>
      <c r="M807">
        <f>'Raw Data'!O807</f>
        <v>0</v>
      </c>
      <c r="N807">
        <f>'Raw Data'!P807</f>
        <v>0</v>
      </c>
      <c r="O807">
        <f>'Raw Data'!Q807</f>
        <v>0</v>
      </c>
      <c r="P807">
        <f>'Raw Data'!R807</f>
        <v>0</v>
      </c>
      <c r="Q807">
        <f>'Raw Data'!S807</f>
        <v>0</v>
      </c>
      <c r="R807">
        <f>'Raw Data'!T807</f>
        <v>0</v>
      </c>
      <c r="S807">
        <f>IFERROR(O807,0)+IFERROR(R807,0)</f>
        <v>0</v>
      </c>
      <c r="T807">
        <f>IF(A807="","",YEAR(A807))</f>
        <v>0</v>
      </c>
    </row>
    <row r="808" spans="1:20">
      <c r="A808">
        <f>'Raw Data'!B808</f>
        <v>0</v>
      </c>
      <c r="B808">
        <f>'Raw Data'!A808</f>
        <v>0</v>
      </c>
      <c r="C808">
        <f>'Raw Data'!C808</f>
        <v>0</v>
      </c>
      <c r="D808">
        <f>'Raw Data'!D808</f>
        <v>0</v>
      </c>
      <c r="E808">
        <f>IFERROR(VLOOKUP(D808,'Lookup Tables'!$A:$B,2,FALSE),"Unknown")</f>
        <v>0</v>
      </c>
      <c r="F808">
        <f>'Raw Data'!E808</f>
        <v>0</v>
      </c>
      <c r="G808">
        <f>IFERROR(VLOOKUP(D808,'Lookup Tables'!$A:$C,3,FALSE),IF(ISNUMBER(SEARCH("STEEL",F808)),"Steel","Others"))</f>
        <v>0</v>
      </c>
      <c r="H808">
        <f>IF(ISNUMBER(SEARCH("scrubber",F808)) , "Scrubber", IF(ISNUMBER(SEARCH("container",F808)),"Container", IF(ISNUMBER(SEARCH("basket",F808)),"Basket", IF(ISNUMBER(SEARCH("lunch",F808)),"Lunch Box", IF(ISNUMBER(SEARCH("cutlery",F808)),"Cutlery","Other")))))</f>
        <v>0</v>
      </c>
      <c r="I808">
        <f>IF('Raw Data'!G808&lt;&gt;'','Raw Data'!G808,IFERROR(MID(F808,SEARCH("MODEL",F808)+6,20),""))</f>
        <v>0</v>
      </c>
      <c r="J808">
        <f>'Raw Data'!H808</f>
        <v>0</v>
      </c>
      <c r="K808">
        <f>'Raw Data'!I808</f>
        <v>0</v>
      </c>
      <c r="L808">
        <f>IF('Raw Data'!N808&lt;&gt;0,'Raw Data'!N808,IFERROR(VALUE(MID(F808,SEARCH("QTY",F808)+4,IFERROR(FIND(" ",F808,SEARCH("QTY",F808)+4)-(SEARCH("QTY",F808)+4),3))),""))</f>
        <v>0</v>
      </c>
      <c r="M808">
        <f>'Raw Data'!O808</f>
        <v>0</v>
      </c>
      <c r="N808">
        <f>'Raw Data'!P808</f>
        <v>0</v>
      </c>
      <c r="O808">
        <f>'Raw Data'!Q808</f>
        <v>0</v>
      </c>
      <c r="P808">
        <f>'Raw Data'!R808</f>
        <v>0</v>
      </c>
      <c r="Q808">
        <f>'Raw Data'!S808</f>
        <v>0</v>
      </c>
      <c r="R808">
        <f>'Raw Data'!T808</f>
        <v>0</v>
      </c>
      <c r="S808">
        <f>IFERROR(O808,0)+IFERROR(R808,0)</f>
        <v>0</v>
      </c>
      <c r="T808">
        <f>IF(A808="","",YEAR(A808))</f>
        <v>0</v>
      </c>
    </row>
    <row r="809" spans="1:20">
      <c r="A809">
        <f>'Raw Data'!B809</f>
        <v>0</v>
      </c>
      <c r="B809">
        <f>'Raw Data'!A809</f>
        <v>0</v>
      </c>
      <c r="C809">
        <f>'Raw Data'!C809</f>
        <v>0</v>
      </c>
      <c r="D809">
        <f>'Raw Data'!D809</f>
        <v>0</v>
      </c>
      <c r="E809">
        <f>IFERROR(VLOOKUP(D809,'Lookup Tables'!$A:$B,2,FALSE),"Unknown")</f>
        <v>0</v>
      </c>
      <c r="F809">
        <f>'Raw Data'!E809</f>
        <v>0</v>
      </c>
      <c r="G809">
        <f>IFERROR(VLOOKUP(D809,'Lookup Tables'!$A:$C,3,FALSE),IF(ISNUMBER(SEARCH("STEEL",F809)),"Steel","Others"))</f>
        <v>0</v>
      </c>
      <c r="H809">
        <f>IF(ISNUMBER(SEARCH("scrubber",F809)) , "Scrubber", IF(ISNUMBER(SEARCH("container",F809)),"Container", IF(ISNUMBER(SEARCH("basket",F809)),"Basket", IF(ISNUMBER(SEARCH("lunch",F809)),"Lunch Box", IF(ISNUMBER(SEARCH("cutlery",F809)),"Cutlery","Other")))))</f>
        <v>0</v>
      </c>
      <c r="I809">
        <f>IF('Raw Data'!G809&lt;&gt;'','Raw Data'!G809,IFERROR(MID(F809,SEARCH("MODEL",F809)+6,20),""))</f>
        <v>0</v>
      </c>
      <c r="J809">
        <f>'Raw Data'!H809</f>
        <v>0</v>
      </c>
      <c r="K809">
        <f>'Raw Data'!I809</f>
        <v>0</v>
      </c>
      <c r="L809">
        <f>IF('Raw Data'!N809&lt;&gt;0,'Raw Data'!N809,IFERROR(VALUE(MID(F809,SEARCH("QTY",F809)+4,IFERROR(FIND(" ",F809,SEARCH("QTY",F809)+4)-(SEARCH("QTY",F809)+4),3))),""))</f>
        <v>0</v>
      </c>
      <c r="M809">
        <f>'Raw Data'!O809</f>
        <v>0</v>
      </c>
      <c r="N809">
        <f>'Raw Data'!P809</f>
        <v>0</v>
      </c>
      <c r="O809">
        <f>'Raw Data'!Q809</f>
        <v>0</v>
      </c>
      <c r="P809">
        <f>'Raw Data'!R809</f>
        <v>0</v>
      </c>
      <c r="Q809">
        <f>'Raw Data'!S809</f>
        <v>0</v>
      </c>
      <c r="R809">
        <f>'Raw Data'!T809</f>
        <v>0</v>
      </c>
      <c r="S809">
        <f>IFERROR(O809,0)+IFERROR(R809,0)</f>
        <v>0</v>
      </c>
      <c r="T809">
        <f>IF(A809="","",YEAR(A809))</f>
        <v>0</v>
      </c>
    </row>
    <row r="810" spans="1:20">
      <c r="A810">
        <f>'Raw Data'!B810</f>
        <v>0</v>
      </c>
      <c r="B810">
        <f>'Raw Data'!A810</f>
        <v>0</v>
      </c>
      <c r="C810">
        <f>'Raw Data'!C810</f>
        <v>0</v>
      </c>
      <c r="D810">
        <f>'Raw Data'!D810</f>
        <v>0</v>
      </c>
      <c r="E810">
        <f>IFERROR(VLOOKUP(D810,'Lookup Tables'!$A:$B,2,FALSE),"Unknown")</f>
        <v>0</v>
      </c>
      <c r="F810">
        <f>'Raw Data'!E810</f>
        <v>0</v>
      </c>
      <c r="G810">
        <f>IFERROR(VLOOKUP(D810,'Lookup Tables'!$A:$C,3,FALSE),IF(ISNUMBER(SEARCH("STEEL",F810)),"Steel","Others"))</f>
        <v>0</v>
      </c>
      <c r="H810">
        <f>IF(ISNUMBER(SEARCH("scrubber",F810)) , "Scrubber", IF(ISNUMBER(SEARCH("container",F810)),"Container", IF(ISNUMBER(SEARCH("basket",F810)),"Basket", IF(ISNUMBER(SEARCH("lunch",F810)),"Lunch Box", IF(ISNUMBER(SEARCH("cutlery",F810)),"Cutlery","Other")))))</f>
        <v>0</v>
      </c>
      <c r="I810">
        <f>IF('Raw Data'!G810&lt;&gt;'','Raw Data'!G810,IFERROR(MID(F810,SEARCH("MODEL",F810)+6,20),""))</f>
        <v>0</v>
      </c>
      <c r="J810">
        <f>'Raw Data'!H810</f>
        <v>0</v>
      </c>
      <c r="K810">
        <f>'Raw Data'!I810</f>
        <v>0</v>
      </c>
      <c r="L810">
        <f>IF('Raw Data'!N810&lt;&gt;0,'Raw Data'!N810,IFERROR(VALUE(MID(F810,SEARCH("QTY",F810)+4,IFERROR(FIND(" ",F810,SEARCH("QTY",F810)+4)-(SEARCH("QTY",F810)+4),3))),""))</f>
        <v>0</v>
      </c>
      <c r="M810">
        <f>'Raw Data'!O810</f>
        <v>0</v>
      </c>
      <c r="N810">
        <f>'Raw Data'!P810</f>
        <v>0</v>
      </c>
      <c r="O810">
        <f>'Raw Data'!Q810</f>
        <v>0</v>
      </c>
      <c r="P810">
        <f>'Raw Data'!R810</f>
        <v>0</v>
      </c>
      <c r="Q810">
        <f>'Raw Data'!S810</f>
        <v>0</v>
      </c>
      <c r="R810">
        <f>'Raw Data'!T810</f>
        <v>0</v>
      </c>
      <c r="S810">
        <f>IFERROR(O810,0)+IFERROR(R810,0)</f>
        <v>0</v>
      </c>
      <c r="T810">
        <f>IF(A810="","",YEAR(A810))</f>
        <v>0</v>
      </c>
    </row>
    <row r="811" spans="1:20">
      <c r="A811">
        <f>'Raw Data'!B811</f>
        <v>0</v>
      </c>
      <c r="B811">
        <f>'Raw Data'!A811</f>
        <v>0</v>
      </c>
      <c r="C811">
        <f>'Raw Data'!C811</f>
        <v>0</v>
      </c>
      <c r="D811">
        <f>'Raw Data'!D811</f>
        <v>0</v>
      </c>
      <c r="E811">
        <f>IFERROR(VLOOKUP(D811,'Lookup Tables'!$A:$B,2,FALSE),"Unknown")</f>
        <v>0</v>
      </c>
      <c r="F811">
        <f>'Raw Data'!E811</f>
        <v>0</v>
      </c>
      <c r="G811">
        <f>IFERROR(VLOOKUP(D811,'Lookup Tables'!$A:$C,3,FALSE),IF(ISNUMBER(SEARCH("STEEL",F811)),"Steel","Others"))</f>
        <v>0</v>
      </c>
      <c r="H811">
        <f>IF(ISNUMBER(SEARCH("scrubber",F811)) , "Scrubber", IF(ISNUMBER(SEARCH("container",F811)),"Container", IF(ISNUMBER(SEARCH("basket",F811)),"Basket", IF(ISNUMBER(SEARCH("lunch",F811)),"Lunch Box", IF(ISNUMBER(SEARCH("cutlery",F811)),"Cutlery","Other")))))</f>
        <v>0</v>
      </c>
      <c r="I811">
        <f>IF('Raw Data'!G811&lt;&gt;'','Raw Data'!G811,IFERROR(MID(F811,SEARCH("MODEL",F811)+6,20),""))</f>
        <v>0</v>
      </c>
      <c r="J811">
        <f>'Raw Data'!H811</f>
        <v>0</v>
      </c>
      <c r="K811">
        <f>'Raw Data'!I811</f>
        <v>0</v>
      </c>
      <c r="L811">
        <f>IF('Raw Data'!N811&lt;&gt;0,'Raw Data'!N811,IFERROR(VALUE(MID(F811,SEARCH("QTY",F811)+4,IFERROR(FIND(" ",F811,SEARCH("QTY",F811)+4)-(SEARCH("QTY",F811)+4),3))),""))</f>
        <v>0</v>
      </c>
      <c r="M811">
        <f>'Raw Data'!O811</f>
        <v>0</v>
      </c>
      <c r="N811">
        <f>'Raw Data'!P811</f>
        <v>0</v>
      </c>
      <c r="O811">
        <f>'Raw Data'!Q811</f>
        <v>0</v>
      </c>
      <c r="P811">
        <f>'Raw Data'!R811</f>
        <v>0</v>
      </c>
      <c r="Q811">
        <f>'Raw Data'!S811</f>
        <v>0</v>
      </c>
      <c r="R811">
        <f>'Raw Data'!T811</f>
        <v>0</v>
      </c>
      <c r="S811">
        <f>IFERROR(O811,0)+IFERROR(R811,0)</f>
        <v>0</v>
      </c>
      <c r="T811">
        <f>IF(A811="","",YEAR(A811))</f>
        <v>0</v>
      </c>
    </row>
    <row r="812" spans="1:20">
      <c r="A812">
        <f>'Raw Data'!B812</f>
        <v>0</v>
      </c>
      <c r="B812">
        <f>'Raw Data'!A812</f>
        <v>0</v>
      </c>
      <c r="C812">
        <f>'Raw Data'!C812</f>
        <v>0</v>
      </c>
      <c r="D812">
        <f>'Raw Data'!D812</f>
        <v>0</v>
      </c>
      <c r="E812">
        <f>IFERROR(VLOOKUP(D812,'Lookup Tables'!$A:$B,2,FALSE),"Unknown")</f>
        <v>0</v>
      </c>
      <c r="F812">
        <f>'Raw Data'!E812</f>
        <v>0</v>
      </c>
      <c r="G812">
        <f>IFERROR(VLOOKUP(D812,'Lookup Tables'!$A:$C,3,FALSE),IF(ISNUMBER(SEARCH("STEEL",F812)),"Steel","Others"))</f>
        <v>0</v>
      </c>
      <c r="H812">
        <f>IF(ISNUMBER(SEARCH("scrubber",F812)) , "Scrubber", IF(ISNUMBER(SEARCH("container",F812)),"Container", IF(ISNUMBER(SEARCH("basket",F812)),"Basket", IF(ISNUMBER(SEARCH("lunch",F812)),"Lunch Box", IF(ISNUMBER(SEARCH("cutlery",F812)),"Cutlery","Other")))))</f>
        <v>0</v>
      </c>
      <c r="I812">
        <f>IF('Raw Data'!G812&lt;&gt;'','Raw Data'!G812,IFERROR(MID(F812,SEARCH("MODEL",F812)+6,20),""))</f>
        <v>0</v>
      </c>
      <c r="J812">
        <f>'Raw Data'!H812</f>
        <v>0</v>
      </c>
      <c r="K812">
        <f>'Raw Data'!I812</f>
        <v>0</v>
      </c>
      <c r="L812">
        <f>IF('Raw Data'!N812&lt;&gt;0,'Raw Data'!N812,IFERROR(VALUE(MID(F812,SEARCH("QTY",F812)+4,IFERROR(FIND(" ",F812,SEARCH("QTY",F812)+4)-(SEARCH("QTY",F812)+4),3))),""))</f>
        <v>0</v>
      </c>
      <c r="M812">
        <f>'Raw Data'!O812</f>
        <v>0</v>
      </c>
      <c r="N812">
        <f>'Raw Data'!P812</f>
        <v>0</v>
      </c>
      <c r="O812">
        <f>'Raw Data'!Q812</f>
        <v>0</v>
      </c>
      <c r="P812">
        <f>'Raw Data'!R812</f>
        <v>0</v>
      </c>
      <c r="Q812">
        <f>'Raw Data'!S812</f>
        <v>0</v>
      </c>
      <c r="R812">
        <f>'Raw Data'!T812</f>
        <v>0</v>
      </c>
      <c r="S812">
        <f>IFERROR(O812,0)+IFERROR(R812,0)</f>
        <v>0</v>
      </c>
      <c r="T812">
        <f>IF(A812="","",YEAR(A812))</f>
        <v>0</v>
      </c>
    </row>
    <row r="813" spans="1:20">
      <c r="A813">
        <f>'Raw Data'!B813</f>
        <v>0</v>
      </c>
      <c r="B813">
        <f>'Raw Data'!A813</f>
        <v>0</v>
      </c>
      <c r="C813">
        <f>'Raw Data'!C813</f>
        <v>0</v>
      </c>
      <c r="D813">
        <f>'Raw Data'!D813</f>
        <v>0</v>
      </c>
      <c r="E813">
        <f>IFERROR(VLOOKUP(D813,'Lookup Tables'!$A:$B,2,FALSE),"Unknown")</f>
        <v>0</v>
      </c>
      <c r="F813">
        <f>'Raw Data'!E813</f>
        <v>0</v>
      </c>
      <c r="G813">
        <f>IFERROR(VLOOKUP(D813,'Lookup Tables'!$A:$C,3,FALSE),IF(ISNUMBER(SEARCH("STEEL",F813)),"Steel","Others"))</f>
        <v>0</v>
      </c>
      <c r="H813">
        <f>IF(ISNUMBER(SEARCH("scrubber",F813)) , "Scrubber", IF(ISNUMBER(SEARCH("container",F813)),"Container", IF(ISNUMBER(SEARCH("basket",F813)),"Basket", IF(ISNUMBER(SEARCH("lunch",F813)),"Lunch Box", IF(ISNUMBER(SEARCH("cutlery",F813)),"Cutlery","Other")))))</f>
        <v>0</v>
      </c>
      <c r="I813">
        <f>IF('Raw Data'!G813&lt;&gt;'','Raw Data'!G813,IFERROR(MID(F813,SEARCH("MODEL",F813)+6,20),""))</f>
        <v>0</v>
      </c>
      <c r="J813">
        <f>'Raw Data'!H813</f>
        <v>0</v>
      </c>
      <c r="K813">
        <f>'Raw Data'!I813</f>
        <v>0</v>
      </c>
      <c r="L813">
        <f>IF('Raw Data'!N813&lt;&gt;0,'Raw Data'!N813,IFERROR(VALUE(MID(F813,SEARCH("QTY",F813)+4,IFERROR(FIND(" ",F813,SEARCH("QTY",F813)+4)-(SEARCH("QTY",F813)+4),3))),""))</f>
        <v>0</v>
      </c>
      <c r="M813">
        <f>'Raw Data'!O813</f>
        <v>0</v>
      </c>
      <c r="N813">
        <f>'Raw Data'!P813</f>
        <v>0</v>
      </c>
      <c r="O813">
        <f>'Raw Data'!Q813</f>
        <v>0</v>
      </c>
      <c r="P813">
        <f>'Raw Data'!R813</f>
        <v>0</v>
      </c>
      <c r="Q813">
        <f>'Raw Data'!S813</f>
        <v>0</v>
      </c>
      <c r="R813">
        <f>'Raw Data'!T813</f>
        <v>0</v>
      </c>
      <c r="S813">
        <f>IFERROR(O813,0)+IFERROR(R813,0)</f>
        <v>0</v>
      </c>
      <c r="T813">
        <f>IF(A813="","",YEAR(A813))</f>
        <v>0</v>
      </c>
    </row>
    <row r="814" spans="1:20">
      <c r="A814">
        <f>'Raw Data'!B814</f>
        <v>0</v>
      </c>
      <c r="B814">
        <f>'Raw Data'!A814</f>
        <v>0</v>
      </c>
      <c r="C814">
        <f>'Raw Data'!C814</f>
        <v>0</v>
      </c>
      <c r="D814">
        <f>'Raw Data'!D814</f>
        <v>0</v>
      </c>
      <c r="E814">
        <f>IFERROR(VLOOKUP(D814,'Lookup Tables'!$A:$B,2,FALSE),"Unknown")</f>
        <v>0</v>
      </c>
      <c r="F814">
        <f>'Raw Data'!E814</f>
        <v>0</v>
      </c>
      <c r="G814">
        <f>IFERROR(VLOOKUP(D814,'Lookup Tables'!$A:$C,3,FALSE),IF(ISNUMBER(SEARCH("STEEL",F814)),"Steel","Others"))</f>
        <v>0</v>
      </c>
      <c r="H814">
        <f>IF(ISNUMBER(SEARCH("scrubber",F814)) , "Scrubber", IF(ISNUMBER(SEARCH("container",F814)),"Container", IF(ISNUMBER(SEARCH("basket",F814)),"Basket", IF(ISNUMBER(SEARCH("lunch",F814)),"Lunch Box", IF(ISNUMBER(SEARCH("cutlery",F814)),"Cutlery","Other")))))</f>
        <v>0</v>
      </c>
      <c r="I814">
        <f>IF('Raw Data'!G814&lt;&gt;'','Raw Data'!G814,IFERROR(MID(F814,SEARCH("MODEL",F814)+6,20),""))</f>
        <v>0</v>
      </c>
      <c r="J814">
        <f>'Raw Data'!H814</f>
        <v>0</v>
      </c>
      <c r="K814">
        <f>'Raw Data'!I814</f>
        <v>0</v>
      </c>
      <c r="L814">
        <f>IF('Raw Data'!N814&lt;&gt;0,'Raw Data'!N814,IFERROR(VALUE(MID(F814,SEARCH("QTY",F814)+4,IFERROR(FIND(" ",F814,SEARCH("QTY",F814)+4)-(SEARCH("QTY",F814)+4),3))),""))</f>
        <v>0</v>
      </c>
      <c r="M814">
        <f>'Raw Data'!O814</f>
        <v>0</v>
      </c>
      <c r="N814">
        <f>'Raw Data'!P814</f>
        <v>0</v>
      </c>
      <c r="O814">
        <f>'Raw Data'!Q814</f>
        <v>0</v>
      </c>
      <c r="P814">
        <f>'Raw Data'!R814</f>
        <v>0</v>
      </c>
      <c r="Q814">
        <f>'Raw Data'!S814</f>
        <v>0</v>
      </c>
      <c r="R814">
        <f>'Raw Data'!T814</f>
        <v>0</v>
      </c>
      <c r="S814">
        <f>IFERROR(O814,0)+IFERROR(R814,0)</f>
        <v>0</v>
      </c>
      <c r="T814">
        <f>IF(A814="","",YEAR(A814))</f>
        <v>0</v>
      </c>
    </row>
    <row r="815" spans="1:20">
      <c r="A815">
        <f>'Raw Data'!B815</f>
        <v>0</v>
      </c>
      <c r="B815">
        <f>'Raw Data'!A815</f>
        <v>0</v>
      </c>
      <c r="C815">
        <f>'Raw Data'!C815</f>
        <v>0</v>
      </c>
      <c r="D815">
        <f>'Raw Data'!D815</f>
        <v>0</v>
      </c>
      <c r="E815">
        <f>IFERROR(VLOOKUP(D815,'Lookup Tables'!$A:$B,2,FALSE),"Unknown")</f>
        <v>0</v>
      </c>
      <c r="F815">
        <f>'Raw Data'!E815</f>
        <v>0</v>
      </c>
      <c r="G815">
        <f>IFERROR(VLOOKUP(D815,'Lookup Tables'!$A:$C,3,FALSE),IF(ISNUMBER(SEARCH("STEEL",F815)),"Steel","Others"))</f>
        <v>0</v>
      </c>
      <c r="H815">
        <f>IF(ISNUMBER(SEARCH("scrubber",F815)) , "Scrubber", IF(ISNUMBER(SEARCH("container",F815)),"Container", IF(ISNUMBER(SEARCH("basket",F815)),"Basket", IF(ISNUMBER(SEARCH("lunch",F815)),"Lunch Box", IF(ISNUMBER(SEARCH("cutlery",F815)),"Cutlery","Other")))))</f>
        <v>0</v>
      </c>
      <c r="I815">
        <f>IF('Raw Data'!G815&lt;&gt;'','Raw Data'!G815,IFERROR(MID(F815,SEARCH("MODEL",F815)+6,20),""))</f>
        <v>0</v>
      </c>
      <c r="J815">
        <f>'Raw Data'!H815</f>
        <v>0</v>
      </c>
      <c r="K815">
        <f>'Raw Data'!I815</f>
        <v>0</v>
      </c>
      <c r="L815">
        <f>IF('Raw Data'!N815&lt;&gt;0,'Raw Data'!N815,IFERROR(VALUE(MID(F815,SEARCH("QTY",F815)+4,IFERROR(FIND(" ",F815,SEARCH("QTY",F815)+4)-(SEARCH("QTY",F815)+4),3))),""))</f>
        <v>0</v>
      </c>
      <c r="M815">
        <f>'Raw Data'!O815</f>
        <v>0</v>
      </c>
      <c r="N815">
        <f>'Raw Data'!P815</f>
        <v>0</v>
      </c>
      <c r="O815">
        <f>'Raw Data'!Q815</f>
        <v>0</v>
      </c>
      <c r="P815">
        <f>'Raw Data'!R815</f>
        <v>0</v>
      </c>
      <c r="Q815">
        <f>'Raw Data'!S815</f>
        <v>0</v>
      </c>
      <c r="R815">
        <f>'Raw Data'!T815</f>
        <v>0</v>
      </c>
      <c r="S815">
        <f>IFERROR(O815,0)+IFERROR(R815,0)</f>
        <v>0</v>
      </c>
      <c r="T815">
        <f>IF(A815="","",YEAR(A815))</f>
        <v>0</v>
      </c>
    </row>
    <row r="816" spans="1:20">
      <c r="A816">
        <f>'Raw Data'!B816</f>
        <v>0</v>
      </c>
      <c r="B816">
        <f>'Raw Data'!A816</f>
        <v>0</v>
      </c>
      <c r="C816">
        <f>'Raw Data'!C816</f>
        <v>0</v>
      </c>
      <c r="D816">
        <f>'Raw Data'!D816</f>
        <v>0</v>
      </c>
      <c r="E816">
        <f>IFERROR(VLOOKUP(D816,'Lookup Tables'!$A:$B,2,FALSE),"Unknown")</f>
        <v>0</v>
      </c>
      <c r="F816">
        <f>'Raw Data'!E816</f>
        <v>0</v>
      </c>
      <c r="G816">
        <f>IFERROR(VLOOKUP(D816,'Lookup Tables'!$A:$C,3,FALSE),IF(ISNUMBER(SEARCH("STEEL",F816)),"Steel","Others"))</f>
        <v>0</v>
      </c>
      <c r="H816">
        <f>IF(ISNUMBER(SEARCH("scrubber",F816)) , "Scrubber", IF(ISNUMBER(SEARCH("container",F816)),"Container", IF(ISNUMBER(SEARCH("basket",F816)),"Basket", IF(ISNUMBER(SEARCH("lunch",F816)),"Lunch Box", IF(ISNUMBER(SEARCH("cutlery",F816)),"Cutlery","Other")))))</f>
        <v>0</v>
      </c>
      <c r="I816">
        <f>IF('Raw Data'!G816&lt;&gt;'','Raw Data'!G816,IFERROR(MID(F816,SEARCH("MODEL",F816)+6,20),""))</f>
        <v>0</v>
      </c>
      <c r="J816">
        <f>'Raw Data'!H816</f>
        <v>0</v>
      </c>
      <c r="K816">
        <f>'Raw Data'!I816</f>
        <v>0</v>
      </c>
      <c r="L816">
        <f>IF('Raw Data'!N816&lt;&gt;0,'Raw Data'!N816,IFERROR(VALUE(MID(F816,SEARCH("QTY",F816)+4,IFERROR(FIND(" ",F816,SEARCH("QTY",F816)+4)-(SEARCH("QTY",F816)+4),3))),""))</f>
        <v>0</v>
      </c>
      <c r="M816">
        <f>'Raw Data'!O816</f>
        <v>0</v>
      </c>
      <c r="N816">
        <f>'Raw Data'!P816</f>
        <v>0</v>
      </c>
      <c r="O816">
        <f>'Raw Data'!Q816</f>
        <v>0</v>
      </c>
      <c r="P816">
        <f>'Raw Data'!R816</f>
        <v>0</v>
      </c>
      <c r="Q816">
        <f>'Raw Data'!S816</f>
        <v>0</v>
      </c>
      <c r="R816">
        <f>'Raw Data'!T816</f>
        <v>0</v>
      </c>
      <c r="S816">
        <f>IFERROR(O816,0)+IFERROR(R816,0)</f>
        <v>0</v>
      </c>
      <c r="T816">
        <f>IF(A816="","",YEAR(A816))</f>
        <v>0</v>
      </c>
    </row>
    <row r="817" spans="1:20">
      <c r="A817">
        <f>'Raw Data'!B817</f>
        <v>0</v>
      </c>
      <c r="B817">
        <f>'Raw Data'!A817</f>
        <v>0</v>
      </c>
      <c r="C817">
        <f>'Raw Data'!C817</f>
        <v>0</v>
      </c>
      <c r="D817">
        <f>'Raw Data'!D817</f>
        <v>0</v>
      </c>
      <c r="E817">
        <f>IFERROR(VLOOKUP(D817,'Lookup Tables'!$A:$B,2,FALSE),"Unknown")</f>
        <v>0</v>
      </c>
      <c r="F817">
        <f>'Raw Data'!E817</f>
        <v>0</v>
      </c>
      <c r="G817">
        <f>IFERROR(VLOOKUP(D817,'Lookup Tables'!$A:$C,3,FALSE),IF(ISNUMBER(SEARCH("STEEL",F817)),"Steel","Others"))</f>
        <v>0</v>
      </c>
      <c r="H817">
        <f>IF(ISNUMBER(SEARCH("scrubber",F817)) , "Scrubber", IF(ISNUMBER(SEARCH("container",F817)),"Container", IF(ISNUMBER(SEARCH("basket",F817)),"Basket", IF(ISNUMBER(SEARCH("lunch",F817)),"Lunch Box", IF(ISNUMBER(SEARCH("cutlery",F817)),"Cutlery","Other")))))</f>
        <v>0</v>
      </c>
      <c r="I817">
        <f>IF('Raw Data'!G817&lt;&gt;'','Raw Data'!G817,IFERROR(MID(F817,SEARCH("MODEL",F817)+6,20),""))</f>
        <v>0</v>
      </c>
      <c r="J817">
        <f>'Raw Data'!H817</f>
        <v>0</v>
      </c>
      <c r="K817">
        <f>'Raw Data'!I817</f>
        <v>0</v>
      </c>
      <c r="L817">
        <f>IF('Raw Data'!N817&lt;&gt;0,'Raw Data'!N817,IFERROR(VALUE(MID(F817,SEARCH("QTY",F817)+4,IFERROR(FIND(" ",F817,SEARCH("QTY",F817)+4)-(SEARCH("QTY",F817)+4),3))),""))</f>
        <v>0</v>
      </c>
      <c r="M817">
        <f>'Raw Data'!O817</f>
        <v>0</v>
      </c>
      <c r="N817">
        <f>'Raw Data'!P817</f>
        <v>0</v>
      </c>
      <c r="O817">
        <f>'Raw Data'!Q817</f>
        <v>0</v>
      </c>
      <c r="P817">
        <f>'Raw Data'!R817</f>
        <v>0</v>
      </c>
      <c r="Q817">
        <f>'Raw Data'!S817</f>
        <v>0</v>
      </c>
      <c r="R817">
        <f>'Raw Data'!T817</f>
        <v>0</v>
      </c>
      <c r="S817">
        <f>IFERROR(O817,0)+IFERROR(R817,0)</f>
        <v>0</v>
      </c>
      <c r="T817">
        <f>IF(A817="","",YEAR(A817))</f>
        <v>0</v>
      </c>
    </row>
    <row r="818" spans="1:20">
      <c r="A818">
        <f>'Raw Data'!B818</f>
        <v>0</v>
      </c>
      <c r="B818">
        <f>'Raw Data'!A818</f>
        <v>0</v>
      </c>
      <c r="C818">
        <f>'Raw Data'!C818</f>
        <v>0</v>
      </c>
      <c r="D818">
        <f>'Raw Data'!D818</f>
        <v>0</v>
      </c>
      <c r="E818">
        <f>IFERROR(VLOOKUP(D818,'Lookup Tables'!$A:$B,2,FALSE),"Unknown")</f>
        <v>0</v>
      </c>
      <c r="F818">
        <f>'Raw Data'!E818</f>
        <v>0</v>
      </c>
      <c r="G818">
        <f>IFERROR(VLOOKUP(D818,'Lookup Tables'!$A:$C,3,FALSE),IF(ISNUMBER(SEARCH("STEEL",F818)),"Steel","Others"))</f>
        <v>0</v>
      </c>
      <c r="H818">
        <f>IF(ISNUMBER(SEARCH("scrubber",F818)) , "Scrubber", IF(ISNUMBER(SEARCH("container",F818)),"Container", IF(ISNUMBER(SEARCH("basket",F818)),"Basket", IF(ISNUMBER(SEARCH("lunch",F818)),"Lunch Box", IF(ISNUMBER(SEARCH("cutlery",F818)),"Cutlery","Other")))))</f>
        <v>0</v>
      </c>
      <c r="I818">
        <f>IF('Raw Data'!G818&lt;&gt;'','Raw Data'!G818,IFERROR(MID(F818,SEARCH("MODEL",F818)+6,20),""))</f>
        <v>0</v>
      </c>
      <c r="J818">
        <f>'Raw Data'!H818</f>
        <v>0</v>
      </c>
      <c r="K818">
        <f>'Raw Data'!I818</f>
        <v>0</v>
      </c>
      <c r="L818">
        <f>IF('Raw Data'!N818&lt;&gt;0,'Raw Data'!N818,IFERROR(VALUE(MID(F818,SEARCH("QTY",F818)+4,IFERROR(FIND(" ",F818,SEARCH("QTY",F818)+4)-(SEARCH("QTY",F818)+4),3))),""))</f>
        <v>0</v>
      </c>
      <c r="M818">
        <f>'Raw Data'!O818</f>
        <v>0</v>
      </c>
      <c r="N818">
        <f>'Raw Data'!P818</f>
        <v>0</v>
      </c>
      <c r="O818">
        <f>'Raw Data'!Q818</f>
        <v>0</v>
      </c>
      <c r="P818">
        <f>'Raw Data'!R818</f>
        <v>0</v>
      </c>
      <c r="Q818">
        <f>'Raw Data'!S818</f>
        <v>0</v>
      </c>
      <c r="R818">
        <f>'Raw Data'!T818</f>
        <v>0</v>
      </c>
      <c r="S818">
        <f>IFERROR(O818,0)+IFERROR(R818,0)</f>
        <v>0</v>
      </c>
      <c r="T818">
        <f>IF(A818="","",YEAR(A818))</f>
        <v>0</v>
      </c>
    </row>
    <row r="819" spans="1:20">
      <c r="A819">
        <f>'Raw Data'!B819</f>
        <v>0</v>
      </c>
      <c r="B819">
        <f>'Raw Data'!A819</f>
        <v>0</v>
      </c>
      <c r="C819">
        <f>'Raw Data'!C819</f>
        <v>0</v>
      </c>
      <c r="D819">
        <f>'Raw Data'!D819</f>
        <v>0</v>
      </c>
      <c r="E819">
        <f>IFERROR(VLOOKUP(D819,'Lookup Tables'!$A:$B,2,FALSE),"Unknown")</f>
        <v>0</v>
      </c>
      <c r="F819">
        <f>'Raw Data'!E819</f>
        <v>0</v>
      </c>
      <c r="G819">
        <f>IFERROR(VLOOKUP(D819,'Lookup Tables'!$A:$C,3,FALSE),IF(ISNUMBER(SEARCH("STEEL",F819)),"Steel","Others"))</f>
        <v>0</v>
      </c>
      <c r="H819">
        <f>IF(ISNUMBER(SEARCH("scrubber",F819)) , "Scrubber", IF(ISNUMBER(SEARCH("container",F819)),"Container", IF(ISNUMBER(SEARCH("basket",F819)),"Basket", IF(ISNUMBER(SEARCH("lunch",F819)),"Lunch Box", IF(ISNUMBER(SEARCH("cutlery",F819)),"Cutlery","Other")))))</f>
        <v>0</v>
      </c>
      <c r="I819">
        <f>IF('Raw Data'!G819&lt;&gt;'','Raw Data'!G819,IFERROR(MID(F819,SEARCH("MODEL",F819)+6,20),""))</f>
        <v>0</v>
      </c>
      <c r="J819">
        <f>'Raw Data'!H819</f>
        <v>0</v>
      </c>
      <c r="K819">
        <f>'Raw Data'!I819</f>
        <v>0</v>
      </c>
      <c r="L819">
        <f>IF('Raw Data'!N819&lt;&gt;0,'Raw Data'!N819,IFERROR(VALUE(MID(F819,SEARCH("QTY",F819)+4,IFERROR(FIND(" ",F819,SEARCH("QTY",F819)+4)-(SEARCH("QTY",F819)+4),3))),""))</f>
        <v>0</v>
      </c>
      <c r="M819">
        <f>'Raw Data'!O819</f>
        <v>0</v>
      </c>
      <c r="N819">
        <f>'Raw Data'!P819</f>
        <v>0</v>
      </c>
      <c r="O819">
        <f>'Raw Data'!Q819</f>
        <v>0</v>
      </c>
      <c r="P819">
        <f>'Raw Data'!R819</f>
        <v>0</v>
      </c>
      <c r="Q819">
        <f>'Raw Data'!S819</f>
        <v>0</v>
      </c>
      <c r="R819">
        <f>'Raw Data'!T819</f>
        <v>0</v>
      </c>
      <c r="S819">
        <f>IFERROR(O819,0)+IFERROR(R819,0)</f>
        <v>0</v>
      </c>
      <c r="T819">
        <f>IF(A819="","",YEAR(A819))</f>
        <v>0</v>
      </c>
    </row>
    <row r="820" spans="1:20">
      <c r="A820">
        <f>'Raw Data'!B820</f>
        <v>0</v>
      </c>
      <c r="B820">
        <f>'Raw Data'!A820</f>
        <v>0</v>
      </c>
      <c r="C820">
        <f>'Raw Data'!C820</f>
        <v>0</v>
      </c>
      <c r="D820">
        <f>'Raw Data'!D820</f>
        <v>0</v>
      </c>
      <c r="E820">
        <f>IFERROR(VLOOKUP(D820,'Lookup Tables'!$A:$B,2,FALSE),"Unknown")</f>
        <v>0</v>
      </c>
      <c r="F820">
        <f>'Raw Data'!E820</f>
        <v>0</v>
      </c>
      <c r="G820">
        <f>IFERROR(VLOOKUP(D820,'Lookup Tables'!$A:$C,3,FALSE),IF(ISNUMBER(SEARCH("STEEL",F820)),"Steel","Others"))</f>
        <v>0</v>
      </c>
      <c r="H820">
        <f>IF(ISNUMBER(SEARCH("scrubber",F820)) , "Scrubber", IF(ISNUMBER(SEARCH("container",F820)),"Container", IF(ISNUMBER(SEARCH("basket",F820)),"Basket", IF(ISNUMBER(SEARCH("lunch",F820)),"Lunch Box", IF(ISNUMBER(SEARCH("cutlery",F820)),"Cutlery","Other")))))</f>
        <v>0</v>
      </c>
      <c r="I820">
        <f>IF('Raw Data'!G820&lt;&gt;'','Raw Data'!G820,IFERROR(MID(F820,SEARCH("MODEL",F820)+6,20),""))</f>
        <v>0</v>
      </c>
      <c r="J820">
        <f>'Raw Data'!H820</f>
        <v>0</v>
      </c>
      <c r="K820">
        <f>'Raw Data'!I820</f>
        <v>0</v>
      </c>
      <c r="L820">
        <f>IF('Raw Data'!N820&lt;&gt;0,'Raw Data'!N820,IFERROR(VALUE(MID(F820,SEARCH("QTY",F820)+4,IFERROR(FIND(" ",F820,SEARCH("QTY",F820)+4)-(SEARCH("QTY",F820)+4),3))),""))</f>
        <v>0</v>
      </c>
      <c r="M820">
        <f>'Raw Data'!O820</f>
        <v>0</v>
      </c>
      <c r="N820">
        <f>'Raw Data'!P820</f>
        <v>0</v>
      </c>
      <c r="O820">
        <f>'Raw Data'!Q820</f>
        <v>0</v>
      </c>
      <c r="P820">
        <f>'Raw Data'!R820</f>
        <v>0</v>
      </c>
      <c r="Q820">
        <f>'Raw Data'!S820</f>
        <v>0</v>
      </c>
      <c r="R820">
        <f>'Raw Data'!T820</f>
        <v>0</v>
      </c>
      <c r="S820">
        <f>IFERROR(O820,0)+IFERROR(R820,0)</f>
        <v>0</v>
      </c>
      <c r="T820">
        <f>IF(A820="","",YEAR(A820))</f>
        <v>0</v>
      </c>
    </row>
    <row r="821" spans="1:20">
      <c r="A821">
        <f>'Raw Data'!B821</f>
        <v>0</v>
      </c>
      <c r="B821">
        <f>'Raw Data'!A821</f>
        <v>0</v>
      </c>
      <c r="C821">
        <f>'Raw Data'!C821</f>
        <v>0</v>
      </c>
      <c r="D821">
        <f>'Raw Data'!D821</f>
        <v>0</v>
      </c>
      <c r="E821">
        <f>IFERROR(VLOOKUP(D821,'Lookup Tables'!$A:$B,2,FALSE),"Unknown")</f>
        <v>0</v>
      </c>
      <c r="F821">
        <f>'Raw Data'!E821</f>
        <v>0</v>
      </c>
      <c r="G821">
        <f>IFERROR(VLOOKUP(D821,'Lookup Tables'!$A:$C,3,FALSE),IF(ISNUMBER(SEARCH("STEEL",F821)),"Steel","Others"))</f>
        <v>0</v>
      </c>
      <c r="H821">
        <f>IF(ISNUMBER(SEARCH("scrubber",F821)) , "Scrubber", IF(ISNUMBER(SEARCH("container",F821)),"Container", IF(ISNUMBER(SEARCH("basket",F821)),"Basket", IF(ISNUMBER(SEARCH("lunch",F821)),"Lunch Box", IF(ISNUMBER(SEARCH("cutlery",F821)),"Cutlery","Other")))))</f>
        <v>0</v>
      </c>
      <c r="I821">
        <f>IF('Raw Data'!G821&lt;&gt;'','Raw Data'!G821,IFERROR(MID(F821,SEARCH("MODEL",F821)+6,20),""))</f>
        <v>0</v>
      </c>
      <c r="J821">
        <f>'Raw Data'!H821</f>
        <v>0</v>
      </c>
      <c r="K821">
        <f>'Raw Data'!I821</f>
        <v>0</v>
      </c>
      <c r="L821">
        <f>IF('Raw Data'!N821&lt;&gt;0,'Raw Data'!N821,IFERROR(VALUE(MID(F821,SEARCH("QTY",F821)+4,IFERROR(FIND(" ",F821,SEARCH("QTY",F821)+4)-(SEARCH("QTY",F821)+4),3))),""))</f>
        <v>0</v>
      </c>
      <c r="M821">
        <f>'Raw Data'!O821</f>
        <v>0</v>
      </c>
      <c r="N821">
        <f>'Raw Data'!P821</f>
        <v>0</v>
      </c>
      <c r="O821">
        <f>'Raw Data'!Q821</f>
        <v>0</v>
      </c>
      <c r="P821">
        <f>'Raw Data'!R821</f>
        <v>0</v>
      </c>
      <c r="Q821">
        <f>'Raw Data'!S821</f>
        <v>0</v>
      </c>
      <c r="R821">
        <f>'Raw Data'!T821</f>
        <v>0</v>
      </c>
      <c r="S821">
        <f>IFERROR(O821,0)+IFERROR(R821,0)</f>
        <v>0</v>
      </c>
      <c r="T821">
        <f>IF(A821="","",YEAR(A821))</f>
        <v>0</v>
      </c>
    </row>
    <row r="822" spans="1:20">
      <c r="A822">
        <f>'Raw Data'!B822</f>
        <v>0</v>
      </c>
      <c r="B822">
        <f>'Raw Data'!A822</f>
        <v>0</v>
      </c>
      <c r="C822">
        <f>'Raw Data'!C822</f>
        <v>0</v>
      </c>
      <c r="D822">
        <f>'Raw Data'!D822</f>
        <v>0</v>
      </c>
      <c r="E822">
        <f>IFERROR(VLOOKUP(D822,'Lookup Tables'!$A:$B,2,FALSE),"Unknown")</f>
        <v>0</v>
      </c>
      <c r="F822">
        <f>'Raw Data'!E822</f>
        <v>0</v>
      </c>
      <c r="G822">
        <f>IFERROR(VLOOKUP(D822,'Lookup Tables'!$A:$C,3,FALSE),IF(ISNUMBER(SEARCH("STEEL",F822)),"Steel","Others"))</f>
        <v>0</v>
      </c>
      <c r="H822">
        <f>IF(ISNUMBER(SEARCH("scrubber",F822)) , "Scrubber", IF(ISNUMBER(SEARCH("container",F822)),"Container", IF(ISNUMBER(SEARCH("basket",F822)),"Basket", IF(ISNUMBER(SEARCH("lunch",F822)),"Lunch Box", IF(ISNUMBER(SEARCH("cutlery",F822)),"Cutlery","Other")))))</f>
        <v>0</v>
      </c>
      <c r="I822">
        <f>IF('Raw Data'!G822&lt;&gt;'','Raw Data'!G822,IFERROR(MID(F822,SEARCH("MODEL",F822)+6,20),""))</f>
        <v>0</v>
      </c>
      <c r="J822">
        <f>'Raw Data'!H822</f>
        <v>0</v>
      </c>
      <c r="K822">
        <f>'Raw Data'!I822</f>
        <v>0</v>
      </c>
      <c r="L822">
        <f>IF('Raw Data'!N822&lt;&gt;0,'Raw Data'!N822,IFERROR(VALUE(MID(F822,SEARCH("QTY",F822)+4,IFERROR(FIND(" ",F822,SEARCH("QTY",F822)+4)-(SEARCH("QTY",F822)+4),3))),""))</f>
        <v>0</v>
      </c>
      <c r="M822">
        <f>'Raw Data'!O822</f>
        <v>0</v>
      </c>
      <c r="N822">
        <f>'Raw Data'!P822</f>
        <v>0</v>
      </c>
      <c r="O822">
        <f>'Raw Data'!Q822</f>
        <v>0</v>
      </c>
      <c r="P822">
        <f>'Raw Data'!R822</f>
        <v>0</v>
      </c>
      <c r="Q822">
        <f>'Raw Data'!S822</f>
        <v>0</v>
      </c>
      <c r="R822">
        <f>'Raw Data'!T822</f>
        <v>0</v>
      </c>
      <c r="S822">
        <f>IFERROR(O822,0)+IFERROR(R822,0)</f>
        <v>0</v>
      </c>
      <c r="T822">
        <f>IF(A822="","",YEAR(A822))</f>
        <v>0</v>
      </c>
    </row>
    <row r="823" spans="1:20">
      <c r="A823">
        <f>'Raw Data'!B823</f>
        <v>0</v>
      </c>
      <c r="B823">
        <f>'Raw Data'!A823</f>
        <v>0</v>
      </c>
      <c r="C823">
        <f>'Raw Data'!C823</f>
        <v>0</v>
      </c>
      <c r="D823">
        <f>'Raw Data'!D823</f>
        <v>0</v>
      </c>
      <c r="E823">
        <f>IFERROR(VLOOKUP(D823,'Lookup Tables'!$A:$B,2,FALSE),"Unknown")</f>
        <v>0</v>
      </c>
      <c r="F823">
        <f>'Raw Data'!E823</f>
        <v>0</v>
      </c>
      <c r="G823">
        <f>IFERROR(VLOOKUP(D823,'Lookup Tables'!$A:$C,3,FALSE),IF(ISNUMBER(SEARCH("STEEL",F823)),"Steel","Others"))</f>
        <v>0</v>
      </c>
      <c r="H823">
        <f>IF(ISNUMBER(SEARCH("scrubber",F823)) , "Scrubber", IF(ISNUMBER(SEARCH("container",F823)),"Container", IF(ISNUMBER(SEARCH("basket",F823)),"Basket", IF(ISNUMBER(SEARCH("lunch",F823)),"Lunch Box", IF(ISNUMBER(SEARCH("cutlery",F823)),"Cutlery","Other")))))</f>
        <v>0</v>
      </c>
      <c r="I823">
        <f>IF('Raw Data'!G823&lt;&gt;'','Raw Data'!G823,IFERROR(MID(F823,SEARCH("MODEL",F823)+6,20),""))</f>
        <v>0</v>
      </c>
      <c r="J823">
        <f>'Raw Data'!H823</f>
        <v>0</v>
      </c>
      <c r="K823">
        <f>'Raw Data'!I823</f>
        <v>0</v>
      </c>
      <c r="L823">
        <f>IF('Raw Data'!N823&lt;&gt;0,'Raw Data'!N823,IFERROR(VALUE(MID(F823,SEARCH("QTY",F823)+4,IFERROR(FIND(" ",F823,SEARCH("QTY",F823)+4)-(SEARCH("QTY",F823)+4),3))),""))</f>
        <v>0</v>
      </c>
      <c r="M823">
        <f>'Raw Data'!O823</f>
        <v>0</v>
      </c>
      <c r="N823">
        <f>'Raw Data'!P823</f>
        <v>0</v>
      </c>
      <c r="O823">
        <f>'Raw Data'!Q823</f>
        <v>0</v>
      </c>
      <c r="P823">
        <f>'Raw Data'!R823</f>
        <v>0</v>
      </c>
      <c r="Q823">
        <f>'Raw Data'!S823</f>
        <v>0</v>
      </c>
      <c r="R823">
        <f>'Raw Data'!T823</f>
        <v>0</v>
      </c>
      <c r="S823">
        <f>IFERROR(O823,0)+IFERROR(R823,0)</f>
        <v>0</v>
      </c>
      <c r="T823">
        <f>IF(A823="","",YEAR(A823))</f>
        <v>0</v>
      </c>
    </row>
    <row r="824" spans="1:20">
      <c r="A824">
        <f>'Raw Data'!B824</f>
        <v>0</v>
      </c>
      <c r="B824">
        <f>'Raw Data'!A824</f>
        <v>0</v>
      </c>
      <c r="C824">
        <f>'Raw Data'!C824</f>
        <v>0</v>
      </c>
      <c r="D824">
        <f>'Raw Data'!D824</f>
        <v>0</v>
      </c>
      <c r="E824">
        <f>IFERROR(VLOOKUP(D824,'Lookup Tables'!$A:$B,2,FALSE),"Unknown")</f>
        <v>0</v>
      </c>
      <c r="F824">
        <f>'Raw Data'!E824</f>
        <v>0</v>
      </c>
      <c r="G824">
        <f>IFERROR(VLOOKUP(D824,'Lookup Tables'!$A:$C,3,FALSE),IF(ISNUMBER(SEARCH("STEEL",F824)),"Steel","Others"))</f>
        <v>0</v>
      </c>
      <c r="H824">
        <f>IF(ISNUMBER(SEARCH("scrubber",F824)) , "Scrubber", IF(ISNUMBER(SEARCH("container",F824)),"Container", IF(ISNUMBER(SEARCH("basket",F824)),"Basket", IF(ISNUMBER(SEARCH("lunch",F824)),"Lunch Box", IF(ISNUMBER(SEARCH("cutlery",F824)),"Cutlery","Other")))))</f>
        <v>0</v>
      </c>
      <c r="I824">
        <f>IF('Raw Data'!G824&lt;&gt;'','Raw Data'!G824,IFERROR(MID(F824,SEARCH("MODEL",F824)+6,20),""))</f>
        <v>0</v>
      </c>
      <c r="J824">
        <f>'Raw Data'!H824</f>
        <v>0</v>
      </c>
      <c r="K824">
        <f>'Raw Data'!I824</f>
        <v>0</v>
      </c>
      <c r="L824">
        <f>IF('Raw Data'!N824&lt;&gt;0,'Raw Data'!N824,IFERROR(VALUE(MID(F824,SEARCH("QTY",F824)+4,IFERROR(FIND(" ",F824,SEARCH("QTY",F824)+4)-(SEARCH("QTY",F824)+4),3))),""))</f>
        <v>0</v>
      </c>
      <c r="M824">
        <f>'Raw Data'!O824</f>
        <v>0</v>
      </c>
      <c r="N824">
        <f>'Raw Data'!P824</f>
        <v>0</v>
      </c>
      <c r="O824">
        <f>'Raw Data'!Q824</f>
        <v>0</v>
      </c>
      <c r="P824">
        <f>'Raw Data'!R824</f>
        <v>0</v>
      </c>
      <c r="Q824">
        <f>'Raw Data'!S824</f>
        <v>0</v>
      </c>
      <c r="R824">
        <f>'Raw Data'!T824</f>
        <v>0</v>
      </c>
      <c r="S824">
        <f>IFERROR(O824,0)+IFERROR(R824,0)</f>
        <v>0</v>
      </c>
      <c r="T824">
        <f>IF(A824="","",YEAR(A824))</f>
        <v>0</v>
      </c>
    </row>
    <row r="825" spans="1:20">
      <c r="A825">
        <f>'Raw Data'!B825</f>
        <v>0</v>
      </c>
      <c r="B825">
        <f>'Raw Data'!A825</f>
        <v>0</v>
      </c>
      <c r="C825">
        <f>'Raw Data'!C825</f>
        <v>0</v>
      </c>
      <c r="D825">
        <f>'Raw Data'!D825</f>
        <v>0</v>
      </c>
      <c r="E825">
        <f>IFERROR(VLOOKUP(D825,'Lookup Tables'!$A:$B,2,FALSE),"Unknown")</f>
        <v>0</v>
      </c>
      <c r="F825">
        <f>'Raw Data'!E825</f>
        <v>0</v>
      </c>
      <c r="G825">
        <f>IFERROR(VLOOKUP(D825,'Lookup Tables'!$A:$C,3,FALSE),IF(ISNUMBER(SEARCH("STEEL",F825)),"Steel","Others"))</f>
        <v>0</v>
      </c>
      <c r="H825">
        <f>IF(ISNUMBER(SEARCH("scrubber",F825)) , "Scrubber", IF(ISNUMBER(SEARCH("container",F825)),"Container", IF(ISNUMBER(SEARCH("basket",F825)),"Basket", IF(ISNUMBER(SEARCH("lunch",F825)),"Lunch Box", IF(ISNUMBER(SEARCH("cutlery",F825)),"Cutlery","Other")))))</f>
        <v>0</v>
      </c>
      <c r="I825">
        <f>IF('Raw Data'!G825&lt;&gt;'','Raw Data'!G825,IFERROR(MID(F825,SEARCH("MODEL",F825)+6,20),""))</f>
        <v>0</v>
      </c>
      <c r="J825">
        <f>'Raw Data'!H825</f>
        <v>0</v>
      </c>
      <c r="K825">
        <f>'Raw Data'!I825</f>
        <v>0</v>
      </c>
      <c r="L825">
        <f>IF('Raw Data'!N825&lt;&gt;0,'Raw Data'!N825,IFERROR(VALUE(MID(F825,SEARCH("QTY",F825)+4,IFERROR(FIND(" ",F825,SEARCH("QTY",F825)+4)-(SEARCH("QTY",F825)+4),3))),""))</f>
        <v>0</v>
      </c>
      <c r="M825">
        <f>'Raw Data'!O825</f>
        <v>0</v>
      </c>
      <c r="N825">
        <f>'Raw Data'!P825</f>
        <v>0</v>
      </c>
      <c r="O825">
        <f>'Raw Data'!Q825</f>
        <v>0</v>
      </c>
      <c r="P825">
        <f>'Raw Data'!R825</f>
        <v>0</v>
      </c>
      <c r="Q825">
        <f>'Raw Data'!S825</f>
        <v>0</v>
      </c>
      <c r="R825">
        <f>'Raw Data'!T825</f>
        <v>0</v>
      </c>
      <c r="S825">
        <f>IFERROR(O825,0)+IFERROR(R825,0)</f>
        <v>0</v>
      </c>
      <c r="T825">
        <f>IF(A825="","",YEAR(A825))</f>
        <v>0</v>
      </c>
    </row>
    <row r="826" spans="1:20">
      <c r="A826">
        <f>'Raw Data'!B826</f>
        <v>0</v>
      </c>
      <c r="B826">
        <f>'Raw Data'!A826</f>
        <v>0</v>
      </c>
      <c r="C826">
        <f>'Raw Data'!C826</f>
        <v>0</v>
      </c>
      <c r="D826">
        <f>'Raw Data'!D826</f>
        <v>0</v>
      </c>
      <c r="E826">
        <f>IFERROR(VLOOKUP(D826,'Lookup Tables'!$A:$B,2,FALSE),"Unknown")</f>
        <v>0</v>
      </c>
      <c r="F826">
        <f>'Raw Data'!E826</f>
        <v>0</v>
      </c>
      <c r="G826">
        <f>IFERROR(VLOOKUP(D826,'Lookup Tables'!$A:$C,3,FALSE),IF(ISNUMBER(SEARCH("STEEL",F826)),"Steel","Others"))</f>
        <v>0</v>
      </c>
      <c r="H826">
        <f>IF(ISNUMBER(SEARCH("scrubber",F826)) , "Scrubber", IF(ISNUMBER(SEARCH("container",F826)),"Container", IF(ISNUMBER(SEARCH("basket",F826)),"Basket", IF(ISNUMBER(SEARCH("lunch",F826)),"Lunch Box", IF(ISNUMBER(SEARCH("cutlery",F826)),"Cutlery","Other")))))</f>
        <v>0</v>
      </c>
      <c r="I826">
        <f>IF('Raw Data'!G826&lt;&gt;'','Raw Data'!G826,IFERROR(MID(F826,SEARCH("MODEL",F826)+6,20),""))</f>
        <v>0</v>
      </c>
      <c r="J826">
        <f>'Raw Data'!H826</f>
        <v>0</v>
      </c>
      <c r="K826">
        <f>'Raw Data'!I826</f>
        <v>0</v>
      </c>
      <c r="L826">
        <f>IF('Raw Data'!N826&lt;&gt;0,'Raw Data'!N826,IFERROR(VALUE(MID(F826,SEARCH("QTY",F826)+4,IFERROR(FIND(" ",F826,SEARCH("QTY",F826)+4)-(SEARCH("QTY",F826)+4),3))),""))</f>
        <v>0</v>
      </c>
      <c r="M826">
        <f>'Raw Data'!O826</f>
        <v>0</v>
      </c>
      <c r="N826">
        <f>'Raw Data'!P826</f>
        <v>0</v>
      </c>
      <c r="O826">
        <f>'Raw Data'!Q826</f>
        <v>0</v>
      </c>
      <c r="P826">
        <f>'Raw Data'!R826</f>
        <v>0</v>
      </c>
      <c r="Q826">
        <f>'Raw Data'!S826</f>
        <v>0</v>
      </c>
      <c r="R826">
        <f>'Raw Data'!T826</f>
        <v>0</v>
      </c>
      <c r="S826">
        <f>IFERROR(O826,0)+IFERROR(R826,0)</f>
        <v>0</v>
      </c>
      <c r="T826">
        <f>IF(A826="","",YEAR(A826))</f>
        <v>0</v>
      </c>
    </row>
    <row r="827" spans="1:20">
      <c r="A827">
        <f>'Raw Data'!B827</f>
        <v>0</v>
      </c>
      <c r="B827">
        <f>'Raw Data'!A827</f>
        <v>0</v>
      </c>
      <c r="C827">
        <f>'Raw Data'!C827</f>
        <v>0</v>
      </c>
      <c r="D827">
        <f>'Raw Data'!D827</f>
        <v>0</v>
      </c>
      <c r="E827">
        <f>IFERROR(VLOOKUP(D827,'Lookup Tables'!$A:$B,2,FALSE),"Unknown")</f>
        <v>0</v>
      </c>
      <c r="F827">
        <f>'Raw Data'!E827</f>
        <v>0</v>
      </c>
      <c r="G827">
        <f>IFERROR(VLOOKUP(D827,'Lookup Tables'!$A:$C,3,FALSE),IF(ISNUMBER(SEARCH("STEEL",F827)),"Steel","Others"))</f>
        <v>0</v>
      </c>
      <c r="H827">
        <f>IF(ISNUMBER(SEARCH("scrubber",F827)) , "Scrubber", IF(ISNUMBER(SEARCH("container",F827)),"Container", IF(ISNUMBER(SEARCH("basket",F827)),"Basket", IF(ISNUMBER(SEARCH("lunch",F827)),"Lunch Box", IF(ISNUMBER(SEARCH("cutlery",F827)),"Cutlery","Other")))))</f>
        <v>0</v>
      </c>
      <c r="I827">
        <f>IF('Raw Data'!G827&lt;&gt;'','Raw Data'!G827,IFERROR(MID(F827,SEARCH("MODEL",F827)+6,20),""))</f>
        <v>0</v>
      </c>
      <c r="J827">
        <f>'Raw Data'!H827</f>
        <v>0</v>
      </c>
      <c r="K827">
        <f>'Raw Data'!I827</f>
        <v>0</v>
      </c>
      <c r="L827">
        <f>IF('Raw Data'!N827&lt;&gt;0,'Raw Data'!N827,IFERROR(VALUE(MID(F827,SEARCH("QTY",F827)+4,IFERROR(FIND(" ",F827,SEARCH("QTY",F827)+4)-(SEARCH("QTY",F827)+4),3))),""))</f>
        <v>0</v>
      </c>
      <c r="M827">
        <f>'Raw Data'!O827</f>
        <v>0</v>
      </c>
      <c r="N827">
        <f>'Raw Data'!P827</f>
        <v>0</v>
      </c>
      <c r="O827">
        <f>'Raw Data'!Q827</f>
        <v>0</v>
      </c>
      <c r="P827">
        <f>'Raw Data'!R827</f>
        <v>0</v>
      </c>
      <c r="Q827">
        <f>'Raw Data'!S827</f>
        <v>0</v>
      </c>
      <c r="R827">
        <f>'Raw Data'!T827</f>
        <v>0</v>
      </c>
      <c r="S827">
        <f>IFERROR(O827,0)+IFERROR(R827,0)</f>
        <v>0</v>
      </c>
      <c r="T827">
        <f>IF(A827="","",YEAR(A827))</f>
        <v>0</v>
      </c>
    </row>
    <row r="828" spans="1:20">
      <c r="A828">
        <f>'Raw Data'!B828</f>
        <v>0</v>
      </c>
      <c r="B828">
        <f>'Raw Data'!A828</f>
        <v>0</v>
      </c>
      <c r="C828">
        <f>'Raw Data'!C828</f>
        <v>0</v>
      </c>
      <c r="D828">
        <f>'Raw Data'!D828</f>
        <v>0</v>
      </c>
      <c r="E828">
        <f>IFERROR(VLOOKUP(D828,'Lookup Tables'!$A:$B,2,FALSE),"Unknown")</f>
        <v>0</v>
      </c>
      <c r="F828">
        <f>'Raw Data'!E828</f>
        <v>0</v>
      </c>
      <c r="G828">
        <f>IFERROR(VLOOKUP(D828,'Lookup Tables'!$A:$C,3,FALSE),IF(ISNUMBER(SEARCH("STEEL",F828)),"Steel","Others"))</f>
        <v>0</v>
      </c>
      <c r="H828">
        <f>IF(ISNUMBER(SEARCH("scrubber",F828)) , "Scrubber", IF(ISNUMBER(SEARCH("container",F828)),"Container", IF(ISNUMBER(SEARCH("basket",F828)),"Basket", IF(ISNUMBER(SEARCH("lunch",F828)),"Lunch Box", IF(ISNUMBER(SEARCH("cutlery",F828)),"Cutlery","Other")))))</f>
        <v>0</v>
      </c>
      <c r="I828">
        <f>IF('Raw Data'!G828&lt;&gt;'','Raw Data'!G828,IFERROR(MID(F828,SEARCH("MODEL",F828)+6,20),""))</f>
        <v>0</v>
      </c>
      <c r="J828">
        <f>'Raw Data'!H828</f>
        <v>0</v>
      </c>
      <c r="K828">
        <f>'Raw Data'!I828</f>
        <v>0</v>
      </c>
      <c r="L828">
        <f>IF('Raw Data'!N828&lt;&gt;0,'Raw Data'!N828,IFERROR(VALUE(MID(F828,SEARCH("QTY",F828)+4,IFERROR(FIND(" ",F828,SEARCH("QTY",F828)+4)-(SEARCH("QTY",F828)+4),3))),""))</f>
        <v>0</v>
      </c>
      <c r="M828">
        <f>'Raw Data'!O828</f>
        <v>0</v>
      </c>
      <c r="N828">
        <f>'Raw Data'!P828</f>
        <v>0</v>
      </c>
      <c r="O828">
        <f>'Raw Data'!Q828</f>
        <v>0</v>
      </c>
      <c r="P828">
        <f>'Raw Data'!R828</f>
        <v>0</v>
      </c>
      <c r="Q828">
        <f>'Raw Data'!S828</f>
        <v>0</v>
      </c>
      <c r="R828">
        <f>'Raw Data'!T828</f>
        <v>0</v>
      </c>
      <c r="S828">
        <f>IFERROR(O828,0)+IFERROR(R828,0)</f>
        <v>0</v>
      </c>
      <c r="T828">
        <f>IF(A828="","",YEAR(A828))</f>
        <v>0</v>
      </c>
    </row>
    <row r="829" spans="1:20">
      <c r="A829">
        <f>'Raw Data'!B829</f>
        <v>0</v>
      </c>
      <c r="B829">
        <f>'Raw Data'!A829</f>
        <v>0</v>
      </c>
      <c r="C829">
        <f>'Raw Data'!C829</f>
        <v>0</v>
      </c>
      <c r="D829">
        <f>'Raw Data'!D829</f>
        <v>0</v>
      </c>
      <c r="E829">
        <f>IFERROR(VLOOKUP(D829,'Lookup Tables'!$A:$B,2,FALSE),"Unknown")</f>
        <v>0</v>
      </c>
      <c r="F829">
        <f>'Raw Data'!E829</f>
        <v>0</v>
      </c>
      <c r="G829">
        <f>IFERROR(VLOOKUP(D829,'Lookup Tables'!$A:$C,3,FALSE),IF(ISNUMBER(SEARCH("STEEL",F829)),"Steel","Others"))</f>
        <v>0</v>
      </c>
      <c r="H829">
        <f>IF(ISNUMBER(SEARCH("scrubber",F829)) , "Scrubber", IF(ISNUMBER(SEARCH("container",F829)),"Container", IF(ISNUMBER(SEARCH("basket",F829)),"Basket", IF(ISNUMBER(SEARCH("lunch",F829)),"Lunch Box", IF(ISNUMBER(SEARCH("cutlery",F829)),"Cutlery","Other")))))</f>
        <v>0</v>
      </c>
      <c r="I829">
        <f>IF('Raw Data'!G829&lt;&gt;'','Raw Data'!G829,IFERROR(MID(F829,SEARCH("MODEL",F829)+6,20),""))</f>
        <v>0</v>
      </c>
      <c r="J829">
        <f>'Raw Data'!H829</f>
        <v>0</v>
      </c>
      <c r="K829">
        <f>'Raw Data'!I829</f>
        <v>0</v>
      </c>
      <c r="L829">
        <f>IF('Raw Data'!N829&lt;&gt;0,'Raw Data'!N829,IFERROR(VALUE(MID(F829,SEARCH("QTY",F829)+4,IFERROR(FIND(" ",F829,SEARCH("QTY",F829)+4)-(SEARCH("QTY",F829)+4),3))),""))</f>
        <v>0</v>
      </c>
      <c r="M829">
        <f>'Raw Data'!O829</f>
        <v>0</v>
      </c>
      <c r="N829">
        <f>'Raw Data'!P829</f>
        <v>0</v>
      </c>
      <c r="O829">
        <f>'Raw Data'!Q829</f>
        <v>0</v>
      </c>
      <c r="P829">
        <f>'Raw Data'!R829</f>
        <v>0</v>
      </c>
      <c r="Q829">
        <f>'Raw Data'!S829</f>
        <v>0</v>
      </c>
      <c r="R829">
        <f>'Raw Data'!T829</f>
        <v>0</v>
      </c>
      <c r="S829">
        <f>IFERROR(O829,0)+IFERROR(R829,0)</f>
        <v>0</v>
      </c>
      <c r="T829">
        <f>IF(A829="","",YEAR(A829))</f>
        <v>0</v>
      </c>
    </row>
    <row r="830" spans="1:20">
      <c r="A830">
        <f>'Raw Data'!B830</f>
        <v>0</v>
      </c>
      <c r="B830">
        <f>'Raw Data'!A830</f>
        <v>0</v>
      </c>
      <c r="C830">
        <f>'Raw Data'!C830</f>
        <v>0</v>
      </c>
      <c r="D830">
        <f>'Raw Data'!D830</f>
        <v>0</v>
      </c>
      <c r="E830">
        <f>IFERROR(VLOOKUP(D830,'Lookup Tables'!$A:$B,2,FALSE),"Unknown")</f>
        <v>0</v>
      </c>
      <c r="F830">
        <f>'Raw Data'!E830</f>
        <v>0</v>
      </c>
      <c r="G830">
        <f>IFERROR(VLOOKUP(D830,'Lookup Tables'!$A:$C,3,FALSE),IF(ISNUMBER(SEARCH("STEEL",F830)),"Steel","Others"))</f>
        <v>0</v>
      </c>
      <c r="H830">
        <f>IF(ISNUMBER(SEARCH("scrubber",F830)) , "Scrubber", IF(ISNUMBER(SEARCH("container",F830)),"Container", IF(ISNUMBER(SEARCH("basket",F830)),"Basket", IF(ISNUMBER(SEARCH("lunch",F830)),"Lunch Box", IF(ISNUMBER(SEARCH("cutlery",F830)),"Cutlery","Other")))))</f>
        <v>0</v>
      </c>
      <c r="I830">
        <f>IF('Raw Data'!G830&lt;&gt;'','Raw Data'!G830,IFERROR(MID(F830,SEARCH("MODEL",F830)+6,20),""))</f>
        <v>0</v>
      </c>
      <c r="J830">
        <f>'Raw Data'!H830</f>
        <v>0</v>
      </c>
      <c r="K830">
        <f>'Raw Data'!I830</f>
        <v>0</v>
      </c>
      <c r="L830">
        <f>IF('Raw Data'!N830&lt;&gt;0,'Raw Data'!N830,IFERROR(VALUE(MID(F830,SEARCH("QTY",F830)+4,IFERROR(FIND(" ",F830,SEARCH("QTY",F830)+4)-(SEARCH("QTY",F830)+4),3))),""))</f>
        <v>0</v>
      </c>
      <c r="M830">
        <f>'Raw Data'!O830</f>
        <v>0</v>
      </c>
      <c r="N830">
        <f>'Raw Data'!P830</f>
        <v>0</v>
      </c>
      <c r="O830">
        <f>'Raw Data'!Q830</f>
        <v>0</v>
      </c>
      <c r="P830">
        <f>'Raw Data'!R830</f>
        <v>0</v>
      </c>
      <c r="Q830">
        <f>'Raw Data'!S830</f>
        <v>0</v>
      </c>
      <c r="R830">
        <f>'Raw Data'!T830</f>
        <v>0</v>
      </c>
      <c r="S830">
        <f>IFERROR(O830,0)+IFERROR(R830,0)</f>
        <v>0</v>
      </c>
      <c r="T830">
        <f>IF(A830="","",YEAR(A830))</f>
        <v>0</v>
      </c>
    </row>
    <row r="831" spans="1:20">
      <c r="A831">
        <f>'Raw Data'!B831</f>
        <v>0</v>
      </c>
      <c r="B831">
        <f>'Raw Data'!A831</f>
        <v>0</v>
      </c>
      <c r="C831">
        <f>'Raw Data'!C831</f>
        <v>0</v>
      </c>
      <c r="D831">
        <f>'Raw Data'!D831</f>
        <v>0</v>
      </c>
      <c r="E831">
        <f>IFERROR(VLOOKUP(D831,'Lookup Tables'!$A:$B,2,FALSE),"Unknown")</f>
        <v>0</v>
      </c>
      <c r="F831">
        <f>'Raw Data'!E831</f>
        <v>0</v>
      </c>
      <c r="G831">
        <f>IFERROR(VLOOKUP(D831,'Lookup Tables'!$A:$C,3,FALSE),IF(ISNUMBER(SEARCH("STEEL",F831)),"Steel","Others"))</f>
        <v>0</v>
      </c>
      <c r="H831">
        <f>IF(ISNUMBER(SEARCH("scrubber",F831)) , "Scrubber", IF(ISNUMBER(SEARCH("container",F831)),"Container", IF(ISNUMBER(SEARCH("basket",F831)),"Basket", IF(ISNUMBER(SEARCH("lunch",F831)),"Lunch Box", IF(ISNUMBER(SEARCH("cutlery",F831)),"Cutlery","Other")))))</f>
        <v>0</v>
      </c>
      <c r="I831">
        <f>IF('Raw Data'!G831&lt;&gt;'','Raw Data'!G831,IFERROR(MID(F831,SEARCH("MODEL",F831)+6,20),""))</f>
        <v>0</v>
      </c>
      <c r="J831">
        <f>'Raw Data'!H831</f>
        <v>0</v>
      </c>
      <c r="K831">
        <f>'Raw Data'!I831</f>
        <v>0</v>
      </c>
      <c r="L831">
        <f>IF('Raw Data'!N831&lt;&gt;0,'Raw Data'!N831,IFERROR(VALUE(MID(F831,SEARCH("QTY",F831)+4,IFERROR(FIND(" ",F831,SEARCH("QTY",F831)+4)-(SEARCH("QTY",F831)+4),3))),""))</f>
        <v>0</v>
      </c>
      <c r="M831">
        <f>'Raw Data'!O831</f>
        <v>0</v>
      </c>
      <c r="N831">
        <f>'Raw Data'!P831</f>
        <v>0</v>
      </c>
      <c r="O831">
        <f>'Raw Data'!Q831</f>
        <v>0</v>
      </c>
      <c r="P831">
        <f>'Raw Data'!R831</f>
        <v>0</v>
      </c>
      <c r="Q831">
        <f>'Raw Data'!S831</f>
        <v>0</v>
      </c>
      <c r="R831">
        <f>'Raw Data'!T831</f>
        <v>0</v>
      </c>
      <c r="S831">
        <f>IFERROR(O831,0)+IFERROR(R831,0)</f>
        <v>0</v>
      </c>
      <c r="T831">
        <f>IF(A831="","",YEAR(A831))</f>
        <v>0</v>
      </c>
    </row>
    <row r="832" spans="1:20">
      <c r="A832">
        <f>'Raw Data'!B832</f>
        <v>0</v>
      </c>
      <c r="B832">
        <f>'Raw Data'!A832</f>
        <v>0</v>
      </c>
      <c r="C832">
        <f>'Raw Data'!C832</f>
        <v>0</v>
      </c>
      <c r="D832">
        <f>'Raw Data'!D832</f>
        <v>0</v>
      </c>
      <c r="E832">
        <f>IFERROR(VLOOKUP(D832,'Lookup Tables'!$A:$B,2,FALSE),"Unknown")</f>
        <v>0</v>
      </c>
      <c r="F832">
        <f>'Raw Data'!E832</f>
        <v>0</v>
      </c>
      <c r="G832">
        <f>IFERROR(VLOOKUP(D832,'Lookup Tables'!$A:$C,3,FALSE),IF(ISNUMBER(SEARCH("STEEL",F832)),"Steel","Others"))</f>
        <v>0</v>
      </c>
      <c r="H832">
        <f>IF(ISNUMBER(SEARCH("scrubber",F832)) , "Scrubber", IF(ISNUMBER(SEARCH("container",F832)),"Container", IF(ISNUMBER(SEARCH("basket",F832)),"Basket", IF(ISNUMBER(SEARCH("lunch",F832)),"Lunch Box", IF(ISNUMBER(SEARCH("cutlery",F832)),"Cutlery","Other")))))</f>
        <v>0</v>
      </c>
      <c r="I832">
        <f>IF('Raw Data'!G832&lt;&gt;'','Raw Data'!G832,IFERROR(MID(F832,SEARCH("MODEL",F832)+6,20),""))</f>
        <v>0</v>
      </c>
      <c r="J832">
        <f>'Raw Data'!H832</f>
        <v>0</v>
      </c>
      <c r="K832">
        <f>'Raw Data'!I832</f>
        <v>0</v>
      </c>
      <c r="L832">
        <f>IF('Raw Data'!N832&lt;&gt;0,'Raw Data'!N832,IFERROR(VALUE(MID(F832,SEARCH("QTY",F832)+4,IFERROR(FIND(" ",F832,SEARCH("QTY",F832)+4)-(SEARCH("QTY",F832)+4),3))),""))</f>
        <v>0</v>
      </c>
      <c r="M832">
        <f>'Raw Data'!O832</f>
        <v>0</v>
      </c>
      <c r="N832">
        <f>'Raw Data'!P832</f>
        <v>0</v>
      </c>
      <c r="O832">
        <f>'Raw Data'!Q832</f>
        <v>0</v>
      </c>
      <c r="P832">
        <f>'Raw Data'!R832</f>
        <v>0</v>
      </c>
      <c r="Q832">
        <f>'Raw Data'!S832</f>
        <v>0</v>
      </c>
      <c r="R832">
        <f>'Raw Data'!T832</f>
        <v>0</v>
      </c>
      <c r="S832">
        <f>IFERROR(O832,0)+IFERROR(R832,0)</f>
        <v>0</v>
      </c>
      <c r="T832">
        <f>IF(A832="","",YEAR(A832))</f>
        <v>0</v>
      </c>
    </row>
    <row r="833" spans="1:20">
      <c r="A833">
        <f>'Raw Data'!B833</f>
        <v>0</v>
      </c>
      <c r="B833">
        <f>'Raw Data'!A833</f>
        <v>0</v>
      </c>
      <c r="C833">
        <f>'Raw Data'!C833</f>
        <v>0</v>
      </c>
      <c r="D833">
        <f>'Raw Data'!D833</f>
        <v>0</v>
      </c>
      <c r="E833">
        <f>IFERROR(VLOOKUP(D833,'Lookup Tables'!$A:$B,2,FALSE),"Unknown")</f>
        <v>0</v>
      </c>
      <c r="F833">
        <f>'Raw Data'!E833</f>
        <v>0</v>
      </c>
      <c r="G833">
        <f>IFERROR(VLOOKUP(D833,'Lookup Tables'!$A:$C,3,FALSE),IF(ISNUMBER(SEARCH("STEEL",F833)),"Steel","Others"))</f>
        <v>0</v>
      </c>
      <c r="H833">
        <f>IF(ISNUMBER(SEARCH("scrubber",F833)) , "Scrubber", IF(ISNUMBER(SEARCH("container",F833)),"Container", IF(ISNUMBER(SEARCH("basket",F833)),"Basket", IF(ISNUMBER(SEARCH("lunch",F833)),"Lunch Box", IF(ISNUMBER(SEARCH("cutlery",F833)),"Cutlery","Other")))))</f>
        <v>0</v>
      </c>
      <c r="I833">
        <f>IF('Raw Data'!G833&lt;&gt;'','Raw Data'!G833,IFERROR(MID(F833,SEARCH("MODEL",F833)+6,20),""))</f>
        <v>0</v>
      </c>
      <c r="J833">
        <f>'Raw Data'!H833</f>
        <v>0</v>
      </c>
      <c r="K833">
        <f>'Raw Data'!I833</f>
        <v>0</v>
      </c>
      <c r="L833">
        <f>IF('Raw Data'!N833&lt;&gt;0,'Raw Data'!N833,IFERROR(VALUE(MID(F833,SEARCH("QTY",F833)+4,IFERROR(FIND(" ",F833,SEARCH("QTY",F833)+4)-(SEARCH("QTY",F833)+4),3))),""))</f>
        <v>0</v>
      </c>
      <c r="M833">
        <f>'Raw Data'!O833</f>
        <v>0</v>
      </c>
      <c r="N833">
        <f>'Raw Data'!P833</f>
        <v>0</v>
      </c>
      <c r="O833">
        <f>'Raw Data'!Q833</f>
        <v>0</v>
      </c>
      <c r="P833">
        <f>'Raw Data'!R833</f>
        <v>0</v>
      </c>
      <c r="Q833">
        <f>'Raw Data'!S833</f>
        <v>0</v>
      </c>
      <c r="R833">
        <f>'Raw Data'!T833</f>
        <v>0</v>
      </c>
      <c r="S833">
        <f>IFERROR(O833,0)+IFERROR(R833,0)</f>
        <v>0</v>
      </c>
      <c r="T833">
        <f>IF(A833="","",YEAR(A833))</f>
        <v>0</v>
      </c>
    </row>
    <row r="834" spans="1:20">
      <c r="A834">
        <f>'Raw Data'!B834</f>
        <v>0</v>
      </c>
      <c r="B834">
        <f>'Raw Data'!A834</f>
        <v>0</v>
      </c>
      <c r="C834">
        <f>'Raw Data'!C834</f>
        <v>0</v>
      </c>
      <c r="D834">
        <f>'Raw Data'!D834</f>
        <v>0</v>
      </c>
      <c r="E834">
        <f>IFERROR(VLOOKUP(D834,'Lookup Tables'!$A:$B,2,FALSE),"Unknown")</f>
        <v>0</v>
      </c>
      <c r="F834">
        <f>'Raw Data'!E834</f>
        <v>0</v>
      </c>
      <c r="G834">
        <f>IFERROR(VLOOKUP(D834,'Lookup Tables'!$A:$C,3,FALSE),IF(ISNUMBER(SEARCH("STEEL",F834)),"Steel","Others"))</f>
        <v>0</v>
      </c>
      <c r="H834">
        <f>IF(ISNUMBER(SEARCH("scrubber",F834)) , "Scrubber", IF(ISNUMBER(SEARCH("container",F834)),"Container", IF(ISNUMBER(SEARCH("basket",F834)),"Basket", IF(ISNUMBER(SEARCH("lunch",F834)),"Lunch Box", IF(ISNUMBER(SEARCH("cutlery",F834)),"Cutlery","Other")))))</f>
        <v>0</v>
      </c>
      <c r="I834">
        <f>IF('Raw Data'!G834&lt;&gt;'','Raw Data'!G834,IFERROR(MID(F834,SEARCH("MODEL",F834)+6,20),""))</f>
        <v>0</v>
      </c>
      <c r="J834">
        <f>'Raw Data'!H834</f>
        <v>0</v>
      </c>
      <c r="K834">
        <f>'Raw Data'!I834</f>
        <v>0</v>
      </c>
      <c r="L834">
        <f>IF('Raw Data'!N834&lt;&gt;0,'Raw Data'!N834,IFERROR(VALUE(MID(F834,SEARCH("QTY",F834)+4,IFERROR(FIND(" ",F834,SEARCH("QTY",F834)+4)-(SEARCH("QTY",F834)+4),3))),""))</f>
        <v>0</v>
      </c>
      <c r="M834">
        <f>'Raw Data'!O834</f>
        <v>0</v>
      </c>
      <c r="N834">
        <f>'Raw Data'!P834</f>
        <v>0</v>
      </c>
      <c r="O834">
        <f>'Raw Data'!Q834</f>
        <v>0</v>
      </c>
      <c r="P834">
        <f>'Raw Data'!R834</f>
        <v>0</v>
      </c>
      <c r="Q834">
        <f>'Raw Data'!S834</f>
        <v>0</v>
      </c>
      <c r="R834">
        <f>'Raw Data'!T834</f>
        <v>0</v>
      </c>
      <c r="S834">
        <f>IFERROR(O834,0)+IFERROR(R834,0)</f>
        <v>0</v>
      </c>
      <c r="T834">
        <f>IF(A834="","",YEAR(A834))</f>
        <v>0</v>
      </c>
    </row>
    <row r="835" spans="1:20">
      <c r="A835">
        <f>'Raw Data'!B835</f>
        <v>0</v>
      </c>
      <c r="B835">
        <f>'Raw Data'!A835</f>
        <v>0</v>
      </c>
      <c r="C835">
        <f>'Raw Data'!C835</f>
        <v>0</v>
      </c>
      <c r="D835">
        <f>'Raw Data'!D835</f>
        <v>0</v>
      </c>
      <c r="E835">
        <f>IFERROR(VLOOKUP(D835,'Lookup Tables'!$A:$B,2,FALSE),"Unknown")</f>
        <v>0</v>
      </c>
      <c r="F835">
        <f>'Raw Data'!E835</f>
        <v>0</v>
      </c>
      <c r="G835">
        <f>IFERROR(VLOOKUP(D835,'Lookup Tables'!$A:$C,3,FALSE),IF(ISNUMBER(SEARCH("STEEL",F835)),"Steel","Others"))</f>
        <v>0</v>
      </c>
      <c r="H835">
        <f>IF(ISNUMBER(SEARCH("scrubber",F835)) , "Scrubber", IF(ISNUMBER(SEARCH("container",F835)),"Container", IF(ISNUMBER(SEARCH("basket",F835)),"Basket", IF(ISNUMBER(SEARCH("lunch",F835)),"Lunch Box", IF(ISNUMBER(SEARCH("cutlery",F835)),"Cutlery","Other")))))</f>
        <v>0</v>
      </c>
      <c r="I835">
        <f>IF('Raw Data'!G835&lt;&gt;'','Raw Data'!G835,IFERROR(MID(F835,SEARCH("MODEL",F835)+6,20),""))</f>
        <v>0</v>
      </c>
      <c r="J835">
        <f>'Raw Data'!H835</f>
        <v>0</v>
      </c>
      <c r="K835">
        <f>'Raw Data'!I835</f>
        <v>0</v>
      </c>
      <c r="L835">
        <f>IF('Raw Data'!N835&lt;&gt;0,'Raw Data'!N835,IFERROR(VALUE(MID(F835,SEARCH("QTY",F835)+4,IFERROR(FIND(" ",F835,SEARCH("QTY",F835)+4)-(SEARCH("QTY",F835)+4),3))),""))</f>
        <v>0</v>
      </c>
      <c r="M835">
        <f>'Raw Data'!O835</f>
        <v>0</v>
      </c>
      <c r="N835">
        <f>'Raw Data'!P835</f>
        <v>0</v>
      </c>
      <c r="O835">
        <f>'Raw Data'!Q835</f>
        <v>0</v>
      </c>
      <c r="P835">
        <f>'Raw Data'!R835</f>
        <v>0</v>
      </c>
      <c r="Q835">
        <f>'Raw Data'!S835</f>
        <v>0</v>
      </c>
      <c r="R835">
        <f>'Raw Data'!T835</f>
        <v>0</v>
      </c>
      <c r="S835">
        <f>IFERROR(O835,0)+IFERROR(R835,0)</f>
        <v>0</v>
      </c>
      <c r="T835">
        <f>IF(A835="","",YEAR(A835))</f>
        <v>0</v>
      </c>
    </row>
    <row r="836" spans="1:20">
      <c r="A836">
        <f>'Raw Data'!B836</f>
        <v>0</v>
      </c>
      <c r="B836">
        <f>'Raw Data'!A836</f>
        <v>0</v>
      </c>
      <c r="C836">
        <f>'Raw Data'!C836</f>
        <v>0</v>
      </c>
      <c r="D836">
        <f>'Raw Data'!D836</f>
        <v>0</v>
      </c>
      <c r="E836">
        <f>IFERROR(VLOOKUP(D836,'Lookup Tables'!$A:$B,2,FALSE),"Unknown")</f>
        <v>0</v>
      </c>
      <c r="F836">
        <f>'Raw Data'!E836</f>
        <v>0</v>
      </c>
      <c r="G836">
        <f>IFERROR(VLOOKUP(D836,'Lookup Tables'!$A:$C,3,FALSE),IF(ISNUMBER(SEARCH("STEEL",F836)),"Steel","Others"))</f>
        <v>0</v>
      </c>
      <c r="H836">
        <f>IF(ISNUMBER(SEARCH("scrubber",F836)) , "Scrubber", IF(ISNUMBER(SEARCH("container",F836)),"Container", IF(ISNUMBER(SEARCH("basket",F836)),"Basket", IF(ISNUMBER(SEARCH("lunch",F836)),"Lunch Box", IF(ISNUMBER(SEARCH("cutlery",F836)),"Cutlery","Other")))))</f>
        <v>0</v>
      </c>
      <c r="I836">
        <f>IF('Raw Data'!G836&lt;&gt;'','Raw Data'!G836,IFERROR(MID(F836,SEARCH("MODEL",F836)+6,20),""))</f>
        <v>0</v>
      </c>
      <c r="J836">
        <f>'Raw Data'!H836</f>
        <v>0</v>
      </c>
      <c r="K836">
        <f>'Raw Data'!I836</f>
        <v>0</v>
      </c>
      <c r="L836">
        <f>IF('Raw Data'!N836&lt;&gt;0,'Raw Data'!N836,IFERROR(VALUE(MID(F836,SEARCH("QTY",F836)+4,IFERROR(FIND(" ",F836,SEARCH("QTY",F836)+4)-(SEARCH("QTY",F836)+4),3))),""))</f>
        <v>0</v>
      </c>
      <c r="M836">
        <f>'Raw Data'!O836</f>
        <v>0</v>
      </c>
      <c r="N836">
        <f>'Raw Data'!P836</f>
        <v>0</v>
      </c>
      <c r="O836">
        <f>'Raw Data'!Q836</f>
        <v>0</v>
      </c>
      <c r="P836">
        <f>'Raw Data'!R836</f>
        <v>0</v>
      </c>
      <c r="Q836">
        <f>'Raw Data'!S836</f>
        <v>0</v>
      </c>
      <c r="R836">
        <f>'Raw Data'!T836</f>
        <v>0</v>
      </c>
      <c r="S836">
        <f>IFERROR(O836,0)+IFERROR(R836,0)</f>
        <v>0</v>
      </c>
      <c r="T836">
        <f>IF(A836="","",YEAR(A836))</f>
        <v>0</v>
      </c>
    </row>
    <row r="837" spans="1:20">
      <c r="A837">
        <f>'Raw Data'!B837</f>
        <v>0</v>
      </c>
      <c r="B837">
        <f>'Raw Data'!A837</f>
        <v>0</v>
      </c>
      <c r="C837">
        <f>'Raw Data'!C837</f>
        <v>0</v>
      </c>
      <c r="D837">
        <f>'Raw Data'!D837</f>
        <v>0</v>
      </c>
      <c r="E837">
        <f>IFERROR(VLOOKUP(D837,'Lookup Tables'!$A:$B,2,FALSE),"Unknown")</f>
        <v>0</v>
      </c>
      <c r="F837">
        <f>'Raw Data'!E837</f>
        <v>0</v>
      </c>
      <c r="G837">
        <f>IFERROR(VLOOKUP(D837,'Lookup Tables'!$A:$C,3,FALSE),IF(ISNUMBER(SEARCH("STEEL",F837)),"Steel","Others"))</f>
        <v>0</v>
      </c>
      <c r="H837">
        <f>IF(ISNUMBER(SEARCH("scrubber",F837)) , "Scrubber", IF(ISNUMBER(SEARCH("container",F837)),"Container", IF(ISNUMBER(SEARCH("basket",F837)),"Basket", IF(ISNUMBER(SEARCH("lunch",F837)),"Lunch Box", IF(ISNUMBER(SEARCH("cutlery",F837)),"Cutlery","Other")))))</f>
        <v>0</v>
      </c>
      <c r="I837">
        <f>IF('Raw Data'!G837&lt;&gt;'','Raw Data'!G837,IFERROR(MID(F837,SEARCH("MODEL",F837)+6,20),""))</f>
        <v>0</v>
      </c>
      <c r="J837">
        <f>'Raw Data'!H837</f>
        <v>0</v>
      </c>
      <c r="K837">
        <f>'Raw Data'!I837</f>
        <v>0</v>
      </c>
      <c r="L837">
        <f>IF('Raw Data'!N837&lt;&gt;0,'Raw Data'!N837,IFERROR(VALUE(MID(F837,SEARCH("QTY",F837)+4,IFERROR(FIND(" ",F837,SEARCH("QTY",F837)+4)-(SEARCH("QTY",F837)+4),3))),""))</f>
        <v>0</v>
      </c>
      <c r="M837">
        <f>'Raw Data'!O837</f>
        <v>0</v>
      </c>
      <c r="N837">
        <f>'Raw Data'!P837</f>
        <v>0</v>
      </c>
      <c r="O837">
        <f>'Raw Data'!Q837</f>
        <v>0</v>
      </c>
      <c r="P837">
        <f>'Raw Data'!R837</f>
        <v>0</v>
      </c>
      <c r="Q837">
        <f>'Raw Data'!S837</f>
        <v>0</v>
      </c>
      <c r="R837">
        <f>'Raw Data'!T837</f>
        <v>0</v>
      </c>
      <c r="S837">
        <f>IFERROR(O837,0)+IFERROR(R837,0)</f>
        <v>0</v>
      </c>
      <c r="T837">
        <f>IF(A837="","",YEAR(A837))</f>
        <v>0</v>
      </c>
    </row>
    <row r="838" spans="1:20">
      <c r="A838">
        <f>'Raw Data'!B838</f>
        <v>0</v>
      </c>
      <c r="B838">
        <f>'Raw Data'!A838</f>
        <v>0</v>
      </c>
      <c r="C838">
        <f>'Raw Data'!C838</f>
        <v>0</v>
      </c>
      <c r="D838">
        <f>'Raw Data'!D838</f>
        <v>0</v>
      </c>
      <c r="E838">
        <f>IFERROR(VLOOKUP(D838,'Lookup Tables'!$A:$B,2,FALSE),"Unknown")</f>
        <v>0</v>
      </c>
      <c r="F838">
        <f>'Raw Data'!E838</f>
        <v>0</v>
      </c>
      <c r="G838">
        <f>IFERROR(VLOOKUP(D838,'Lookup Tables'!$A:$C,3,FALSE),IF(ISNUMBER(SEARCH("STEEL",F838)),"Steel","Others"))</f>
        <v>0</v>
      </c>
      <c r="H838">
        <f>IF(ISNUMBER(SEARCH("scrubber",F838)) , "Scrubber", IF(ISNUMBER(SEARCH("container",F838)),"Container", IF(ISNUMBER(SEARCH("basket",F838)),"Basket", IF(ISNUMBER(SEARCH("lunch",F838)),"Lunch Box", IF(ISNUMBER(SEARCH("cutlery",F838)),"Cutlery","Other")))))</f>
        <v>0</v>
      </c>
      <c r="I838">
        <f>IF('Raw Data'!G838&lt;&gt;'','Raw Data'!G838,IFERROR(MID(F838,SEARCH("MODEL",F838)+6,20),""))</f>
        <v>0</v>
      </c>
      <c r="J838">
        <f>'Raw Data'!H838</f>
        <v>0</v>
      </c>
      <c r="K838">
        <f>'Raw Data'!I838</f>
        <v>0</v>
      </c>
      <c r="L838">
        <f>IF('Raw Data'!N838&lt;&gt;0,'Raw Data'!N838,IFERROR(VALUE(MID(F838,SEARCH("QTY",F838)+4,IFERROR(FIND(" ",F838,SEARCH("QTY",F838)+4)-(SEARCH("QTY",F838)+4),3))),""))</f>
        <v>0</v>
      </c>
      <c r="M838">
        <f>'Raw Data'!O838</f>
        <v>0</v>
      </c>
      <c r="N838">
        <f>'Raw Data'!P838</f>
        <v>0</v>
      </c>
      <c r="O838">
        <f>'Raw Data'!Q838</f>
        <v>0</v>
      </c>
      <c r="P838">
        <f>'Raw Data'!R838</f>
        <v>0</v>
      </c>
      <c r="Q838">
        <f>'Raw Data'!S838</f>
        <v>0</v>
      </c>
      <c r="R838">
        <f>'Raw Data'!T838</f>
        <v>0</v>
      </c>
      <c r="S838">
        <f>IFERROR(O838,0)+IFERROR(R838,0)</f>
        <v>0</v>
      </c>
      <c r="T838">
        <f>IF(A838="","",YEAR(A838))</f>
        <v>0</v>
      </c>
    </row>
    <row r="839" spans="1:20">
      <c r="A839">
        <f>'Raw Data'!B839</f>
        <v>0</v>
      </c>
      <c r="B839">
        <f>'Raw Data'!A839</f>
        <v>0</v>
      </c>
      <c r="C839">
        <f>'Raw Data'!C839</f>
        <v>0</v>
      </c>
      <c r="D839">
        <f>'Raw Data'!D839</f>
        <v>0</v>
      </c>
      <c r="E839">
        <f>IFERROR(VLOOKUP(D839,'Lookup Tables'!$A:$B,2,FALSE),"Unknown")</f>
        <v>0</v>
      </c>
      <c r="F839">
        <f>'Raw Data'!E839</f>
        <v>0</v>
      </c>
      <c r="G839">
        <f>IFERROR(VLOOKUP(D839,'Lookup Tables'!$A:$C,3,FALSE),IF(ISNUMBER(SEARCH("STEEL",F839)),"Steel","Others"))</f>
        <v>0</v>
      </c>
      <c r="H839">
        <f>IF(ISNUMBER(SEARCH("scrubber",F839)) , "Scrubber", IF(ISNUMBER(SEARCH("container",F839)),"Container", IF(ISNUMBER(SEARCH("basket",F839)),"Basket", IF(ISNUMBER(SEARCH("lunch",F839)),"Lunch Box", IF(ISNUMBER(SEARCH("cutlery",F839)),"Cutlery","Other")))))</f>
        <v>0</v>
      </c>
      <c r="I839">
        <f>IF('Raw Data'!G839&lt;&gt;'','Raw Data'!G839,IFERROR(MID(F839,SEARCH("MODEL",F839)+6,20),""))</f>
        <v>0</v>
      </c>
      <c r="J839">
        <f>'Raw Data'!H839</f>
        <v>0</v>
      </c>
      <c r="K839">
        <f>'Raw Data'!I839</f>
        <v>0</v>
      </c>
      <c r="L839">
        <f>IF('Raw Data'!N839&lt;&gt;0,'Raw Data'!N839,IFERROR(VALUE(MID(F839,SEARCH("QTY",F839)+4,IFERROR(FIND(" ",F839,SEARCH("QTY",F839)+4)-(SEARCH("QTY",F839)+4),3))),""))</f>
        <v>0</v>
      </c>
      <c r="M839">
        <f>'Raw Data'!O839</f>
        <v>0</v>
      </c>
      <c r="N839">
        <f>'Raw Data'!P839</f>
        <v>0</v>
      </c>
      <c r="O839">
        <f>'Raw Data'!Q839</f>
        <v>0</v>
      </c>
      <c r="P839">
        <f>'Raw Data'!R839</f>
        <v>0</v>
      </c>
      <c r="Q839">
        <f>'Raw Data'!S839</f>
        <v>0</v>
      </c>
      <c r="R839">
        <f>'Raw Data'!T839</f>
        <v>0</v>
      </c>
      <c r="S839">
        <f>IFERROR(O839,0)+IFERROR(R839,0)</f>
        <v>0</v>
      </c>
      <c r="T839">
        <f>IF(A839="","",YEAR(A839))</f>
        <v>0</v>
      </c>
    </row>
    <row r="840" spans="1:20">
      <c r="A840">
        <f>'Raw Data'!B840</f>
        <v>0</v>
      </c>
      <c r="B840">
        <f>'Raw Data'!A840</f>
        <v>0</v>
      </c>
      <c r="C840">
        <f>'Raw Data'!C840</f>
        <v>0</v>
      </c>
      <c r="D840">
        <f>'Raw Data'!D840</f>
        <v>0</v>
      </c>
      <c r="E840">
        <f>IFERROR(VLOOKUP(D840,'Lookup Tables'!$A:$B,2,FALSE),"Unknown")</f>
        <v>0</v>
      </c>
      <c r="F840">
        <f>'Raw Data'!E840</f>
        <v>0</v>
      </c>
      <c r="G840">
        <f>IFERROR(VLOOKUP(D840,'Lookup Tables'!$A:$C,3,FALSE),IF(ISNUMBER(SEARCH("STEEL",F840)),"Steel","Others"))</f>
        <v>0</v>
      </c>
      <c r="H840">
        <f>IF(ISNUMBER(SEARCH("scrubber",F840)) , "Scrubber", IF(ISNUMBER(SEARCH("container",F840)),"Container", IF(ISNUMBER(SEARCH("basket",F840)),"Basket", IF(ISNUMBER(SEARCH("lunch",F840)),"Lunch Box", IF(ISNUMBER(SEARCH("cutlery",F840)),"Cutlery","Other")))))</f>
        <v>0</v>
      </c>
      <c r="I840">
        <f>IF('Raw Data'!G840&lt;&gt;'','Raw Data'!G840,IFERROR(MID(F840,SEARCH("MODEL",F840)+6,20),""))</f>
        <v>0</v>
      </c>
      <c r="J840">
        <f>'Raw Data'!H840</f>
        <v>0</v>
      </c>
      <c r="K840">
        <f>'Raw Data'!I840</f>
        <v>0</v>
      </c>
      <c r="L840">
        <f>IF('Raw Data'!N840&lt;&gt;0,'Raw Data'!N840,IFERROR(VALUE(MID(F840,SEARCH("QTY",F840)+4,IFERROR(FIND(" ",F840,SEARCH("QTY",F840)+4)-(SEARCH("QTY",F840)+4),3))),""))</f>
        <v>0</v>
      </c>
      <c r="M840">
        <f>'Raw Data'!O840</f>
        <v>0</v>
      </c>
      <c r="N840">
        <f>'Raw Data'!P840</f>
        <v>0</v>
      </c>
      <c r="O840">
        <f>'Raw Data'!Q840</f>
        <v>0</v>
      </c>
      <c r="P840">
        <f>'Raw Data'!R840</f>
        <v>0</v>
      </c>
      <c r="Q840">
        <f>'Raw Data'!S840</f>
        <v>0</v>
      </c>
      <c r="R840">
        <f>'Raw Data'!T840</f>
        <v>0</v>
      </c>
      <c r="S840">
        <f>IFERROR(O840,0)+IFERROR(R840,0)</f>
        <v>0</v>
      </c>
      <c r="T840">
        <f>IF(A840="","",YEAR(A840))</f>
        <v>0</v>
      </c>
    </row>
    <row r="841" spans="1:20">
      <c r="A841">
        <f>'Raw Data'!B841</f>
        <v>0</v>
      </c>
      <c r="B841">
        <f>'Raw Data'!A841</f>
        <v>0</v>
      </c>
      <c r="C841">
        <f>'Raw Data'!C841</f>
        <v>0</v>
      </c>
      <c r="D841">
        <f>'Raw Data'!D841</f>
        <v>0</v>
      </c>
      <c r="E841">
        <f>IFERROR(VLOOKUP(D841,'Lookup Tables'!$A:$B,2,FALSE),"Unknown")</f>
        <v>0</v>
      </c>
      <c r="F841">
        <f>'Raw Data'!E841</f>
        <v>0</v>
      </c>
      <c r="G841">
        <f>IFERROR(VLOOKUP(D841,'Lookup Tables'!$A:$C,3,FALSE),IF(ISNUMBER(SEARCH("STEEL",F841)),"Steel","Others"))</f>
        <v>0</v>
      </c>
      <c r="H841">
        <f>IF(ISNUMBER(SEARCH("scrubber",F841)) , "Scrubber", IF(ISNUMBER(SEARCH("container",F841)),"Container", IF(ISNUMBER(SEARCH("basket",F841)),"Basket", IF(ISNUMBER(SEARCH("lunch",F841)),"Lunch Box", IF(ISNUMBER(SEARCH("cutlery",F841)),"Cutlery","Other")))))</f>
        <v>0</v>
      </c>
      <c r="I841">
        <f>IF('Raw Data'!G841&lt;&gt;'','Raw Data'!G841,IFERROR(MID(F841,SEARCH("MODEL",F841)+6,20),""))</f>
        <v>0</v>
      </c>
      <c r="J841">
        <f>'Raw Data'!H841</f>
        <v>0</v>
      </c>
      <c r="K841">
        <f>'Raw Data'!I841</f>
        <v>0</v>
      </c>
      <c r="L841">
        <f>IF('Raw Data'!N841&lt;&gt;0,'Raw Data'!N841,IFERROR(VALUE(MID(F841,SEARCH("QTY",F841)+4,IFERROR(FIND(" ",F841,SEARCH("QTY",F841)+4)-(SEARCH("QTY",F841)+4),3))),""))</f>
        <v>0</v>
      </c>
      <c r="M841">
        <f>'Raw Data'!O841</f>
        <v>0</v>
      </c>
      <c r="N841">
        <f>'Raw Data'!P841</f>
        <v>0</v>
      </c>
      <c r="O841">
        <f>'Raw Data'!Q841</f>
        <v>0</v>
      </c>
      <c r="P841">
        <f>'Raw Data'!R841</f>
        <v>0</v>
      </c>
      <c r="Q841">
        <f>'Raw Data'!S841</f>
        <v>0</v>
      </c>
      <c r="R841">
        <f>'Raw Data'!T841</f>
        <v>0</v>
      </c>
      <c r="S841">
        <f>IFERROR(O841,0)+IFERROR(R841,0)</f>
        <v>0</v>
      </c>
      <c r="T841">
        <f>IF(A841="","",YEAR(A841))</f>
        <v>0</v>
      </c>
    </row>
    <row r="842" spans="1:20">
      <c r="A842">
        <f>'Raw Data'!B842</f>
        <v>0</v>
      </c>
      <c r="B842">
        <f>'Raw Data'!A842</f>
        <v>0</v>
      </c>
      <c r="C842">
        <f>'Raw Data'!C842</f>
        <v>0</v>
      </c>
      <c r="D842">
        <f>'Raw Data'!D842</f>
        <v>0</v>
      </c>
      <c r="E842">
        <f>IFERROR(VLOOKUP(D842,'Lookup Tables'!$A:$B,2,FALSE),"Unknown")</f>
        <v>0</v>
      </c>
      <c r="F842">
        <f>'Raw Data'!E842</f>
        <v>0</v>
      </c>
      <c r="G842">
        <f>IFERROR(VLOOKUP(D842,'Lookup Tables'!$A:$C,3,FALSE),IF(ISNUMBER(SEARCH("STEEL",F842)),"Steel","Others"))</f>
        <v>0</v>
      </c>
      <c r="H842">
        <f>IF(ISNUMBER(SEARCH("scrubber",F842)) , "Scrubber", IF(ISNUMBER(SEARCH("container",F842)),"Container", IF(ISNUMBER(SEARCH("basket",F842)),"Basket", IF(ISNUMBER(SEARCH("lunch",F842)),"Lunch Box", IF(ISNUMBER(SEARCH("cutlery",F842)),"Cutlery","Other")))))</f>
        <v>0</v>
      </c>
      <c r="I842">
        <f>IF('Raw Data'!G842&lt;&gt;'','Raw Data'!G842,IFERROR(MID(F842,SEARCH("MODEL",F842)+6,20),""))</f>
        <v>0</v>
      </c>
      <c r="J842">
        <f>'Raw Data'!H842</f>
        <v>0</v>
      </c>
      <c r="K842">
        <f>'Raw Data'!I842</f>
        <v>0</v>
      </c>
      <c r="L842">
        <f>IF('Raw Data'!N842&lt;&gt;0,'Raw Data'!N842,IFERROR(VALUE(MID(F842,SEARCH("QTY",F842)+4,IFERROR(FIND(" ",F842,SEARCH("QTY",F842)+4)-(SEARCH("QTY",F842)+4),3))),""))</f>
        <v>0</v>
      </c>
      <c r="M842">
        <f>'Raw Data'!O842</f>
        <v>0</v>
      </c>
      <c r="N842">
        <f>'Raw Data'!P842</f>
        <v>0</v>
      </c>
      <c r="O842">
        <f>'Raw Data'!Q842</f>
        <v>0</v>
      </c>
      <c r="P842">
        <f>'Raw Data'!R842</f>
        <v>0</v>
      </c>
      <c r="Q842">
        <f>'Raw Data'!S842</f>
        <v>0</v>
      </c>
      <c r="R842">
        <f>'Raw Data'!T842</f>
        <v>0</v>
      </c>
      <c r="S842">
        <f>IFERROR(O842,0)+IFERROR(R842,0)</f>
        <v>0</v>
      </c>
      <c r="T842">
        <f>IF(A842="","",YEAR(A842))</f>
        <v>0</v>
      </c>
    </row>
    <row r="843" spans="1:20">
      <c r="A843">
        <f>'Raw Data'!B843</f>
        <v>0</v>
      </c>
      <c r="B843">
        <f>'Raw Data'!A843</f>
        <v>0</v>
      </c>
      <c r="C843">
        <f>'Raw Data'!C843</f>
        <v>0</v>
      </c>
      <c r="D843">
        <f>'Raw Data'!D843</f>
        <v>0</v>
      </c>
      <c r="E843">
        <f>IFERROR(VLOOKUP(D843,'Lookup Tables'!$A:$B,2,FALSE),"Unknown")</f>
        <v>0</v>
      </c>
      <c r="F843">
        <f>'Raw Data'!E843</f>
        <v>0</v>
      </c>
      <c r="G843">
        <f>IFERROR(VLOOKUP(D843,'Lookup Tables'!$A:$C,3,FALSE),IF(ISNUMBER(SEARCH("STEEL",F843)),"Steel","Others"))</f>
        <v>0</v>
      </c>
      <c r="H843">
        <f>IF(ISNUMBER(SEARCH("scrubber",F843)) , "Scrubber", IF(ISNUMBER(SEARCH("container",F843)),"Container", IF(ISNUMBER(SEARCH("basket",F843)),"Basket", IF(ISNUMBER(SEARCH("lunch",F843)),"Lunch Box", IF(ISNUMBER(SEARCH("cutlery",F843)),"Cutlery","Other")))))</f>
        <v>0</v>
      </c>
      <c r="I843">
        <f>IF('Raw Data'!G843&lt;&gt;'','Raw Data'!G843,IFERROR(MID(F843,SEARCH("MODEL",F843)+6,20),""))</f>
        <v>0</v>
      </c>
      <c r="J843">
        <f>'Raw Data'!H843</f>
        <v>0</v>
      </c>
      <c r="K843">
        <f>'Raw Data'!I843</f>
        <v>0</v>
      </c>
      <c r="L843">
        <f>IF('Raw Data'!N843&lt;&gt;0,'Raw Data'!N843,IFERROR(VALUE(MID(F843,SEARCH("QTY",F843)+4,IFERROR(FIND(" ",F843,SEARCH("QTY",F843)+4)-(SEARCH("QTY",F843)+4),3))),""))</f>
        <v>0</v>
      </c>
      <c r="M843">
        <f>'Raw Data'!O843</f>
        <v>0</v>
      </c>
      <c r="N843">
        <f>'Raw Data'!P843</f>
        <v>0</v>
      </c>
      <c r="O843">
        <f>'Raw Data'!Q843</f>
        <v>0</v>
      </c>
      <c r="P843">
        <f>'Raw Data'!R843</f>
        <v>0</v>
      </c>
      <c r="Q843">
        <f>'Raw Data'!S843</f>
        <v>0</v>
      </c>
      <c r="R843">
        <f>'Raw Data'!T843</f>
        <v>0</v>
      </c>
      <c r="S843">
        <f>IFERROR(O843,0)+IFERROR(R843,0)</f>
        <v>0</v>
      </c>
      <c r="T843">
        <f>IF(A843="","",YEAR(A843))</f>
        <v>0</v>
      </c>
    </row>
    <row r="844" spans="1:20">
      <c r="A844">
        <f>'Raw Data'!B844</f>
        <v>0</v>
      </c>
      <c r="B844">
        <f>'Raw Data'!A844</f>
        <v>0</v>
      </c>
      <c r="C844">
        <f>'Raw Data'!C844</f>
        <v>0</v>
      </c>
      <c r="D844">
        <f>'Raw Data'!D844</f>
        <v>0</v>
      </c>
      <c r="E844">
        <f>IFERROR(VLOOKUP(D844,'Lookup Tables'!$A:$B,2,FALSE),"Unknown")</f>
        <v>0</v>
      </c>
      <c r="F844">
        <f>'Raw Data'!E844</f>
        <v>0</v>
      </c>
      <c r="G844">
        <f>IFERROR(VLOOKUP(D844,'Lookup Tables'!$A:$C,3,FALSE),IF(ISNUMBER(SEARCH("STEEL",F844)),"Steel","Others"))</f>
        <v>0</v>
      </c>
      <c r="H844">
        <f>IF(ISNUMBER(SEARCH("scrubber",F844)) , "Scrubber", IF(ISNUMBER(SEARCH("container",F844)),"Container", IF(ISNUMBER(SEARCH("basket",F844)),"Basket", IF(ISNUMBER(SEARCH("lunch",F844)),"Lunch Box", IF(ISNUMBER(SEARCH("cutlery",F844)),"Cutlery","Other")))))</f>
        <v>0</v>
      </c>
      <c r="I844">
        <f>IF('Raw Data'!G844&lt;&gt;'','Raw Data'!G844,IFERROR(MID(F844,SEARCH("MODEL",F844)+6,20),""))</f>
        <v>0</v>
      </c>
      <c r="J844">
        <f>'Raw Data'!H844</f>
        <v>0</v>
      </c>
      <c r="K844">
        <f>'Raw Data'!I844</f>
        <v>0</v>
      </c>
      <c r="L844">
        <f>IF('Raw Data'!N844&lt;&gt;0,'Raw Data'!N844,IFERROR(VALUE(MID(F844,SEARCH("QTY",F844)+4,IFERROR(FIND(" ",F844,SEARCH("QTY",F844)+4)-(SEARCH("QTY",F844)+4),3))),""))</f>
        <v>0</v>
      </c>
      <c r="M844">
        <f>'Raw Data'!O844</f>
        <v>0</v>
      </c>
      <c r="N844">
        <f>'Raw Data'!P844</f>
        <v>0</v>
      </c>
      <c r="O844">
        <f>'Raw Data'!Q844</f>
        <v>0</v>
      </c>
      <c r="P844">
        <f>'Raw Data'!R844</f>
        <v>0</v>
      </c>
      <c r="Q844">
        <f>'Raw Data'!S844</f>
        <v>0</v>
      </c>
      <c r="R844">
        <f>'Raw Data'!T844</f>
        <v>0</v>
      </c>
      <c r="S844">
        <f>IFERROR(O844,0)+IFERROR(R844,0)</f>
        <v>0</v>
      </c>
      <c r="T844">
        <f>IF(A844="","",YEAR(A844))</f>
        <v>0</v>
      </c>
    </row>
    <row r="845" spans="1:20">
      <c r="A845">
        <f>'Raw Data'!B845</f>
        <v>0</v>
      </c>
      <c r="B845">
        <f>'Raw Data'!A845</f>
        <v>0</v>
      </c>
      <c r="C845">
        <f>'Raw Data'!C845</f>
        <v>0</v>
      </c>
      <c r="D845">
        <f>'Raw Data'!D845</f>
        <v>0</v>
      </c>
      <c r="E845">
        <f>IFERROR(VLOOKUP(D845,'Lookup Tables'!$A:$B,2,FALSE),"Unknown")</f>
        <v>0</v>
      </c>
      <c r="F845">
        <f>'Raw Data'!E845</f>
        <v>0</v>
      </c>
      <c r="G845">
        <f>IFERROR(VLOOKUP(D845,'Lookup Tables'!$A:$C,3,FALSE),IF(ISNUMBER(SEARCH("STEEL",F845)),"Steel","Others"))</f>
        <v>0</v>
      </c>
      <c r="H845">
        <f>IF(ISNUMBER(SEARCH("scrubber",F845)) , "Scrubber", IF(ISNUMBER(SEARCH("container",F845)),"Container", IF(ISNUMBER(SEARCH("basket",F845)),"Basket", IF(ISNUMBER(SEARCH("lunch",F845)),"Lunch Box", IF(ISNUMBER(SEARCH("cutlery",F845)),"Cutlery","Other")))))</f>
        <v>0</v>
      </c>
      <c r="I845">
        <f>IF('Raw Data'!G845&lt;&gt;'','Raw Data'!G845,IFERROR(MID(F845,SEARCH("MODEL",F845)+6,20),""))</f>
        <v>0</v>
      </c>
      <c r="J845">
        <f>'Raw Data'!H845</f>
        <v>0</v>
      </c>
      <c r="K845">
        <f>'Raw Data'!I845</f>
        <v>0</v>
      </c>
      <c r="L845">
        <f>IF('Raw Data'!N845&lt;&gt;0,'Raw Data'!N845,IFERROR(VALUE(MID(F845,SEARCH("QTY",F845)+4,IFERROR(FIND(" ",F845,SEARCH("QTY",F845)+4)-(SEARCH("QTY",F845)+4),3))),""))</f>
        <v>0</v>
      </c>
      <c r="M845">
        <f>'Raw Data'!O845</f>
        <v>0</v>
      </c>
      <c r="N845">
        <f>'Raw Data'!P845</f>
        <v>0</v>
      </c>
      <c r="O845">
        <f>'Raw Data'!Q845</f>
        <v>0</v>
      </c>
      <c r="P845">
        <f>'Raw Data'!R845</f>
        <v>0</v>
      </c>
      <c r="Q845">
        <f>'Raw Data'!S845</f>
        <v>0</v>
      </c>
      <c r="R845">
        <f>'Raw Data'!T845</f>
        <v>0</v>
      </c>
      <c r="S845">
        <f>IFERROR(O845,0)+IFERROR(R845,0)</f>
        <v>0</v>
      </c>
      <c r="T845">
        <f>IF(A845="","",YEAR(A845))</f>
        <v>0</v>
      </c>
    </row>
    <row r="846" spans="1:20">
      <c r="A846">
        <f>'Raw Data'!B846</f>
        <v>0</v>
      </c>
      <c r="B846">
        <f>'Raw Data'!A846</f>
        <v>0</v>
      </c>
      <c r="C846">
        <f>'Raw Data'!C846</f>
        <v>0</v>
      </c>
      <c r="D846">
        <f>'Raw Data'!D846</f>
        <v>0</v>
      </c>
      <c r="E846">
        <f>IFERROR(VLOOKUP(D846,'Lookup Tables'!$A:$B,2,FALSE),"Unknown")</f>
        <v>0</v>
      </c>
      <c r="F846">
        <f>'Raw Data'!E846</f>
        <v>0</v>
      </c>
      <c r="G846">
        <f>IFERROR(VLOOKUP(D846,'Lookup Tables'!$A:$C,3,FALSE),IF(ISNUMBER(SEARCH("STEEL",F846)),"Steel","Others"))</f>
        <v>0</v>
      </c>
      <c r="H846">
        <f>IF(ISNUMBER(SEARCH("scrubber",F846)) , "Scrubber", IF(ISNUMBER(SEARCH("container",F846)),"Container", IF(ISNUMBER(SEARCH("basket",F846)),"Basket", IF(ISNUMBER(SEARCH("lunch",F846)),"Lunch Box", IF(ISNUMBER(SEARCH("cutlery",F846)),"Cutlery","Other")))))</f>
        <v>0</v>
      </c>
      <c r="I846">
        <f>IF('Raw Data'!G846&lt;&gt;'','Raw Data'!G846,IFERROR(MID(F846,SEARCH("MODEL",F846)+6,20),""))</f>
        <v>0</v>
      </c>
      <c r="J846">
        <f>'Raw Data'!H846</f>
        <v>0</v>
      </c>
      <c r="K846">
        <f>'Raw Data'!I846</f>
        <v>0</v>
      </c>
      <c r="L846">
        <f>IF('Raw Data'!N846&lt;&gt;0,'Raw Data'!N846,IFERROR(VALUE(MID(F846,SEARCH("QTY",F846)+4,IFERROR(FIND(" ",F846,SEARCH("QTY",F846)+4)-(SEARCH("QTY",F846)+4),3))),""))</f>
        <v>0</v>
      </c>
      <c r="M846">
        <f>'Raw Data'!O846</f>
        <v>0</v>
      </c>
      <c r="N846">
        <f>'Raw Data'!P846</f>
        <v>0</v>
      </c>
      <c r="O846">
        <f>'Raw Data'!Q846</f>
        <v>0</v>
      </c>
      <c r="P846">
        <f>'Raw Data'!R846</f>
        <v>0</v>
      </c>
      <c r="Q846">
        <f>'Raw Data'!S846</f>
        <v>0</v>
      </c>
      <c r="R846">
        <f>'Raw Data'!T846</f>
        <v>0</v>
      </c>
      <c r="S846">
        <f>IFERROR(O846,0)+IFERROR(R846,0)</f>
        <v>0</v>
      </c>
      <c r="T846">
        <f>IF(A846="","",YEAR(A846))</f>
        <v>0</v>
      </c>
    </row>
    <row r="847" spans="1:20">
      <c r="A847">
        <f>'Raw Data'!B847</f>
        <v>0</v>
      </c>
      <c r="B847">
        <f>'Raw Data'!A847</f>
        <v>0</v>
      </c>
      <c r="C847">
        <f>'Raw Data'!C847</f>
        <v>0</v>
      </c>
      <c r="D847">
        <f>'Raw Data'!D847</f>
        <v>0</v>
      </c>
      <c r="E847">
        <f>IFERROR(VLOOKUP(D847,'Lookup Tables'!$A:$B,2,FALSE),"Unknown")</f>
        <v>0</v>
      </c>
      <c r="F847">
        <f>'Raw Data'!E847</f>
        <v>0</v>
      </c>
      <c r="G847">
        <f>IFERROR(VLOOKUP(D847,'Lookup Tables'!$A:$C,3,FALSE),IF(ISNUMBER(SEARCH("STEEL",F847)),"Steel","Others"))</f>
        <v>0</v>
      </c>
      <c r="H847">
        <f>IF(ISNUMBER(SEARCH("scrubber",F847)) , "Scrubber", IF(ISNUMBER(SEARCH("container",F847)),"Container", IF(ISNUMBER(SEARCH("basket",F847)),"Basket", IF(ISNUMBER(SEARCH("lunch",F847)),"Lunch Box", IF(ISNUMBER(SEARCH("cutlery",F847)),"Cutlery","Other")))))</f>
        <v>0</v>
      </c>
      <c r="I847">
        <f>IF('Raw Data'!G847&lt;&gt;'','Raw Data'!G847,IFERROR(MID(F847,SEARCH("MODEL",F847)+6,20),""))</f>
        <v>0</v>
      </c>
      <c r="J847">
        <f>'Raw Data'!H847</f>
        <v>0</v>
      </c>
      <c r="K847">
        <f>'Raw Data'!I847</f>
        <v>0</v>
      </c>
      <c r="L847">
        <f>IF('Raw Data'!N847&lt;&gt;0,'Raw Data'!N847,IFERROR(VALUE(MID(F847,SEARCH("QTY",F847)+4,IFERROR(FIND(" ",F847,SEARCH("QTY",F847)+4)-(SEARCH("QTY",F847)+4),3))),""))</f>
        <v>0</v>
      </c>
      <c r="M847">
        <f>'Raw Data'!O847</f>
        <v>0</v>
      </c>
      <c r="N847">
        <f>'Raw Data'!P847</f>
        <v>0</v>
      </c>
      <c r="O847">
        <f>'Raw Data'!Q847</f>
        <v>0</v>
      </c>
      <c r="P847">
        <f>'Raw Data'!R847</f>
        <v>0</v>
      </c>
      <c r="Q847">
        <f>'Raw Data'!S847</f>
        <v>0</v>
      </c>
      <c r="R847">
        <f>'Raw Data'!T847</f>
        <v>0</v>
      </c>
      <c r="S847">
        <f>IFERROR(O847,0)+IFERROR(R847,0)</f>
        <v>0</v>
      </c>
      <c r="T847">
        <f>IF(A847="","",YEAR(A847))</f>
        <v>0</v>
      </c>
    </row>
    <row r="848" spans="1:20">
      <c r="A848">
        <f>'Raw Data'!B848</f>
        <v>0</v>
      </c>
      <c r="B848">
        <f>'Raw Data'!A848</f>
        <v>0</v>
      </c>
      <c r="C848">
        <f>'Raw Data'!C848</f>
        <v>0</v>
      </c>
      <c r="D848">
        <f>'Raw Data'!D848</f>
        <v>0</v>
      </c>
      <c r="E848">
        <f>IFERROR(VLOOKUP(D848,'Lookup Tables'!$A:$B,2,FALSE),"Unknown")</f>
        <v>0</v>
      </c>
      <c r="F848">
        <f>'Raw Data'!E848</f>
        <v>0</v>
      </c>
      <c r="G848">
        <f>IFERROR(VLOOKUP(D848,'Lookup Tables'!$A:$C,3,FALSE),IF(ISNUMBER(SEARCH("STEEL",F848)),"Steel","Others"))</f>
        <v>0</v>
      </c>
      <c r="H848">
        <f>IF(ISNUMBER(SEARCH("scrubber",F848)) , "Scrubber", IF(ISNUMBER(SEARCH("container",F848)),"Container", IF(ISNUMBER(SEARCH("basket",F848)),"Basket", IF(ISNUMBER(SEARCH("lunch",F848)),"Lunch Box", IF(ISNUMBER(SEARCH("cutlery",F848)),"Cutlery","Other")))))</f>
        <v>0</v>
      </c>
      <c r="I848">
        <f>IF('Raw Data'!G848&lt;&gt;'','Raw Data'!G848,IFERROR(MID(F848,SEARCH("MODEL",F848)+6,20),""))</f>
        <v>0</v>
      </c>
      <c r="J848">
        <f>'Raw Data'!H848</f>
        <v>0</v>
      </c>
      <c r="K848">
        <f>'Raw Data'!I848</f>
        <v>0</v>
      </c>
      <c r="L848">
        <f>IF('Raw Data'!N848&lt;&gt;0,'Raw Data'!N848,IFERROR(VALUE(MID(F848,SEARCH("QTY",F848)+4,IFERROR(FIND(" ",F848,SEARCH("QTY",F848)+4)-(SEARCH("QTY",F848)+4),3))),""))</f>
        <v>0</v>
      </c>
      <c r="M848">
        <f>'Raw Data'!O848</f>
        <v>0</v>
      </c>
      <c r="N848">
        <f>'Raw Data'!P848</f>
        <v>0</v>
      </c>
      <c r="O848">
        <f>'Raw Data'!Q848</f>
        <v>0</v>
      </c>
      <c r="P848">
        <f>'Raw Data'!R848</f>
        <v>0</v>
      </c>
      <c r="Q848">
        <f>'Raw Data'!S848</f>
        <v>0</v>
      </c>
      <c r="R848">
        <f>'Raw Data'!T848</f>
        <v>0</v>
      </c>
      <c r="S848">
        <f>IFERROR(O848,0)+IFERROR(R848,0)</f>
        <v>0</v>
      </c>
      <c r="T848">
        <f>IF(A848="","",YEAR(A848))</f>
        <v>0</v>
      </c>
    </row>
    <row r="849" spans="1:20">
      <c r="A849">
        <f>'Raw Data'!B849</f>
        <v>0</v>
      </c>
      <c r="B849">
        <f>'Raw Data'!A849</f>
        <v>0</v>
      </c>
      <c r="C849">
        <f>'Raw Data'!C849</f>
        <v>0</v>
      </c>
      <c r="D849">
        <f>'Raw Data'!D849</f>
        <v>0</v>
      </c>
      <c r="E849">
        <f>IFERROR(VLOOKUP(D849,'Lookup Tables'!$A:$B,2,FALSE),"Unknown")</f>
        <v>0</v>
      </c>
      <c r="F849">
        <f>'Raw Data'!E849</f>
        <v>0</v>
      </c>
      <c r="G849">
        <f>IFERROR(VLOOKUP(D849,'Lookup Tables'!$A:$C,3,FALSE),IF(ISNUMBER(SEARCH("STEEL",F849)),"Steel","Others"))</f>
        <v>0</v>
      </c>
      <c r="H849">
        <f>IF(ISNUMBER(SEARCH("scrubber",F849)) , "Scrubber", IF(ISNUMBER(SEARCH("container",F849)),"Container", IF(ISNUMBER(SEARCH("basket",F849)),"Basket", IF(ISNUMBER(SEARCH("lunch",F849)),"Lunch Box", IF(ISNUMBER(SEARCH("cutlery",F849)),"Cutlery","Other")))))</f>
        <v>0</v>
      </c>
      <c r="I849">
        <f>IF('Raw Data'!G849&lt;&gt;'','Raw Data'!G849,IFERROR(MID(F849,SEARCH("MODEL",F849)+6,20),""))</f>
        <v>0</v>
      </c>
      <c r="J849">
        <f>'Raw Data'!H849</f>
        <v>0</v>
      </c>
      <c r="K849">
        <f>'Raw Data'!I849</f>
        <v>0</v>
      </c>
      <c r="L849">
        <f>IF('Raw Data'!N849&lt;&gt;0,'Raw Data'!N849,IFERROR(VALUE(MID(F849,SEARCH("QTY",F849)+4,IFERROR(FIND(" ",F849,SEARCH("QTY",F849)+4)-(SEARCH("QTY",F849)+4),3))),""))</f>
        <v>0</v>
      </c>
      <c r="M849">
        <f>'Raw Data'!O849</f>
        <v>0</v>
      </c>
      <c r="N849">
        <f>'Raw Data'!P849</f>
        <v>0</v>
      </c>
      <c r="O849">
        <f>'Raw Data'!Q849</f>
        <v>0</v>
      </c>
      <c r="P849">
        <f>'Raw Data'!R849</f>
        <v>0</v>
      </c>
      <c r="Q849">
        <f>'Raw Data'!S849</f>
        <v>0</v>
      </c>
      <c r="R849">
        <f>'Raw Data'!T849</f>
        <v>0</v>
      </c>
      <c r="S849">
        <f>IFERROR(O849,0)+IFERROR(R849,0)</f>
        <v>0</v>
      </c>
      <c r="T849">
        <f>IF(A849="","",YEAR(A849))</f>
        <v>0</v>
      </c>
    </row>
    <row r="850" spans="1:20">
      <c r="A850">
        <f>'Raw Data'!B850</f>
        <v>0</v>
      </c>
      <c r="B850">
        <f>'Raw Data'!A850</f>
        <v>0</v>
      </c>
      <c r="C850">
        <f>'Raw Data'!C850</f>
        <v>0</v>
      </c>
      <c r="D850">
        <f>'Raw Data'!D850</f>
        <v>0</v>
      </c>
      <c r="E850">
        <f>IFERROR(VLOOKUP(D850,'Lookup Tables'!$A:$B,2,FALSE),"Unknown")</f>
        <v>0</v>
      </c>
      <c r="F850">
        <f>'Raw Data'!E850</f>
        <v>0</v>
      </c>
      <c r="G850">
        <f>IFERROR(VLOOKUP(D850,'Lookup Tables'!$A:$C,3,FALSE),IF(ISNUMBER(SEARCH("STEEL",F850)),"Steel","Others"))</f>
        <v>0</v>
      </c>
      <c r="H850">
        <f>IF(ISNUMBER(SEARCH("scrubber",F850)) , "Scrubber", IF(ISNUMBER(SEARCH("container",F850)),"Container", IF(ISNUMBER(SEARCH("basket",F850)),"Basket", IF(ISNUMBER(SEARCH("lunch",F850)),"Lunch Box", IF(ISNUMBER(SEARCH("cutlery",F850)),"Cutlery","Other")))))</f>
        <v>0</v>
      </c>
      <c r="I850">
        <f>IF('Raw Data'!G850&lt;&gt;'','Raw Data'!G850,IFERROR(MID(F850,SEARCH("MODEL",F850)+6,20),""))</f>
        <v>0</v>
      </c>
      <c r="J850">
        <f>'Raw Data'!H850</f>
        <v>0</v>
      </c>
      <c r="K850">
        <f>'Raw Data'!I850</f>
        <v>0</v>
      </c>
      <c r="L850">
        <f>IF('Raw Data'!N850&lt;&gt;0,'Raw Data'!N850,IFERROR(VALUE(MID(F850,SEARCH("QTY",F850)+4,IFERROR(FIND(" ",F850,SEARCH("QTY",F850)+4)-(SEARCH("QTY",F850)+4),3))),""))</f>
        <v>0</v>
      </c>
      <c r="M850">
        <f>'Raw Data'!O850</f>
        <v>0</v>
      </c>
      <c r="N850">
        <f>'Raw Data'!P850</f>
        <v>0</v>
      </c>
      <c r="O850">
        <f>'Raw Data'!Q850</f>
        <v>0</v>
      </c>
      <c r="P850">
        <f>'Raw Data'!R850</f>
        <v>0</v>
      </c>
      <c r="Q850">
        <f>'Raw Data'!S850</f>
        <v>0</v>
      </c>
      <c r="R850">
        <f>'Raw Data'!T850</f>
        <v>0</v>
      </c>
      <c r="S850">
        <f>IFERROR(O850,0)+IFERROR(R850,0)</f>
        <v>0</v>
      </c>
      <c r="T850">
        <f>IF(A850="","",YEAR(A850))</f>
        <v>0</v>
      </c>
    </row>
    <row r="851" spans="1:20">
      <c r="A851">
        <f>'Raw Data'!B851</f>
        <v>0</v>
      </c>
      <c r="B851">
        <f>'Raw Data'!A851</f>
        <v>0</v>
      </c>
      <c r="C851">
        <f>'Raw Data'!C851</f>
        <v>0</v>
      </c>
      <c r="D851">
        <f>'Raw Data'!D851</f>
        <v>0</v>
      </c>
      <c r="E851">
        <f>IFERROR(VLOOKUP(D851,'Lookup Tables'!$A:$B,2,FALSE),"Unknown")</f>
        <v>0</v>
      </c>
      <c r="F851">
        <f>'Raw Data'!E851</f>
        <v>0</v>
      </c>
      <c r="G851">
        <f>IFERROR(VLOOKUP(D851,'Lookup Tables'!$A:$C,3,FALSE),IF(ISNUMBER(SEARCH("STEEL",F851)),"Steel","Others"))</f>
        <v>0</v>
      </c>
      <c r="H851">
        <f>IF(ISNUMBER(SEARCH("scrubber",F851)) , "Scrubber", IF(ISNUMBER(SEARCH("container",F851)),"Container", IF(ISNUMBER(SEARCH("basket",F851)),"Basket", IF(ISNUMBER(SEARCH("lunch",F851)),"Lunch Box", IF(ISNUMBER(SEARCH("cutlery",F851)),"Cutlery","Other")))))</f>
        <v>0</v>
      </c>
      <c r="I851">
        <f>IF('Raw Data'!G851&lt;&gt;'','Raw Data'!G851,IFERROR(MID(F851,SEARCH("MODEL",F851)+6,20),""))</f>
        <v>0</v>
      </c>
      <c r="J851">
        <f>'Raw Data'!H851</f>
        <v>0</v>
      </c>
      <c r="K851">
        <f>'Raw Data'!I851</f>
        <v>0</v>
      </c>
      <c r="L851">
        <f>IF('Raw Data'!N851&lt;&gt;0,'Raw Data'!N851,IFERROR(VALUE(MID(F851,SEARCH("QTY",F851)+4,IFERROR(FIND(" ",F851,SEARCH("QTY",F851)+4)-(SEARCH("QTY",F851)+4),3))),""))</f>
        <v>0</v>
      </c>
      <c r="M851">
        <f>'Raw Data'!O851</f>
        <v>0</v>
      </c>
      <c r="N851">
        <f>'Raw Data'!P851</f>
        <v>0</v>
      </c>
      <c r="O851">
        <f>'Raw Data'!Q851</f>
        <v>0</v>
      </c>
      <c r="P851">
        <f>'Raw Data'!R851</f>
        <v>0</v>
      </c>
      <c r="Q851">
        <f>'Raw Data'!S851</f>
        <v>0</v>
      </c>
      <c r="R851">
        <f>'Raw Data'!T851</f>
        <v>0</v>
      </c>
      <c r="S851">
        <f>IFERROR(O851,0)+IFERROR(R851,0)</f>
        <v>0</v>
      </c>
      <c r="T851">
        <f>IF(A851="","",YEAR(A851))</f>
        <v>0</v>
      </c>
    </row>
    <row r="852" spans="1:20">
      <c r="A852">
        <f>'Raw Data'!B852</f>
        <v>0</v>
      </c>
      <c r="B852">
        <f>'Raw Data'!A852</f>
        <v>0</v>
      </c>
      <c r="C852">
        <f>'Raw Data'!C852</f>
        <v>0</v>
      </c>
      <c r="D852">
        <f>'Raw Data'!D852</f>
        <v>0</v>
      </c>
      <c r="E852">
        <f>IFERROR(VLOOKUP(D852,'Lookup Tables'!$A:$B,2,FALSE),"Unknown")</f>
        <v>0</v>
      </c>
      <c r="F852">
        <f>'Raw Data'!E852</f>
        <v>0</v>
      </c>
      <c r="G852">
        <f>IFERROR(VLOOKUP(D852,'Lookup Tables'!$A:$C,3,FALSE),IF(ISNUMBER(SEARCH("STEEL",F852)),"Steel","Others"))</f>
        <v>0</v>
      </c>
      <c r="H852">
        <f>IF(ISNUMBER(SEARCH("scrubber",F852)) , "Scrubber", IF(ISNUMBER(SEARCH("container",F852)),"Container", IF(ISNUMBER(SEARCH("basket",F852)),"Basket", IF(ISNUMBER(SEARCH("lunch",F852)),"Lunch Box", IF(ISNUMBER(SEARCH("cutlery",F852)),"Cutlery","Other")))))</f>
        <v>0</v>
      </c>
      <c r="I852">
        <f>IF('Raw Data'!G852&lt;&gt;'','Raw Data'!G852,IFERROR(MID(F852,SEARCH("MODEL",F852)+6,20),""))</f>
        <v>0</v>
      </c>
      <c r="J852">
        <f>'Raw Data'!H852</f>
        <v>0</v>
      </c>
      <c r="K852">
        <f>'Raw Data'!I852</f>
        <v>0</v>
      </c>
      <c r="L852">
        <f>IF('Raw Data'!N852&lt;&gt;0,'Raw Data'!N852,IFERROR(VALUE(MID(F852,SEARCH("QTY",F852)+4,IFERROR(FIND(" ",F852,SEARCH("QTY",F852)+4)-(SEARCH("QTY",F852)+4),3))),""))</f>
        <v>0</v>
      </c>
      <c r="M852">
        <f>'Raw Data'!O852</f>
        <v>0</v>
      </c>
      <c r="N852">
        <f>'Raw Data'!P852</f>
        <v>0</v>
      </c>
      <c r="O852">
        <f>'Raw Data'!Q852</f>
        <v>0</v>
      </c>
      <c r="P852">
        <f>'Raw Data'!R852</f>
        <v>0</v>
      </c>
      <c r="Q852">
        <f>'Raw Data'!S852</f>
        <v>0</v>
      </c>
      <c r="R852">
        <f>'Raw Data'!T852</f>
        <v>0</v>
      </c>
      <c r="S852">
        <f>IFERROR(O852,0)+IFERROR(R852,0)</f>
        <v>0</v>
      </c>
      <c r="T852">
        <f>IF(A852="","",YEAR(A852))</f>
        <v>0</v>
      </c>
    </row>
    <row r="853" spans="1:20">
      <c r="A853">
        <f>'Raw Data'!B853</f>
        <v>0</v>
      </c>
      <c r="B853">
        <f>'Raw Data'!A853</f>
        <v>0</v>
      </c>
      <c r="C853">
        <f>'Raw Data'!C853</f>
        <v>0</v>
      </c>
      <c r="D853">
        <f>'Raw Data'!D853</f>
        <v>0</v>
      </c>
      <c r="E853">
        <f>IFERROR(VLOOKUP(D853,'Lookup Tables'!$A:$B,2,FALSE),"Unknown")</f>
        <v>0</v>
      </c>
      <c r="F853">
        <f>'Raw Data'!E853</f>
        <v>0</v>
      </c>
      <c r="G853">
        <f>IFERROR(VLOOKUP(D853,'Lookup Tables'!$A:$C,3,FALSE),IF(ISNUMBER(SEARCH("STEEL",F853)),"Steel","Others"))</f>
        <v>0</v>
      </c>
      <c r="H853">
        <f>IF(ISNUMBER(SEARCH("scrubber",F853)) , "Scrubber", IF(ISNUMBER(SEARCH("container",F853)),"Container", IF(ISNUMBER(SEARCH("basket",F853)),"Basket", IF(ISNUMBER(SEARCH("lunch",F853)),"Lunch Box", IF(ISNUMBER(SEARCH("cutlery",F853)),"Cutlery","Other")))))</f>
        <v>0</v>
      </c>
      <c r="I853">
        <f>IF('Raw Data'!G853&lt;&gt;'','Raw Data'!G853,IFERROR(MID(F853,SEARCH("MODEL",F853)+6,20),""))</f>
        <v>0</v>
      </c>
      <c r="J853">
        <f>'Raw Data'!H853</f>
        <v>0</v>
      </c>
      <c r="K853">
        <f>'Raw Data'!I853</f>
        <v>0</v>
      </c>
      <c r="L853">
        <f>IF('Raw Data'!N853&lt;&gt;0,'Raw Data'!N853,IFERROR(VALUE(MID(F853,SEARCH("QTY",F853)+4,IFERROR(FIND(" ",F853,SEARCH("QTY",F853)+4)-(SEARCH("QTY",F853)+4),3))),""))</f>
        <v>0</v>
      </c>
      <c r="M853">
        <f>'Raw Data'!O853</f>
        <v>0</v>
      </c>
      <c r="N853">
        <f>'Raw Data'!P853</f>
        <v>0</v>
      </c>
      <c r="O853">
        <f>'Raw Data'!Q853</f>
        <v>0</v>
      </c>
      <c r="P853">
        <f>'Raw Data'!R853</f>
        <v>0</v>
      </c>
      <c r="Q853">
        <f>'Raw Data'!S853</f>
        <v>0</v>
      </c>
      <c r="R853">
        <f>'Raw Data'!T853</f>
        <v>0</v>
      </c>
      <c r="S853">
        <f>IFERROR(O853,0)+IFERROR(R853,0)</f>
        <v>0</v>
      </c>
      <c r="T853">
        <f>IF(A853="","",YEAR(A853))</f>
        <v>0</v>
      </c>
    </row>
    <row r="854" spans="1:20">
      <c r="A854">
        <f>'Raw Data'!B854</f>
        <v>0</v>
      </c>
      <c r="B854">
        <f>'Raw Data'!A854</f>
        <v>0</v>
      </c>
      <c r="C854">
        <f>'Raw Data'!C854</f>
        <v>0</v>
      </c>
      <c r="D854">
        <f>'Raw Data'!D854</f>
        <v>0</v>
      </c>
      <c r="E854">
        <f>IFERROR(VLOOKUP(D854,'Lookup Tables'!$A:$B,2,FALSE),"Unknown")</f>
        <v>0</v>
      </c>
      <c r="F854">
        <f>'Raw Data'!E854</f>
        <v>0</v>
      </c>
      <c r="G854">
        <f>IFERROR(VLOOKUP(D854,'Lookup Tables'!$A:$C,3,FALSE),IF(ISNUMBER(SEARCH("STEEL",F854)),"Steel","Others"))</f>
        <v>0</v>
      </c>
      <c r="H854">
        <f>IF(ISNUMBER(SEARCH("scrubber",F854)) , "Scrubber", IF(ISNUMBER(SEARCH("container",F854)),"Container", IF(ISNUMBER(SEARCH("basket",F854)),"Basket", IF(ISNUMBER(SEARCH("lunch",F854)),"Lunch Box", IF(ISNUMBER(SEARCH("cutlery",F854)),"Cutlery","Other")))))</f>
        <v>0</v>
      </c>
      <c r="I854">
        <f>IF('Raw Data'!G854&lt;&gt;'','Raw Data'!G854,IFERROR(MID(F854,SEARCH("MODEL",F854)+6,20),""))</f>
        <v>0</v>
      </c>
      <c r="J854">
        <f>'Raw Data'!H854</f>
        <v>0</v>
      </c>
      <c r="K854">
        <f>'Raw Data'!I854</f>
        <v>0</v>
      </c>
      <c r="L854">
        <f>IF('Raw Data'!N854&lt;&gt;0,'Raw Data'!N854,IFERROR(VALUE(MID(F854,SEARCH("QTY",F854)+4,IFERROR(FIND(" ",F854,SEARCH("QTY",F854)+4)-(SEARCH("QTY",F854)+4),3))),""))</f>
        <v>0</v>
      </c>
      <c r="M854">
        <f>'Raw Data'!O854</f>
        <v>0</v>
      </c>
      <c r="N854">
        <f>'Raw Data'!P854</f>
        <v>0</v>
      </c>
      <c r="O854">
        <f>'Raw Data'!Q854</f>
        <v>0</v>
      </c>
      <c r="P854">
        <f>'Raw Data'!R854</f>
        <v>0</v>
      </c>
      <c r="Q854">
        <f>'Raw Data'!S854</f>
        <v>0</v>
      </c>
      <c r="R854">
        <f>'Raw Data'!T854</f>
        <v>0</v>
      </c>
      <c r="S854">
        <f>IFERROR(O854,0)+IFERROR(R854,0)</f>
        <v>0</v>
      </c>
      <c r="T854">
        <f>IF(A854="","",YEAR(A854))</f>
        <v>0</v>
      </c>
    </row>
    <row r="855" spans="1:20">
      <c r="A855">
        <f>'Raw Data'!B855</f>
        <v>0</v>
      </c>
      <c r="B855">
        <f>'Raw Data'!A855</f>
        <v>0</v>
      </c>
      <c r="C855">
        <f>'Raw Data'!C855</f>
        <v>0</v>
      </c>
      <c r="D855">
        <f>'Raw Data'!D855</f>
        <v>0</v>
      </c>
      <c r="E855">
        <f>IFERROR(VLOOKUP(D855,'Lookup Tables'!$A:$B,2,FALSE),"Unknown")</f>
        <v>0</v>
      </c>
      <c r="F855">
        <f>'Raw Data'!E855</f>
        <v>0</v>
      </c>
      <c r="G855">
        <f>IFERROR(VLOOKUP(D855,'Lookup Tables'!$A:$C,3,FALSE),IF(ISNUMBER(SEARCH("STEEL",F855)),"Steel","Others"))</f>
        <v>0</v>
      </c>
      <c r="H855">
        <f>IF(ISNUMBER(SEARCH("scrubber",F855)) , "Scrubber", IF(ISNUMBER(SEARCH("container",F855)),"Container", IF(ISNUMBER(SEARCH("basket",F855)),"Basket", IF(ISNUMBER(SEARCH("lunch",F855)),"Lunch Box", IF(ISNUMBER(SEARCH("cutlery",F855)),"Cutlery","Other")))))</f>
        <v>0</v>
      </c>
      <c r="I855">
        <f>IF('Raw Data'!G855&lt;&gt;'','Raw Data'!G855,IFERROR(MID(F855,SEARCH("MODEL",F855)+6,20),""))</f>
        <v>0</v>
      </c>
      <c r="J855">
        <f>'Raw Data'!H855</f>
        <v>0</v>
      </c>
      <c r="K855">
        <f>'Raw Data'!I855</f>
        <v>0</v>
      </c>
      <c r="L855">
        <f>IF('Raw Data'!N855&lt;&gt;0,'Raw Data'!N855,IFERROR(VALUE(MID(F855,SEARCH("QTY",F855)+4,IFERROR(FIND(" ",F855,SEARCH("QTY",F855)+4)-(SEARCH("QTY",F855)+4),3))),""))</f>
        <v>0</v>
      </c>
      <c r="M855">
        <f>'Raw Data'!O855</f>
        <v>0</v>
      </c>
      <c r="N855">
        <f>'Raw Data'!P855</f>
        <v>0</v>
      </c>
      <c r="O855">
        <f>'Raw Data'!Q855</f>
        <v>0</v>
      </c>
      <c r="P855">
        <f>'Raw Data'!R855</f>
        <v>0</v>
      </c>
      <c r="Q855">
        <f>'Raw Data'!S855</f>
        <v>0</v>
      </c>
      <c r="R855">
        <f>'Raw Data'!T855</f>
        <v>0</v>
      </c>
      <c r="S855">
        <f>IFERROR(O855,0)+IFERROR(R855,0)</f>
        <v>0</v>
      </c>
      <c r="T855">
        <f>IF(A855="","",YEAR(A855))</f>
        <v>0</v>
      </c>
    </row>
    <row r="856" spans="1:20">
      <c r="A856">
        <f>'Raw Data'!B856</f>
        <v>0</v>
      </c>
      <c r="B856">
        <f>'Raw Data'!A856</f>
        <v>0</v>
      </c>
      <c r="C856">
        <f>'Raw Data'!C856</f>
        <v>0</v>
      </c>
      <c r="D856">
        <f>'Raw Data'!D856</f>
        <v>0</v>
      </c>
      <c r="E856">
        <f>IFERROR(VLOOKUP(D856,'Lookup Tables'!$A:$B,2,FALSE),"Unknown")</f>
        <v>0</v>
      </c>
      <c r="F856">
        <f>'Raw Data'!E856</f>
        <v>0</v>
      </c>
      <c r="G856">
        <f>IFERROR(VLOOKUP(D856,'Lookup Tables'!$A:$C,3,FALSE),IF(ISNUMBER(SEARCH("STEEL",F856)),"Steel","Others"))</f>
        <v>0</v>
      </c>
      <c r="H856">
        <f>IF(ISNUMBER(SEARCH("scrubber",F856)) , "Scrubber", IF(ISNUMBER(SEARCH("container",F856)),"Container", IF(ISNUMBER(SEARCH("basket",F856)),"Basket", IF(ISNUMBER(SEARCH("lunch",F856)),"Lunch Box", IF(ISNUMBER(SEARCH("cutlery",F856)),"Cutlery","Other")))))</f>
        <v>0</v>
      </c>
      <c r="I856">
        <f>IF('Raw Data'!G856&lt;&gt;'','Raw Data'!G856,IFERROR(MID(F856,SEARCH("MODEL",F856)+6,20),""))</f>
        <v>0</v>
      </c>
      <c r="J856">
        <f>'Raw Data'!H856</f>
        <v>0</v>
      </c>
      <c r="K856">
        <f>'Raw Data'!I856</f>
        <v>0</v>
      </c>
      <c r="L856">
        <f>IF('Raw Data'!N856&lt;&gt;0,'Raw Data'!N856,IFERROR(VALUE(MID(F856,SEARCH("QTY",F856)+4,IFERROR(FIND(" ",F856,SEARCH("QTY",F856)+4)-(SEARCH("QTY",F856)+4),3))),""))</f>
        <v>0</v>
      </c>
      <c r="M856">
        <f>'Raw Data'!O856</f>
        <v>0</v>
      </c>
      <c r="N856">
        <f>'Raw Data'!P856</f>
        <v>0</v>
      </c>
      <c r="O856">
        <f>'Raw Data'!Q856</f>
        <v>0</v>
      </c>
      <c r="P856">
        <f>'Raw Data'!R856</f>
        <v>0</v>
      </c>
      <c r="Q856">
        <f>'Raw Data'!S856</f>
        <v>0</v>
      </c>
      <c r="R856">
        <f>'Raw Data'!T856</f>
        <v>0</v>
      </c>
      <c r="S856">
        <f>IFERROR(O856,0)+IFERROR(R856,0)</f>
        <v>0</v>
      </c>
      <c r="T856">
        <f>IF(A856="","",YEAR(A856))</f>
        <v>0</v>
      </c>
    </row>
    <row r="857" spans="1:20">
      <c r="A857">
        <f>'Raw Data'!B857</f>
        <v>0</v>
      </c>
      <c r="B857">
        <f>'Raw Data'!A857</f>
        <v>0</v>
      </c>
      <c r="C857">
        <f>'Raw Data'!C857</f>
        <v>0</v>
      </c>
      <c r="D857">
        <f>'Raw Data'!D857</f>
        <v>0</v>
      </c>
      <c r="E857">
        <f>IFERROR(VLOOKUP(D857,'Lookup Tables'!$A:$B,2,FALSE),"Unknown")</f>
        <v>0</v>
      </c>
      <c r="F857">
        <f>'Raw Data'!E857</f>
        <v>0</v>
      </c>
      <c r="G857">
        <f>IFERROR(VLOOKUP(D857,'Lookup Tables'!$A:$C,3,FALSE),IF(ISNUMBER(SEARCH("STEEL",F857)),"Steel","Others"))</f>
        <v>0</v>
      </c>
      <c r="H857">
        <f>IF(ISNUMBER(SEARCH("scrubber",F857)) , "Scrubber", IF(ISNUMBER(SEARCH("container",F857)),"Container", IF(ISNUMBER(SEARCH("basket",F857)),"Basket", IF(ISNUMBER(SEARCH("lunch",F857)),"Lunch Box", IF(ISNUMBER(SEARCH("cutlery",F857)),"Cutlery","Other")))))</f>
        <v>0</v>
      </c>
      <c r="I857">
        <f>IF('Raw Data'!G857&lt;&gt;'','Raw Data'!G857,IFERROR(MID(F857,SEARCH("MODEL",F857)+6,20),""))</f>
        <v>0</v>
      </c>
      <c r="J857">
        <f>'Raw Data'!H857</f>
        <v>0</v>
      </c>
      <c r="K857">
        <f>'Raw Data'!I857</f>
        <v>0</v>
      </c>
      <c r="L857">
        <f>IF('Raw Data'!N857&lt;&gt;0,'Raw Data'!N857,IFERROR(VALUE(MID(F857,SEARCH("QTY",F857)+4,IFERROR(FIND(" ",F857,SEARCH("QTY",F857)+4)-(SEARCH("QTY",F857)+4),3))),""))</f>
        <v>0</v>
      </c>
      <c r="M857">
        <f>'Raw Data'!O857</f>
        <v>0</v>
      </c>
      <c r="N857">
        <f>'Raw Data'!P857</f>
        <v>0</v>
      </c>
      <c r="O857">
        <f>'Raw Data'!Q857</f>
        <v>0</v>
      </c>
      <c r="P857">
        <f>'Raw Data'!R857</f>
        <v>0</v>
      </c>
      <c r="Q857">
        <f>'Raw Data'!S857</f>
        <v>0</v>
      </c>
      <c r="R857">
        <f>'Raw Data'!T857</f>
        <v>0</v>
      </c>
      <c r="S857">
        <f>IFERROR(O857,0)+IFERROR(R857,0)</f>
        <v>0</v>
      </c>
      <c r="T857">
        <f>IF(A857="","",YEAR(A857))</f>
        <v>0</v>
      </c>
    </row>
    <row r="858" spans="1:20">
      <c r="A858">
        <f>'Raw Data'!B858</f>
        <v>0</v>
      </c>
      <c r="B858">
        <f>'Raw Data'!A858</f>
        <v>0</v>
      </c>
      <c r="C858">
        <f>'Raw Data'!C858</f>
        <v>0</v>
      </c>
      <c r="D858">
        <f>'Raw Data'!D858</f>
        <v>0</v>
      </c>
      <c r="E858">
        <f>IFERROR(VLOOKUP(D858,'Lookup Tables'!$A:$B,2,FALSE),"Unknown")</f>
        <v>0</v>
      </c>
      <c r="F858">
        <f>'Raw Data'!E858</f>
        <v>0</v>
      </c>
      <c r="G858">
        <f>IFERROR(VLOOKUP(D858,'Lookup Tables'!$A:$C,3,FALSE),IF(ISNUMBER(SEARCH("STEEL",F858)),"Steel","Others"))</f>
        <v>0</v>
      </c>
      <c r="H858">
        <f>IF(ISNUMBER(SEARCH("scrubber",F858)) , "Scrubber", IF(ISNUMBER(SEARCH("container",F858)),"Container", IF(ISNUMBER(SEARCH("basket",F858)),"Basket", IF(ISNUMBER(SEARCH("lunch",F858)),"Lunch Box", IF(ISNUMBER(SEARCH("cutlery",F858)),"Cutlery","Other")))))</f>
        <v>0</v>
      </c>
      <c r="I858">
        <f>IF('Raw Data'!G858&lt;&gt;'','Raw Data'!G858,IFERROR(MID(F858,SEARCH("MODEL",F858)+6,20),""))</f>
        <v>0</v>
      </c>
      <c r="J858">
        <f>'Raw Data'!H858</f>
        <v>0</v>
      </c>
      <c r="K858">
        <f>'Raw Data'!I858</f>
        <v>0</v>
      </c>
      <c r="L858">
        <f>IF('Raw Data'!N858&lt;&gt;0,'Raw Data'!N858,IFERROR(VALUE(MID(F858,SEARCH("QTY",F858)+4,IFERROR(FIND(" ",F858,SEARCH("QTY",F858)+4)-(SEARCH("QTY",F858)+4),3))),""))</f>
        <v>0</v>
      </c>
      <c r="M858">
        <f>'Raw Data'!O858</f>
        <v>0</v>
      </c>
      <c r="N858">
        <f>'Raw Data'!P858</f>
        <v>0</v>
      </c>
      <c r="O858">
        <f>'Raw Data'!Q858</f>
        <v>0</v>
      </c>
      <c r="P858">
        <f>'Raw Data'!R858</f>
        <v>0</v>
      </c>
      <c r="Q858">
        <f>'Raw Data'!S858</f>
        <v>0</v>
      </c>
      <c r="R858">
        <f>'Raw Data'!T858</f>
        <v>0</v>
      </c>
      <c r="S858">
        <f>IFERROR(O858,0)+IFERROR(R858,0)</f>
        <v>0</v>
      </c>
      <c r="T858">
        <f>IF(A858="","",YEAR(A858))</f>
        <v>0</v>
      </c>
    </row>
    <row r="859" spans="1:20">
      <c r="A859">
        <f>'Raw Data'!B859</f>
        <v>0</v>
      </c>
      <c r="B859">
        <f>'Raw Data'!A859</f>
        <v>0</v>
      </c>
      <c r="C859">
        <f>'Raw Data'!C859</f>
        <v>0</v>
      </c>
      <c r="D859">
        <f>'Raw Data'!D859</f>
        <v>0</v>
      </c>
      <c r="E859">
        <f>IFERROR(VLOOKUP(D859,'Lookup Tables'!$A:$B,2,FALSE),"Unknown")</f>
        <v>0</v>
      </c>
      <c r="F859">
        <f>'Raw Data'!E859</f>
        <v>0</v>
      </c>
      <c r="G859">
        <f>IFERROR(VLOOKUP(D859,'Lookup Tables'!$A:$C,3,FALSE),IF(ISNUMBER(SEARCH("STEEL",F859)),"Steel","Others"))</f>
        <v>0</v>
      </c>
      <c r="H859">
        <f>IF(ISNUMBER(SEARCH("scrubber",F859)) , "Scrubber", IF(ISNUMBER(SEARCH("container",F859)),"Container", IF(ISNUMBER(SEARCH("basket",F859)),"Basket", IF(ISNUMBER(SEARCH("lunch",F859)),"Lunch Box", IF(ISNUMBER(SEARCH("cutlery",F859)),"Cutlery","Other")))))</f>
        <v>0</v>
      </c>
      <c r="I859">
        <f>IF('Raw Data'!G859&lt;&gt;'','Raw Data'!G859,IFERROR(MID(F859,SEARCH("MODEL",F859)+6,20),""))</f>
        <v>0</v>
      </c>
      <c r="J859">
        <f>'Raw Data'!H859</f>
        <v>0</v>
      </c>
      <c r="K859">
        <f>'Raw Data'!I859</f>
        <v>0</v>
      </c>
      <c r="L859">
        <f>IF('Raw Data'!N859&lt;&gt;0,'Raw Data'!N859,IFERROR(VALUE(MID(F859,SEARCH("QTY",F859)+4,IFERROR(FIND(" ",F859,SEARCH("QTY",F859)+4)-(SEARCH("QTY",F859)+4),3))),""))</f>
        <v>0</v>
      </c>
      <c r="M859">
        <f>'Raw Data'!O859</f>
        <v>0</v>
      </c>
      <c r="N859">
        <f>'Raw Data'!P859</f>
        <v>0</v>
      </c>
      <c r="O859">
        <f>'Raw Data'!Q859</f>
        <v>0</v>
      </c>
      <c r="P859">
        <f>'Raw Data'!R859</f>
        <v>0</v>
      </c>
      <c r="Q859">
        <f>'Raw Data'!S859</f>
        <v>0</v>
      </c>
      <c r="R859">
        <f>'Raw Data'!T859</f>
        <v>0</v>
      </c>
      <c r="S859">
        <f>IFERROR(O859,0)+IFERROR(R859,0)</f>
        <v>0</v>
      </c>
      <c r="T859">
        <f>IF(A859="","",YEAR(A859))</f>
        <v>0</v>
      </c>
    </row>
    <row r="860" spans="1:20">
      <c r="A860">
        <f>'Raw Data'!B860</f>
        <v>0</v>
      </c>
      <c r="B860">
        <f>'Raw Data'!A860</f>
        <v>0</v>
      </c>
      <c r="C860">
        <f>'Raw Data'!C860</f>
        <v>0</v>
      </c>
      <c r="D860">
        <f>'Raw Data'!D860</f>
        <v>0</v>
      </c>
      <c r="E860">
        <f>IFERROR(VLOOKUP(D860,'Lookup Tables'!$A:$B,2,FALSE),"Unknown")</f>
        <v>0</v>
      </c>
      <c r="F860">
        <f>'Raw Data'!E860</f>
        <v>0</v>
      </c>
      <c r="G860">
        <f>IFERROR(VLOOKUP(D860,'Lookup Tables'!$A:$C,3,FALSE),IF(ISNUMBER(SEARCH("STEEL",F860)),"Steel","Others"))</f>
        <v>0</v>
      </c>
      <c r="H860">
        <f>IF(ISNUMBER(SEARCH("scrubber",F860)) , "Scrubber", IF(ISNUMBER(SEARCH("container",F860)),"Container", IF(ISNUMBER(SEARCH("basket",F860)),"Basket", IF(ISNUMBER(SEARCH("lunch",F860)),"Lunch Box", IF(ISNUMBER(SEARCH("cutlery",F860)),"Cutlery","Other")))))</f>
        <v>0</v>
      </c>
      <c r="I860">
        <f>IF('Raw Data'!G860&lt;&gt;'','Raw Data'!G860,IFERROR(MID(F860,SEARCH("MODEL",F860)+6,20),""))</f>
        <v>0</v>
      </c>
      <c r="J860">
        <f>'Raw Data'!H860</f>
        <v>0</v>
      </c>
      <c r="K860">
        <f>'Raw Data'!I860</f>
        <v>0</v>
      </c>
      <c r="L860">
        <f>IF('Raw Data'!N860&lt;&gt;0,'Raw Data'!N860,IFERROR(VALUE(MID(F860,SEARCH("QTY",F860)+4,IFERROR(FIND(" ",F860,SEARCH("QTY",F860)+4)-(SEARCH("QTY",F860)+4),3))),""))</f>
        <v>0</v>
      </c>
      <c r="M860">
        <f>'Raw Data'!O860</f>
        <v>0</v>
      </c>
      <c r="N860">
        <f>'Raw Data'!P860</f>
        <v>0</v>
      </c>
      <c r="O860">
        <f>'Raw Data'!Q860</f>
        <v>0</v>
      </c>
      <c r="P860">
        <f>'Raw Data'!R860</f>
        <v>0</v>
      </c>
      <c r="Q860">
        <f>'Raw Data'!S860</f>
        <v>0</v>
      </c>
      <c r="R860">
        <f>'Raw Data'!T860</f>
        <v>0</v>
      </c>
      <c r="S860">
        <f>IFERROR(O860,0)+IFERROR(R860,0)</f>
        <v>0</v>
      </c>
      <c r="T860">
        <f>IF(A860="","",YEAR(A860))</f>
        <v>0</v>
      </c>
    </row>
    <row r="861" spans="1:20">
      <c r="A861">
        <f>'Raw Data'!B861</f>
        <v>0</v>
      </c>
      <c r="B861">
        <f>'Raw Data'!A861</f>
        <v>0</v>
      </c>
      <c r="C861">
        <f>'Raw Data'!C861</f>
        <v>0</v>
      </c>
      <c r="D861">
        <f>'Raw Data'!D861</f>
        <v>0</v>
      </c>
      <c r="E861">
        <f>IFERROR(VLOOKUP(D861,'Lookup Tables'!$A:$B,2,FALSE),"Unknown")</f>
        <v>0</v>
      </c>
      <c r="F861">
        <f>'Raw Data'!E861</f>
        <v>0</v>
      </c>
      <c r="G861">
        <f>IFERROR(VLOOKUP(D861,'Lookup Tables'!$A:$C,3,FALSE),IF(ISNUMBER(SEARCH("STEEL",F861)),"Steel","Others"))</f>
        <v>0</v>
      </c>
      <c r="H861">
        <f>IF(ISNUMBER(SEARCH("scrubber",F861)) , "Scrubber", IF(ISNUMBER(SEARCH("container",F861)),"Container", IF(ISNUMBER(SEARCH("basket",F861)),"Basket", IF(ISNUMBER(SEARCH("lunch",F861)),"Lunch Box", IF(ISNUMBER(SEARCH("cutlery",F861)),"Cutlery","Other")))))</f>
        <v>0</v>
      </c>
      <c r="I861">
        <f>IF('Raw Data'!G861&lt;&gt;'','Raw Data'!G861,IFERROR(MID(F861,SEARCH("MODEL",F861)+6,20),""))</f>
        <v>0</v>
      </c>
      <c r="J861">
        <f>'Raw Data'!H861</f>
        <v>0</v>
      </c>
      <c r="K861">
        <f>'Raw Data'!I861</f>
        <v>0</v>
      </c>
      <c r="L861">
        <f>IF('Raw Data'!N861&lt;&gt;0,'Raw Data'!N861,IFERROR(VALUE(MID(F861,SEARCH("QTY",F861)+4,IFERROR(FIND(" ",F861,SEARCH("QTY",F861)+4)-(SEARCH("QTY",F861)+4),3))),""))</f>
        <v>0</v>
      </c>
      <c r="M861">
        <f>'Raw Data'!O861</f>
        <v>0</v>
      </c>
      <c r="N861">
        <f>'Raw Data'!P861</f>
        <v>0</v>
      </c>
      <c r="O861">
        <f>'Raw Data'!Q861</f>
        <v>0</v>
      </c>
      <c r="P861">
        <f>'Raw Data'!R861</f>
        <v>0</v>
      </c>
      <c r="Q861">
        <f>'Raw Data'!S861</f>
        <v>0</v>
      </c>
      <c r="R861">
        <f>'Raw Data'!T861</f>
        <v>0</v>
      </c>
      <c r="S861">
        <f>IFERROR(O861,0)+IFERROR(R861,0)</f>
        <v>0</v>
      </c>
      <c r="T861">
        <f>IF(A861="","",YEAR(A861))</f>
        <v>0</v>
      </c>
    </row>
    <row r="862" spans="1:20">
      <c r="A862">
        <f>'Raw Data'!B862</f>
        <v>0</v>
      </c>
      <c r="B862">
        <f>'Raw Data'!A862</f>
        <v>0</v>
      </c>
      <c r="C862">
        <f>'Raw Data'!C862</f>
        <v>0</v>
      </c>
      <c r="D862">
        <f>'Raw Data'!D862</f>
        <v>0</v>
      </c>
      <c r="E862">
        <f>IFERROR(VLOOKUP(D862,'Lookup Tables'!$A:$B,2,FALSE),"Unknown")</f>
        <v>0</v>
      </c>
      <c r="F862">
        <f>'Raw Data'!E862</f>
        <v>0</v>
      </c>
      <c r="G862">
        <f>IFERROR(VLOOKUP(D862,'Lookup Tables'!$A:$C,3,FALSE),IF(ISNUMBER(SEARCH("STEEL",F862)),"Steel","Others"))</f>
        <v>0</v>
      </c>
      <c r="H862">
        <f>IF(ISNUMBER(SEARCH("scrubber",F862)) , "Scrubber", IF(ISNUMBER(SEARCH("container",F862)),"Container", IF(ISNUMBER(SEARCH("basket",F862)),"Basket", IF(ISNUMBER(SEARCH("lunch",F862)),"Lunch Box", IF(ISNUMBER(SEARCH("cutlery",F862)),"Cutlery","Other")))))</f>
        <v>0</v>
      </c>
      <c r="I862">
        <f>IF('Raw Data'!G862&lt;&gt;'','Raw Data'!G862,IFERROR(MID(F862,SEARCH("MODEL",F862)+6,20),""))</f>
        <v>0</v>
      </c>
      <c r="J862">
        <f>'Raw Data'!H862</f>
        <v>0</v>
      </c>
      <c r="K862">
        <f>'Raw Data'!I862</f>
        <v>0</v>
      </c>
      <c r="L862">
        <f>IF('Raw Data'!N862&lt;&gt;0,'Raw Data'!N862,IFERROR(VALUE(MID(F862,SEARCH("QTY",F862)+4,IFERROR(FIND(" ",F862,SEARCH("QTY",F862)+4)-(SEARCH("QTY",F862)+4),3))),""))</f>
        <v>0</v>
      </c>
      <c r="M862">
        <f>'Raw Data'!O862</f>
        <v>0</v>
      </c>
      <c r="N862">
        <f>'Raw Data'!P862</f>
        <v>0</v>
      </c>
      <c r="O862">
        <f>'Raw Data'!Q862</f>
        <v>0</v>
      </c>
      <c r="P862">
        <f>'Raw Data'!R862</f>
        <v>0</v>
      </c>
      <c r="Q862">
        <f>'Raw Data'!S862</f>
        <v>0</v>
      </c>
      <c r="R862">
        <f>'Raw Data'!T862</f>
        <v>0</v>
      </c>
      <c r="S862">
        <f>IFERROR(O862,0)+IFERROR(R862,0)</f>
        <v>0</v>
      </c>
      <c r="T862">
        <f>IF(A862="","",YEAR(A862))</f>
        <v>0</v>
      </c>
    </row>
    <row r="863" spans="1:20">
      <c r="A863">
        <f>'Raw Data'!B863</f>
        <v>0</v>
      </c>
      <c r="B863">
        <f>'Raw Data'!A863</f>
        <v>0</v>
      </c>
      <c r="C863">
        <f>'Raw Data'!C863</f>
        <v>0</v>
      </c>
      <c r="D863">
        <f>'Raw Data'!D863</f>
        <v>0</v>
      </c>
      <c r="E863">
        <f>IFERROR(VLOOKUP(D863,'Lookup Tables'!$A:$B,2,FALSE),"Unknown")</f>
        <v>0</v>
      </c>
      <c r="F863">
        <f>'Raw Data'!E863</f>
        <v>0</v>
      </c>
      <c r="G863">
        <f>IFERROR(VLOOKUP(D863,'Lookup Tables'!$A:$C,3,FALSE),IF(ISNUMBER(SEARCH("STEEL",F863)),"Steel","Others"))</f>
        <v>0</v>
      </c>
      <c r="H863">
        <f>IF(ISNUMBER(SEARCH("scrubber",F863)) , "Scrubber", IF(ISNUMBER(SEARCH("container",F863)),"Container", IF(ISNUMBER(SEARCH("basket",F863)),"Basket", IF(ISNUMBER(SEARCH("lunch",F863)),"Lunch Box", IF(ISNUMBER(SEARCH("cutlery",F863)),"Cutlery","Other")))))</f>
        <v>0</v>
      </c>
      <c r="I863">
        <f>IF('Raw Data'!G863&lt;&gt;'','Raw Data'!G863,IFERROR(MID(F863,SEARCH("MODEL",F863)+6,20),""))</f>
        <v>0</v>
      </c>
      <c r="J863">
        <f>'Raw Data'!H863</f>
        <v>0</v>
      </c>
      <c r="K863">
        <f>'Raw Data'!I863</f>
        <v>0</v>
      </c>
      <c r="L863">
        <f>IF('Raw Data'!N863&lt;&gt;0,'Raw Data'!N863,IFERROR(VALUE(MID(F863,SEARCH("QTY",F863)+4,IFERROR(FIND(" ",F863,SEARCH("QTY",F863)+4)-(SEARCH("QTY",F863)+4),3))),""))</f>
        <v>0</v>
      </c>
      <c r="M863">
        <f>'Raw Data'!O863</f>
        <v>0</v>
      </c>
      <c r="N863">
        <f>'Raw Data'!P863</f>
        <v>0</v>
      </c>
      <c r="O863">
        <f>'Raw Data'!Q863</f>
        <v>0</v>
      </c>
      <c r="P863">
        <f>'Raw Data'!R863</f>
        <v>0</v>
      </c>
      <c r="Q863">
        <f>'Raw Data'!S863</f>
        <v>0</v>
      </c>
      <c r="R863">
        <f>'Raw Data'!T863</f>
        <v>0</v>
      </c>
      <c r="S863">
        <f>IFERROR(O863,0)+IFERROR(R863,0)</f>
        <v>0</v>
      </c>
      <c r="T863">
        <f>IF(A863="","",YEAR(A863))</f>
        <v>0</v>
      </c>
    </row>
    <row r="864" spans="1:20">
      <c r="A864">
        <f>'Raw Data'!B864</f>
        <v>0</v>
      </c>
      <c r="B864">
        <f>'Raw Data'!A864</f>
        <v>0</v>
      </c>
      <c r="C864">
        <f>'Raw Data'!C864</f>
        <v>0</v>
      </c>
      <c r="D864">
        <f>'Raw Data'!D864</f>
        <v>0</v>
      </c>
      <c r="E864">
        <f>IFERROR(VLOOKUP(D864,'Lookup Tables'!$A:$B,2,FALSE),"Unknown")</f>
        <v>0</v>
      </c>
      <c r="F864">
        <f>'Raw Data'!E864</f>
        <v>0</v>
      </c>
      <c r="G864">
        <f>IFERROR(VLOOKUP(D864,'Lookup Tables'!$A:$C,3,FALSE),IF(ISNUMBER(SEARCH("STEEL",F864)),"Steel","Others"))</f>
        <v>0</v>
      </c>
      <c r="H864">
        <f>IF(ISNUMBER(SEARCH("scrubber",F864)) , "Scrubber", IF(ISNUMBER(SEARCH("container",F864)),"Container", IF(ISNUMBER(SEARCH("basket",F864)),"Basket", IF(ISNUMBER(SEARCH("lunch",F864)),"Lunch Box", IF(ISNUMBER(SEARCH("cutlery",F864)),"Cutlery","Other")))))</f>
        <v>0</v>
      </c>
      <c r="I864">
        <f>IF('Raw Data'!G864&lt;&gt;'','Raw Data'!G864,IFERROR(MID(F864,SEARCH("MODEL",F864)+6,20),""))</f>
        <v>0</v>
      </c>
      <c r="J864">
        <f>'Raw Data'!H864</f>
        <v>0</v>
      </c>
      <c r="K864">
        <f>'Raw Data'!I864</f>
        <v>0</v>
      </c>
      <c r="L864">
        <f>IF('Raw Data'!N864&lt;&gt;0,'Raw Data'!N864,IFERROR(VALUE(MID(F864,SEARCH("QTY",F864)+4,IFERROR(FIND(" ",F864,SEARCH("QTY",F864)+4)-(SEARCH("QTY",F864)+4),3))),""))</f>
        <v>0</v>
      </c>
      <c r="M864">
        <f>'Raw Data'!O864</f>
        <v>0</v>
      </c>
      <c r="N864">
        <f>'Raw Data'!P864</f>
        <v>0</v>
      </c>
      <c r="O864">
        <f>'Raw Data'!Q864</f>
        <v>0</v>
      </c>
      <c r="P864">
        <f>'Raw Data'!R864</f>
        <v>0</v>
      </c>
      <c r="Q864">
        <f>'Raw Data'!S864</f>
        <v>0</v>
      </c>
      <c r="R864">
        <f>'Raw Data'!T864</f>
        <v>0</v>
      </c>
      <c r="S864">
        <f>IFERROR(O864,0)+IFERROR(R864,0)</f>
        <v>0</v>
      </c>
      <c r="T864">
        <f>IF(A864="","",YEAR(A864))</f>
        <v>0</v>
      </c>
    </row>
    <row r="865" spans="1:20">
      <c r="A865">
        <f>'Raw Data'!B865</f>
        <v>0</v>
      </c>
      <c r="B865">
        <f>'Raw Data'!A865</f>
        <v>0</v>
      </c>
      <c r="C865">
        <f>'Raw Data'!C865</f>
        <v>0</v>
      </c>
      <c r="D865">
        <f>'Raw Data'!D865</f>
        <v>0</v>
      </c>
      <c r="E865">
        <f>IFERROR(VLOOKUP(D865,'Lookup Tables'!$A:$B,2,FALSE),"Unknown")</f>
        <v>0</v>
      </c>
      <c r="F865">
        <f>'Raw Data'!E865</f>
        <v>0</v>
      </c>
      <c r="G865">
        <f>IFERROR(VLOOKUP(D865,'Lookup Tables'!$A:$C,3,FALSE),IF(ISNUMBER(SEARCH("STEEL",F865)),"Steel","Others"))</f>
        <v>0</v>
      </c>
      <c r="H865">
        <f>IF(ISNUMBER(SEARCH("scrubber",F865)) , "Scrubber", IF(ISNUMBER(SEARCH("container",F865)),"Container", IF(ISNUMBER(SEARCH("basket",F865)),"Basket", IF(ISNUMBER(SEARCH("lunch",F865)),"Lunch Box", IF(ISNUMBER(SEARCH("cutlery",F865)),"Cutlery","Other")))))</f>
        <v>0</v>
      </c>
      <c r="I865">
        <f>IF('Raw Data'!G865&lt;&gt;'','Raw Data'!G865,IFERROR(MID(F865,SEARCH("MODEL",F865)+6,20),""))</f>
        <v>0</v>
      </c>
      <c r="J865">
        <f>'Raw Data'!H865</f>
        <v>0</v>
      </c>
      <c r="K865">
        <f>'Raw Data'!I865</f>
        <v>0</v>
      </c>
      <c r="L865">
        <f>IF('Raw Data'!N865&lt;&gt;0,'Raw Data'!N865,IFERROR(VALUE(MID(F865,SEARCH("QTY",F865)+4,IFERROR(FIND(" ",F865,SEARCH("QTY",F865)+4)-(SEARCH("QTY",F865)+4),3))),""))</f>
        <v>0</v>
      </c>
      <c r="M865">
        <f>'Raw Data'!O865</f>
        <v>0</v>
      </c>
      <c r="N865">
        <f>'Raw Data'!P865</f>
        <v>0</v>
      </c>
      <c r="O865">
        <f>'Raw Data'!Q865</f>
        <v>0</v>
      </c>
      <c r="P865">
        <f>'Raw Data'!R865</f>
        <v>0</v>
      </c>
      <c r="Q865">
        <f>'Raw Data'!S865</f>
        <v>0</v>
      </c>
      <c r="R865">
        <f>'Raw Data'!T865</f>
        <v>0</v>
      </c>
      <c r="S865">
        <f>IFERROR(O865,0)+IFERROR(R865,0)</f>
        <v>0</v>
      </c>
      <c r="T865">
        <f>IF(A865="","",YEAR(A865))</f>
        <v>0</v>
      </c>
    </row>
    <row r="866" spans="1:20">
      <c r="A866">
        <f>'Raw Data'!B866</f>
        <v>0</v>
      </c>
      <c r="B866">
        <f>'Raw Data'!A866</f>
        <v>0</v>
      </c>
      <c r="C866">
        <f>'Raw Data'!C866</f>
        <v>0</v>
      </c>
      <c r="D866">
        <f>'Raw Data'!D866</f>
        <v>0</v>
      </c>
      <c r="E866">
        <f>IFERROR(VLOOKUP(D866,'Lookup Tables'!$A:$B,2,FALSE),"Unknown")</f>
        <v>0</v>
      </c>
      <c r="F866">
        <f>'Raw Data'!E866</f>
        <v>0</v>
      </c>
      <c r="G866">
        <f>IFERROR(VLOOKUP(D866,'Lookup Tables'!$A:$C,3,FALSE),IF(ISNUMBER(SEARCH("STEEL",F866)),"Steel","Others"))</f>
        <v>0</v>
      </c>
      <c r="H866">
        <f>IF(ISNUMBER(SEARCH("scrubber",F866)) , "Scrubber", IF(ISNUMBER(SEARCH("container",F866)),"Container", IF(ISNUMBER(SEARCH("basket",F866)),"Basket", IF(ISNUMBER(SEARCH("lunch",F866)),"Lunch Box", IF(ISNUMBER(SEARCH("cutlery",F866)),"Cutlery","Other")))))</f>
        <v>0</v>
      </c>
      <c r="I866">
        <f>IF('Raw Data'!G866&lt;&gt;'','Raw Data'!G866,IFERROR(MID(F866,SEARCH("MODEL",F866)+6,20),""))</f>
        <v>0</v>
      </c>
      <c r="J866">
        <f>'Raw Data'!H866</f>
        <v>0</v>
      </c>
      <c r="K866">
        <f>'Raw Data'!I866</f>
        <v>0</v>
      </c>
      <c r="L866">
        <f>IF('Raw Data'!N866&lt;&gt;0,'Raw Data'!N866,IFERROR(VALUE(MID(F866,SEARCH("QTY",F866)+4,IFERROR(FIND(" ",F866,SEARCH("QTY",F866)+4)-(SEARCH("QTY",F866)+4),3))),""))</f>
        <v>0</v>
      </c>
      <c r="M866">
        <f>'Raw Data'!O866</f>
        <v>0</v>
      </c>
      <c r="N866">
        <f>'Raw Data'!P866</f>
        <v>0</v>
      </c>
      <c r="O866">
        <f>'Raw Data'!Q866</f>
        <v>0</v>
      </c>
      <c r="P866">
        <f>'Raw Data'!R866</f>
        <v>0</v>
      </c>
      <c r="Q866">
        <f>'Raw Data'!S866</f>
        <v>0</v>
      </c>
      <c r="R866">
        <f>'Raw Data'!T866</f>
        <v>0</v>
      </c>
      <c r="S866">
        <f>IFERROR(O866,0)+IFERROR(R866,0)</f>
        <v>0</v>
      </c>
      <c r="T866">
        <f>IF(A866="","",YEAR(A866))</f>
        <v>0</v>
      </c>
    </row>
    <row r="867" spans="1:20">
      <c r="A867">
        <f>'Raw Data'!B867</f>
        <v>0</v>
      </c>
      <c r="B867">
        <f>'Raw Data'!A867</f>
        <v>0</v>
      </c>
      <c r="C867">
        <f>'Raw Data'!C867</f>
        <v>0</v>
      </c>
      <c r="D867">
        <f>'Raw Data'!D867</f>
        <v>0</v>
      </c>
      <c r="E867">
        <f>IFERROR(VLOOKUP(D867,'Lookup Tables'!$A:$B,2,FALSE),"Unknown")</f>
        <v>0</v>
      </c>
      <c r="F867">
        <f>'Raw Data'!E867</f>
        <v>0</v>
      </c>
      <c r="G867">
        <f>IFERROR(VLOOKUP(D867,'Lookup Tables'!$A:$C,3,FALSE),IF(ISNUMBER(SEARCH("STEEL",F867)),"Steel","Others"))</f>
        <v>0</v>
      </c>
      <c r="H867">
        <f>IF(ISNUMBER(SEARCH("scrubber",F867)) , "Scrubber", IF(ISNUMBER(SEARCH("container",F867)),"Container", IF(ISNUMBER(SEARCH("basket",F867)),"Basket", IF(ISNUMBER(SEARCH("lunch",F867)),"Lunch Box", IF(ISNUMBER(SEARCH("cutlery",F867)),"Cutlery","Other")))))</f>
        <v>0</v>
      </c>
      <c r="I867">
        <f>IF('Raw Data'!G867&lt;&gt;'','Raw Data'!G867,IFERROR(MID(F867,SEARCH("MODEL",F867)+6,20),""))</f>
        <v>0</v>
      </c>
      <c r="J867">
        <f>'Raw Data'!H867</f>
        <v>0</v>
      </c>
      <c r="K867">
        <f>'Raw Data'!I867</f>
        <v>0</v>
      </c>
      <c r="L867">
        <f>IF('Raw Data'!N867&lt;&gt;0,'Raw Data'!N867,IFERROR(VALUE(MID(F867,SEARCH("QTY",F867)+4,IFERROR(FIND(" ",F867,SEARCH("QTY",F867)+4)-(SEARCH("QTY",F867)+4),3))),""))</f>
        <v>0</v>
      </c>
      <c r="M867">
        <f>'Raw Data'!O867</f>
        <v>0</v>
      </c>
      <c r="N867">
        <f>'Raw Data'!P867</f>
        <v>0</v>
      </c>
      <c r="O867">
        <f>'Raw Data'!Q867</f>
        <v>0</v>
      </c>
      <c r="P867">
        <f>'Raw Data'!R867</f>
        <v>0</v>
      </c>
      <c r="Q867">
        <f>'Raw Data'!S867</f>
        <v>0</v>
      </c>
      <c r="R867">
        <f>'Raw Data'!T867</f>
        <v>0</v>
      </c>
      <c r="S867">
        <f>IFERROR(O867,0)+IFERROR(R867,0)</f>
        <v>0</v>
      </c>
      <c r="T867">
        <f>IF(A867="","",YEAR(A867))</f>
        <v>0</v>
      </c>
    </row>
    <row r="868" spans="1:20">
      <c r="A868">
        <f>'Raw Data'!B868</f>
        <v>0</v>
      </c>
      <c r="B868">
        <f>'Raw Data'!A868</f>
        <v>0</v>
      </c>
      <c r="C868">
        <f>'Raw Data'!C868</f>
        <v>0</v>
      </c>
      <c r="D868">
        <f>'Raw Data'!D868</f>
        <v>0</v>
      </c>
      <c r="E868">
        <f>IFERROR(VLOOKUP(D868,'Lookup Tables'!$A:$B,2,FALSE),"Unknown")</f>
        <v>0</v>
      </c>
      <c r="F868">
        <f>'Raw Data'!E868</f>
        <v>0</v>
      </c>
      <c r="G868">
        <f>IFERROR(VLOOKUP(D868,'Lookup Tables'!$A:$C,3,FALSE),IF(ISNUMBER(SEARCH("STEEL",F868)),"Steel","Others"))</f>
        <v>0</v>
      </c>
      <c r="H868">
        <f>IF(ISNUMBER(SEARCH("scrubber",F868)) , "Scrubber", IF(ISNUMBER(SEARCH("container",F868)),"Container", IF(ISNUMBER(SEARCH("basket",F868)),"Basket", IF(ISNUMBER(SEARCH("lunch",F868)),"Lunch Box", IF(ISNUMBER(SEARCH("cutlery",F868)),"Cutlery","Other")))))</f>
        <v>0</v>
      </c>
      <c r="I868">
        <f>IF('Raw Data'!G868&lt;&gt;'','Raw Data'!G868,IFERROR(MID(F868,SEARCH("MODEL",F868)+6,20),""))</f>
        <v>0</v>
      </c>
      <c r="J868">
        <f>'Raw Data'!H868</f>
        <v>0</v>
      </c>
      <c r="K868">
        <f>'Raw Data'!I868</f>
        <v>0</v>
      </c>
      <c r="L868">
        <f>IF('Raw Data'!N868&lt;&gt;0,'Raw Data'!N868,IFERROR(VALUE(MID(F868,SEARCH("QTY",F868)+4,IFERROR(FIND(" ",F868,SEARCH("QTY",F868)+4)-(SEARCH("QTY",F868)+4),3))),""))</f>
        <v>0</v>
      </c>
      <c r="M868">
        <f>'Raw Data'!O868</f>
        <v>0</v>
      </c>
      <c r="N868">
        <f>'Raw Data'!P868</f>
        <v>0</v>
      </c>
      <c r="O868">
        <f>'Raw Data'!Q868</f>
        <v>0</v>
      </c>
      <c r="P868">
        <f>'Raw Data'!R868</f>
        <v>0</v>
      </c>
      <c r="Q868">
        <f>'Raw Data'!S868</f>
        <v>0</v>
      </c>
      <c r="R868">
        <f>'Raw Data'!T868</f>
        <v>0</v>
      </c>
      <c r="S868">
        <f>IFERROR(O868,0)+IFERROR(R868,0)</f>
        <v>0</v>
      </c>
      <c r="T868">
        <f>IF(A868="","",YEAR(A868))</f>
        <v>0</v>
      </c>
    </row>
    <row r="869" spans="1:20">
      <c r="A869">
        <f>'Raw Data'!B869</f>
        <v>0</v>
      </c>
      <c r="B869">
        <f>'Raw Data'!A869</f>
        <v>0</v>
      </c>
      <c r="C869">
        <f>'Raw Data'!C869</f>
        <v>0</v>
      </c>
      <c r="D869">
        <f>'Raw Data'!D869</f>
        <v>0</v>
      </c>
      <c r="E869">
        <f>IFERROR(VLOOKUP(D869,'Lookup Tables'!$A:$B,2,FALSE),"Unknown")</f>
        <v>0</v>
      </c>
      <c r="F869">
        <f>'Raw Data'!E869</f>
        <v>0</v>
      </c>
      <c r="G869">
        <f>IFERROR(VLOOKUP(D869,'Lookup Tables'!$A:$C,3,FALSE),IF(ISNUMBER(SEARCH("STEEL",F869)),"Steel","Others"))</f>
        <v>0</v>
      </c>
      <c r="H869">
        <f>IF(ISNUMBER(SEARCH("scrubber",F869)) , "Scrubber", IF(ISNUMBER(SEARCH("container",F869)),"Container", IF(ISNUMBER(SEARCH("basket",F869)),"Basket", IF(ISNUMBER(SEARCH("lunch",F869)),"Lunch Box", IF(ISNUMBER(SEARCH("cutlery",F869)),"Cutlery","Other")))))</f>
        <v>0</v>
      </c>
      <c r="I869">
        <f>IF('Raw Data'!G869&lt;&gt;'','Raw Data'!G869,IFERROR(MID(F869,SEARCH("MODEL",F869)+6,20),""))</f>
        <v>0</v>
      </c>
      <c r="J869">
        <f>'Raw Data'!H869</f>
        <v>0</v>
      </c>
      <c r="K869">
        <f>'Raw Data'!I869</f>
        <v>0</v>
      </c>
      <c r="L869">
        <f>IF('Raw Data'!N869&lt;&gt;0,'Raw Data'!N869,IFERROR(VALUE(MID(F869,SEARCH("QTY",F869)+4,IFERROR(FIND(" ",F869,SEARCH("QTY",F869)+4)-(SEARCH("QTY",F869)+4),3))),""))</f>
        <v>0</v>
      </c>
      <c r="M869">
        <f>'Raw Data'!O869</f>
        <v>0</v>
      </c>
      <c r="N869">
        <f>'Raw Data'!P869</f>
        <v>0</v>
      </c>
      <c r="O869">
        <f>'Raw Data'!Q869</f>
        <v>0</v>
      </c>
      <c r="P869">
        <f>'Raw Data'!R869</f>
        <v>0</v>
      </c>
      <c r="Q869">
        <f>'Raw Data'!S869</f>
        <v>0</v>
      </c>
      <c r="R869">
        <f>'Raw Data'!T869</f>
        <v>0</v>
      </c>
      <c r="S869">
        <f>IFERROR(O869,0)+IFERROR(R869,0)</f>
        <v>0</v>
      </c>
      <c r="T869">
        <f>IF(A869="","",YEAR(A869))</f>
        <v>0</v>
      </c>
    </row>
    <row r="870" spans="1:20">
      <c r="A870">
        <f>'Raw Data'!B870</f>
        <v>0</v>
      </c>
      <c r="B870">
        <f>'Raw Data'!A870</f>
        <v>0</v>
      </c>
      <c r="C870">
        <f>'Raw Data'!C870</f>
        <v>0</v>
      </c>
      <c r="D870">
        <f>'Raw Data'!D870</f>
        <v>0</v>
      </c>
      <c r="E870">
        <f>IFERROR(VLOOKUP(D870,'Lookup Tables'!$A:$B,2,FALSE),"Unknown")</f>
        <v>0</v>
      </c>
      <c r="F870">
        <f>'Raw Data'!E870</f>
        <v>0</v>
      </c>
      <c r="G870">
        <f>IFERROR(VLOOKUP(D870,'Lookup Tables'!$A:$C,3,FALSE),IF(ISNUMBER(SEARCH("STEEL",F870)),"Steel","Others"))</f>
        <v>0</v>
      </c>
      <c r="H870">
        <f>IF(ISNUMBER(SEARCH("scrubber",F870)) , "Scrubber", IF(ISNUMBER(SEARCH("container",F870)),"Container", IF(ISNUMBER(SEARCH("basket",F870)),"Basket", IF(ISNUMBER(SEARCH("lunch",F870)),"Lunch Box", IF(ISNUMBER(SEARCH("cutlery",F870)),"Cutlery","Other")))))</f>
        <v>0</v>
      </c>
      <c r="I870">
        <f>IF('Raw Data'!G870&lt;&gt;'','Raw Data'!G870,IFERROR(MID(F870,SEARCH("MODEL",F870)+6,20),""))</f>
        <v>0</v>
      </c>
      <c r="J870">
        <f>'Raw Data'!H870</f>
        <v>0</v>
      </c>
      <c r="K870">
        <f>'Raw Data'!I870</f>
        <v>0</v>
      </c>
      <c r="L870">
        <f>IF('Raw Data'!N870&lt;&gt;0,'Raw Data'!N870,IFERROR(VALUE(MID(F870,SEARCH("QTY",F870)+4,IFERROR(FIND(" ",F870,SEARCH("QTY",F870)+4)-(SEARCH("QTY",F870)+4),3))),""))</f>
        <v>0</v>
      </c>
      <c r="M870">
        <f>'Raw Data'!O870</f>
        <v>0</v>
      </c>
      <c r="N870">
        <f>'Raw Data'!P870</f>
        <v>0</v>
      </c>
      <c r="O870">
        <f>'Raw Data'!Q870</f>
        <v>0</v>
      </c>
      <c r="P870">
        <f>'Raw Data'!R870</f>
        <v>0</v>
      </c>
      <c r="Q870">
        <f>'Raw Data'!S870</f>
        <v>0</v>
      </c>
      <c r="R870">
        <f>'Raw Data'!T870</f>
        <v>0</v>
      </c>
      <c r="S870">
        <f>IFERROR(O870,0)+IFERROR(R870,0)</f>
        <v>0</v>
      </c>
      <c r="T870">
        <f>IF(A870="","",YEAR(A870))</f>
        <v>0</v>
      </c>
    </row>
    <row r="871" spans="1:20">
      <c r="A871">
        <f>'Raw Data'!B871</f>
        <v>0</v>
      </c>
      <c r="B871">
        <f>'Raw Data'!A871</f>
        <v>0</v>
      </c>
      <c r="C871">
        <f>'Raw Data'!C871</f>
        <v>0</v>
      </c>
      <c r="D871">
        <f>'Raw Data'!D871</f>
        <v>0</v>
      </c>
      <c r="E871">
        <f>IFERROR(VLOOKUP(D871,'Lookup Tables'!$A:$B,2,FALSE),"Unknown")</f>
        <v>0</v>
      </c>
      <c r="F871">
        <f>'Raw Data'!E871</f>
        <v>0</v>
      </c>
      <c r="G871">
        <f>IFERROR(VLOOKUP(D871,'Lookup Tables'!$A:$C,3,FALSE),IF(ISNUMBER(SEARCH("STEEL",F871)),"Steel","Others"))</f>
        <v>0</v>
      </c>
      <c r="H871">
        <f>IF(ISNUMBER(SEARCH("scrubber",F871)) , "Scrubber", IF(ISNUMBER(SEARCH("container",F871)),"Container", IF(ISNUMBER(SEARCH("basket",F871)),"Basket", IF(ISNUMBER(SEARCH("lunch",F871)),"Lunch Box", IF(ISNUMBER(SEARCH("cutlery",F871)),"Cutlery","Other")))))</f>
        <v>0</v>
      </c>
      <c r="I871">
        <f>IF('Raw Data'!G871&lt;&gt;'','Raw Data'!G871,IFERROR(MID(F871,SEARCH("MODEL",F871)+6,20),""))</f>
        <v>0</v>
      </c>
      <c r="J871">
        <f>'Raw Data'!H871</f>
        <v>0</v>
      </c>
      <c r="K871">
        <f>'Raw Data'!I871</f>
        <v>0</v>
      </c>
      <c r="L871">
        <f>IF('Raw Data'!N871&lt;&gt;0,'Raw Data'!N871,IFERROR(VALUE(MID(F871,SEARCH("QTY",F871)+4,IFERROR(FIND(" ",F871,SEARCH("QTY",F871)+4)-(SEARCH("QTY",F871)+4),3))),""))</f>
        <v>0</v>
      </c>
      <c r="M871">
        <f>'Raw Data'!O871</f>
        <v>0</v>
      </c>
      <c r="N871">
        <f>'Raw Data'!P871</f>
        <v>0</v>
      </c>
      <c r="O871">
        <f>'Raw Data'!Q871</f>
        <v>0</v>
      </c>
      <c r="P871">
        <f>'Raw Data'!R871</f>
        <v>0</v>
      </c>
      <c r="Q871">
        <f>'Raw Data'!S871</f>
        <v>0</v>
      </c>
      <c r="R871">
        <f>'Raw Data'!T871</f>
        <v>0</v>
      </c>
      <c r="S871">
        <f>IFERROR(O871,0)+IFERROR(R871,0)</f>
        <v>0</v>
      </c>
      <c r="T871">
        <f>IF(A871="","",YEAR(A871))</f>
        <v>0</v>
      </c>
    </row>
    <row r="872" spans="1:20">
      <c r="A872">
        <f>'Raw Data'!B872</f>
        <v>0</v>
      </c>
      <c r="B872">
        <f>'Raw Data'!A872</f>
        <v>0</v>
      </c>
      <c r="C872">
        <f>'Raw Data'!C872</f>
        <v>0</v>
      </c>
      <c r="D872">
        <f>'Raw Data'!D872</f>
        <v>0</v>
      </c>
      <c r="E872">
        <f>IFERROR(VLOOKUP(D872,'Lookup Tables'!$A:$B,2,FALSE),"Unknown")</f>
        <v>0</v>
      </c>
      <c r="F872">
        <f>'Raw Data'!E872</f>
        <v>0</v>
      </c>
      <c r="G872">
        <f>IFERROR(VLOOKUP(D872,'Lookup Tables'!$A:$C,3,FALSE),IF(ISNUMBER(SEARCH("STEEL",F872)),"Steel","Others"))</f>
        <v>0</v>
      </c>
      <c r="H872">
        <f>IF(ISNUMBER(SEARCH("scrubber",F872)) , "Scrubber", IF(ISNUMBER(SEARCH("container",F872)),"Container", IF(ISNUMBER(SEARCH("basket",F872)),"Basket", IF(ISNUMBER(SEARCH("lunch",F872)),"Lunch Box", IF(ISNUMBER(SEARCH("cutlery",F872)),"Cutlery","Other")))))</f>
        <v>0</v>
      </c>
      <c r="I872">
        <f>IF('Raw Data'!G872&lt;&gt;'','Raw Data'!G872,IFERROR(MID(F872,SEARCH("MODEL",F872)+6,20),""))</f>
        <v>0</v>
      </c>
      <c r="J872">
        <f>'Raw Data'!H872</f>
        <v>0</v>
      </c>
      <c r="K872">
        <f>'Raw Data'!I872</f>
        <v>0</v>
      </c>
      <c r="L872">
        <f>IF('Raw Data'!N872&lt;&gt;0,'Raw Data'!N872,IFERROR(VALUE(MID(F872,SEARCH("QTY",F872)+4,IFERROR(FIND(" ",F872,SEARCH("QTY",F872)+4)-(SEARCH("QTY",F872)+4),3))),""))</f>
        <v>0</v>
      </c>
      <c r="M872">
        <f>'Raw Data'!O872</f>
        <v>0</v>
      </c>
      <c r="N872">
        <f>'Raw Data'!P872</f>
        <v>0</v>
      </c>
      <c r="O872">
        <f>'Raw Data'!Q872</f>
        <v>0</v>
      </c>
      <c r="P872">
        <f>'Raw Data'!R872</f>
        <v>0</v>
      </c>
      <c r="Q872">
        <f>'Raw Data'!S872</f>
        <v>0</v>
      </c>
      <c r="R872">
        <f>'Raw Data'!T872</f>
        <v>0</v>
      </c>
      <c r="S872">
        <f>IFERROR(O872,0)+IFERROR(R872,0)</f>
        <v>0</v>
      </c>
      <c r="T872">
        <f>IF(A872="","",YEAR(A872))</f>
        <v>0</v>
      </c>
    </row>
    <row r="873" spans="1:20">
      <c r="A873">
        <f>'Raw Data'!B873</f>
        <v>0</v>
      </c>
      <c r="B873">
        <f>'Raw Data'!A873</f>
        <v>0</v>
      </c>
      <c r="C873">
        <f>'Raw Data'!C873</f>
        <v>0</v>
      </c>
      <c r="D873">
        <f>'Raw Data'!D873</f>
        <v>0</v>
      </c>
      <c r="E873">
        <f>IFERROR(VLOOKUP(D873,'Lookup Tables'!$A:$B,2,FALSE),"Unknown")</f>
        <v>0</v>
      </c>
      <c r="F873">
        <f>'Raw Data'!E873</f>
        <v>0</v>
      </c>
      <c r="G873">
        <f>IFERROR(VLOOKUP(D873,'Lookup Tables'!$A:$C,3,FALSE),IF(ISNUMBER(SEARCH("STEEL",F873)),"Steel","Others"))</f>
        <v>0</v>
      </c>
      <c r="H873">
        <f>IF(ISNUMBER(SEARCH("scrubber",F873)) , "Scrubber", IF(ISNUMBER(SEARCH("container",F873)),"Container", IF(ISNUMBER(SEARCH("basket",F873)),"Basket", IF(ISNUMBER(SEARCH("lunch",F873)),"Lunch Box", IF(ISNUMBER(SEARCH("cutlery",F873)),"Cutlery","Other")))))</f>
        <v>0</v>
      </c>
      <c r="I873">
        <f>IF('Raw Data'!G873&lt;&gt;'','Raw Data'!G873,IFERROR(MID(F873,SEARCH("MODEL",F873)+6,20),""))</f>
        <v>0</v>
      </c>
      <c r="J873">
        <f>'Raw Data'!H873</f>
        <v>0</v>
      </c>
      <c r="K873">
        <f>'Raw Data'!I873</f>
        <v>0</v>
      </c>
      <c r="L873">
        <f>IF('Raw Data'!N873&lt;&gt;0,'Raw Data'!N873,IFERROR(VALUE(MID(F873,SEARCH("QTY",F873)+4,IFERROR(FIND(" ",F873,SEARCH("QTY",F873)+4)-(SEARCH("QTY",F873)+4),3))),""))</f>
        <v>0</v>
      </c>
      <c r="M873">
        <f>'Raw Data'!O873</f>
        <v>0</v>
      </c>
      <c r="N873">
        <f>'Raw Data'!P873</f>
        <v>0</v>
      </c>
      <c r="O873">
        <f>'Raw Data'!Q873</f>
        <v>0</v>
      </c>
      <c r="P873">
        <f>'Raw Data'!R873</f>
        <v>0</v>
      </c>
      <c r="Q873">
        <f>'Raw Data'!S873</f>
        <v>0</v>
      </c>
      <c r="R873">
        <f>'Raw Data'!T873</f>
        <v>0</v>
      </c>
      <c r="S873">
        <f>IFERROR(O873,0)+IFERROR(R873,0)</f>
        <v>0</v>
      </c>
      <c r="T873">
        <f>IF(A873="","",YEAR(A873))</f>
        <v>0</v>
      </c>
    </row>
    <row r="874" spans="1:20">
      <c r="A874">
        <f>'Raw Data'!B874</f>
        <v>0</v>
      </c>
      <c r="B874">
        <f>'Raw Data'!A874</f>
        <v>0</v>
      </c>
      <c r="C874">
        <f>'Raw Data'!C874</f>
        <v>0</v>
      </c>
      <c r="D874">
        <f>'Raw Data'!D874</f>
        <v>0</v>
      </c>
      <c r="E874">
        <f>IFERROR(VLOOKUP(D874,'Lookup Tables'!$A:$B,2,FALSE),"Unknown")</f>
        <v>0</v>
      </c>
      <c r="F874">
        <f>'Raw Data'!E874</f>
        <v>0</v>
      </c>
      <c r="G874">
        <f>IFERROR(VLOOKUP(D874,'Lookup Tables'!$A:$C,3,FALSE),IF(ISNUMBER(SEARCH("STEEL",F874)),"Steel","Others"))</f>
        <v>0</v>
      </c>
      <c r="H874">
        <f>IF(ISNUMBER(SEARCH("scrubber",F874)) , "Scrubber", IF(ISNUMBER(SEARCH("container",F874)),"Container", IF(ISNUMBER(SEARCH("basket",F874)),"Basket", IF(ISNUMBER(SEARCH("lunch",F874)),"Lunch Box", IF(ISNUMBER(SEARCH("cutlery",F874)),"Cutlery","Other")))))</f>
        <v>0</v>
      </c>
      <c r="I874">
        <f>IF('Raw Data'!G874&lt;&gt;'','Raw Data'!G874,IFERROR(MID(F874,SEARCH("MODEL",F874)+6,20),""))</f>
        <v>0</v>
      </c>
      <c r="J874">
        <f>'Raw Data'!H874</f>
        <v>0</v>
      </c>
      <c r="K874">
        <f>'Raw Data'!I874</f>
        <v>0</v>
      </c>
      <c r="L874">
        <f>IF('Raw Data'!N874&lt;&gt;0,'Raw Data'!N874,IFERROR(VALUE(MID(F874,SEARCH("QTY",F874)+4,IFERROR(FIND(" ",F874,SEARCH("QTY",F874)+4)-(SEARCH("QTY",F874)+4),3))),""))</f>
        <v>0</v>
      </c>
      <c r="M874">
        <f>'Raw Data'!O874</f>
        <v>0</v>
      </c>
      <c r="N874">
        <f>'Raw Data'!P874</f>
        <v>0</v>
      </c>
      <c r="O874">
        <f>'Raw Data'!Q874</f>
        <v>0</v>
      </c>
      <c r="P874">
        <f>'Raw Data'!R874</f>
        <v>0</v>
      </c>
      <c r="Q874">
        <f>'Raw Data'!S874</f>
        <v>0</v>
      </c>
      <c r="R874">
        <f>'Raw Data'!T874</f>
        <v>0</v>
      </c>
      <c r="S874">
        <f>IFERROR(O874,0)+IFERROR(R874,0)</f>
        <v>0</v>
      </c>
      <c r="T874">
        <f>IF(A874="","",YEAR(A874))</f>
        <v>0</v>
      </c>
    </row>
    <row r="875" spans="1:20">
      <c r="A875">
        <f>'Raw Data'!B875</f>
        <v>0</v>
      </c>
      <c r="B875">
        <f>'Raw Data'!A875</f>
        <v>0</v>
      </c>
      <c r="C875">
        <f>'Raw Data'!C875</f>
        <v>0</v>
      </c>
      <c r="D875">
        <f>'Raw Data'!D875</f>
        <v>0</v>
      </c>
      <c r="E875">
        <f>IFERROR(VLOOKUP(D875,'Lookup Tables'!$A:$B,2,FALSE),"Unknown")</f>
        <v>0</v>
      </c>
      <c r="F875">
        <f>'Raw Data'!E875</f>
        <v>0</v>
      </c>
      <c r="G875">
        <f>IFERROR(VLOOKUP(D875,'Lookup Tables'!$A:$C,3,FALSE),IF(ISNUMBER(SEARCH("STEEL",F875)),"Steel","Others"))</f>
        <v>0</v>
      </c>
      <c r="H875">
        <f>IF(ISNUMBER(SEARCH("scrubber",F875)) , "Scrubber", IF(ISNUMBER(SEARCH("container",F875)),"Container", IF(ISNUMBER(SEARCH("basket",F875)),"Basket", IF(ISNUMBER(SEARCH("lunch",F875)),"Lunch Box", IF(ISNUMBER(SEARCH("cutlery",F875)),"Cutlery","Other")))))</f>
        <v>0</v>
      </c>
      <c r="I875">
        <f>IF('Raw Data'!G875&lt;&gt;'','Raw Data'!G875,IFERROR(MID(F875,SEARCH("MODEL",F875)+6,20),""))</f>
        <v>0</v>
      </c>
      <c r="J875">
        <f>'Raw Data'!H875</f>
        <v>0</v>
      </c>
      <c r="K875">
        <f>'Raw Data'!I875</f>
        <v>0</v>
      </c>
      <c r="L875">
        <f>IF('Raw Data'!N875&lt;&gt;0,'Raw Data'!N875,IFERROR(VALUE(MID(F875,SEARCH("QTY",F875)+4,IFERROR(FIND(" ",F875,SEARCH("QTY",F875)+4)-(SEARCH("QTY",F875)+4),3))),""))</f>
        <v>0</v>
      </c>
      <c r="M875">
        <f>'Raw Data'!O875</f>
        <v>0</v>
      </c>
      <c r="N875">
        <f>'Raw Data'!P875</f>
        <v>0</v>
      </c>
      <c r="O875">
        <f>'Raw Data'!Q875</f>
        <v>0</v>
      </c>
      <c r="P875">
        <f>'Raw Data'!R875</f>
        <v>0</v>
      </c>
      <c r="Q875">
        <f>'Raw Data'!S875</f>
        <v>0</v>
      </c>
      <c r="R875">
        <f>'Raw Data'!T875</f>
        <v>0</v>
      </c>
      <c r="S875">
        <f>IFERROR(O875,0)+IFERROR(R875,0)</f>
        <v>0</v>
      </c>
      <c r="T875">
        <f>IF(A875="","",YEAR(A875))</f>
        <v>0</v>
      </c>
    </row>
    <row r="876" spans="1:20">
      <c r="A876">
        <f>'Raw Data'!B876</f>
        <v>0</v>
      </c>
      <c r="B876">
        <f>'Raw Data'!A876</f>
        <v>0</v>
      </c>
      <c r="C876">
        <f>'Raw Data'!C876</f>
        <v>0</v>
      </c>
      <c r="D876">
        <f>'Raw Data'!D876</f>
        <v>0</v>
      </c>
      <c r="E876">
        <f>IFERROR(VLOOKUP(D876,'Lookup Tables'!$A:$B,2,FALSE),"Unknown")</f>
        <v>0</v>
      </c>
      <c r="F876">
        <f>'Raw Data'!E876</f>
        <v>0</v>
      </c>
      <c r="G876">
        <f>IFERROR(VLOOKUP(D876,'Lookup Tables'!$A:$C,3,FALSE),IF(ISNUMBER(SEARCH("STEEL",F876)),"Steel","Others"))</f>
        <v>0</v>
      </c>
      <c r="H876">
        <f>IF(ISNUMBER(SEARCH("scrubber",F876)) , "Scrubber", IF(ISNUMBER(SEARCH("container",F876)),"Container", IF(ISNUMBER(SEARCH("basket",F876)),"Basket", IF(ISNUMBER(SEARCH("lunch",F876)),"Lunch Box", IF(ISNUMBER(SEARCH("cutlery",F876)),"Cutlery","Other")))))</f>
        <v>0</v>
      </c>
      <c r="I876">
        <f>IF('Raw Data'!G876&lt;&gt;'','Raw Data'!G876,IFERROR(MID(F876,SEARCH("MODEL",F876)+6,20),""))</f>
        <v>0</v>
      </c>
      <c r="J876">
        <f>'Raw Data'!H876</f>
        <v>0</v>
      </c>
      <c r="K876">
        <f>'Raw Data'!I876</f>
        <v>0</v>
      </c>
      <c r="L876">
        <f>IF('Raw Data'!N876&lt;&gt;0,'Raw Data'!N876,IFERROR(VALUE(MID(F876,SEARCH("QTY",F876)+4,IFERROR(FIND(" ",F876,SEARCH("QTY",F876)+4)-(SEARCH("QTY",F876)+4),3))),""))</f>
        <v>0</v>
      </c>
      <c r="M876">
        <f>'Raw Data'!O876</f>
        <v>0</v>
      </c>
      <c r="N876">
        <f>'Raw Data'!P876</f>
        <v>0</v>
      </c>
      <c r="O876">
        <f>'Raw Data'!Q876</f>
        <v>0</v>
      </c>
      <c r="P876">
        <f>'Raw Data'!R876</f>
        <v>0</v>
      </c>
      <c r="Q876">
        <f>'Raw Data'!S876</f>
        <v>0</v>
      </c>
      <c r="R876">
        <f>'Raw Data'!T876</f>
        <v>0</v>
      </c>
      <c r="S876">
        <f>IFERROR(O876,0)+IFERROR(R876,0)</f>
        <v>0</v>
      </c>
      <c r="T876">
        <f>IF(A876="","",YEAR(A876))</f>
        <v>0</v>
      </c>
    </row>
    <row r="877" spans="1:20">
      <c r="A877">
        <f>'Raw Data'!B877</f>
        <v>0</v>
      </c>
      <c r="B877">
        <f>'Raw Data'!A877</f>
        <v>0</v>
      </c>
      <c r="C877">
        <f>'Raw Data'!C877</f>
        <v>0</v>
      </c>
      <c r="D877">
        <f>'Raw Data'!D877</f>
        <v>0</v>
      </c>
      <c r="E877">
        <f>IFERROR(VLOOKUP(D877,'Lookup Tables'!$A:$B,2,FALSE),"Unknown")</f>
        <v>0</v>
      </c>
      <c r="F877">
        <f>'Raw Data'!E877</f>
        <v>0</v>
      </c>
      <c r="G877">
        <f>IFERROR(VLOOKUP(D877,'Lookup Tables'!$A:$C,3,FALSE),IF(ISNUMBER(SEARCH("STEEL",F877)),"Steel","Others"))</f>
        <v>0</v>
      </c>
      <c r="H877">
        <f>IF(ISNUMBER(SEARCH("scrubber",F877)) , "Scrubber", IF(ISNUMBER(SEARCH("container",F877)),"Container", IF(ISNUMBER(SEARCH("basket",F877)),"Basket", IF(ISNUMBER(SEARCH("lunch",F877)),"Lunch Box", IF(ISNUMBER(SEARCH("cutlery",F877)),"Cutlery","Other")))))</f>
        <v>0</v>
      </c>
      <c r="I877">
        <f>IF('Raw Data'!G877&lt;&gt;'','Raw Data'!G877,IFERROR(MID(F877,SEARCH("MODEL",F877)+6,20),""))</f>
        <v>0</v>
      </c>
      <c r="J877">
        <f>'Raw Data'!H877</f>
        <v>0</v>
      </c>
      <c r="K877">
        <f>'Raw Data'!I877</f>
        <v>0</v>
      </c>
      <c r="L877">
        <f>IF('Raw Data'!N877&lt;&gt;0,'Raw Data'!N877,IFERROR(VALUE(MID(F877,SEARCH("QTY",F877)+4,IFERROR(FIND(" ",F877,SEARCH("QTY",F877)+4)-(SEARCH("QTY",F877)+4),3))),""))</f>
        <v>0</v>
      </c>
      <c r="M877">
        <f>'Raw Data'!O877</f>
        <v>0</v>
      </c>
      <c r="N877">
        <f>'Raw Data'!P877</f>
        <v>0</v>
      </c>
      <c r="O877">
        <f>'Raw Data'!Q877</f>
        <v>0</v>
      </c>
      <c r="P877">
        <f>'Raw Data'!R877</f>
        <v>0</v>
      </c>
      <c r="Q877">
        <f>'Raw Data'!S877</f>
        <v>0</v>
      </c>
      <c r="R877">
        <f>'Raw Data'!T877</f>
        <v>0</v>
      </c>
      <c r="S877">
        <f>IFERROR(O877,0)+IFERROR(R877,0)</f>
        <v>0</v>
      </c>
      <c r="T877">
        <f>IF(A877="","",YEAR(A877))</f>
        <v>0</v>
      </c>
    </row>
    <row r="878" spans="1:20">
      <c r="A878">
        <f>'Raw Data'!B878</f>
        <v>0</v>
      </c>
      <c r="B878">
        <f>'Raw Data'!A878</f>
        <v>0</v>
      </c>
      <c r="C878">
        <f>'Raw Data'!C878</f>
        <v>0</v>
      </c>
      <c r="D878">
        <f>'Raw Data'!D878</f>
        <v>0</v>
      </c>
      <c r="E878">
        <f>IFERROR(VLOOKUP(D878,'Lookup Tables'!$A:$B,2,FALSE),"Unknown")</f>
        <v>0</v>
      </c>
      <c r="F878">
        <f>'Raw Data'!E878</f>
        <v>0</v>
      </c>
      <c r="G878">
        <f>IFERROR(VLOOKUP(D878,'Lookup Tables'!$A:$C,3,FALSE),IF(ISNUMBER(SEARCH("STEEL",F878)),"Steel","Others"))</f>
        <v>0</v>
      </c>
      <c r="H878">
        <f>IF(ISNUMBER(SEARCH("scrubber",F878)) , "Scrubber", IF(ISNUMBER(SEARCH("container",F878)),"Container", IF(ISNUMBER(SEARCH("basket",F878)),"Basket", IF(ISNUMBER(SEARCH("lunch",F878)),"Lunch Box", IF(ISNUMBER(SEARCH("cutlery",F878)),"Cutlery","Other")))))</f>
        <v>0</v>
      </c>
      <c r="I878">
        <f>IF('Raw Data'!G878&lt;&gt;'','Raw Data'!G878,IFERROR(MID(F878,SEARCH("MODEL",F878)+6,20),""))</f>
        <v>0</v>
      </c>
      <c r="J878">
        <f>'Raw Data'!H878</f>
        <v>0</v>
      </c>
      <c r="K878">
        <f>'Raw Data'!I878</f>
        <v>0</v>
      </c>
      <c r="L878">
        <f>IF('Raw Data'!N878&lt;&gt;0,'Raw Data'!N878,IFERROR(VALUE(MID(F878,SEARCH("QTY",F878)+4,IFERROR(FIND(" ",F878,SEARCH("QTY",F878)+4)-(SEARCH("QTY",F878)+4),3))),""))</f>
        <v>0</v>
      </c>
      <c r="M878">
        <f>'Raw Data'!O878</f>
        <v>0</v>
      </c>
      <c r="N878">
        <f>'Raw Data'!P878</f>
        <v>0</v>
      </c>
      <c r="O878">
        <f>'Raw Data'!Q878</f>
        <v>0</v>
      </c>
      <c r="P878">
        <f>'Raw Data'!R878</f>
        <v>0</v>
      </c>
      <c r="Q878">
        <f>'Raw Data'!S878</f>
        <v>0</v>
      </c>
      <c r="R878">
        <f>'Raw Data'!T878</f>
        <v>0</v>
      </c>
      <c r="S878">
        <f>IFERROR(O878,0)+IFERROR(R878,0)</f>
        <v>0</v>
      </c>
      <c r="T878">
        <f>IF(A878="","",YEAR(A878))</f>
        <v>0</v>
      </c>
    </row>
    <row r="879" spans="1:20">
      <c r="A879">
        <f>'Raw Data'!B879</f>
        <v>0</v>
      </c>
      <c r="B879">
        <f>'Raw Data'!A879</f>
        <v>0</v>
      </c>
      <c r="C879">
        <f>'Raw Data'!C879</f>
        <v>0</v>
      </c>
      <c r="D879">
        <f>'Raw Data'!D879</f>
        <v>0</v>
      </c>
      <c r="E879">
        <f>IFERROR(VLOOKUP(D879,'Lookup Tables'!$A:$B,2,FALSE),"Unknown")</f>
        <v>0</v>
      </c>
      <c r="F879">
        <f>'Raw Data'!E879</f>
        <v>0</v>
      </c>
      <c r="G879">
        <f>IFERROR(VLOOKUP(D879,'Lookup Tables'!$A:$C,3,FALSE),IF(ISNUMBER(SEARCH("STEEL",F879)),"Steel","Others"))</f>
        <v>0</v>
      </c>
      <c r="H879">
        <f>IF(ISNUMBER(SEARCH("scrubber",F879)) , "Scrubber", IF(ISNUMBER(SEARCH("container",F879)),"Container", IF(ISNUMBER(SEARCH("basket",F879)),"Basket", IF(ISNUMBER(SEARCH("lunch",F879)),"Lunch Box", IF(ISNUMBER(SEARCH("cutlery",F879)),"Cutlery","Other")))))</f>
        <v>0</v>
      </c>
      <c r="I879">
        <f>IF('Raw Data'!G879&lt;&gt;'','Raw Data'!G879,IFERROR(MID(F879,SEARCH("MODEL",F879)+6,20),""))</f>
        <v>0</v>
      </c>
      <c r="J879">
        <f>'Raw Data'!H879</f>
        <v>0</v>
      </c>
      <c r="K879">
        <f>'Raw Data'!I879</f>
        <v>0</v>
      </c>
      <c r="L879">
        <f>IF('Raw Data'!N879&lt;&gt;0,'Raw Data'!N879,IFERROR(VALUE(MID(F879,SEARCH("QTY",F879)+4,IFERROR(FIND(" ",F879,SEARCH("QTY",F879)+4)-(SEARCH("QTY",F879)+4),3))),""))</f>
        <v>0</v>
      </c>
      <c r="M879">
        <f>'Raw Data'!O879</f>
        <v>0</v>
      </c>
      <c r="N879">
        <f>'Raw Data'!P879</f>
        <v>0</v>
      </c>
      <c r="O879">
        <f>'Raw Data'!Q879</f>
        <v>0</v>
      </c>
      <c r="P879">
        <f>'Raw Data'!R879</f>
        <v>0</v>
      </c>
      <c r="Q879">
        <f>'Raw Data'!S879</f>
        <v>0</v>
      </c>
      <c r="R879">
        <f>'Raw Data'!T879</f>
        <v>0</v>
      </c>
      <c r="S879">
        <f>IFERROR(O879,0)+IFERROR(R879,0)</f>
        <v>0</v>
      </c>
      <c r="T879">
        <f>IF(A879="","",YEAR(A879))</f>
        <v>0</v>
      </c>
    </row>
    <row r="880" spans="1:20">
      <c r="A880">
        <f>'Raw Data'!B880</f>
        <v>0</v>
      </c>
      <c r="B880">
        <f>'Raw Data'!A880</f>
        <v>0</v>
      </c>
      <c r="C880">
        <f>'Raw Data'!C880</f>
        <v>0</v>
      </c>
      <c r="D880">
        <f>'Raw Data'!D880</f>
        <v>0</v>
      </c>
      <c r="E880">
        <f>IFERROR(VLOOKUP(D880,'Lookup Tables'!$A:$B,2,FALSE),"Unknown")</f>
        <v>0</v>
      </c>
      <c r="F880">
        <f>'Raw Data'!E880</f>
        <v>0</v>
      </c>
      <c r="G880">
        <f>IFERROR(VLOOKUP(D880,'Lookup Tables'!$A:$C,3,FALSE),IF(ISNUMBER(SEARCH("STEEL",F880)),"Steel","Others"))</f>
        <v>0</v>
      </c>
      <c r="H880">
        <f>IF(ISNUMBER(SEARCH("scrubber",F880)) , "Scrubber", IF(ISNUMBER(SEARCH("container",F880)),"Container", IF(ISNUMBER(SEARCH("basket",F880)),"Basket", IF(ISNUMBER(SEARCH("lunch",F880)),"Lunch Box", IF(ISNUMBER(SEARCH("cutlery",F880)),"Cutlery","Other")))))</f>
        <v>0</v>
      </c>
      <c r="I880">
        <f>IF('Raw Data'!G880&lt;&gt;'','Raw Data'!G880,IFERROR(MID(F880,SEARCH("MODEL",F880)+6,20),""))</f>
        <v>0</v>
      </c>
      <c r="J880">
        <f>'Raw Data'!H880</f>
        <v>0</v>
      </c>
      <c r="K880">
        <f>'Raw Data'!I880</f>
        <v>0</v>
      </c>
      <c r="L880">
        <f>IF('Raw Data'!N880&lt;&gt;0,'Raw Data'!N880,IFERROR(VALUE(MID(F880,SEARCH("QTY",F880)+4,IFERROR(FIND(" ",F880,SEARCH("QTY",F880)+4)-(SEARCH("QTY",F880)+4),3))),""))</f>
        <v>0</v>
      </c>
      <c r="M880">
        <f>'Raw Data'!O880</f>
        <v>0</v>
      </c>
      <c r="N880">
        <f>'Raw Data'!P880</f>
        <v>0</v>
      </c>
      <c r="O880">
        <f>'Raw Data'!Q880</f>
        <v>0</v>
      </c>
      <c r="P880">
        <f>'Raw Data'!R880</f>
        <v>0</v>
      </c>
      <c r="Q880">
        <f>'Raw Data'!S880</f>
        <v>0</v>
      </c>
      <c r="R880">
        <f>'Raw Data'!T880</f>
        <v>0</v>
      </c>
      <c r="S880">
        <f>IFERROR(O880,0)+IFERROR(R880,0)</f>
        <v>0</v>
      </c>
      <c r="T880">
        <f>IF(A880="","",YEAR(A880))</f>
        <v>0</v>
      </c>
    </row>
    <row r="881" spans="1:20">
      <c r="A881">
        <f>'Raw Data'!B881</f>
        <v>0</v>
      </c>
      <c r="B881">
        <f>'Raw Data'!A881</f>
        <v>0</v>
      </c>
      <c r="C881">
        <f>'Raw Data'!C881</f>
        <v>0</v>
      </c>
      <c r="D881">
        <f>'Raw Data'!D881</f>
        <v>0</v>
      </c>
      <c r="E881">
        <f>IFERROR(VLOOKUP(D881,'Lookup Tables'!$A:$B,2,FALSE),"Unknown")</f>
        <v>0</v>
      </c>
      <c r="F881">
        <f>'Raw Data'!E881</f>
        <v>0</v>
      </c>
      <c r="G881">
        <f>IFERROR(VLOOKUP(D881,'Lookup Tables'!$A:$C,3,FALSE),IF(ISNUMBER(SEARCH("STEEL",F881)),"Steel","Others"))</f>
        <v>0</v>
      </c>
      <c r="H881">
        <f>IF(ISNUMBER(SEARCH("scrubber",F881)) , "Scrubber", IF(ISNUMBER(SEARCH("container",F881)),"Container", IF(ISNUMBER(SEARCH("basket",F881)),"Basket", IF(ISNUMBER(SEARCH("lunch",F881)),"Lunch Box", IF(ISNUMBER(SEARCH("cutlery",F881)),"Cutlery","Other")))))</f>
        <v>0</v>
      </c>
      <c r="I881">
        <f>IF('Raw Data'!G881&lt;&gt;'','Raw Data'!G881,IFERROR(MID(F881,SEARCH("MODEL",F881)+6,20),""))</f>
        <v>0</v>
      </c>
      <c r="J881">
        <f>'Raw Data'!H881</f>
        <v>0</v>
      </c>
      <c r="K881">
        <f>'Raw Data'!I881</f>
        <v>0</v>
      </c>
      <c r="L881">
        <f>IF('Raw Data'!N881&lt;&gt;0,'Raw Data'!N881,IFERROR(VALUE(MID(F881,SEARCH("QTY",F881)+4,IFERROR(FIND(" ",F881,SEARCH("QTY",F881)+4)-(SEARCH("QTY",F881)+4),3))),""))</f>
        <v>0</v>
      </c>
      <c r="M881">
        <f>'Raw Data'!O881</f>
        <v>0</v>
      </c>
      <c r="N881">
        <f>'Raw Data'!P881</f>
        <v>0</v>
      </c>
      <c r="O881">
        <f>'Raw Data'!Q881</f>
        <v>0</v>
      </c>
      <c r="P881">
        <f>'Raw Data'!R881</f>
        <v>0</v>
      </c>
      <c r="Q881">
        <f>'Raw Data'!S881</f>
        <v>0</v>
      </c>
      <c r="R881">
        <f>'Raw Data'!T881</f>
        <v>0</v>
      </c>
      <c r="S881">
        <f>IFERROR(O881,0)+IFERROR(R881,0)</f>
        <v>0</v>
      </c>
      <c r="T881">
        <f>IF(A881="","",YEAR(A881))</f>
        <v>0</v>
      </c>
    </row>
    <row r="882" spans="1:20">
      <c r="A882">
        <f>'Raw Data'!B882</f>
        <v>0</v>
      </c>
      <c r="B882">
        <f>'Raw Data'!A882</f>
        <v>0</v>
      </c>
      <c r="C882">
        <f>'Raw Data'!C882</f>
        <v>0</v>
      </c>
      <c r="D882">
        <f>'Raw Data'!D882</f>
        <v>0</v>
      </c>
      <c r="E882">
        <f>IFERROR(VLOOKUP(D882,'Lookup Tables'!$A:$B,2,FALSE),"Unknown")</f>
        <v>0</v>
      </c>
      <c r="F882">
        <f>'Raw Data'!E882</f>
        <v>0</v>
      </c>
      <c r="G882">
        <f>IFERROR(VLOOKUP(D882,'Lookup Tables'!$A:$C,3,FALSE),IF(ISNUMBER(SEARCH("STEEL",F882)),"Steel","Others"))</f>
        <v>0</v>
      </c>
      <c r="H882">
        <f>IF(ISNUMBER(SEARCH("scrubber",F882)) , "Scrubber", IF(ISNUMBER(SEARCH("container",F882)),"Container", IF(ISNUMBER(SEARCH("basket",F882)),"Basket", IF(ISNUMBER(SEARCH("lunch",F882)),"Lunch Box", IF(ISNUMBER(SEARCH("cutlery",F882)),"Cutlery","Other")))))</f>
        <v>0</v>
      </c>
      <c r="I882">
        <f>IF('Raw Data'!G882&lt;&gt;'','Raw Data'!G882,IFERROR(MID(F882,SEARCH("MODEL",F882)+6,20),""))</f>
        <v>0</v>
      </c>
      <c r="J882">
        <f>'Raw Data'!H882</f>
        <v>0</v>
      </c>
      <c r="K882">
        <f>'Raw Data'!I882</f>
        <v>0</v>
      </c>
      <c r="L882">
        <f>IF('Raw Data'!N882&lt;&gt;0,'Raw Data'!N882,IFERROR(VALUE(MID(F882,SEARCH("QTY",F882)+4,IFERROR(FIND(" ",F882,SEARCH("QTY",F882)+4)-(SEARCH("QTY",F882)+4),3))),""))</f>
        <v>0</v>
      </c>
      <c r="M882">
        <f>'Raw Data'!O882</f>
        <v>0</v>
      </c>
      <c r="N882">
        <f>'Raw Data'!P882</f>
        <v>0</v>
      </c>
      <c r="O882">
        <f>'Raw Data'!Q882</f>
        <v>0</v>
      </c>
      <c r="P882">
        <f>'Raw Data'!R882</f>
        <v>0</v>
      </c>
      <c r="Q882">
        <f>'Raw Data'!S882</f>
        <v>0</v>
      </c>
      <c r="R882">
        <f>'Raw Data'!T882</f>
        <v>0</v>
      </c>
      <c r="S882">
        <f>IFERROR(O882,0)+IFERROR(R882,0)</f>
        <v>0</v>
      </c>
      <c r="T882">
        <f>IF(A882="","",YEAR(A882))</f>
        <v>0</v>
      </c>
    </row>
    <row r="883" spans="1:20">
      <c r="A883">
        <f>'Raw Data'!B883</f>
        <v>0</v>
      </c>
      <c r="B883">
        <f>'Raw Data'!A883</f>
        <v>0</v>
      </c>
      <c r="C883">
        <f>'Raw Data'!C883</f>
        <v>0</v>
      </c>
      <c r="D883">
        <f>'Raw Data'!D883</f>
        <v>0</v>
      </c>
      <c r="E883">
        <f>IFERROR(VLOOKUP(D883,'Lookup Tables'!$A:$B,2,FALSE),"Unknown")</f>
        <v>0</v>
      </c>
      <c r="F883">
        <f>'Raw Data'!E883</f>
        <v>0</v>
      </c>
      <c r="G883">
        <f>IFERROR(VLOOKUP(D883,'Lookup Tables'!$A:$C,3,FALSE),IF(ISNUMBER(SEARCH("STEEL",F883)),"Steel","Others"))</f>
        <v>0</v>
      </c>
      <c r="H883">
        <f>IF(ISNUMBER(SEARCH("scrubber",F883)) , "Scrubber", IF(ISNUMBER(SEARCH("container",F883)),"Container", IF(ISNUMBER(SEARCH("basket",F883)),"Basket", IF(ISNUMBER(SEARCH("lunch",F883)),"Lunch Box", IF(ISNUMBER(SEARCH("cutlery",F883)),"Cutlery","Other")))))</f>
        <v>0</v>
      </c>
      <c r="I883">
        <f>IF('Raw Data'!G883&lt;&gt;'','Raw Data'!G883,IFERROR(MID(F883,SEARCH("MODEL",F883)+6,20),""))</f>
        <v>0</v>
      </c>
      <c r="J883">
        <f>'Raw Data'!H883</f>
        <v>0</v>
      </c>
      <c r="K883">
        <f>'Raw Data'!I883</f>
        <v>0</v>
      </c>
      <c r="L883">
        <f>IF('Raw Data'!N883&lt;&gt;0,'Raw Data'!N883,IFERROR(VALUE(MID(F883,SEARCH("QTY",F883)+4,IFERROR(FIND(" ",F883,SEARCH("QTY",F883)+4)-(SEARCH("QTY",F883)+4),3))),""))</f>
        <v>0</v>
      </c>
      <c r="M883">
        <f>'Raw Data'!O883</f>
        <v>0</v>
      </c>
      <c r="N883">
        <f>'Raw Data'!P883</f>
        <v>0</v>
      </c>
      <c r="O883">
        <f>'Raw Data'!Q883</f>
        <v>0</v>
      </c>
      <c r="P883">
        <f>'Raw Data'!R883</f>
        <v>0</v>
      </c>
      <c r="Q883">
        <f>'Raw Data'!S883</f>
        <v>0</v>
      </c>
      <c r="R883">
        <f>'Raw Data'!T883</f>
        <v>0</v>
      </c>
      <c r="S883">
        <f>IFERROR(O883,0)+IFERROR(R883,0)</f>
        <v>0</v>
      </c>
      <c r="T883">
        <f>IF(A883="","",YEAR(A883))</f>
        <v>0</v>
      </c>
    </row>
    <row r="884" spans="1:20">
      <c r="A884">
        <f>'Raw Data'!B884</f>
        <v>0</v>
      </c>
      <c r="B884">
        <f>'Raw Data'!A884</f>
        <v>0</v>
      </c>
      <c r="C884">
        <f>'Raw Data'!C884</f>
        <v>0</v>
      </c>
      <c r="D884">
        <f>'Raw Data'!D884</f>
        <v>0</v>
      </c>
      <c r="E884">
        <f>IFERROR(VLOOKUP(D884,'Lookup Tables'!$A:$B,2,FALSE),"Unknown")</f>
        <v>0</v>
      </c>
      <c r="F884">
        <f>'Raw Data'!E884</f>
        <v>0</v>
      </c>
      <c r="G884">
        <f>IFERROR(VLOOKUP(D884,'Lookup Tables'!$A:$C,3,FALSE),IF(ISNUMBER(SEARCH("STEEL",F884)),"Steel","Others"))</f>
        <v>0</v>
      </c>
      <c r="H884">
        <f>IF(ISNUMBER(SEARCH("scrubber",F884)) , "Scrubber", IF(ISNUMBER(SEARCH("container",F884)),"Container", IF(ISNUMBER(SEARCH("basket",F884)),"Basket", IF(ISNUMBER(SEARCH("lunch",F884)),"Lunch Box", IF(ISNUMBER(SEARCH("cutlery",F884)),"Cutlery","Other")))))</f>
        <v>0</v>
      </c>
      <c r="I884">
        <f>IF('Raw Data'!G884&lt;&gt;'','Raw Data'!G884,IFERROR(MID(F884,SEARCH("MODEL",F884)+6,20),""))</f>
        <v>0</v>
      </c>
      <c r="J884">
        <f>'Raw Data'!H884</f>
        <v>0</v>
      </c>
      <c r="K884">
        <f>'Raw Data'!I884</f>
        <v>0</v>
      </c>
      <c r="L884">
        <f>IF('Raw Data'!N884&lt;&gt;0,'Raw Data'!N884,IFERROR(VALUE(MID(F884,SEARCH("QTY",F884)+4,IFERROR(FIND(" ",F884,SEARCH("QTY",F884)+4)-(SEARCH("QTY",F884)+4),3))),""))</f>
        <v>0</v>
      </c>
      <c r="M884">
        <f>'Raw Data'!O884</f>
        <v>0</v>
      </c>
      <c r="N884">
        <f>'Raw Data'!P884</f>
        <v>0</v>
      </c>
      <c r="O884">
        <f>'Raw Data'!Q884</f>
        <v>0</v>
      </c>
      <c r="P884">
        <f>'Raw Data'!R884</f>
        <v>0</v>
      </c>
      <c r="Q884">
        <f>'Raw Data'!S884</f>
        <v>0</v>
      </c>
      <c r="R884">
        <f>'Raw Data'!T884</f>
        <v>0</v>
      </c>
      <c r="S884">
        <f>IFERROR(O884,0)+IFERROR(R884,0)</f>
        <v>0</v>
      </c>
      <c r="T884">
        <f>IF(A884="","",YEAR(A884))</f>
        <v>0</v>
      </c>
    </row>
    <row r="885" spans="1:20">
      <c r="A885">
        <f>'Raw Data'!B885</f>
        <v>0</v>
      </c>
      <c r="B885">
        <f>'Raw Data'!A885</f>
        <v>0</v>
      </c>
      <c r="C885">
        <f>'Raw Data'!C885</f>
        <v>0</v>
      </c>
      <c r="D885">
        <f>'Raw Data'!D885</f>
        <v>0</v>
      </c>
      <c r="E885">
        <f>IFERROR(VLOOKUP(D885,'Lookup Tables'!$A:$B,2,FALSE),"Unknown")</f>
        <v>0</v>
      </c>
      <c r="F885">
        <f>'Raw Data'!E885</f>
        <v>0</v>
      </c>
      <c r="G885">
        <f>IFERROR(VLOOKUP(D885,'Lookup Tables'!$A:$C,3,FALSE),IF(ISNUMBER(SEARCH("STEEL",F885)),"Steel","Others"))</f>
        <v>0</v>
      </c>
      <c r="H885">
        <f>IF(ISNUMBER(SEARCH("scrubber",F885)) , "Scrubber", IF(ISNUMBER(SEARCH("container",F885)),"Container", IF(ISNUMBER(SEARCH("basket",F885)),"Basket", IF(ISNUMBER(SEARCH("lunch",F885)),"Lunch Box", IF(ISNUMBER(SEARCH("cutlery",F885)),"Cutlery","Other")))))</f>
        <v>0</v>
      </c>
      <c r="I885">
        <f>IF('Raw Data'!G885&lt;&gt;'','Raw Data'!G885,IFERROR(MID(F885,SEARCH("MODEL",F885)+6,20),""))</f>
        <v>0</v>
      </c>
      <c r="J885">
        <f>'Raw Data'!H885</f>
        <v>0</v>
      </c>
      <c r="K885">
        <f>'Raw Data'!I885</f>
        <v>0</v>
      </c>
      <c r="L885">
        <f>IF('Raw Data'!N885&lt;&gt;0,'Raw Data'!N885,IFERROR(VALUE(MID(F885,SEARCH("QTY",F885)+4,IFERROR(FIND(" ",F885,SEARCH("QTY",F885)+4)-(SEARCH("QTY",F885)+4),3))),""))</f>
        <v>0</v>
      </c>
      <c r="M885">
        <f>'Raw Data'!O885</f>
        <v>0</v>
      </c>
      <c r="N885">
        <f>'Raw Data'!P885</f>
        <v>0</v>
      </c>
      <c r="O885">
        <f>'Raw Data'!Q885</f>
        <v>0</v>
      </c>
      <c r="P885">
        <f>'Raw Data'!R885</f>
        <v>0</v>
      </c>
      <c r="Q885">
        <f>'Raw Data'!S885</f>
        <v>0</v>
      </c>
      <c r="R885">
        <f>'Raw Data'!T885</f>
        <v>0</v>
      </c>
      <c r="S885">
        <f>IFERROR(O885,0)+IFERROR(R885,0)</f>
        <v>0</v>
      </c>
      <c r="T885">
        <f>IF(A885="","",YEAR(A885))</f>
        <v>0</v>
      </c>
    </row>
    <row r="886" spans="1:20">
      <c r="A886">
        <f>'Raw Data'!B886</f>
        <v>0</v>
      </c>
      <c r="B886">
        <f>'Raw Data'!A886</f>
        <v>0</v>
      </c>
      <c r="C886">
        <f>'Raw Data'!C886</f>
        <v>0</v>
      </c>
      <c r="D886">
        <f>'Raw Data'!D886</f>
        <v>0</v>
      </c>
      <c r="E886">
        <f>IFERROR(VLOOKUP(D886,'Lookup Tables'!$A:$B,2,FALSE),"Unknown")</f>
        <v>0</v>
      </c>
      <c r="F886">
        <f>'Raw Data'!E886</f>
        <v>0</v>
      </c>
      <c r="G886">
        <f>IFERROR(VLOOKUP(D886,'Lookup Tables'!$A:$C,3,FALSE),IF(ISNUMBER(SEARCH("STEEL",F886)),"Steel","Others"))</f>
        <v>0</v>
      </c>
      <c r="H886">
        <f>IF(ISNUMBER(SEARCH("scrubber",F886)) , "Scrubber", IF(ISNUMBER(SEARCH("container",F886)),"Container", IF(ISNUMBER(SEARCH("basket",F886)),"Basket", IF(ISNUMBER(SEARCH("lunch",F886)),"Lunch Box", IF(ISNUMBER(SEARCH("cutlery",F886)),"Cutlery","Other")))))</f>
        <v>0</v>
      </c>
      <c r="I886">
        <f>IF('Raw Data'!G886&lt;&gt;'','Raw Data'!G886,IFERROR(MID(F886,SEARCH("MODEL",F886)+6,20),""))</f>
        <v>0</v>
      </c>
      <c r="J886">
        <f>'Raw Data'!H886</f>
        <v>0</v>
      </c>
      <c r="K886">
        <f>'Raw Data'!I886</f>
        <v>0</v>
      </c>
      <c r="L886">
        <f>IF('Raw Data'!N886&lt;&gt;0,'Raw Data'!N886,IFERROR(VALUE(MID(F886,SEARCH("QTY",F886)+4,IFERROR(FIND(" ",F886,SEARCH("QTY",F886)+4)-(SEARCH("QTY",F886)+4),3))),""))</f>
        <v>0</v>
      </c>
      <c r="M886">
        <f>'Raw Data'!O886</f>
        <v>0</v>
      </c>
      <c r="N886">
        <f>'Raw Data'!P886</f>
        <v>0</v>
      </c>
      <c r="O886">
        <f>'Raw Data'!Q886</f>
        <v>0</v>
      </c>
      <c r="P886">
        <f>'Raw Data'!R886</f>
        <v>0</v>
      </c>
      <c r="Q886">
        <f>'Raw Data'!S886</f>
        <v>0</v>
      </c>
      <c r="R886">
        <f>'Raw Data'!T886</f>
        <v>0</v>
      </c>
      <c r="S886">
        <f>IFERROR(O886,0)+IFERROR(R886,0)</f>
        <v>0</v>
      </c>
      <c r="T886">
        <f>IF(A886="","",YEAR(A886))</f>
        <v>0</v>
      </c>
    </row>
    <row r="887" spans="1:20">
      <c r="A887">
        <f>'Raw Data'!B887</f>
        <v>0</v>
      </c>
      <c r="B887">
        <f>'Raw Data'!A887</f>
        <v>0</v>
      </c>
      <c r="C887">
        <f>'Raw Data'!C887</f>
        <v>0</v>
      </c>
      <c r="D887">
        <f>'Raw Data'!D887</f>
        <v>0</v>
      </c>
      <c r="E887">
        <f>IFERROR(VLOOKUP(D887,'Lookup Tables'!$A:$B,2,FALSE),"Unknown")</f>
        <v>0</v>
      </c>
      <c r="F887">
        <f>'Raw Data'!E887</f>
        <v>0</v>
      </c>
      <c r="G887">
        <f>IFERROR(VLOOKUP(D887,'Lookup Tables'!$A:$C,3,FALSE),IF(ISNUMBER(SEARCH("STEEL",F887)),"Steel","Others"))</f>
        <v>0</v>
      </c>
      <c r="H887">
        <f>IF(ISNUMBER(SEARCH("scrubber",F887)) , "Scrubber", IF(ISNUMBER(SEARCH("container",F887)),"Container", IF(ISNUMBER(SEARCH("basket",F887)),"Basket", IF(ISNUMBER(SEARCH("lunch",F887)),"Lunch Box", IF(ISNUMBER(SEARCH("cutlery",F887)),"Cutlery","Other")))))</f>
        <v>0</v>
      </c>
      <c r="I887">
        <f>IF('Raw Data'!G887&lt;&gt;'','Raw Data'!G887,IFERROR(MID(F887,SEARCH("MODEL",F887)+6,20),""))</f>
        <v>0</v>
      </c>
      <c r="J887">
        <f>'Raw Data'!H887</f>
        <v>0</v>
      </c>
      <c r="K887">
        <f>'Raw Data'!I887</f>
        <v>0</v>
      </c>
      <c r="L887">
        <f>IF('Raw Data'!N887&lt;&gt;0,'Raw Data'!N887,IFERROR(VALUE(MID(F887,SEARCH("QTY",F887)+4,IFERROR(FIND(" ",F887,SEARCH("QTY",F887)+4)-(SEARCH("QTY",F887)+4),3))),""))</f>
        <v>0</v>
      </c>
      <c r="M887">
        <f>'Raw Data'!O887</f>
        <v>0</v>
      </c>
      <c r="N887">
        <f>'Raw Data'!P887</f>
        <v>0</v>
      </c>
      <c r="O887">
        <f>'Raw Data'!Q887</f>
        <v>0</v>
      </c>
      <c r="P887">
        <f>'Raw Data'!R887</f>
        <v>0</v>
      </c>
      <c r="Q887">
        <f>'Raw Data'!S887</f>
        <v>0</v>
      </c>
      <c r="R887">
        <f>'Raw Data'!T887</f>
        <v>0</v>
      </c>
      <c r="S887">
        <f>IFERROR(O887,0)+IFERROR(R887,0)</f>
        <v>0</v>
      </c>
      <c r="T887">
        <f>IF(A887="","",YEAR(A887))</f>
        <v>0</v>
      </c>
    </row>
    <row r="888" spans="1:20">
      <c r="A888">
        <f>'Raw Data'!B888</f>
        <v>0</v>
      </c>
      <c r="B888">
        <f>'Raw Data'!A888</f>
        <v>0</v>
      </c>
      <c r="C888">
        <f>'Raw Data'!C888</f>
        <v>0</v>
      </c>
      <c r="D888">
        <f>'Raw Data'!D888</f>
        <v>0</v>
      </c>
      <c r="E888">
        <f>IFERROR(VLOOKUP(D888,'Lookup Tables'!$A:$B,2,FALSE),"Unknown")</f>
        <v>0</v>
      </c>
      <c r="F888">
        <f>'Raw Data'!E888</f>
        <v>0</v>
      </c>
      <c r="G888">
        <f>IFERROR(VLOOKUP(D888,'Lookup Tables'!$A:$C,3,FALSE),IF(ISNUMBER(SEARCH("STEEL",F888)),"Steel","Others"))</f>
        <v>0</v>
      </c>
      <c r="H888">
        <f>IF(ISNUMBER(SEARCH("scrubber",F888)) , "Scrubber", IF(ISNUMBER(SEARCH("container",F888)),"Container", IF(ISNUMBER(SEARCH("basket",F888)),"Basket", IF(ISNUMBER(SEARCH("lunch",F888)),"Lunch Box", IF(ISNUMBER(SEARCH("cutlery",F888)),"Cutlery","Other")))))</f>
        <v>0</v>
      </c>
      <c r="I888">
        <f>IF('Raw Data'!G888&lt;&gt;'','Raw Data'!G888,IFERROR(MID(F888,SEARCH("MODEL",F888)+6,20),""))</f>
        <v>0</v>
      </c>
      <c r="J888">
        <f>'Raw Data'!H888</f>
        <v>0</v>
      </c>
      <c r="K888">
        <f>'Raw Data'!I888</f>
        <v>0</v>
      </c>
      <c r="L888">
        <f>IF('Raw Data'!N888&lt;&gt;0,'Raw Data'!N888,IFERROR(VALUE(MID(F888,SEARCH("QTY",F888)+4,IFERROR(FIND(" ",F888,SEARCH("QTY",F888)+4)-(SEARCH("QTY",F888)+4),3))),""))</f>
        <v>0</v>
      </c>
      <c r="M888">
        <f>'Raw Data'!O888</f>
        <v>0</v>
      </c>
      <c r="N888">
        <f>'Raw Data'!P888</f>
        <v>0</v>
      </c>
      <c r="O888">
        <f>'Raw Data'!Q888</f>
        <v>0</v>
      </c>
      <c r="P888">
        <f>'Raw Data'!R888</f>
        <v>0</v>
      </c>
      <c r="Q888">
        <f>'Raw Data'!S888</f>
        <v>0</v>
      </c>
      <c r="R888">
        <f>'Raw Data'!T888</f>
        <v>0</v>
      </c>
      <c r="S888">
        <f>IFERROR(O888,0)+IFERROR(R888,0)</f>
        <v>0</v>
      </c>
      <c r="T888">
        <f>IF(A888="","",YEAR(A888))</f>
        <v>0</v>
      </c>
    </row>
    <row r="889" spans="1:20">
      <c r="A889">
        <f>'Raw Data'!B889</f>
        <v>0</v>
      </c>
      <c r="B889">
        <f>'Raw Data'!A889</f>
        <v>0</v>
      </c>
      <c r="C889">
        <f>'Raw Data'!C889</f>
        <v>0</v>
      </c>
      <c r="D889">
        <f>'Raw Data'!D889</f>
        <v>0</v>
      </c>
      <c r="E889">
        <f>IFERROR(VLOOKUP(D889,'Lookup Tables'!$A:$B,2,FALSE),"Unknown")</f>
        <v>0</v>
      </c>
      <c r="F889">
        <f>'Raw Data'!E889</f>
        <v>0</v>
      </c>
      <c r="G889">
        <f>IFERROR(VLOOKUP(D889,'Lookup Tables'!$A:$C,3,FALSE),IF(ISNUMBER(SEARCH("STEEL",F889)),"Steel","Others"))</f>
        <v>0</v>
      </c>
      <c r="H889">
        <f>IF(ISNUMBER(SEARCH("scrubber",F889)) , "Scrubber", IF(ISNUMBER(SEARCH("container",F889)),"Container", IF(ISNUMBER(SEARCH("basket",F889)),"Basket", IF(ISNUMBER(SEARCH("lunch",F889)),"Lunch Box", IF(ISNUMBER(SEARCH("cutlery",F889)),"Cutlery","Other")))))</f>
        <v>0</v>
      </c>
      <c r="I889">
        <f>IF('Raw Data'!G889&lt;&gt;'','Raw Data'!G889,IFERROR(MID(F889,SEARCH("MODEL",F889)+6,20),""))</f>
        <v>0</v>
      </c>
      <c r="J889">
        <f>'Raw Data'!H889</f>
        <v>0</v>
      </c>
      <c r="K889">
        <f>'Raw Data'!I889</f>
        <v>0</v>
      </c>
      <c r="L889">
        <f>IF('Raw Data'!N889&lt;&gt;0,'Raw Data'!N889,IFERROR(VALUE(MID(F889,SEARCH("QTY",F889)+4,IFERROR(FIND(" ",F889,SEARCH("QTY",F889)+4)-(SEARCH("QTY",F889)+4),3))),""))</f>
        <v>0</v>
      </c>
      <c r="M889">
        <f>'Raw Data'!O889</f>
        <v>0</v>
      </c>
      <c r="N889">
        <f>'Raw Data'!P889</f>
        <v>0</v>
      </c>
      <c r="O889">
        <f>'Raw Data'!Q889</f>
        <v>0</v>
      </c>
      <c r="P889">
        <f>'Raw Data'!R889</f>
        <v>0</v>
      </c>
      <c r="Q889">
        <f>'Raw Data'!S889</f>
        <v>0</v>
      </c>
      <c r="R889">
        <f>'Raw Data'!T889</f>
        <v>0</v>
      </c>
      <c r="S889">
        <f>IFERROR(O889,0)+IFERROR(R889,0)</f>
        <v>0</v>
      </c>
      <c r="T889">
        <f>IF(A889="","",YEAR(A889))</f>
        <v>0</v>
      </c>
    </row>
    <row r="890" spans="1:20">
      <c r="A890">
        <f>'Raw Data'!B890</f>
        <v>0</v>
      </c>
      <c r="B890">
        <f>'Raw Data'!A890</f>
        <v>0</v>
      </c>
      <c r="C890">
        <f>'Raw Data'!C890</f>
        <v>0</v>
      </c>
      <c r="D890">
        <f>'Raw Data'!D890</f>
        <v>0</v>
      </c>
      <c r="E890">
        <f>IFERROR(VLOOKUP(D890,'Lookup Tables'!$A:$B,2,FALSE),"Unknown")</f>
        <v>0</v>
      </c>
      <c r="F890">
        <f>'Raw Data'!E890</f>
        <v>0</v>
      </c>
      <c r="G890">
        <f>IFERROR(VLOOKUP(D890,'Lookup Tables'!$A:$C,3,FALSE),IF(ISNUMBER(SEARCH("STEEL",F890)),"Steel","Others"))</f>
        <v>0</v>
      </c>
      <c r="H890">
        <f>IF(ISNUMBER(SEARCH("scrubber",F890)) , "Scrubber", IF(ISNUMBER(SEARCH("container",F890)),"Container", IF(ISNUMBER(SEARCH("basket",F890)),"Basket", IF(ISNUMBER(SEARCH("lunch",F890)),"Lunch Box", IF(ISNUMBER(SEARCH("cutlery",F890)),"Cutlery","Other")))))</f>
        <v>0</v>
      </c>
      <c r="I890">
        <f>IF('Raw Data'!G890&lt;&gt;'','Raw Data'!G890,IFERROR(MID(F890,SEARCH("MODEL",F890)+6,20),""))</f>
        <v>0</v>
      </c>
      <c r="J890">
        <f>'Raw Data'!H890</f>
        <v>0</v>
      </c>
      <c r="K890">
        <f>'Raw Data'!I890</f>
        <v>0</v>
      </c>
      <c r="L890">
        <f>IF('Raw Data'!N890&lt;&gt;0,'Raw Data'!N890,IFERROR(VALUE(MID(F890,SEARCH("QTY",F890)+4,IFERROR(FIND(" ",F890,SEARCH("QTY",F890)+4)-(SEARCH("QTY",F890)+4),3))),""))</f>
        <v>0</v>
      </c>
      <c r="M890">
        <f>'Raw Data'!O890</f>
        <v>0</v>
      </c>
      <c r="N890">
        <f>'Raw Data'!P890</f>
        <v>0</v>
      </c>
      <c r="O890">
        <f>'Raw Data'!Q890</f>
        <v>0</v>
      </c>
      <c r="P890">
        <f>'Raw Data'!R890</f>
        <v>0</v>
      </c>
      <c r="Q890">
        <f>'Raw Data'!S890</f>
        <v>0</v>
      </c>
      <c r="R890">
        <f>'Raw Data'!T890</f>
        <v>0</v>
      </c>
      <c r="S890">
        <f>IFERROR(O890,0)+IFERROR(R890,0)</f>
        <v>0</v>
      </c>
      <c r="T890">
        <f>IF(A890="","",YEAR(A890))</f>
        <v>0</v>
      </c>
    </row>
    <row r="891" spans="1:20">
      <c r="A891">
        <f>'Raw Data'!B891</f>
        <v>0</v>
      </c>
      <c r="B891">
        <f>'Raw Data'!A891</f>
        <v>0</v>
      </c>
      <c r="C891">
        <f>'Raw Data'!C891</f>
        <v>0</v>
      </c>
      <c r="D891">
        <f>'Raw Data'!D891</f>
        <v>0</v>
      </c>
      <c r="E891">
        <f>IFERROR(VLOOKUP(D891,'Lookup Tables'!$A:$B,2,FALSE),"Unknown")</f>
        <v>0</v>
      </c>
      <c r="F891">
        <f>'Raw Data'!E891</f>
        <v>0</v>
      </c>
      <c r="G891">
        <f>IFERROR(VLOOKUP(D891,'Lookup Tables'!$A:$C,3,FALSE),IF(ISNUMBER(SEARCH("STEEL",F891)),"Steel","Others"))</f>
        <v>0</v>
      </c>
      <c r="H891">
        <f>IF(ISNUMBER(SEARCH("scrubber",F891)) , "Scrubber", IF(ISNUMBER(SEARCH("container",F891)),"Container", IF(ISNUMBER(SEARCH("basket",F891)),"Basket", IF(ISNUMBER(SEARCH("lunch",F891)),"Lunch Box", IF(ISNUMBER(SEARCH("cutlery",F891)),"Cutlery","Other")))))</f>
        <v>0</v>
      </c>
      <c r="I891">
        <f>IF('Raw Data'!G891&lt;&gt;'','Raw Data'!G891,IFERROR(MID(F891,SEARCH("MODEL",F891)+6,20),""))</f>
        <v>0</v>
      </c>
      <c r="J891">
        <f>'Raw Data'!H891</f>
        <v>0</v>
      </c>
      <c r="K891">
        <f>'Raw Data'!I891</f>
        <v>0</v>
      </c>
      <c r="L891">
        <f>IF('Raw Data'!N891&lt;&gt;0,'Raw Data'!N891,IFERROR(VALUE(MID(F891,SEARCH("QTY",F891)+4,IFERROR(FIND(" ",F891,SEARCH("QTY",F891)+4)-(SEARCH("QTY",F891)+4),3))),""))</f>
        <v>0</v>
      </c>
      <c r="M891">
        <f>'Raw Data'!O891</f>
        <v>0</v>
      </c>
      <c r="N891">
        <f>'Raw Data'!P891</f>
        <v>0</v>
      </c>
      <c r="O891">
        <f>'Raw Data'!Q891</f>
        <v>0</v>
      </c>
      <c r="P891">
        <f>'Raw Data'!R891</f>
        <v>0</v>
      </c>
      <c r="Q891">
        <f>'Raw Data'!S891</f>
        <v>0</v>
      </c>
      <c r="R891">
        <f>'Raw Data'!T891</f>
        <v>0</v>
      </c>
      <c r="S891">
        <f>IFERROR(O891,0)+IFERROR(R891,0)</f>
        <v>0</v>
      </c>
      <c r="T891">
        <f>IF(A891="","",YEAR(A891))</f>
        <v>0</v>
      </c>
    </row>
    <row r="892" spans="1:20">
      <c r="A892">
        <f>'Raw Data'!B892</f>
        <v>0</v>
      </c>
      <c r="B892">
        <f>'Raw Data'!A892</f>
        <v>0</v>
      </c>
      <c r="C892">
        <f>'Raw Data'!C892</f>
        <v>0</v>
      </c>
      <c r="D892">
        <f>'Raw Data'!D892</f>
        <v>0</v>
      </c>
      <c r="E892">
        <f>IFERROR(VLOOKUP(D892,'Lookup Tables'!$A:$B,2,FALSE),"Unknown")</f>
        <v>0</v>
      </c>
      <c r="F892">
        <f>'Raw Data'!E892</f>
        <v>0</v>
      </c>
      <c r="G892">
        <f>IFERROR(VLOOKUP(D892,'Lookup Tables'!$A:$C,3,FALSE),IF(ISNUMBER(SEARCH("STEEL",F892)),"Steel","Others"))</f>
        <v>0</v>
      </c>
      <c r="H892">
        <f>IF(ISNUMBER(SEARCH("scrubber",F892)) , "Scrubber", IF(ISNUMBER(SEARCH("container",F892)),"Container", IF(ISNUMBER(SEARCH("basket",F892)),"Basket", IF(ISNUMBER(SEARCH("lunch",F892)),"Lunch Box", IF(ISNUMBER(SEARCH("cutlery",F892)),"Cutlery","Other")))))</f>
        <v>0</v>
      </c>
      <c r="I892">
        <f>IF('Raw Data'!G892&lt;&gt;'','Raw Data'!G892,IFERROR(MID(F892,SEARCH("MODEL",F892)+6,20),""))</f>
        <v>0</v>
      </c>
      <c r="J892">
        <f>'Raw Data'!H892</f>
        <v>0</v>
      </c>
      <c r="K892">
        <f>'Raw Data'!I892</f>
        <v>0</v>
      </c>
      <c r="L892">
        <f>IF('Raw Data'!N892&lt;&gt;0,'Raw Data'!N892,IFERROR(VALUE(MID(F892,SEARCH("QTY",F892)+4,IFERROR(FIND(" ",F892,SEARCH("QTY",F892)+4)-(SEARCH("QTY",F892)+4),3))),""))</f>
        <v>0</v>
      </c>
      <c r="M892">
        <f>'Raw Data'!O892</f>
        <v>0</v>
      </c>
      <c r="N892">
        <f>'Raw Data'!P892</f>
        <v>0</v>
      </c>
      <c r="O892">
        <f>'Raw Data'!Q892</f>
        <v>0</v>
      </c>
      <c r="P892">
        <f>'Raw Data'!R892</f>
        <v>0</v>
      </c>
      <c r="Q892">
        <f>'Raw Data'!S892</f>
        <v>0</v>
      </c>
      <c r="R892">
        <f>'Raw Data'!T892</f>
        <v>0</v>
      </c>
      <c r="S892">
        <f>IFERROR(O892,0)+IFERROR(R892,0)</f>
        <v>0</v>
      </c>
      <c r="T892">
        <f>IF(A892="","",YEAR(A892))</f>
        <v>0</v>
      </c>
    </row>
    <row r="893" spans="1:20">
      <c r="A893">
        <f>'Raw Data'!B893</f>
        <v>0</v>
      </c>
      <c r="B893">
        <f>'Raw Data'!A893</f>
        <v>0</v>
      </c>
      <c r="C893">
        <f>'Raw Data'!C893</f>
        <v>0</v>
      </c>
      <c r="D893">
        <f>'Raw Data'!D893</f>
        <v>0</v>
      </c>
      <c r="E893">
        <f>IFERROR(VLOOKUP(D893,'Lookup Tables'!$A:$B,2,FALSE),"Unknown")</f>
        <v>0</v>
      </c>
      <c r="F893">
        <f>'Raw Data'!E893</f>
        <v>0</v>
      </c>
      <c r="G893">
        <f>IFERROR(VLOOKUP(D893,'Lookup Tables'!$A:$C,3,FALSE),IF(ISNUMBER(SEARCH("STEEL",F893)),"Steel","Others"))</f>
        <v>0</v>
      </c>
      <c r="H893">
        <f>IF(ISNUMBER(SEARCH("scrubber",F893)) , "Scrubber", IF(ISNUMBER(SEARCH("container",F893)),"Container", IF(ISNUMBER(SEARCH("basket",F893)),"Basket", IF(ISNUMBER(SEARCH("lunch",F893)),"Lunch Box", IF(ISNUMBER(SEARCH("cutlery",F893)),"Cutlery","Other")))))</f>
        <v>0</v>
      </c>
      <c r="I893">
        <f>IF('Raw Data'!G893&lt;&gt;'','Raw Data'!G893,IFERROR(MID(F893,SEARCH("MODEL",F893)+6,20),""))</f>
        <v>0</v>
      </c>
      <c r="J893">
        <f>'Raw Data'!H893</f>
        <v>0</v>
      </c>
      <c r="K893">
        <f>'Raw Data'!I893</f>
        <v>0</v>
      </c>
      <c r="L893">
        <f>IF('Raw Data'!N893&lt;&gt;0,'Raw Data'!N893,IFERROR(VALUE(MID(F893,SEARCH("QTY",F893)+4,IFERROR(FIND(" ",F893,SEARCH("QTY",F893)+4)-(SEARCH("QTY",F893)+4),3))),""))</f>
        <v>0</v>
      </c>
      <c r="M893">
        <f>'Raw Data'!O893</f>
        <v>0</v>
      </c>
      <c r="N893">
        <f>'Raw Data'!P893</f>
        <v>0</v>
      </c>
      <c r="O893">
        <f>'Raw Data'!Q893</f>
        <v>0</v>
      </c>
      <c r="P893">
        <f>'Raw Data'!R893</f>
        <v>0</v>
      </c>
      <c r="Q893">
        <f>'Raw Data'!S893</f>
        <v>0</v>
      </c>
      <c r="R893">
        <f>'Raw Data'!T893</f>
        <v>0</v>
      </c>
      <c r="S893">
        <f>IFERROR(O893,0)+IFERROR(R893,0)</f>
        <v>0</v>
      </c>
      <c r="T893">
        <f>IF(A893="","",YEAR(A893))</f>
        <v>0</v>
      </c>
    </row>
    <row r="894" spans="1:20">
      <c r="A894">
        <f>'Raw Data'!B894</f>
        <v>0</v>
      </c>
      <c r="B894">
        <f>'Raw Data'!A894</f>
        <v>0</v>
      </c>
      <c r="C894">
        <f>'Raw Data'!C894</f>
        <v>0</v>
      </c>
      <c r="D894">
        <f>'Raw Data'!D894</f>
        <v>0</v>
      </c>
      <c r="E894">
        <f>IFERROR(VLOOKUP(D894,'Lookup Tables'!$A:$B,2,FALSE),"Unknown")</f>
        <v>0</v>
      </c>
      <c r="F894">
        <f>'Raw Data'!E894</f>
        <v>0</v>
      </c>
      <c r="G894">
        <f>IFERROR(VLOOKUP(D894,'Lookup Tables'!$A:$C,3,FALSE),IF(ISNUMBER(SEARCH("STEEL",F894)),"Steel","Others"))</f>
        <v>0</v>
      </c>
      <c r="H894">
        <f>IF(ISNUMBER(SEARCH("scrubber",F894)) , "Scrubber", IF(ISNUMBER(SEARCH("container",F894)),"Container", IF(ISNUMBER(SEARCH("basket",F894)),"Basket", IF(ISNUMBER(SEARCH("lunch",F894)),"Lunch Box", IF(ISNUMBER(SEARCH("cutlery",F894)),"Cutlery","Other")))))</f>
        <v>0</v>
      </c>
      <c r="I894">
        <f>IF('Raw Data'!G894&lt;&gt;'','Raw Data'!G894,IFERROR(MID(F894,SEARCH("MODEL",F894)+6,20),""))</f>
        <v>0</v>
      </c>
      <c r="J894">
        <f>'Raw Data'!H894</f>
        <v>0</v>
      </c>
      <c r="K894">
        <f>'Raw Data'!I894</f>
        <v>0</v>
      </c>
      <c r="L894">
        <f>IF('Raw Data'!N894&lt;&gt;0,'Raw Data'!N894,IFERROR(VALUE(MID(F894,SEARCH("QTY",F894)+4,IFERROR(FIND(" ",F894,SEARCH("QTY",F894)+4)-(SEARCH("QTY",F894)+4),3))),""))</f>
        <v>0</v>
      </c>
      <c r="M894">
        <f>'Raw Data'!O894</f>
        <v>0</v>
      </c>
      <c r="N894">
        <f>'Raw Data'!P894</f>
        <v>0</v>
      </c>
      <c r="O894">
        <f>'Raw Data'!Q894</f>
        <v>0</v>
      </c>
      <c r="P894">
        <f>'Raw Data'!R894</f>
        <v>0</v>
      </c>
      <c r="Q894">
        <f>'Raw Data'!S894</f>
        <v>0</v>
      </c>
      <c r="R894">
        <f>'Raw Data'!T894</f>
        <v>0</v>
      </c>
      <c r="S894">
        <f>IFERROR(O894,0)+IFERROR(R894,0)</f>
        <v>0</v>
      </c>
      <c r="T894">
        <f>IF(A894="","",YEAR(A894))</f>
        <v>0</v>
      </c>
    </row>
    <row r="895" spans="1:20">
      <c r="A895">
        <f>'Raw Data'!B895</f>
        <v>0</v>
      </c>
      <c r="B895">
        <f>'Raw Data'!A895</f>
        <v>0</v>
      </c>
      <c r="C895">
        <f>'Raw Data'!C895</f>
        <v>0</v>
      </c>
      <c r="D895">
        <f>'Raw Data'!D895</f>
        <v>0</v>
      </c>
      <c r="E895">
        <f>IFERROR(VLOOKUP(D895,'Lookup Tables'!$A:$B,2,FALSE),"Unknown")</f>
        <v>0</v>
      </c>
      <c r="F895">
        <f>'Raw Data'!E895</f>
        <v>0</v>
      </c>
      <c r="G895">
        <f>IFERROR(VLOOKUP(D895,'Lookup Tables'!$A:$C,3,FALSE),IF(ISNUMBER(SEARCH("STEEL",F895)),"Steel","Others"))</f>
        <v>0</v>
      </c>
      <c r="H895">
        <f>IF(ISNUMBER(SEARCH("scrubber",F895)) , "Scrubber", IF(ISNUMBER(SEARCH("container",F895)),"Container", IF(ISNUMBER(SEARCH("basket",F895)),"Basket", IF(ISNUMBER(SEARCH("lunch",F895)),"Lunch Box", IF(ISNUMBER(SEARCH("cutlery",F895)),"Cutlery","Other")))))</f>
        <v>0</v>
      </c>
      <c r="I895">
        <f>IF('Raw Data'!G895&lt;&gt;'','Raw Data'!G895,IFERROR(MID(F895,SEARCH("MODEL",F895)+6,20),""))</f>
        <v>0</v>
      </c>
      <c r="J895">
        <f>'Raw Data'!H895</f>
        <v>0</v>
      </c>
      <c r="K895">
        <f>'Raw Data'!I895</f>
        <v>0</v>
      </c>
      <c r="L895">
        <f>IF('Raw Data'!N895&lt;&gt;0,'Raw Data'!N895,IFERROR(VALUE(MID(F895,SEARCH("QTY",F895)+4,IFERROR(FIND(" ",F895,SEARCH("QTY",F895)+4)-(SEARCH("QTY",F895)+4),3))),""))</f>
        <v>0</v>
      </c>
      <c r="M895">
        <f>'Raw Data'!O895</f>
        <v>0</v>
      </c>
      <c r="N895">
        <f>'Raw Data'!P895</f>
        <v>0</v>
      </c>
      <c r="O895">
        <f>'Raw Data'!Q895</f>
        <v>0</v>
      </c>
      <c r="P895">
        <f>'Raw Data'!R895</f>
        <v>0</v>
      </c>
      <c r="Q895">
        <f>'Raw Data'!S895</f>
        <v>0</v>
      </c>
      <c r="R895">
        <f>'Raw Data'!T895</f>
        <v>0</v>
      </c>
      <c r="S895">
        <f>IFERROR(O895,0)+IFERROR(R895,0)</f>
        <v>0</v>
      </c>
      <c r="T895">
        <f>IF(A895="","",YEAR(A895))</f>
        <v>0</v>
      </c>
    </row>
    <row r="896" spans="1:20">
      <c r="A896">
        <f>'Raw Data'!B896</f>
        <v>0</v>
      </c>
      <c r="B896">
        <f>'Raw Data'!A896</f>
        <v>0</v>
      </c>
      <c r="C896">
        <f>'Raw Data'!C896</f>
        <v>0</v>
      </c>
      <c r="D896">
        <f>'Raw Data'!D896</f>
        <v>0</v>
      </c>
      <c r="E896">
        <f>IFERROR(VLOOKUP(D896,'Lookup Tables'!$A:$B,2,FALSE),"Unknown")</f>
        <v>0</v>
      </c>
      <c r="F896">
        <f>'Raw Data'!E896</f>
        <v>0</v>
      </c>
      <c r="G896">
        <f>IFERROR(VLOOKUP(D896,'Lookup Tables'!$A:$C,3,FALSE),IF(ISNUMBER(SEARCH("STEEL",F896)),"Steel","Others"))</f>
        <v>0</v>
      </c>
      <c r="H896">
        <f>IF(ISNUMBER(SEARCH("scrubber",F896)) , "Scrubber", IF(ISNUMBER(SEARCH("container",F896)),"Container", IF(ISNUMBER(SEARCH("basket",F896)),"Basket", IF(ISNUMBER(SEARCH("lunch",F896)),"Lunch Box", IF(ISNUMBER(SEARCH("cutlery",F896)),"Cutlery","Other")))))</f>
        <v>0</v>
      </c>
      <c r="I896">
        <f>IF('Raw Data'!G896&lt;&gt;'','Raw Data'!G896,IFERROR(MID(F896,SEARCH("MODEL",F896)+6,20),""))</f>
        <v>0</v>
      </c>
      <c r="J896">
        <f>'Raw Data'!H896</f>
        <v>0</v>
      </c>
      <c r="K896">
        <f>'Raw Data'!I896</f>
        <v>0</v>
      </c>
      <c r="L896">
        <f>IF('Raw Data'!N896&lt;&gt;0,'Raw Data'!N896,IFERROR(VALUE(MID(F896,SEARCH("QTY",F896)+4,IFERROR(FIND(" ",F896,SEARCH("QTY",F896)+4)-(SEARCH("QTY",F896)+4),3))),""))</f>
        <v>0</v>
      </c>
      <c r="M896">
        <f>'Raw Data'!O896</f>
        <v>0</v>
      </c>
      <c r="N896">
        <f>'Raw Data'!P896</f>
        <v>0</v>
      </c>
      <c r="O896">
        <f>'Raw Data'!Q896</f>
        <v>0</v>
      </c>
      <c r="P896">
        <f>'Raw Data'!R896</f>
        <v>0</v>
      </c>
      <c r="Q896">
        <f>'Raw Data'!S896</f>
        <v>0</v>
      </c>
      <c r="R896">
        <f>'Raw Data'!T896</f>
        <v>0</v>
      </c>
      <c r="S896">
        <f>IFERROR(O896,0)+IFERROR(R896,0)</f>
        <v>0</v>
      </c>
      <c r="T896">
        <f>IF(A896="","",YEAR(A896))</f>
        <v>0</v>
      </c>
    </row>
    <row r="897" spans="1:20">
      <c r="A897">
        <f>'Raw Data'!B897</f>
        <v>0</v>
      </c>
      <c r="B897">
        <f>'Raw Data'!A897</f>
        <v>0</v>
      </c>
      <c r="C897">
        <f>'Raw Data'!C897</f>
        <v>0</v>
      </c>
      <c r="D897">
        <f>'Raw Data'!D897</f>
        <v>0</v>
      </c>
      <c r="E897">
        <f>IFERROR(VLOOKUP(D897,'Lookup Tables'!$A:$B,2,FALSE),"Unknown")</f>
        <v>0</v>
      </c>
      <c r="F897">
        <f>'Raw Data'!E897</f>
        <v>0</v>
      </c>
      <c r="G897">
        <f>IFERROR(VLOOKUP(D897,'Lookup Tables'!$A:$C,3,FALSE),IF(ISNUMBER(SEARCH("STEEL",F897)),"Steel","Others"))</f>
        <v>0</v>
      </c>
      <c r="H897">
        <f>IF(ISNUMBER(SEARCH("scrubber",F897)) , "Scrubber", IF(ISNUMBER(SEARCH("container",F897)),"Container", IF(ISNUMBER(SEARCH("basket",F897)),"Basket", IF(ISNUMBER(SEARCH("lunch",F897)),"Lunch Box", IF(ISNUMBER(SEARCH("cutlery",F897)),"Cutlery","Other")))))</f>
        <v>0</v>
      </c>
      <c r="I897">
        <f>IF('Raw Data'!G897&lt;&gt;'','Raw Data'!G897,IFERROR(MID(F897,SEARCH("MODEL",F897)+6,20),""))</f>
        <v>0</v>
      </c>
      <c r="J897">
        <f>'Raw Data'!H897</f>
        <v>0</v>
      </c>
      <c r="K897">
        <f>'Raw Data'!I897</f>
        <v>0</v>
      </c>
      <c r="L897">
        <f>IF('Raw Data'!N897&lt;&gt;0,'Raw Data'!N897,IFERROR(VALUE(MID(F897,SEARCH("QTY",F897)+4,IFERROR(FIND(" ",F897,SEARCH("QTY",F897)+4)-(SEARCH("QTY",F897)+4),3))),""))</f>
        <v>0</v>
      </c>
      <c r="M897">
        <f>'Raw Data'!O897</f>
        <v>0</v>
      </c>
      <c r="N897">
        <f>'Raw Data'!P897</f>
        <v>0</v>
      </c>
      <c r="O897">
        <f>'Raw Data'!Q897</f>
        <v>0</v>
      </c>
      <c r="P897">
        <f>'Raw Data'!R897</f>
        <v>0</v>
      </c>
      <c r="Q897">
        <f>'Raw Data'!S897</f>
        <v>0</v>
      </c>
      <c r="R897">
        <f>'Raw Data'!T897</f>
        <v>0</v>
      </c>
      <c r="S897">
        <f>IFERROR(O897,0)+IFERROR(R897,0)</f>
        <v>0</v>
      </c>
      <c r="T897">
        <f>IF(A897="","",YEAR(A897))</f>
        <v>0</v>
      </c>
    </row>
    <row r="898" spans="1:20">
      <c r="A898">
        <f>'Raw Data'!B898</f>
        <v>0</v>
      </c>
      <c r="B898">
        <f>'Raw Data'!A898</f>
        <v>0</v>
      </c>
      <c r="C898">
        <f>'Raw Data'!C898</f>
        <v>0</v>
      </c>
      <c r="D898">
        <f>'Raw Data'!D898</f>
        <v>0</v>
      </c>
      <c r="E898">
        <f>IFERROR(VLOOKUP(D898,'Lookup Tables'!$A:$B,2,FALSE),"Unknown")</f>
        <v>0</v>
      </c>
      <c r="F898">
        <f>'Raw Data'!E898</f>
        <v>0</v>
      </c>
      <c r="G898">
        <f>IFERROR(VLOOKUP(D898,'Lookup Tables'!$A:$C,3,FALSE),IF(ISNUMBER(SEARCH("STEEL",F898)),"Steel","Others"))</f>
        <v>0</v>
      </c>
      <c r="H898">
        <f>IF(ISNUMBER(SEARCH("scrubber",F898)) , "Scrubber", IF(ISNUMBER(SEARCH("container",F898)),"Container", IF(ISNUMBER(SEARCH("basket",F898)),"Basket", IF(ISNUMBER(SEARCH("lunch",F898)),"Lunch Box", IF(ISNUMBER(SEARCH("cutlery",F898)),"Cutlery","Other")))))</f>
        <v>0</v>
      </c>
      <c r="I898">
        <f>IF('Raw Data'!G898&lt;&gt;'','Raw Data'!G898,IFERROR(MID(F898,SEARCH("MODEL",F898)+6,20),""))</f>
        <v>0</v>
      </c>
      <c r="J898">
        <f>'Raw Data'!H898</f>
        <v>0</v>
      </c>
      <c r="K898">
        <f>'Raw Data'!I898</f>
        <v>0</v>
      </c>
      <c r="L898">
        <f>IF('Raw Data'!N898&lt;&gt;0,'Raw Data'!N898,IFERROR(VALUE(MID(F898,SEARCH("QTY",F898)+4,IFERROR(FIND(" ",F898,SEARCH("QTY",F898)+4)-(SEARCH("QTY",F898)+4),3))),""))</f>
        <v>0</v>
      </c>
      <c r="M898">
        <f>'Raw Data'!O898</f>
        <v>0</v>
      </c>
      <c r="N898">
        <f>'Raw Data'!P898</f>
        <v>0</v>
      </c>
      <c r="O898">
        <f>'Raw Data'!Q898</f>
        <v>0</v>
      </c>
      <c r="P898">
        <f>'Raw Data'!R898</f>
        <v>0</v>
      </c>
      <c r="Q898">
        <f>'Raw Data'!S898</f>
        <v>0</v>
      </c>
      <c r="R898">
        <f>'Raw Data'!T898</f>
        <v>0</v>
      </c>
      <c r="S898">
        <f>IFERROR(O898,0)+IFERROR(R898,0)</f>
        <v>0</v>
      </c>
      <c r="T898">
        <f>IF(A898="","",YEAR(A898))</f>
        <v>0</v>
      </c>
    </row>
    <row r="899" spans="1:20">
      <c r="A899">
        <f>'Raw Data'!B899</f>
        <v>0</v>
      </c>
      <c r="B899">
        <f>'Raw Data'!A899</f>
        <v>0</v>
      </c>
      <c r="C899">
        <f>'Raw Data'!C899</f>
        <v>0</v>
      </c>
      <c r="D899">
        <f>'Raw Data'!D899</f>
        <v>0</v>
      </c>
      <c r="E899">
        <f>IFERROR(VLOOKUP(D899,'Lookup Tables'!$A:$B,2,FALSE),"Unknown")</f>
        <v>0</v>
      </c>
      <c r="F899">
        <f>'Raw Data'!E899</f>
        <v>0</v>
      </c>
      <c r="G899">
        <f>IFERROR(VLOOKUP(D899,'Lookup Tables'!$A:$C,3,FALSE),IF(ISNUMBER(SEARCH("STEEL",F899)),"Steel","Others"))</f>
        <v>0</v>
      </c>
      <c r="H899">
        <f>IF(ISNUMBER(SEARCH("scrubber",F899)) , "Scrubber", IF(ISNUMBER(SEARCH("container",F899)),"Container", IF(ISNUMBER(SEARCH("basket",F899)),"Basket", IF(ISNUMBER(SEARCH("lunch",F899)),"Lunch Box", IF(ISNUMBER(SEARCH("cutlery",F899)),"Cutlery","Other")))))</f>
        <v>0</v>
      </c>
      <c r="I899">
        <f>IF('Raw Data'!G899&lt;&gt;'','Raw Data'!G899,IFERROR(MID(F899,SEARCH("MODEL",F899)+6,20),""))</f>
        <v>0</v>
      </c>
      <c r="J899">
        <f>'Raw Data'!H899</f>
        <v>0</v>
      </c>
      <c r="K899">
        <f>'Raw Data'!I899</f>
        <v>0</v>
      </c>
      <c r="L899">
        <f>IF('Raw Data'!N899&lt;&gt;0,'Raw Data'!N899,IFERROR(VALUE(MID(F899,SEARCH("QTY",F899)+4,IFERROR(FIND(" ",F899,SEARCH("QTY",F899)+4)-(SEARCH("QTY",F899)+4),3))),""))</f>
        <v>0</v>
      </c>
      <c r="M899">
        <f>'Raw Data'!O899</f>
        <v>0</v>
      </c>
      <c r="N899">
        <f>'Raw Data'!P899</f>
        <v>0</v>
      </c>
      <c r="O899">
        <f>'Raw Data'!Q899</f>
        <v>0</v>
      </c>
      <c r="P899">
        <f>'Raw Data'!R899</f>
        <v>0</v>
      </c>
      <c r="Q899">
        <f>'Raw Data'!S899</f>
        <v>0</v>
      </c>
      <c r="R899">
        <f>'Raw Data'!T899</f>
        <v>0</v>
      </c>
      <c r="S899">
        <f>IFERROR(O899,0)+IFERROR(R899,0)</f>
        <v>0</v>
      </c>
      <c r="T899">
        <f>IF(A899="","",YEAR(A899))</f>
        <v>0</v>
      </c>
    </row>
    <row r="900" spans="1:20">
      <c r="A900">
        <f>'Raw Data'!B900</f>
        <v>0</v>
      </c>
      <c r="B900">
        <f>'Raw Data'!A900</f>
        <v>0</v>
      </c>
      <c r="C900">
        <f>'Raw Data'!C900</f>
        <v>0</v>
      </c>
      <c r="D900">
        <f>'Raw Data'!D900</f>
        <v>0</v>
      </c>
      <c r="E900">
        <f>IFERROR(VLOOKUP(D900,'Lookup Tables'!$A:$B,2,FALSE),"Unknown")</f>
        <v>0</v>
      </c>
      <c r="F900">
        <f>'Raw Data'!E900</f>
        <v>0</v>
      </c>
      <c r="G900">
        <f>IFERROR(VLOOKUP(D900,'Lookup Tables'!$A:$C,3,FALSE),IF(ISNUMBER(SEARCH("STEEL",F900)),"Steel","Others"))</f>
        <v>0</v>
      </c>
      <c r="H900">
        <f>IF(ISNUMBER(SEARCH("scrubber",F900)) , "Scrubber", IF(ISNUMBER(SEARCH("container",F900)),"Container", IF(ISNUMBER(SEARCH("basket",F900)),"Basket", IF(ISNUMBER(SEARCH("lunch",F900)),"Lunch Box", IF(ISNUMBER(SEARCH("cutlery",F900)),"Cutlery","Other")))))</f>
        <v>0</v>
      </c>
      <c r="I900">
        <f>IF('Raw Data'!G900&lt;&gt;'','Raw Data'!G900,IFERROR(MID(F900,SEARCH("MODEL",F900)+6,20),""))</f>
        <v>0</v>
      </c>
      <c r="J900">
        <f>'Raw Data'!H900</f>
        <v>0</v>
      </c>
      <c r="K900">
        <f>'Raw Data'!I900</f>
        <v>0</v>
      </c>
      <c r="L900">
        <f>IF('Raw Data'!N900&lt;&gt;0,'Raw Data'!N900,IFERROR(VALUE(MID(F900,SEARCH("QTY",F900)+4,IFERROR(FIND(" ",F900,SEARCH("QTY",F900)+4)-(SEARCH("QTY",F900)+4),3))),""))</f>
        <v>0</v>
      </c>
      <c r="M900">
        <f>'Raw Data'!O900</f>
        <v>0</v>
      </c>
      <c r="N900">
        <f>'Raw Data'!P900</f>
        <v>0</v>
      </c>
      <c r="O900">
        <f>'Raw Data'!Q900</f>
        <v>0</v>
      </c>
      <c r="P900">
        <f>'Raw Data'!R900</f>
        <v>0</v>
      </c>
      <c r="Q900">
        <f>'Raw Data'!S900</f>
        <v>0</v>
      </c>
      <c r="R900">
        <f>'Raw Data'!T900</f>
        <v>0</v>
      </c>
      <c r="S900">
        <f>IFERROR(O900,0)+IFERROR(R900,0)</f>
        <v>0</v>
      </c>
      <c r="T900">
        <f>IF(A900="","",YEAR(A900))</f>
        <v>0</v>
      </c>
    </row>
    <row r="901" spans="1:20">
      <c r="A901">
        <f>'Raw Data'!B901</f>
        <v>0</v>
      </c>
      <c r="B901">
        <f>'Raw Data'!A901</f>
        <v>0</v>
      </c>
      <c r="C901">
        <f>'Raw Data'!C901</f>
        <v>0</v>
      </c>
      <c r="D901">
        <f>'Raw Data'!D901</f>
        <v>0</v>
      </c>
      <c r="E901">
        <f>IFERROR(VLOOKUP(D901,'Lookup Tables'!$A:$B,2,FALSE),"Unknown")</f>
        <v>0</v>
      </c>
      <c r="F901">
        <f>'Raw Data'!E901</f>
        <v>0</v>
      </c>
      <c r="G901">
        <f>IFERROR(VLOOKUP(D901,'Lookup Tables'!$A:$C,3,FALSE),IF(ISNUMBER(SEARCH("STEEL",F901)),"Steel","Others"))</f>
        <v>0</v>
      </c>
      <c r="H901">
        <f>IF(ISNUMBER(SEARCH("scrubber",F901)) , "Scrubber", IF(ISNUMBER(SEARCH("container",F901)),"Container", IF(ISNUMBER(SEARCH("basket",F901)),"Basket", IF(ISNUMBER(SEARCH("lunch",F901)),"Lunch Box", IF(ISNUMBER(SEARCH("cutlery",F901)),"Cutlery","Other")))))</f>
        <v>0</v>
      </c>
      <c r="I901">
        <f>IF('Raw Data'!G901&lt;&gt;'','Raw Data'!G901,IFERROR(MID(F901,SEARCH("MODEL",F901)+6,20),""))</f>
        <v>0</v>
      </c>
      <c r="J901">
        <f>'Raw Data'!H901</f>
        <v>0</v>
      </c>
      <c r="K901">
        <f>'Raw Data'!I901</f>
        <v>0</v>
      </c>
      <c r="L901">
        <f>IF('Raw Data'!N901&lt;&gt;0,'Raw Data'!N901,IFERROR(VALUE(MID(F901,SEARCH("QTY",F901)+4,IFERROR(FIND(" ",F901,SEARCH("QTY",F901)+4)-(SEARCH("QTY",F901)+4),3))),""))</f>
        <v>0</v>
      </c>
      <c r="M901">
        <f>'Raw Data'!O901</f>
        <v>0</v>
      </c>
      <c r="N901">
        <f>'Raw Data'!P901</f>
        <v>0</v>
      </c>
      <c r="O901">
        <f>'Raw Data'!Q901</f>
        <v>0</v>
      </c>
      <c r="P901">
        <f>'Raw Data'!R901</f>
        <v>0</v>
      </c>
      <c r="Q901">
        <f>'Raw Data'!S901</f>
        <v>0</v>
      </c>
      <c r="R901">
        <f>'Raw Data'!T901</f>
        <v>0</v>
      </c>
      <c r="S901">
        <f>IFERROR(O901,0)+IFERROR(R901,0)</f>
        <v>0</v>
      </c>
      <c r="T901">
        <f>IF(A901="","",YEAR(A901))</f>
        <v>0</v>
      </c>
    </row>
    <row r="902" spans="1:20">
      <c r="A902">
        <f>'Raw Data'!B902</f>
        <v>0</v>
      </c>
      <c r="B902">
        <f>'Raw Data'!A902</f>
        <v>0</v>
      </c>
      <c r="C902">
        <f>'Raw Data'!C902</f>
        <v>0</v>
      </c>
      <c r="D902">
        <f>'Raw Data'!D902</f>
        <v>0</v>
      </c>
      <c r="E902">
        <f>IFERROR(VLOOKUP(D902,'Lookup Tables'!$A:$B,2,FALSE),"Unknown")</f>
        <v>0</v>
      </c>
      <c r="F902">
        <f>'Raw Data'!E902</f>
        <v>0</v>
      </c>
      <c r="G902">
        <f>IFERROR(VLOOKUP(D902,'Lookup Tables'!$A:$C,3,FALSE),IF(ISNUMBER(SEARCH("STEEL",F902)),"Steel","Others"))</f>
        <v>0</v>
      </c>
      <c r="H902">
        <f>IF(ISNUMBER(SEARCH("scrubber",F902)) , "Scrubber", IF(ISNUMBER(SEARCH("container",F902)),"Container", IF(ISNUMBER(SEARCH("basket",F902)),"Basket", IF(ISNUMBER(SEARCH("lunch",F902)),"Lunch Box", IF(ISNUMBER(SEARCH("cutlery",F902)),"Cutlery","Other")))))</f>
        <v>0</v>
      </c>
      <c r="I902">
        <f>IF('Raw Data'!G902&lt;&gt;'','Raw Data'!G902,IFERROR(MID(F902,SEARCH("MODEL",F902)+6,20),""))</f>
        <v>0</v>
      </c>
      <c r="J902">
        <f>'Raw Data'!H902</f>
        <v>0</v>
      </c>
      <c r="K902">
        <f>'Raw Data'!I902</f>
        <v>0</v>
      </c>
      <c r="L902">
        <f>IF('Raw Data'!N902&lt;&gt;0,'Raw Data'!N902,IFERROR(VALUE(MID(F902,SEARCH("QTY",F902)+4,IFERROR(FIND(" ",F902,SEARCH("QTY",F902)+4)-(SEARCH("QTY",F902)+4),3))),""))</f>
        <v>0</v>
      </c>
      <c r="M902">
        <f>'Raw Data'!O902</f>
        <v>0</v>
      </c>
      <c r="N902">
        <f>'Raw Data'!P902</f>
        <v>0</v>
      </c>
      <c r="O902">
        <f>'Raw Data'!Q902</f>
        <v>0</v>
      </c>
      <c r="P902">
        <f>'Raw Data'!R902</f>
        <v>0</v>
      </c>
      <c r="Q902">
        <f>'Raw Data'!S902</f>
        <v>0</v>
      </c>
      <c r="R902">
        <f>'Raw Data'!T902</f>
        <v>0</v>
      </c>
      <c r="S902">
        <f>IFERROR(O902,0)+IFERROR(R902,0)</f>
        <v>0</v>
      </c>
      <c r="T902">
        <f>IF(A902="","",YEAR(A902))</f>
        <v>0</v>
      </c>
    </row>
    <row r="903" spans="1:20">
      <c r="A903">
        <f>'Raw Data'!B903</f>
        <v>0</v>
      </c>
      <c r="B903">
        <f>'Raw Data'!A903</f>
        <v>0</v>
      </c>
      <c r="C903">
        <f>'Raw Data'!C903</f>
        <v>0</v>
      </c>
      <c r="D903">
        <f>'Raw Data'!D903</f>
        <v>0</v>
      </c>
      <c r="E903">
        <f>IFERROR(VLOOKUP(D903,'Lookup Tables'!$A:$B,2,FALSE),"Unknown")</f>
        <v>0</v>
      </c>
      <c r="F903">
        <f>'Raw Data'!E903</f>
        <v>0</v>
      </c>
      <c r="G903">
        <f>IFERROR(VLOOKUP(D903,'Lookup Tables'!$A:$C,3,FALSE),IF(ISNUMBER(SEARCH("STEEL",F903)),"Steel","Others"))</f>
        <v>0</v>
      </c>
      <c r="H903">
        <f>IF(ISNUMBER(SEARCH("scrubber",F903)) , "Scrubber", IF(ISNUMBER(SEARCH("container",F903)),"Container", IF(ISNUMBER(SEARCH("basket",F903)),"Basket", IF(ISNUMBER(SEARCH("lunch",F903)),"Lunch Box", IF(ISNUMBER(SEARCH("cutlery",F903)),"Cutlery","Other")))))</f>
        <v>0</v>
      </c>
      <c r="I903">
        <f>IF('Raw Data'!G903&lt;&gt;'','Raw Data'!G903,IFERROR(MID(F903,SEARCH("MODEL",F903)+6,20),""))</f>
        <v>0</v>
      </c>
      <c r="J903">
        <f>'Raw Data'!H903</f>
        <v>0</v>
      </c>
      <c r="K903">
        <f>'Raw Data'!I903</f>
        <v>0</v>
      </c>
      <c r="L903">
        <f>IF('Raw Data'!N903&lt;&gt;0,'Raw Data'!N903,IFERROR(VALUE(MID(F903,SEARCH("QTY",F903)+4,IFERROR(FIND(" ",F903,SEARCH("QTY",F903)+4)-(SEARCH("QTY",F903)+4),3))),""))</f>
        <v>0</v>
      </c>
      <c r="M903">
        <f>'Raw Data'!O903</f>
        <v>0</v>
      </c>
      <c r="N903">
        <f>'Raw Data'!P903</f>
        <v>0</v>
      </c>
      <c r="O903">
        <f>'Raw Data'!Q903</f>
        <v>0</v>
      </c>
      <c r="P903">
        <f>'Raw Data'!R903</f>
        <v>0</v>
      </c>
      <c r="Q903">
        <f>'Raw Data'!S903</f>
        <v>0</v>
      </c>
      <c r="R903">
        <f>'Raw Data'!T903</f>
        <v>0</v>
      </c>
      <c r="S903">
        <f>IFERROR(O903,0)+IFERROR(R903,0)</f>
        <v>0</v>
      </c>
      <c r="T903">
        <f>IF(A903="","",YEAR(A903))</f>
        <v>0</v>
      </c>
    </row>
    <row r="904" spans="1:20">
      <c r="A904">
        <f>'Raw Data'!B904</f>
        <v>0</v>
      </c>
      <c r="B904">
        <f>'Raw Data'!A904</f>
        <v>0</v>
      </c>
      <c r="C904">
        <f>'Raw Data'!C904</f>
        <v>0</v>
      </c>
      <c r="D904">
        <f>'Raw Data'!D904</f>
        <v>0</v>
      </c>
      <c r="E904">
        <f>IFERROR(VLOOKUP(D904,'Lookup Tables'!$A:$B,2,FALSE),"Unknown")</f>
        <v>0</v>
      </c>
      <c r="F904">
        <f>'Raw Data'!E904</f>
        <v>0</v>
      </c>
      <c r="G904">
        <f>IFERROR(VLOOKUP(D904,'Lookup Tables'!$A:$C,3,FALSE),IF(ISNUMBER(SEARCH("STEEL",F904)),"Steel","Others"))</f>
        <v>0</v>
      </c>
      <c r="H904">
        <f>IF(ISNUMBER(SEARCH("scrubber",F904)) , "Scrubber", IF(ISNUMBER(SEARCH("container",F904)),"Container", IF(ISNUMBER(SEARCH("basket",F904)),"Basket", IF(ISNUMBER(SEARCH("lunch",F904)),"Lunch Box", IF(ISNUMBER(SEARCH("cutlery",F904)),"Cutlery","Other")))))</f>
        <v>0</v>
      </c>
      <c r="I904">
        <f>IF('Raw Data'!G904&lt;&gt;'','Raw Data'!G904,IFERROR(MID(F904,SEARCH("MODEL",F904)+6,20),""))</f>
        <v>0</v>
      </c>
      <c r="J904">
        <f>'Raw Data'!H904</f>
        <v>0</v>
      </c>
      <c r="K904">
        <f>'Raw Data'!I904</f>
        <v>0</v>
      </c>
      <c r="L904">
        <f>IF('Raw Data'!N904&lt;&gt;0,'Raw Data'!N904,IFERROR(VALUE(MID(F904,SEARCH("QTY",F904)+4,IFERROR(FIND(" ",F904,SEARCH("QTY",F904)+4)-(SEARCH("QTY",F904)+4),3))),""))</f>
        <v>0</v>
      </c>
      <c r="M904">
        <f>'Raw Data'!O904</f>
        <v>0</v>
      </c>
      <c r="N904">
        <f>'Raw Data'!P904</f>
        <v>0</v>
      </c>
      <c r="O904">
        <f>'Raw Data'!Q904</f>
        <v>0</v>
      </c>
      <c r="P904">
        <f>'Raw Data'!R904</f>
        <v>0</v>
      </c>
      <c r="Q904">
        <f>'Raw Data'!S904</f>
        <v>0</v>
      </c>
      <c r="R904">
        <f>'Raw Data'!T904</f>
        <v>0</v>
      </c>
      <c r="S904">
        <f>IFERROR(O904,0)+IFERROR(R904,0)</f>
        <v>0</v>
      </c>
      <c r="T904">
        <f>IF(A904="","",YEAR(A904))</f>
        <v>0</v>
      </c>
    </row>
    <row r="905" spans="1:20">
      <c r="A905">
        <f>'Raw Data'!B905</f>
        <v>0</v>
      </c>
      <c r="B905">
        <f>'Raw Data'!A905</f>
        <v>0</v>
      </c>
      <c r="C905">
        <f>'Raw Data'!C905</f>
        <v>0</v>
      </c>
      <c r="D905">
        <f>'Raw Data'!D905</f>
        <v>0</v>
      </c>
      <c r="E905">
        <f>IFERROR(VLOOKUP(D905,'Lookup Tables'!$A:$B,2,FALSE),"Unknown")</f>
        <v>0</v>
      </c>
      <c r="F905">
        <f>'Raw Data'!E905</f>
        <v>0</v>
      </c>
      <c r="G905">
        <f>IFERROR(VLOOKUP(D905,'Lookup Tables'!$A:$C,3,FALSE),IF(ISNUMBER(SEARCH("STEEL",F905)),"Steel","Others"))</f>
        <v>0</v>
      </c>
      <c r="H905">
        <f>IF(ISNUMBER(SEARCH("scrubber",F905)) , "Scrubber", IF(ISNUMBER(SEARCH("container",F905)),"Container", IF(ISNUMBER(SEARCH("basket",F905)),"Basket", IF(ISNUMBER(SEARCH("lunch",F905)),"Lunch Box", IF(ISNUMBER(SEARCH("cutlery",F905)),"Cutlery","Other")))))</f>
        <v>0</v>
      </c>
      <c r="I905">
        <f>IF('Raw Data'!G905&lt;&gt;'','Raw Data'!G905,IFERROR(MID(F905,SEARCH("MODEL",F905)+6,20),""))</f>
        <v>0</v>
      </c>
      <c r="J905">
        <f>'Raw Data'!H905</f>
        <v>0</v>
      </c>
      <c r="K905">
        <f>'Raw Data'!I905</f>
        <v>0</v>
      </c>
      <c r="L905">
        <f>IF('Raw Data'!N905&lt;&gt;0,'Raw Data'!N905,IFERROR(VALUE(MID(F905,SEARCH("QTY",F905)+4,IFERROR(FIND(" ",F905,SEARCH("QTY",F905)+4)-(SEARCH("QTY",F905)+4),3))),""))</f>
        <v>0</v>
      </c>
      <c r="M905">
        <f>'Raw Data'!O905</f>
        <v>0</v>
      </c>
      <c r="N905">
        <f>'Raw Data'!P905</f>
        <v>0</v>
      </c>
      <c r="O905">
        <f>'Raw Data'!Q905</f>
        <v>0</v>
      </c>
      <c r="P905">
        <f>'Raw Data'!R905</f>
        <v>0</v>
      </c>
      <c r="Q905">
        <f>'Raw Data'!S905</f>
        <v>0</v>
      </c>
      <c r="R905">
        <f>'Raw Data'!T905</f>
        <v>0</v>
      </c>
      <c r="S905">
        <f>IFERROR(O905,0)+IFERROR(R905,0)</f>
        <v>0</v>
      </c>
      <c r="T905">
        <f>IF(A905="","",YEAR(A905))</f>
        <v>0</v>
      </c>
    </row>
    <row r="906" spans="1:20">
      <c r="A906">
        <f>'Raw Data'!B906</f>
        <v>0</v>
      </c>
      <c r="B906">
        <f>'Raw Data'!A906</f>
        <v>0</v>
      </c>
      <c r="C906">
        <f>'Raw Data'!C906</f>
        <v>0</v>
      </c>
      <c r="D906">
        <f>'Raw Data'!D906</f>
        <v>0</v>
      </c>
      <c r="E906">
        <f>IFERROR(VLOOKUP(D906,'Lookup Tables'!$A:$B,2,FALSE),"Unknown")</f>
        <v>0</v>
      </c>
      <c r="F906">
        <f>'Raw Data'!E906</f>
        <v>0</v>
      </c>
      <c r="G906">
        <f>IFERROR(VLOOKUP(D906,'Lookup Tables'!$A:$C,3,FALSE),IF(ISNUMBER(SEARCH("STEEL",F906)),"Steel","Others"))</f>
        <v>0</v>
      </c>
      <c r="H906">
        <f>IF(ISNUMBER(SEARCH("scrubber",F906)) , "Scrubber", IF(ISNUMBER(SEARCH("container",F906)),"Container", IF(ISNUMBER(SEARCH("basket",F906)),"Basket", IF(ISNUMBER(SEARCH("lunch",F906)),"Lunch Box", IF(ISNUMBER(SEARCH("cutlery",F906)),"Cutlery","Other")))))</f>
        <v>0</v>
      </c>
      <c r="I906">
        <f>IF('Raw Data'!G906&lt;&gt;'','Raw Data'!G906,IFERROR(MID(F906,SEARCH("MODEL",F906)+6,20),""))</f>
        <v>0</v>
      </c>
      <c r="J906">
        <f>'Raw Data'!H906</f>
        <v>0</v>
      </c>
      <c r="K906">
        <f>'Raw Data'!I906</f>
        <v>0</v>
      </c>
      <c r="L906">
        <f>IF('Raw Data'!N906&lt;&gt;0,'Raw Data'!N906,IFERROR(VALUE(MID(F906,SEARCH("QTY",F906)+4,IFERROR(FIND(" ",F906,SEARCH("QTY",F906)+4)-(SEARCH("QTY",F906)+4),3))),""))</f>
        <v>0</v>
      </c>
      <c r="M906">
        <f>'Raw Data'!O906</f>
        <v>0</v>
      </c>
      <c r="N906">
        <f>'Raw Data'!P906</f>
        <v>0</v>
      </c>
      <c r="O906">
        <f>'Raw Data'!Q906</f>
        <v>0</v>
      </c>
      <c r="P906">
        <f>'Raw Data'!R906</f>
        <v>0</v>
      </c>
      <c r="Q906">
        <f>'Raw Data'!S906</f>
        <v>0</v>
      </c>
      <c r="R906">
        <f>'Raw Data'!T906</f>
        <v>0</v>
      </c>
      <c r="S906">
        <f>IFERROR(O906,0)+IFERROR(R906,0)</f>
        <v>0</v>
      </c>
      <c r="T906">
        <f>IF(A906="","",YEAR(A906))</f>
        <v>0</v>
      </c>
    </row>
    <row r="907" spans="1:20">
      <c r="A907">
        <f>'Raw Data'!B907</f>
        <v>0</v>
      </c>
      <c r="B907">
        <f>'Raw Data'!A907</f>
        <v>0</v>
      </c>
      <c r="C907">
        <f>'Raw Data'!C907</f>
        <v>0</v>
      </c>
      <c r="D907">
        <f>'Raw Data'!D907</f>
        <v>0</v>
      </c>
      <c r="E907">
        <f>IFERROR(VLOOKUP(D907,'Lookup Tables'!$A:$B,2,FALSE),"Unknown")</f>
        <v>0</v>
      </c>
      <c r="F907">
        <f>'Raw Data'!E907</f>
        <v>0</v>
      </c>
      <c r="G907">
        <f>IFERROR(VLOOKUP(D907,'Lookup Tables'!$A:$C,3,FALSE),IF(ISNUMBER(SEARCH("STEEL",F907)),"Steel","Others"))</f>
        <v>0</v>
      </c>
      <c r="H907">
        <f>IF(ISNUMBER(SEARCH("scrubber",F907)) , "Scrubber", IF(ISNUMBER(SEARCH("container",F907)),"Container", IF(ISNUMBER(SEARCH("basket",F907)),"Basket", IF(ISNUMBER(SEARCH("lunch",F907)),"Lunch Box", IF(ISNUMBER(SEARCH("cutlery",F907)),"Cutlery","Other")))))</f>
        <v>0</v>
      </c>
      <c r="I907">
        <f>IF('Raw Data'!G907&lt;&gt;'','Raw Data'!G907,IFERROR(MID(F907,SEARCH("MODEL",F907)+6,20),""))</f>
        <v>0</v>
      </c>
      <c r="J907">
        <f>'Raw Data'!H907</f>
        <v>0</v>
      </c>
      <c r="K907">
        <f>'Raw Data'!I907</f>
        <v>0</v>
      </c>
      <c r="L907">
        <f>IF('Raw Data'!N907&lt;&gt;0,'Raw Data'!N907,IFERROR(VALUE(MID(F907,SEARCH("QTY",F907)+4,IFERROR(FIND(" ",F907,SEARCH("QTY",F907)+4)-(SEARCH("QTY",F907)+4),3))),""))</f>
        <v>0</v>
      </c>
      <c r="M907">
        <f>'Raw Data'!O907</f>
        <v>0</v>
      </c>
      <c r="N907">
        <f>'Raw Data'!P907</f>
        <v>0</v>
      </c>
      <c r="O907">
        <f>'Raw Data'!Q907</f>
        <v>0</v>
      </c>
      <c r="P907">
        <f>'Raw Data'!R907</f>
        <v>0</v>
      </c>
      <c r="Q907">
        <f>'Raw Data'!S907</f>
        <v>0</v>
      </c>
      <c r="R907">
        <f>'Raw Data'!T907</f>
        <v>0</v>
      </c>
      <c r="S907">
        <f>IFERROR(O907,0)+IFERROR(R907,0)</f>
        <v>0</v>
      </c>
      <c r="T907">
        <f>IF(A907="","",YEAR(A907))</f>
        <v>0</v>
      </c>
    </row>
    <row r="908" spans="1:20">
      <c r="A908">
        <f>'Raw Data'!B908</f>
        <v>0</v>
      </c>
      <c r="B908">
        <f>'Raw Data'!A908</f>
        <v>0</v>
      </c>
      <c r="C908">
        <f>'Raw Data'!C908</f>
        <v>0</v>
      </c>
      <c r="D908">
        <f>'Raw Data'!D908</f>
        <v>0</v>
      </c>
      <c r="E908">
        <f>IFERROR(VLOOKUP(D908,'Lookup Tables'!$A:$B,2,FALSE),"Unknown")</f>
        <v>0</v>
      </c>
      <c r="F908">
        <f>'Raw Data'!E908</f>
        <v>0</v>
      </c>
      <c r="G908">
        <f>IFERROR(VLOOKUP(D908,'Lookup Tables'!$A:$C,3,FALSE),IF(ISNUMBER(SEARCH("STEEL",F908)),"Steel","Others"))</f>
        <v>0</v>
      </c>
      <c r="H908">
        <f>IF(ISNUMBER(SEARCH("scrubber",F908)) , "Scrubber", IF(ISNUMBER(SEARCH("container",F908)),"Container", IF(ISNUMBER(SEARCH("basket",F908)),"Basket", IF(ISNUMBER(SEARCH("lunch",F908)),"Lunch Box", IF(ISNUMBER(SEARCH("cutlery",F908)),"Cutlery","Other")))))</f>
        <v>0</v>
      </c>
      <c r="I908">
        <f>IF('Raw Data'!G908&lt;&gt;'','Raw Data'!G908,IFERROR(MID(F908,SEARCH("MODEL",F908)+6,20),""))</f>
        <v>0</v>
      </c>
      <c r="J908">
        <f>'Raw Data'!H908</f>
        <v>0</v>
      </c>
      <c r="K908">
        <f>'Raw Data'!I908</f>
        <v>0</v>
      </c>
      <c r="L908">
        <f>IF('Raw Data'!N908&lt;&gt;0,'Raw Data'!N908,IFERROR(VALUE(MID(F908,SEARCH("QTY",F908)+4,IFERROR(FIND(" ",F908,SEARCH("QTY",F908)+4)-(SEARCH("QTY",F908)+4),3))),""))</f>
        <v>0</v>
      </c>
      <c r="M908">
        <f>'Raw Data'!O908</f>
        <v>0</v>
      </c>
      <c r="N908">
        <f>'Raw Data'!P908</f>
        <v>0</v>
      </c>
      <c r="O908">
        <f>'Raw Data'!Q908</f>
        <v>0</v>
      </c>
      <c r="P908">
        <f>'Raw Data'!R908</f>
        <v>0</v>
      </c>
      <c r="Q908">
        <f>'Raw Data'!S908</f>
        <v>0</v>
      </c>
      <c r="R908">
        <f>'Raw Data'!T908</f>
        <v>0</v>
      </c>
      <c r="S908">
        <f>IFERROR(O908,0)+IFERROR(R908,0)</f>
        <v>0</v>
      </c>
      <c r="T908">
        <f>IF(A908="","",YEAR(A908))</f>
        <v>0</v>
      </c>
    </row>
    <row r="909" spans="1:20">
      <c r="A909">
        <f>'Raw Data'!B909</f>
        <v>0</v>
      </c>
      <c r="B909">
        <f>'Raw Data'!A909</f>
        <v>0</v>
      </c>
      <c r="C909">
        <f>'Raw Data'!C909</f>
        <v>0</v>
      </c>
      <c r="D909">
        <f>'Raw Data'!D909</f>
        <v>0</v>
      </c>
      <c r="E909">
        <f>IFERROR(VLOOKUP(D909,'Lookup Tables'!$A:$B,2,FALSE),"Unknown")</f>
        <v>0</v>
      </c>
      <c r="F909">
        <f>'Raw Data'!E909</f>
        <v>0</v>
      </c>
      <c r="G909">
        <f>IFERROR(VLOOKUP(D909,'Lookup Tables'!$A:$C,3,FALSE),IF(ISNUMBER(SEARCH("STEEL",F909)),"Steel","Others"))</f>
        <v>0</v>
      </c>
      <c r="H909">
        <f>IF(ISNUMBER(SEARCH("scrubber",F909)) , "Scrubber", IF(ISNUMBER(SEARCH("container",F909)),"Container", IF(ISNUMBER(SEARCH("basket",F909)),"Basket", IF(ISNUMBER(SEARCH("lunch",F909)),"Lunch Box", IF(ISNUMBER(SEARCH("cutlery",F909)),"Cutlery","Other")))))</f>
        <v>0</v>
      </c>
      <c r="I909">
        <f>IF('Raw Data'!G909&lt;&gt;'','Raw Data'!G909,IFERROR(MID(F909,SEARCH("MODEL",F909)+6,20),""))</f>
        <v>0</v>
      </c>
      <c r="J909">
        <f>'Raw Data'!H909</f>
        <v>0</v>
      </c>
      <c r="K909">
        <f>'Raw Data'!I909</f>
        <v>0</v>
      </c>
      <c r="L909">
        <f>IF('Raw Data'!N909&lt;&gt;0,'Raw Data'!N909,IFERROR(VALUE(MID(F909,SEARCH("QTY",F909)+4,IFERROR(FIND(" ",F909,SEARCH("QTY",F909)+4)-(SEARCH("QTY",F909)+4),3))),""))</f>
        <v>0</v>
      </c>
      <c r="M909">
        <f>'Raw Data'!O909</f>
        <v>0</v>
      </c>
      <c r="N909">
        <f>'Raw Data'!P909</f>
        <v>0</v>
      </c>
      <c r="O909">
        <f>'Raw Data'!Q909</f>
        <v>0</v>
      </c>
      <c r="P909">
        <f>'Raw Data'!R909</f>
        <v>0</v>
      </c>
      <c r="Q909">
        <f>'Raw Data'!S909</f>
        <v>0</v>
      </c>
      <c r="R909">
        <f>'Raw Data'!T909</f>
        <v>0</v>
      </c>
      <c r="S909">
        <f>IFERROR(O909,0)+IFERROR(R909,0)</f>
        <v>0</v>
      </c>
      <c r="T909">
        <f>IF(A909="","",YEAR(A909))</f>
        <v>0</v>
      </c>
    </row>
    <row r="910" spans="1:20">
      <c r="A910">
        <f>'Raw Data'!B910</f>
        <v>0</v>
      </c>
      <c r="B910">
        <f>'Raw Data'!A910</f>
        <v>0</v>
      </c>
      <c r="C910">
        <f>'Raw Data'!C910</f>
        <v>0</v>
      </c>
      <c r="D910">
        <f>'Raw Data'!D910</f>
        <v>0</v>
      </c>
      <c r="E910">
        <f>IFERROR(VLOOKUP(D910,'Lookup Tables'!$A:$B,2,FALSE),"Unknown")</f>
        <v>0</v>
      </c>
      <c r="F910">
        <f>'Raw Data'!E910</f>
        <v>0</v>
      </c>
      <c r="G910">
        <f>IFERROR(VLOOKUP(D910,'Lookup Tables'!$A:$C,3,FALSE),IF(ISNUMBER(SEARCH("STEEL",F910)),"Steel","Others"))</f>
        <v>0</v>
      </c>
      <c r="H910">
        <f>IF(ISNUMBER(SEARCH("scrubber",F910)) , "Scrubber", IF(ISNUMBER(SEARCH("container",F910)),"Container", IF(ISNUMBER(SEARCH("basket",F910)),"Basket", IF(ISNUMBER(SEARCH("lunch",F910)),"Lunch Box", IF(ISNUMBER(SEARCH("cutlery",F910)),"Cutlery","Other")))))</f>
        <v>0</v>
      </c>
      <c r="I910">
        <f>IF('Raw Data'!G910&lt;&gt;'','Raw Data'!G910,IFERROR(MID(F910,SEARCH("MODEL",F910)+6,20),""))</f>
        <v>0</v>
      </c>
      <c r="J910">
        <f>'Raw Data'!H910</f>
        <v>0</v>
      </c>
      <c r="K910">
        <f>'Raw Data'!I910</f>
        <v>0</v>
      </c>
      <c r="L910">
        <f>IF('Raw Data'!N910&lt;&gt;0,'Raw Data'!N910,IFERROR(VALUE(MID(F910,SEARCH("QTY",F910)+4,IFERROR(FIND(" ",F910,SEARCH("QTY",F910)+4)-(SEARCH("QTY",F910)+4),3))),""))</f>
        <v>0</v>
      </c>
      <c r="M910">
        <f>'Raw Data'!O910</f>
        <v>0</v>
      </c>
      <c r="N910">
        <f>'Raw Data'!P910</f>
        <v>0</v>
      </c>
      <c r="O910">
        <f>'Raw Data'!Q910</f>
        <v>0</v>
      </c>
      <c r="P910">
        <f>'Raw Data'!R910</f>
        <v>0</v>
      </c>
      <c r="Q910">
        <f>'Raw Data'!S910</f>
        <v>0</v>
      </c>
      <c r="R910">
        <f>'Raw Data'!T910</f>
        <v>0</v>
      </c>
      <c r="S910">
        <f>IFERROR(O910,0)+IFERROR(R910,0)</f>
        <v>0</v>
      </c>
      <c r="T910">
        <f>IF(A910="","",YEAR(A910))</f>
        <v>0</v>
      </c>
    </row>
    <row r="911" spans="1:20">
      <c r="A911">
        <f>'Raw Data'!B911</f>
        <v>0</v>
      </c>
      <c r="B911">
        <f>'Raw Data'!A911</f>
        <v>0</v>
      </c>
      <c r="C911">
        <f>'Raw Data'!C911</f>
        <v>0</v>
      </c>
      <c r="D911">
        <f>'Raw Data'!D911</f>
        <v>0</v>
      </c>
      <c r="E911">
        <f>IFERROR(VLOOKUP(D911,'Lookup Tables'!$A:$B,2,FALSE),"Unknown")</f>
        <v>0</v>
      </c>
      <c r="F911">
        <f>'Raw Data'!E911</f>
        <v>0</v>
      </c>
      <c r="G911">
        <f>IFERROR(VLOOKUP(D911,'Lookup Tables'!$A:$C,3,FALSE),IF(ISNUMBER(SEARCH("STEEL",F911)),"Steel","Others"))</f>
        <v>0</v>
      </c>
      <c r="H911">
        <f>IF(ISNUMBER(SEARCH("scrubber",F911)) , "Scrubber", IF(ISNUMBER(SEARCH("container",F911)),"Container", IF(ISNUMBER(SEARCH("basket",F911)),"Basket", IF(ISNUMBER(SEARCH("lunch",F911)),"Lunch Box", IF(ISNUMBER(SEARCH("cutlery",F911)),"Cutlery","Other")))))</f>
        <v>0</v>
      </c>
      <c r="I911">
        <f>IF('Raw Data'!G911&lt;&gt;'','Raw Data'!G911,IFERROR(MID(F911,SEARCH("MODEL",F911)+6,20),""))</f>
        <v>0</v>
      </c>
      <c r="J911">
        <f>'Raw Data'!H911</f>
        <v>0</v>
      </c>
      <c r="K911">
        <f>'Raw Data'!I911</f>
        <v>0</v>
      </c>
      <c r="L911">
        <f>IF('Raw Data'!N911&lt;&gt;0,'Raw Data'!N911,IFERROR(VALUE(MID(F911,SEARCH("QTY",F911)+4,IFERROR(FIND(" ",F911,SEARCH("QTY",F911)+4)-(SEARCH("QTY",F911)+4),3))),""))</f>
        <v>0</v>
      </c>
      <c r="M911">
        <f>'Raw Data'!O911</f>
        <v>0</v>
      </c>
      <c r="N911">
        <f>'Raw Data'!P911</f>
        <v>0</v>
      </c>
      <c r="O911">
        <f>'Raw Data'!Q911</f>
        <v>0</v>
      </c>
      <c r="P911">
        <f>'Raw Data'!R911</f>
        <v>0</v>
      </c>
      <c r="Q911">
        <f>'Raw Data'!S911</f>
        <v>0</v>
      </c>
      <c r="R911">
        <f>'Raw Data'!T911</f>
        <v>0</v>
      </c>
      <c r="S911">
        <f>IFERROR(O911,0)+IFERROR(R911,0)</f>
        <v>0</v>
      </c>
      <c r="T911">
        <f>IF(A911="","",YEAR(A911))</f>
        <v>0</v>
      </c>
    </row>
    <row r="912" spans="1:20">
      <c r="A912">
        <f>'Raw Data'!B912</f>
        <v>0</v>
      </c>
      <c r="B912">
        <f>'Raw Data'!A912</f>
        <v>0</v>
      </c>
      <c r="C912">
        <f>'Raw Data'!C912</f>
        <v>0</v>
      </c>
      <c r="D912">
        <f>'Raw Data'!D912</f>
        <v>0</v>
      </c>
      <c r="E912">
        <f>IFERROR(VLOOKUP(D912,'Lookup Tables'!$A:$B,2,FALSE),"Unknown")</f>
        <v>0</v>
      </c>
      <c r="F912">
        <f>'Raw Data'!E912</f>
        <v>0</v>
      </c>
      <c r="G912">
        <f>IFERROR(VLOOKUP(D912,'Lookup Tables'!$A:$C,3,FALSE),IF(ISNUMBER(SEARCH("STEEL",F912)),"Steel","Others"))</f>
        <v>0</v>
      </c>
      <c r="H912">
        <f>IF(ISNUMBER(SEARCH("scrubber",F912)) , "Scrubber", IF(ISNUMBER(SEARCH("container",F912)),"Container", IF(ISNUMBER(SEARCH("basket",F912)),"Basket", IF(ISNUMBER(SEARCH("lunch",F912)),"Lunch Box", IF(ISNUMBER(SEARCH("cutlery",F912)),"Cutlery","Other")))))</f>
        <v>0</v>
      </c>
      <c r="I912">
        <f>IF('Raw Data'!G912&lt;&gt;'','Raw Data'!G912,IFERROR(MID(F912,SEARCH("MODEL",F912)+6,20),""))</f>
        <v>0</v>
      </c>
      <c r="J912">
        <f>'Raw Data'!H912</f>
        <v>0</v>
      </c>
      <c r="K912">
        <f>'Raw Data'!I912</f>
        <v>0</v>
      </c>
      <c r="L912">
        <f>IF('Raw Data'!N912&lt;&gt;0,'Raw Data'!N912,IFERROR(VALUE(MID(F912,SEARCH("QTY",F912)+4,IFERROR(FIND(" ",F912,SEARCH("QTY",F912)+4)-(SEARCH("QTY",F912)+4),3))),""))</f>
        <v>0</v>
      </c>
      <c r="M912">
        <f>'Raw Data'!O912</f>
        <v>0</v>
      </c>
      <c r="N912">
        <f>'Raw Data'!P912</f>
        <v>0</v>
      </c>
      <c r="O912">
        <f>'Raw Data'!Q912</f>
        <v>0</v>
      </c>
      <c r="P912">
        <f>'Raw Data'!R912</f>
        <v>0</v>
      </c>
      <c r="Q912">
        <f>'Raw Data'!S912</f>
        <v>0</v>
      </c>
      <c r="R912">
        <f>'Raw Data'!T912</f>
        <v>0</v>
      </c>
      <c r="S912">
        <f>IFERROR(O912,0)+IFERROR(R912,0)</f>
        <v>0</v>
      </c>
      <c r="T912">
        <f>IF(A912="","",YEAR(A912))</f>
        <v>0</v>
      </c>
    </row>
    <row r="913" spans="1:20">
      <c r="A913">
        <f>'Raw Data'!B913</f>
        <v>0</v>
      </c>
      <c r="B913">
        <f>'Raw Data'!A913</f>
        <v>0</v>
      </c>
      <c r="C913">
        <f>'Raw Data'!C913</f>
        <v>0</v>
      </c>
      <c r="D913">
        <f>'Raw Data'!D913</f>
        <v>0</v>
      </c>
      <c r="E913">
        <f>IFERROR(VLOOKUP(D913,'Lookup Tables'!$A:$B,2,FALSE),"Unknown")</f>
        <v>0</v>
      </c>
      <c r="F913">
        <f>'Raw Data'!E913</f>
        <v>0</v>
      </c>
      <c r="G913">
        <f>IFERROR(VLOOKUP(D913,'Lookup Tables'!$A:$C,3,FALSE),IF(ISNUMBER(SEARCH("STEEL",F913)),"Steel","Others"))</f>
        <v>0</v>
      </c>
      <c r="H913">
        <f>IF(ISNUMBER(SEARCH("scrubber",F913)) , "Scrubber", IF(ISNUMBER(SEARCH("container",F913)),"Container", IF(ISNUMBER(SEARCH("basket",F913)),"Basket", IF(ISNUMBER(SEARCH("lunch",F913)),"Lunch Box", IF(ISNUMBER(SEARCH("cutlery",F913)),"Cutlery","Other")))))</f>
        <v>0</v>
      </c>
      <c r="I913">
        <f>IF('Raw Data'!G913&lt;&gt;'','Raw Data'!G913,IFERROR(MID(F913,SEARCH("MODEL",F913)+6,20),""))</f>
        <v>0</v>
      </c>
      <c r="J913">
        <f>'Raw Data'!H913</f>
        <v>0</v>
      </c>
      <c r="K913">
        <f>'Raw Data'!I913</f>
        <v>0</v>
      </c>
      <c r="L913">
        <f>IF('Raw Data'!N913&lt;&gt;0,'Raw Data'!N913,IFERROR(VALUE(MID(F913,SEARCH("QTY",F913)+4,IFERROR(FIND(" ",F913,SEARCH("QTY",F913)+4)-(SEARCH("QTY",F913)+4),3))),""))</f>
        <v>0</v>
      </c>
      <c r="M913">
        <f>'Raw Data'!O913</f>
        <v>0</v>
      </c>
      <c r="N913">
        <f>'Raw Data'!P913</f>
        <v>0</v>
      </c>
      <c r="O913">
        <f>'Raw Data'!Q913</f>
        <v>0</v>
      </c>
      <c r="P913">
        <f>'Raw Data'!R913</f>
        <v>0</v>
      </c>
      <c r="Q913">
        <f>'Raw Data'!S913</f>
        <v>0</v>
      </c>
      <c r="R913">
        <f>'Raw Data'!T913</f>
        <v>0</v>
      </c>
      <c r="S913">
        <f>IFERROR(O913,0)+IFERROR(R913,0)</f>
        <v>0</v>
      </c>
      <c r="T913">
        <f>IF(A913="","",YEAR(A913))</f>
        <v>0</v>
      </c>
    </row>
    <row r="914" spans="1:20">
      <c r="A914">
        <f>'Raw Data'!B914</f>
        <v>0</v>
      </c>
      <c r="B914">
        <f>'Raw Data'!A914</f>
        <v>0</v>
      </c>
      <c r="C914">
        <f>'Raw Data'!C914</f>
        <v>0</v>
      </c>
      <c r="D914">
        <f>'Raw Data'!D914</f>
        <v>0</v>
      </c>
      <c r="E914">
        <f>IFERROR(VLOOKUP(D914,'Lookup Tables'!$A:$B,2,FALSE),"Unknown")</f>
        <v>0</v>
      </c>
      <c r="F914">
        <f>'Raw Data'!E914</f>
        <v>0</v>
      </c>
      <c r="G914">
        <f>IFERROR(VLOOKUP(D914,'Lookup Tables'!$A:$C,3,FALSE),IF(ISNUMBER(SEARCH("STEEL",F914)),"Steel","Others"))</f>
        <v>0</v>
      </c>
      <c r="H914">
        <f>IF(ISNUMBER(SEARCH("scrubber",F914)) , "Scrubber", IF(ISNUMBER(SEARCH("container",F914)),"Container", IF(ISNUMBER(SEARCH("basket",F914)),"Basket", IF(ISNUMBER(SEARCH("lunch",F914)),"Lunch Box", IF(ISNUMBER(SEARCH("cutlery",F914)),"Cutlery","Other")))))</f>
        <v>0</v>
      </c>
      <c r="I914">
        <f>IF('Raw Data'!G914&lt;&gt;'','Raw Data'!G914,IFERROR(MID(F914,SEARCH("MODEL",F914)+6,20),""))</f>
        <v>0</v>
      </c>
      <c r="J914">
        <f>'Raw Data'!H914</f>
        <v>0</v>
      </c>
      <c r="K914">
        <f>'Raw Data'!I914</f>
        <v>0</v>
      </c>
      <c r="L914">
        <f>IF('Raw Data'!N914&lt;&gt;0,'Raw Data'!N914,IFERROR(VALUE(MID(F914,SEARCH("QTY",F914)+4,IFERROR(FIND(" ",F914,SEARCH("QTY",F914)+4)-(SEARCH("QTY",F914)+4),3))),""))</f>
        <v>0</v>
      </c>
      <c r="M914">
        <f>'Raw Data'!O914</f>
        <v>0</v>
      </c>
      <c r="N914">
        <f>'Raw Data'!P914</f>
        <v>0</v>
      </c>
      <c r="O914">
        <f>'Raw Data'!Q914</f>
        <v>0</v>
      </c>
      <c r="P914">
        <f>'Raw Data'!R914</f>
        <v>0</v>
      </c>
      <c r="Q914">
        <f>'Raw Data'!S914</f>
        <v>0</v>
      </c>
      <c r="R914">
        <f>'Raw Data'!T914</f>
        <v>0</v>
      </c>
      <c r="S914">
        <f>IFERROR(O914,0)+IFERROR(R914,0)</f>
        <v>0</v>
      </c>
      <c r="T914">
        <f>IF(A914="","",YEAR(A914))</f>
        <v>0</v>
      </c>
    </row>
    <row r="915" spans="1:20">
      <c r="A915">
        <f>'Raw Data'!B915</f>
        <v>0</v>
      </c>
      <c r="B915">
        <f>'Raw Data'!A915</f>
        <v>0</v>
      </c>
      <c r="C915">
        <f>'Raw Data'!C915</f>
        <v>0</v>
      </c>
      <c r="D915">
        <f>'Raw Data'!D915</f>
        <v>0</v>
      </c>
      <c r="E915">
        <f>IFERROR(VLOOKUP(D915,'Lookup Tables'!$A:$B,2,FALSE),"Unknown")</f>
        <v>0</v>
      </c>
      <c r="F915">
        <f>'Raw Data'!E915</f>
        <v>0</v>
      </c>
      <c r="G915">
        <f>IFERROR(VLOOKUP(D915,'Lookup Tables'!$A:$C,3,FALSE),IF(ISNUMBER(SEARCH("STEEL",F915)),"Steel","Others"))</f>
        <v>0</v>
      </c>
      <c r="H915">
        <f>IF(ISNUMBER(SEARCH("scrubber",F915)) , "Scrubber", IF(ISNUMBER(SEARCH("container",F915)),"Container", IF(ISNUMBER(SEARCH("basket",F915)),"Basket", IF(ISNUMBER(SEARCH("lunch",F915)),"Lunch Box", IF(ISNUMBER(SEARCH("cutlery",F915)),"Cutlery","Other")))))</f>
        <v>0</v>
      </c>
      <c r="I915">
        <f>IF('Raw Data'!G915&lt;&gt;'','Raw Data'!G915,IFERROR(MID(F915,SEARCH("MODEL",F915)+6,20),""))</f>
        <v>0</v>
      </c>
      <c r="J915">
        <f>'Raw Data'!H915</f>
        <v>0</v>
      </c>
      <c r="K915">
        <f>'Raw Data'!I915</f>
        <v>0</v>
      </c>
      <c r="L915">
        <f>IF('Raw Data'!N915&lt;&gt;0,'Raw Data'!N915,IFERROR(VALUE(MID(F915,SEARCH("QTY",F915)+4,IFERROR(FIND(" ",F915,SEARCH("QTY",F915)+4)-(SEARCH("QTY",F915)+4),3))),""))</f>
        <v>0</v>
      </c>
      <c r="M915">
        <f>'Raw Data'!O915</f>
        <v>0</v>
      </c>
      <c r="N915">
        <f>'Raw Data'!P915</f>
        <v>0</v>
      </c>
      <c r="O915">
        <f>'Raw Data'!Q915</f>
        <v>0</v>
      </c>
      <c r="P915">
        <f>'Raw Data'!R915</f>
        <v>0</v>
      </c>
      <c r="Q915">
        <f>'Raw Data'!S915</f>
        <v>0</v>
      </c>
      <c r="R915">
        <f>'Raw Data'!T915</f>
        <v>0</v>
      </c>
      <c r="S915">
        <f>IFERROR(O915,0)+IFERROR(R915,0)</f>
        <v>0</v>
      </c>
      <c r="T915">
        <f>IF(A915="","",YEAR(A915))</f>
        <v>0</v>
      </c>
    </row>
    <row r="916" spans="1:20">
      <c r="A916">
        <f>'Raw Data'!B916</f>
        <v>0</v>
      </c>
      <c r="B916">
        <f>'Raw Data'!A916</f>
        <v>0</v>
      </c>
      <c r="C916">
        <f>'Raw Data'!C916</f>
        <v>0</v>
      </c>
      <c r="D916">
        <f>'Raw Data'!D916</f>
        <v>0</v>
      </c>
      <c r="E916">
        <f>IFERROR(VLOOKUP(D916,'Lookup Tables'!$A:$B,2,FALSE),"Unknown")</f>
        <v>0</v>
      </c>
      <c r="F916">
        <f>'Raw Data'!E916</f>
        <v>0</v>
      </c>
      <c r="G916">
        <f>IFERROR(VLOOKUP(D916,'Lookup Tables'!$A:$C,3,FALSE),IF(ISNUMBER(SEARCH("STEEL",F916)),"Steel","Others"))</f>
        <v>0</v>
      </c>
      <c r="H916">
        <f>IF(ISNUMBER(SEARCH("scrubber",F916)) , "Scrubber", IF(ISNUMBER(SEARCH("container",F916)),"Container", IF(ISNUMBER(SEARCH("basket",F916)),"Basket", IF(ISNUMBER(SEARCH("lunch",F916)),"Lunch Box", IF(ISNUMBER(SEARCH("cutlery",F916)),"Cutlery","Other")))))</f>
        <v>0</v>
      </c>
      <c r="I916">
        <f>IF('Raw Data'!G916&lt;&gt;'','Raw Data'!G916,IFERROR(MID(F916,SEARCH("MODEL",F916)+6,20),""))</f>
        <v>0</v>
      </c>
      <c r="J916">
        <f>'Raw Data'!H916</f>
        <v>0</v>
      </c>
      <c r="K916">
        <f>'Raw Data'!I916</f>
        <v>0</v>
      </c>
      <c r="L916">
        <f>IF('Raw Data'!N916&lt;&gt;0,'Raw Data'!N916,IFERROR(VALUE(MID(F916,SEARCH("QTY",F916)+4,IFERROR(FIND(" ",F916,SEARCH("QTY",F916)+4)-(SEARCH("QTY",F916)+4),3))),""))</f>
        <v>0</v>
      </c>
      <c r="M916">
        <f>'Raw Data'!O916</f>
        <v>0</v>
      </c>
      <c r="N916">
        <f>'Raw Data'!P916</f>
        <v>0</v>
      </c>
      <c r="O916">
        <f>'Raw Data'!Q916</f>
        <v>0</v>
      </c>
      <c r="P916">
        <f>'Raw Data'!R916</f>
        <v>0</v>
      </c>
      <c r="Q916">
        <f>'Raw Data'!S916</f>
        <v>0</v>
      </c>
      <c r="R916">
        <f>'Raw Data'!T916</f>
        <v>0</v>
      </c>
      <c r="S916">
        <f>IFERROR(O916,0)+IFERROR(R916,0)</f>
        <v>0</v>
      </c>
      <c r="T916">
        <f>IF(A916="","",YEAR(A916))</f>
        <v>0</v>
      </c>
    </row>
    <row r="917" spans="1:20">
      <c r="A917">
        <f>'Raw Data'!B917</f>
        <v>0</v>
      </c>
      <c r="B917">
        <f>'Raw Data'!A917</f>
        <v>0</v>
      </c>
      <c r="C917">
        <f>'Raw Data'!C917</f>
        <v>0</v>
      </c>
      <c r="D917">
        <f>'Raw Data'!D917</f>
        <v>0</v>
      </c>
      <c r="E917">
        <f>IFERROR(VLOOKUP(D917,'Lookup Tables'!$A:$B,2,FALSE),"Unknown")</f>
        <v>0</v>
      </c>
      <c r="F917">
        <f>'Raw Data'!E917</f>
        <v>0</v>
      </c>
      <c r="G917">
        <f>IFERROR(VLOOKUP(D917,'Lookup Tables'!$A:$C,3,FALSE),IF(ISNUMBER(SEARCH("STEEL",F917)),"Steel","Others"))</f>
        <v>0</v>
      </c>
      <c r="H917">
        <f>IF(ISNUMBER(SEARCH("scrubber",F917)) , "Scrubber", IF(ISNUMBER(SEARCH("container",F917)),"Container", IF(ISNUMBER(SEARCH("basket",F917)),"Basket", IF(ISNUMBER(SEARCH("lunch",F917)),"Lunch Box", IF(ISNUMBER(SEARCH("cutlery",F917)),"Cutlery","Other")))))</f>
        <v>0</v>
      </c>
      <c r="I917">
        <f>IF('Raw Data'!G917&lt;&gt;'','Raw Data'!G917,IFERROR(MID(F917,SEARCH("MODEL",F917)+6,20),""))</f>
        <v>0</v>
      </c>
      <c r="J917">
        <f>'Raw Data'!H917</f>
        <v>0</v>
      </c>
      <c r="K917">
        <f>'Raw Data'!I917</f>
        <v>0</v>
      </c>
      <c r="L917">
        <f>IF('Raw Data'!N917&lt;&gt;0,'Raw Data'!N917,IFERROR(VALUE(MID(F917,SEARCH("QTY",F917)+4,IFERROR(FIND(" ",F917,SEARCH("QTY",F917)+4)-(SEARCH("QTY",F917)+4),3))),""))</f>
        <v>0</v>
      </c>
      <c r="M917">
        <f>'Raw Data'!O917</f>
        <v>0</v>
      </c>
      <c r="N917">
        <f>'Raw Data'!P917</f>
        <v>0</v>
      </c>
      <c r="O917">
        <f>'Raw Data'!Q917</f>
        <v>0</v>
      </c>
      <c r="P917">
        <f>'Raw Data'!R917</f>
        <v>0</v>
      </c>
      <c r="Q917">
        <f>'Raw Data'!S917</f>
        <v>0</v>
      </c>
      <c r="R917">
        <f>'Raw Data'!T917</f>
        <v>0</v>
      </c>
      <c r="S917">
        <f>IFERROR(O917,0)+IFERROR(R917,0)</f>
        <v>0</v>
      </c>
      <c r="T917">
        <f>IF(A917="","",YEAR(A917))</f>
        <v>0</v>
      </c>
    </row>
    <row r="918" spans="1:20">
      <c r="A918">
        <f>'Raw Data'!B918</f>
        <v>0</v>
      </c>
      <c r="B918">
        <f>'Raw Data'!A918</f>
        <v>0</v>
      </c>
      <c r="C918">
        <f>'Raw Data'!C918</f>
        <v>0</v>
      </c>
      <c r="D918">
        <f>'Raw Data'!D918</f>
        <v>0</v>
      </c>
      <c r="E918">
        <f>IFERROR(VLOOKUP(D918,'Lookup Tables'!$A:$B,2,FALSE),"Unknown")</f>
        <v>0</v>
      </c>
      <c r="F918">
        <f>'Raw Data'!E918</f>
        <v>0</v>
      </c>
      <c r="G918">
        <f>IFERROR(VLOOKUP(D918,'Lookup Tables'!$A:$C,3,FALSE),IF(ISNUMBER(SEARCH("STEEL",F918)),"Steel","Others"))</f>
        <v>0</v>
      </c>
      <c r="H918">
        <f>IF(ISNUMBER(SEARCH("scrubber",F918)) , "Scrubber", IF(ISNUMBER(SEARCH("container",F918)),"Container", IF(ISNUMBER(SEARCH("basket",F918)),"Basket", IF(ISNUMBER(SEARCH("lunch",F918)),"Lunch Box", IF(ISNUMBER(SEARCH("cutlery",F918)),"Cutlery","Other")))))</f>
        <v>0</v>
      </c>
      <c r="I918">
        <f>IF('Raw Data'!G918&lt;&gt;'','Raw Data'!G918,IFERROR(MID(F918,SEARCH("MODEL",F918)+6,20),""))</f>
        <v>0</v>
      </c>
      <c r="J918">
        <f>'Raw Data'!H918</f>
        <v>0</v>
      </c>
      <c r="K918">
        <f>'Raw Data'!I918</f>
        <v>0</v>
      </c>
      <c r="L918">
        <f>IF('Raw Data'!N918&lt;&gt;0,'Raw Data'!N918,IFERROR(VALUE(MID(F918,SEARCH("QTY",F918)+4,IFERROR(FIND(" ",F918,SEARCH("QTY",F918)+4)-(SEARCH("QTY",F918)+4),3))),""))</f>
        <v>0</v>
      </c>
      <c r="M918">
        <f>'Raw Data'!O918</f>
        <v>0</v>
      </c>
      <c r="N918">
        <f>'Raw Data'!P918</f>
        <v>0</v>
      </c>
      <c r="O918">
        <f>'Raw Data'!Q918</f>
        <v>0</v>
      </c>
      <c r="P918">
        <f>'Raw Data'!R918</f>
        <v>0</v>
      </c>
      <c r="Q918">
        <f>'Raw Data'!S918</f>
        <v>0</v>
      </c>
      <c r="R918">
        <f>'Raw Data'!T918</f>
        <v>0</v>
      </c>
      <c r="S918">
        <f>IFERROR(O918,0)+IFERROR(R918,0)</f>
        <v>0</v>
      </c>
      <c r="T918">
        <f>IF(A918="","",YEAR(A918))</f>
        <v>0</v>
      </c>
    </row>
    <row r="919" spans="1:20">
      <c r="A919">
        <f>'Raw Data'!B919</f>
        <v>0</v>
      </c>
      <c r="B919">
        <f>'Raw Data'!A919</f>
        <v>0</v>
      </c>
      <c r="C919">
        <f>'Raw Data'!C919</f>
        <v>0</v>
      </c>
      <c r="D919">
        <f>'Raw Data'!D919</f>
        <v>0</v>
      </c>
      <c r="E919">
        <f>IFERROR(VLOOKUP(D919,'Lookup Tables'!$A:$B,2,FALSE),"Unknown")</f>
        <v>0</v>
      </c>
      <c r="F919">
        <f>'Raw Data'!E919</f>
        <v>0</v>
      </c>
      <c r="G919">
        <f>IFERROR(VLOOKUP(D919,'Lookup Tables'!$A:$C,3,FALSE),IF(ISNUMBER(SEARCH("STEEL",F919)),"Steel","Others"))</f>
        <v>0</v>
      </c>
      <c r="H919">
        <f>IF(ISNUMBER(SEARCH("scrubber",F919)) , "Scrubber", IF(ISNUMBER(SEARCH("container",F919)),"Container", IF(ISNUMBER(SEARCH("basket",F919)),"Basket", IF(ISNUMBER(SEARCH("lunch",F919)),"Lunch Box", IF(ISNUMBER(SEARCH("cutlery",F919)),"Cutlery","Other")))))</f>
        <v>0</v>
      </c>
      <c r="I919">
        <f>IF('Raw Data'!G919&lt;&gt;'','Raw Data'!G919,IFERROR(MID(F919,SEARCH("MODEL",F919)+6,20),""))</f>
        <v>0</v>
      </c>
      <c r="J919">
        <f>'Raw Data'!H919</f>
        <v>0</v>
      </c>
      <c r="K919">
        <f>'Raw Data'!I919</f>
        <v>0</v>
      </c>
      <c r="L919">
        <f>IF('Raw Data'!N919&lt;&gt;0,'Raw Data'!N919,IFERROR(VALUE(MID(F919,SEARCH("QTY",F919)+4,IFERROR(FIND(" ",F919,SEARCH("QTY",F919)+4)-(SEARCH("QTY",F919)+4),3))),""))</f>
        <v>0</v>
      </c>
      <c r="M919">
        <f>'Raw Data'!O919</f>
        <v>0</v>
      </c>
      <c r="N919">
        <f>'Raw Data'!P919</f>
        <v>0</v>
      </c>
      <c r="O919">
        <f>'Raw Data'!Q919</f>
        <v>0</v>
      </c>
      <c r="P919">
        <f>'Raw Data'!R919</f>
        <v>0</v>
      </c>
      <c r="Q919">
        <f>'Raw Data'!S919</f>
        <v>0</v>
      </c>
      <c r="R919">
        <f>'Raw Data'!T919</f>
        <v>0</v>
      </c>
      <c r="S919">
        <f>IFERROR(O919,0)+IFERROR(R919,0)</f>
        <v>0</v>
      </c>
      <c r="T919">
        <f>IF(A919="","",YEAR(A919))</f>
        <v>0</v>
      </c>
    </row>
    <row r="920" spans="1:20">
      <c r="A920">
        <f>'Raw Data'!B920</f>
        <v>0</v>
      </c>
      <c r="B920">
        <f>'Raw Data'!A920</f>
        <v>0</v>
      </c>
      <c r="C920">
        <f>'Raw Data'!C920</f>
        <v>0</v>
      </c>
      <c r="D920">
        <f>'Raw Data'!D920</f>
        <v>0</v>
      </c>
      <c r="E920">
        <f>IFERROR(VLOOKUP(D920,'Lookup Tables'!$A:$B,2,FALSE),"Unknown")</f>
        <v>0</v>
      </c>
      <c r="F920">
        <f>'Raw Data'!E920</f>
        <v>0</v>
      </c>
      <c r="G920">
        <f>IFERROR(VLOOKUP(D920,'Lookup Tables'!$A:$C,3,FALSE),IF(ISNUMBER(SEARCH("STEEL",F920)),"Steel","Others"))</f>
        <v>0</v>
      </c>
      <c r="H920">
        <f>IF(ISNUMBER(SEARCH("scrubber",F920)) , "Scrubber", IF(ISNUMBER(SEARCH("container",F920)),"Container", IF(ISNUMBER(SEARCH("basket",F920)),"Basket", IF(ISNUMBER(SEARCH("lunch",F920)),"Lunch Box", IF(ISNUMBER(SEARCH("cutlery",F920)),"Cutlery","Other")))))</f>
        <v>0</v>
      </c>
      <c r="I920">
        <f>IF('Raw Data'!G920&lt;&gt;'','Raw Data'!G920,IFERROR(MID(F920,SEARCH("MODEL",F920)+6,20),""))</f>
        <v>0</v>
      </c>
      <c r="J920">
        <f>'Raw Data'!H920</f>
        <v>0</v>
      </c>
      <c r="K920">
        <f>'Raw Data'!I920</f>
        <v>0</v>
      </c>
      <c r="L920">
        <f>IF('Raw Data'!N920&lt;&gt;0,'Raw Data'!N920,IFERROR(VALUE(MID(F920,SEARCH("QTY",F920)+4,IFERROR(FIND(" ",F920,SEARCH("QTY",F920)+4)-(SEARCH("QTY",F920)+4),3))),""))</f>
        <v>0</v>
      </c>
      <c r="M920">
        <f>'Raw Data'!O920</f>
        <v>0</v>
      </c>
      <c r="N920">
        <f>'Raw Data'!P920</f>
        <v>0</v>
      </c>
      <c r="O920">
        <f>'Raw Data'!Q920</f>
        <v>0</v>
      </c>
      <c r="P920">
        <f>'Raw Data'!R920</f>
        <v>0</v>
      </c>
      <c r="Q920">
        <f>'Raw Data'!S920</f>
        <v>0</v>
      </c>
      <c r="R920">
        <f>'Raw Data'!T920</f>
        <v>0</v>
      </c>
      <c r="S920">
        <f>IFERROR(O920,0)+IFERROR(R920,0)</f>
        <v>0</v>
      </c>
      <c r="T920">
        <f>IF(A920="","",YEAR(A920))</f>
        <v>0</v>
      </c>
    </row>
    <row r="921" spans="1:20">
      <c r="A921">
        <f>'Raw Data'!B921</f>
        <v>0</v>
      </c>
      <c r="B921">
        <f>'Raw Data'!A921</f>
        <v>0</v>
      </c>
      <c r="C921">
        <f>'Raw Data'!C921</f>
        <v>0</v>
      </c>
      <c r="D921">
        <f>'Raw Data'!D921</f>
        <v>0</v>
      </c>
      <c r="E921">
        <f>IFERROR(VLOOKUP(D921,'Lookup Tables'!$A:$B,2,FALSE),"Unknown")</f>
        <v>0</v>
      </c>
      <c r="F921">
        <f>'Raw Data'!E921</f>
        <v>0</v>
      </c>
      <c r="G921">
        <f>IFERROR(VLOOKUP(D921,'Lookup Tables'!$A:$C,3,FALSE),IF(ISNUMBER(SEARCH("STEEL",F921)),"Steel","Others"))</f>
        <v>0</v>
      </c>
      <c r="H921">
        <f>IF(ISNUMBER(SEARCH("scrubber",F921)) , "Scrubber", IF(ISNUMBER(SEARCH("container",F921)),"Container", IF(ISNUMBER(SEARCH("basket",F921)),"Basket", IF(ISNUMBER(SEARCH("lunch",F921)),"Lunch Box", IF(ISNUMBER(SEARCH("cutlery",F921)),"Cutlery","Other")))))</f>
        <v>0</v>
      </c>
      <c r="I921">
        <f>IF('Raw Data'!G921&lt;&gt;'','Raw Data'!G921,IFERROR(MID(F921,SEARCH("MODEL",F921)+6,20),""))</f>
        <v>0</v>
      </c>
      <c r="J921">
        <f>'Raw Data'!H921</f>
        <v>0</v>
      </c>
      <c r="K921">
        <f>'Raw Data'!I921</f>
        <v>0</v>
      </c>
      <c r="L921">
        <f>IF('Raw Data'!N921&lt;&gt;0,'Raw Data'!N921,IFERROR(VALUE(MID(F921,SEARCH("QTY",F921)+4,IFERROR(FIND(" ",F921,SEARCH("QTY",F921)+4)-(SEARCH("QTY",F921)+4),3))),""))</f>
        <v>0</v>
      </c>
      <c r="M921">
        <f>'Raw Data'!O921</f>
        <v>0</v>
      </c>
      <c r="N921">
        <f>'Raw Data'!P921</f>
        <v>0</v>
      </c>
      <c r="O921">
        <f>'Raw Data'!Q921</f>
        <v>0</v>
      </c>
      <c r="P921">
        <f>'Raw Data'!R921</f>
        <v>0</v>
      </c>
      <c r="Q921">
        <f>'Raw Data'!S921</f>
        <v>0</v>
      </c>
      <c r="R921">
        <f>'Raw Data'!T921</f>
        <v>0</v>
      </c>
      <c r="S921">
        <f>IFERROR(O921,0)+IFERROR(R921,0)</f>
        <v>0</v>
      </c>
      <c r="T921">
        <f>IF(A921="","",YEAR(A921))</f>
        <v>0</v>
      </c>
    </row>
    <row r="922" spans="1:20">
      <c r="A922">
        <f>'Raw Data'!B922</f>
        <v>0</v>
      </c>
      <c r="B922">
        <f>'Raw Data'!A922</f>
        <v>0</v>
      </c>
      <c r="C922">
        <f>'Raw Data'!C922</f>
        <v>0</v>
      </c>
      <c r="D922">
        <f>'Raw Data'!D922</f>
        <v>0</v>
      </c>
      <c r="E922">
        <f>IFERROR(VLOOKUP(D922,'Lookup Tables'!$A:$B,2,FALSE),"Unknown")</f>
        <v>0</v>
      </c>
      <c r="F922">
        <f>'Raw Data'!E922</f>
        <v>0</v>
      </c>
      <c r="G922">
        <f>IFERROR(VLOOKUP(D922,'Lookup Tables'!$A:$C,3,FALSE),IF(ISNUMBER(SEARCH("STEEL",F922)),"Steel","Others"))</f>
        <v>0</v>
      </c>
      <c r="H922">
        <f>IF(ISNUMBER(SEARCH("scrubber",F922)) , "Scrubber", IF(ISNUMBER(SEARCH("container",F922)),"Container", IF(ISNUMBER(SEARCH("basket",F922)),"Basket", IF(ISNUMBER(SEARCH("lunch",F922)),"Lunch Box", IF(ISNUMBER(SEARCH("cutlery",F922)),"Cutlery","Other")))))</f>
        <v>0</v>
      </c>
      <c r="I922">
        <f>IF('Raw Data'!G922&lt;&gt;'','Raw Data'!G922,IFERROR(MID(F922,SEARCH("MODEL",F922)+6,20),""))</f>
        <v>0</v>
      </c>
      <c r="J922">
        <f>'Raw Data'!H922</f>
        <v>0</v>
      </c>
      <c r="K922">
        <f>'Raw Data'!I922</f>
        <v>0</v>
      </c>
      <c r="L922">
        <f>IF('Raw Data'!N922&lt;&gt;0,'Raw Data'!N922,IFERROR(VALUE(MID(F922,SEARCH("QTY",F922)+4,IFERROR(FIND(" ",F922,SEARCH("QTY",F922)+4)-(SEARCH("QTY",F922)+4),3))),""))</f>
        <v>0</v>
      </c>
      <c r="M922">
        <f>'Raw Data'!O922</f>
        <v>0</v>
      </c>
      <c r="N922">
        <f>'Raw Data'!P922</f>
        <v>0</v>
      </c>
      <c r="O922">
        <f>'Raw Data'!Q922</f>
        <v>0</v>
      </c>
      <c r="P922">
        <f>'Raw Data'!R922</f>
        <v>0</v>
      </c>
      <c r="Q922">
        <f>'Raw Data'!S922</f>
        <v>0</v>
      </c>
      <c r="R922">
        <f>'Raw Data'!T922</f>
        <v>0</v>
      </c>
      <c r="S922">
        <f>IFERROR(O922,0)+IFERROR(R922,0)</f>
        <v>0</v>
      </c>
      <c r="T922">
        <f>IF(A922="","",YEAR(A922))</f>
        <v>0</v>
      </c>
    </row>
    <row r="923" spans="1:20">
      <c r="A923">
        <f>'Raw Data'!B923</f>
        <v>0</v>
      </c>
      <c r="B923">
        <f>'Raw Data'!A923</f>
        <v>0</v>
      </c>
      <c r="C923">
        <f>'Raw Data'!C923</f>
        <v>0</v>
      </c>
      <c r="D923">
        <f>'Raw Data'!D923</f>
        <v>0</v>
      </c>
      <c r="E923">
        <f>IFERROR(VLOOKUP(D923,'Lookup Tables'!$A:$B,2,FALSE),"Unknown")</f>
        <v>0</v>
      </c>
      <c r="F923">
        <f>'Raw Data'!E923</f>
        <v>0</v>
      </c>
      <c r="G923">
        <f>IFERROR(VLOOKUP(D923,'Lookup Tables'!$A:$C,3,FALSE),IF(ISNUMBER(SEARCH("STEEL",F923)),"Steel","Others"))</f>
        <v>0</v>
      </c>
      <c r="H923">
        <f>IF(ISNUMBER(SEARCH("scrubber",F923)) , "Scrubber", IF(ISNUMBER(SEARCH("container",F923)),"Container", IF(ISNUMBER(SEARCH("basket",F923)),"Basket", IF(ISNUMBER(SEARCH("lunch",F923)),"Lunch Box", IF(ISNUMBER(SEARCH("cutlery",F923)),"Cutlery","Other")))))</f>
        <v>0</v>
      </c>
      <c r="I923">
        <f>IF('Raw Data'!G923&lt;&gt;'','Raw Data'!G923,IFERROR(MID(F923,SEARCH("MODEL",F923)+6,20),""))</f>
        <v>0</v>
      </c>
      <c r="J923">
        <f>'Raw Data'!H923</f>
        <v>0</v>
      </c>
      <c r="K923">
        <f>'Raw Data'!I923</f>
        <v>0</v>
      </c>
      <c r="L923">
        <f>IF('Raw Data'!N923&lt;&gt;0,'Raw Data'!N923,IFERROR(VALUE(MID(F923,SEARCH("QTY",F923)+4,IFERROR(FIND(" ",F923,SEARCH("QTY",F923)+4)-(SEARCH("QTY",F923)+4),3))),""))</f>
        <v>0</v>
      </c>
      <c r="M923">
        <f>'Raw Data'!O923</f>
        <v>0</v>
      </c>
      <c r="N923">
        <f>'Raw Data'!P923</f>
        <v>0</v>
      </c>
      <c r="O923">
        <f>'Raw Data'!Q923</f>
        <v>0</v>
      </c>
      <c r="P923">
        <f>'Raw Data'!R923</f>
        <v>0</v>
      </c>
      <c r="Q923">
        <f>'Raw Data'!S923</f>
        <v>0</v>
      </c>
      <c r="R923">
        <f>'Raw Data'!T923</f>
        <v>0</v>
      </c>
      <c r="S923">
        <f>IFERROR(O923,0)+IFERROR(R923,0)</f>
        <v>0</v>
      </c>
      <c r="T923">
        <f>IF(A923="","",YEAR(A923))</f>
        <v>0</v>
      </c>
    </row>
    <row r="924" spans="1:20">
      <c r="A924">
        <f>'Raw Data'!B924</f>
        <v>0</v>
      </c>
      <c r="B924">
        <f>'Raw Data'!A924</f>
        <v>0</v>
      </c>
      <c r="C924">
        <f>'Raw Data'!C924</f>
        <v>0</v>
      </c>
      <c r="D924">
        <f>'Raw Data'!D924</f>
        <v>0</v>
      </c>
      <c r="E924">
        <f>IFERROR(VLOOKUP(D924,'Lookup Tables'!$A:$B,2,FALSE),"Unknown")</f>
        <v>0</v>
      </c>
      <c r="F924">
        <f>'Raw Data'!E924</f>
        <v>0</v>
      </c>
      <c r="G924">
        <f>IFERROR(VLOOKUP(D924,'Lookup Tables'!$A:$C,3,FALSE),IF(ISNUMBER(SEARCH("STEEL",F924)),"Steel","Others"))</f>
        <v>0</v>
      </c>
      <c r="H924">
        <f>IF(ISNUMBER(SEARCH("scrubber",F924)) , "Scrubber", IF(ISNUMBER(SEARCH("container",F924)),"Container", IF(ISNUMBER(SEARCH("basket",F924)),"Basket", IF(ISNUMBER(SEARCH("lunch",F924)),"Lunch Box", IF(ISNUMBER(SEARCH("cutlery",F924)),"Cutlery","Other")))))</f>
        <v>0</v>
      </c>
      <c r="I924">
        <f>IF('Raw Data'!G924&lt;&gt;'','Raw Data'!G924,IFERROR(MID(F924,SEARCH("MODEL",F924)+6,20),""))</f>
        <v>0</v>
      </c>
      <c r="J924">
        <f>'Raw Data'!H924</f>
        <v>0</v>
      </c>
      <c r="K924">
        <f>'Raw Data'!I924</f>
        <v>0</v>
      </c>
      <c r="L924">
        <f>IF('Raw Data'!N924&lt;&gt;0,'Raw Data'!N924,IFERROR(VALUE(MID(F924,SEARCH("QTY",F924)+4,IFERROR(FIND(" ",F924,SEARCH("QTY",F924)+4)-(SEARCH("QTY",F924)+4),3))),""))</f>
        <v>0</v>
      </c>
      <c r="M924">
        <f>'Raw Data'!O924</f>
        <v>0</v>
      </c>
      <c r="N924">
        <f>'Raw Data'!P924</f>
        <v>0</v>
      </c>
      <c r="O924">
        <f>'Raw Data'!Q924</f>
        <v>0</v>
      </c>
      <c r="P924">
        <f>'Raw Data'!R924</f>
        <v>0</v>
      </c>
      <c r="Q924">
        <f>'Raw Data'!S924</f>
        <v>0</v>
      </c>
      <c r="R924">
        <f>'Raw Data'!T924</f>
        <v>0</v>
      </c>
      <c r="S924">
        <f>IFERROR(O924,0)+IFERROR(R924,0)</f>
        <v>0</v>
      </c>
      <c r="T924">
        <f>IF(A924="","",YEAR(A924))</f>
        <v>0</v>
      </c>
    </row>
    <row r="925" spans="1:20">
      <c r="A925">
        <f>'Raw Data'!B925</f>
        <v>0</v>
      </c>
      <c r="B925">
        <f>'Raw Data'!A925</f>
        <v>0</v>
      </c>
      <c r="C925">
        <f>'Raw Data'!C925</f>
        <v>0</v>
      </c>
      <c r="D925">
        <f>'Raw Data'!D925</f>
        <v>0</v>
      </c>
      <c r="E925">
        <f>IFERROR(VLOOKUP(D925,'Lookup Tables'!$A:$B,2,FALSE),"Unknown")</f>
        <v>0</v>
      </c>
      <c r="F925">
        <f>'Raw Data'!E925</f>
        <v>0</v>
      </c>
      <c r="G925">
        <f>IFERROR(VLOOKUP(D925,'Lookup Tables'!$A:$C,3,FALSE),IF(ISNUMBER(SEARCH("STEEL",F925)),"Steel","Others"))</f>
        <v>0</v>
      </c>
      <c r="H925">
        <f>IF(ISNUMBER(SEARCH("scrubber",F925)) , "Scrubber", IF(ISNUMBER(SEARCH("container",F925)),"Container", IF(ISNUMBER(SEARCH("basket",F925)),"Basket", IF(ISNUMBER(SEARCH("lunch",F925)),"Lunch Box", IF(ISNUMBER(SEARCH("cutlery",F925)),"Cutlery","Other")))))</f>
        <v>0</v>
      </c>
      <c r="I925">
        <f>IF('Raw Data'!G925&lt;&gt;'','Raw Data'!G925,IFERROR(MID(F925,SEARCH("MODEL",F925)+6,20),""))</f>
        <v>0</v>
      </c>
      <c r="J925">
        <f>'Raw Data'!H925</f>
        <v>0</v>
      </c>
      <c r="K925">
        <f>'Raw Data'!I925</f>
        <v>0</v>
      </c>
      <c r="L925">
        <f>IF('Raw Data'!N925&lt;&gt;0,'Raw Data'!N925,IFERROR(VALUE(MID(F925,SEARCH("QTY",F925)+4,IFERROR(FIND(" ",F925,SEARCH("QTY",F925)+4)-(SEARCH("QTY",F925)+4),3))),""))</f>
        <v>0</v>
      </c>
      <c r="M925">
        <f>'Raw Data'!O925</f>
        <v>0</v>
      </c>
      <c r="N925">
        <f>'Raw Data'!P925</f>
        <v>0</v>
      </c>
      <c r="O925">
        <f>'Raw Data'!Q925</f>
        <v>0</v>
      </c>
      <c r="P925">
        <f>'Raw Data'!R925</f>
        <v>0</v>
      </c>
      <c r="Q925">
        <f>'Raw Data'!S925</f>
        <v>0</v>
      </c>
      <c r="R925">
        <f>'Raw Data'!T925</f>
        <v>0</v>
      </c>
      <c r="S925">
        <f>IFERROR(O925,0)+IFERROR(R925,0)</f>
        <v>0</v>
      </c>
      <c r="T925">
        <f>IF(A925="","",YEAR(A925))</f>
        <v>0</v>
      </c>
    </row>
    <row r="926" spans="1:20">
      <c r="A926">
        <f>'Raw Data'!B926</f>
        <v>0</v>
      </c>
      <c r="B926">
        <f>'Raw Data'!A926</f>
        <v>0</v>
      </c>
      <c r="C926">
        <f>'Raw Data'!C926</f>
        <v>0</v>
      </c>
      <c r="D926">
        <f>'Raw Data'!D926</f>
        <v>0</v>
      </c>
      <c r="E926">
        <f>IFERROR(VLOOKUP(D926,'Lookup Tables'!$A:$B,2,FALSE),"Unknown")</f>
        <v>0</v>
      </c>
      <c r="F926">
        <f>'Raw Data'!E926</f>
        <v>0</v>
      </c>
      <c r="G926">
        <f>IFERROR(VLOOKUP(D926,'Lookup Tables'!$A:$C,3,FALSE),IF(ISNUMBER(SEARCH("STEEL",F926)),"Steel","Others"))</f>
        <v>0</v>
      </c>
      <c r="H926">
        <f>IF(ISNUMBER(SEARCH("scrubber",F926)) , "Scrubber", IF(ISNUMBER(SEARCH("container",F926)),"Container", IF(ISNUMBER(SEARCH("basket",F926)),"Basket", IF(ISNUMBER(SEARCH("lunch",F926)),"Lunch Box", IF(ISNUMBER(SEARCH("cutlery",F926)),"Cutlery","Other")))))</f>
        <v>0</v>
      </c>
      <c r="I926">
        <f>IF('Raw Data'!G926&lt;&gt;'','Raw Data'!G926,IFERROR(MID(F926,SEARCH("MODEL",F926)+6,20),""))</f>
        <v>0</v>
      </c>
      <c r="J926">
        <f>'Raw Data'!H926</f>
        <v>0</v>
      </c>
      <c r="K926">
        <f>'Raw Data'!I926</f>
        <v>0</v>
      </c>
      <c r="L926">
        <f>IF('Raw Data'!N926&lt;&gt;0,'Raw Data'!N926,IFERROR(VALUE(MID(F926,SEARCH("QTY",F926)+4,IFERROR(FIND(" ",F926,SEARCH("QTY",F926)+4)-(SEARCH("QTY",F926)+4),3))),""))</f>
        <v>0</v>
      </c>
      <c r="M926">
        <f>'Raw Data'!O926</f>
        <v>0</v>
      </c>
      <c r="N926">
        <f>'Raw Data'!P926</f>
        <v>0</v>
      </c>
      <c r="O926">
        <f>'Raw Data'!Q926</f>
        <v>0</v>
      </c>
      <c r="P926">
        <f>'Raw Data'!R926</f>
        <v>0</v>
      </c>
      <c r="Q926">
        <f>'Raw Data'!S926</f>
        <v>0</v>
      </c>
      <c r="R926">
        <f>'Raw Data'!T926</f>
        <v>0</v>
      </c>
      <c r="S926">
        <f>IFERROR(O926,0)+IFERROR(R926,0)</f>
        <v>0</v>
      </c>
      <c r="T926">
        <f>IF(A926="","",YEAR(A926))</f>
        <v>0</v>
      </c>
    </row>
    <row r="927" spans="1:20">
      <c r="A927">
        <f>'Raw Data'!B927</f>
        <v>0</v>
      </c>
      <c r="B927">
        <f>'Raw Data'!A927</f>
        <v>0</v>
      </c>
      <c r="C927">
        <f>'Raw Data'!C927</f>
        <v>0</v>
      </c>
      <c r="D927">
        <f>'Raw Data'!D927</f>
        <v>0</v>
      </c>
      <c r="E927">
        <f>IFERROR(VLOOKUP(D927,'Lookup Tables'!$A:$B,2,FALSE),"Unknown")</f>
        <v>0</v>
      </c>
      <c r="F927">
        <f>'Raw Data'!E927</f>
        <v>0</v>
      </c>
      <c r="G927">
        <f>IFERROR(VLOOKUP(D927,'Lookup Tables'!$A:$C,3,FALSE),IF(ISNUMBER(SEARCH("STEEL",F927)),"Steel","Others"))</f>
        <v>0</v>
      </c>
      <c r="H927">
        <f>IF(ISNUMBER(SEARCH("scrubber",F927)) , "Scrubber", IF(ISNUMBER(SEARCH("container",F927)),"Container", IF(ISNUMBER(SEARCH("basket",F927)),"Basket", IF(ISNUMBER(SEARCH("lunch",F927)),"Lunch Box", IF(ISNUMBER(SEARCH("cutlery",F927)),"Cutlery","Other")))))</f>
        <v>0</v>
      </c>
      <c r="I927">
        <f>IF('Raw Data'!G927&lt;&gt;'','Raw Data'!G927,IFERROR(MID(F927,SEARCH("MODEL",F927)+6,20),""))</f>
        <v>0</v>
      </c>
      <c r="J927">
        <f>'Raw Data'!H927</f>
        <v>0</v>
      </c>
      <c r="K927">
        <f>'Raw Data'!I927</f>
        <v>0</v>
      </c>
      <c r="L927">
        <f>IF('Raw Data'!N927&lt;&gt;0,'Raw Data'!N927,IFERROR(VALUE(MID(F927,SEARCH("QTY",F927)+4,IFERROR(FIND(" ",F927,SEARCH("QTY",F927)+4)-(SEARCH("QTY",F927)+4),3))),""))</f>
        <v>0</v>
      </c>
      <c r="M927">
        <f>'Raw Data'!O927</f>
        <v>0</v>
      </c>
      <c r="N927">
        <f>'Raw Data'!P927</f>
        <v>0</v>
      </c>
      <c r="O927">
        <f>'Raw Data'!Q927</f>
        <v>0</v>
      </c>
      <c r="P927">
        <f>'Raw Data'!R927</f>
        <v>0</v>
      </c>
      <c r="Q927">
        <f>'Raw Data'!S927</f>
        <v>0</v>
      </c>
      <c r="R927">
        <f>'Raw Data'!T927</f>
        <v>0</v>
      </c>
      <c r="S927">
        <f>IFERROR(O927,0)+IFERROR(R927,0)</f>
        <v>0</v>
      </c>
      <c r="T927">
        <f>IF(A927="","",YEAR(A927))</f>
        <v>0</v>
      </c>
    </row>
    <row r="928" spans="1:20">
      <c r="A928">
        <f>'Raw Data'!B928</f>
        <v>0</v>
      </c>
      <c r="B928">
        <f>'Raw Data'!A928</f>
        <v>0</v>
      </c>
      <c r="C928">
        <f>'Raw Data'!C928</f>
        <v>0</v>
      </c>
      <c r="D928">
        <f>'Raw Data'!D928</f>
        <v>0</v>
      </c>
      <c r="E928">
        <f>IFERROR(VLOOKUP(D928,'Lookup Tables'!$A:$B,2,FALSE),"Unknown")</f>
        <v>0</v>
      </c>
      <c r="F928">
        <f>'Raw Data'!E928</f>
        <v>0</v>
      </c>
      <c r="G928">
        <f>IFERROR(VLOOKUP(D928,'Lookup Tables'!$A:$C,3,FALSE),IF(ISNUMBER(SEARCH("STEEL",F928)),"Steel","Others"))</f>
        <v>0</v>
      </c>
      <c r="H928">
        <f>IF(ISNUMBER(SEARCH("scrubber",F928)) , "Scrubber", IF(ISNUMBER(SEARCH("container",F928)),"Container", IF(ISNUMBER(SEARCH("basket",F928)),"Basket", IF(ISNUMBER(SEARCH("lunch",F928)),"Lunch Box", IF(ISNUMBER(SEARCH("cutlery",F928)),"Cutlery","Other")))))</f>
        <v>0</v>
      </c>
      <c r="I928">
        <f>IF('Raw Data'!G928&lt;&gt;'','Raw Data'!G928,IFERROR(MID(F928,SEARCH("MODEL",F928)+6,20),""))</f>
        <v>0</v>
      </c>
      <c r="J928">
        <f>'Raw Data'!H928</f>
        <v>0</v>
      </c>
      <c r="K928">
        <f>'Raw Data'!I928</f>
        <v>0</v>
      </c>
      <c r="L928">
        <f>IF('Raw Data'!N928&lt;&gt;0,'Raw Data'!N928,IFERROR(VALUE(MID(F928,SEARCH("QTY",F928)+4,IFERROR(FIND(" ",F928,SEARCH("QTY",F928)+4)-(SEARCH("QTY",F928)+4),3))),""))</f>
        <v>0</v>
      </c>
      <c r="M928">
        <f>'Raw Data'!O928</f>
        <v>0</v>
      </c>
      <c r="N928">
        <f>'Raw Data'!P928</f>
        <v>0</v>
      </c>
      <c r="O928">
        <f>'Raw Data'!Q928</f>
        <v>0</v>
      </c>
      <c r="P928">
        <f>'Raw Data'!R928</f>
        <v>0</v>
      </c>
      <c r="Q928">
        <f>'Raw Data'!S928</f>
        <v>0</v>
      </c>
      <c r="R928">
        <f>'Raw Data'!T928</f>
        <v>0</v>
      </c>
      <c r="S928">
        <f>IFERROR(O928,0)+IFERROR(R928,0)</f>
        <v>0</v>
      </c>
      <c r="T928">
        <f>IF(A928="","",YEAR(A928))</f>
        <v>0</v>
      </c>
    </row>
    <row r="929" spans="1:20">
      <c r="A929">
        <f>'Raw Data'!B929</f>
        <v>0</v>
      </c>
      <c r="B929">
        <f>'Raw Data'!A929</f>
        <v>0</v>
      </c>
      <c r="C929">
        <f>'Raw Data'!C929</f>
        <v>0</v>
      </c>
      <c r="D929">
        <f>'Raw Data'!D929</f>
        <v>0</v>
      </c>
      <c r="E929">
        <f>IFERROR(VLOOKUP(D929,'Lookup Tables'!$A:$B,2,FALSE),"Unknown")</f>
        <v>0</v>
      </c>
      <c r="F929">
        <f>'Raw Data'!E929</f>
        <v>0</v>
      </c>
      <c r="G929">
        <f>IFERROR(VLOOKUP(D929,'Lookup Tables'!$A:$C,3,FALSE),IF(ISNUMBER(SEARCH("STEEL",F929)),"Steel","Others"))</f>
        <v>0</v>
      </c>
      <c r="H929">
        <f>IF(ISNUMBER(SEARCH("scrubber",F929)) , "Scrubber", IF(ISNUMBER(SEARCH("container",F929)),"Container", IF(ISNUMBER(SEARCH("basket",F929)),"Basket", IF(ISNUMBER(SEARCH("lunch",F929)),"Lunch Box", IF(ISNUMBER(SEARCH("cutlery",F929)),"Cutlery","Other")))))</f>
        <v>0</v>
      </c>
      <c r="I929">
        <f>IF('Raw Data'!G929&lt;&gt;'','Raw Data'!G929,IFERROR(MID(F929,SEARCH("MODEL",F929)+6,20),""))</f>
        <v>0</v>
      </c>
      <c r="J929">
        <f>'Raw Data'!H929</f>
        <v>0</v>
      </c>
      <c r="K929">
        <f>'Raw Data'!I929</f>
        <v>0</v>
      </c>
      <c r="L929">
        <f>IF('Raw Data'!N929&lt;&gt;0,'Raw Data'!N929,IFERROR(VALUE(MID(F929,SEARCH("QTY",F929)+4,IFERROR(FIND(" ",F929,SEARCH("QTY",F929)+4)-(SEARCH("QTY",F929)+4),3))),""))</f>
        <v>0</v>
      </c>
      <c r="M929">
        <f>'Raw Data'!O929</f>
        <v>0</v>
      </c>
      <c r="N929">
        <f>'Raw Data'!P929</f>
        <v>0</v>
      </c>
      <c r="O929">
        <f>'Raw Data'!Q929</f>
        <v>0</v>
      </c>
      <c r="P929">
        <f>'Raw Data'!R929</f>
        <v>0</v>
      </c>
      <c r="Q929">
        <f>'Raw Data'!S929</f>
        <v>0</v>
      </c>
      <c r="R929">
        <f>'Raw Data'!T929</f>
        <v>0</v>
      </c>
      <c r="S929">
        <f>IFERROR(O929,0)+IFERROR(R929,0)</f>
        <v>0</v>
      </c>
      <c r="T929">
        <f>IF(A929="","",YEAR(A929))</f>
        <v>0</v>
      </c>
    </row>
    <row r="930" spans="1:20">
      <c r="A930">
        <f>'Raw Data'!B930</f>
        <v>0</v>
      </c>
      <c r="B930">
        <f>'Raw Data'!A930</f>
        <v>0</v>
      </c>
      <c r="C930">
        <f>'Raw Data'!C930</f>
        <v>0</v>
      </c>
      <c r="D930">
        <f>'Raw Data'!D930</f>
        <v>0</v>
      </c>
      <c r="E930">
        <f>IFERROR(VLOOKUP(D930,'Lookup Tables'!$A:$B,2,FALSE),"Unknown")</f>
        <v>0</v>
      </c>
      <c r="F930">
        <f>'Raw Data'!E930</f>
        <v>0</v>
      </c>
      <c r="G930">
        <f>IFERROR(VLOOKUP(D930,'Lookup Tables'!$A:$C,3,FALSE),IF(ISNUMBER(SEARCH("STEEL",F930)),"Steel","Others"))</f>
        <v>0</v>
      </c>
      <c r="H930">
        <f>IF(ISNUMBER(SEARCH("scrubber",F930)) , "Scrubber", IF(ISNUMBER(SEARCH("container",F930)),"Container", IF(ISNUMBER(SEARCH("basket",F930)),"Basket", IF(ISNUMBER(SEARCH("lunch",F930)),"Lunch Box", IF(ISNUMBER(SEARCH("cutlery",F930)),"Cutlery","Other")))))</f>
        <v>0</v>
      </c>
      <c r="I930">
        <f>IF('Raw Data'!G930&lt;&gt;'','Raw Data'!G930,IFERROR(MID(F930,SEARCH("MODEL",F930)+6,20),""))</f>
        <v>0</v>
      </c>
      <c r="J930">
        <f>'Raw Data'!H930</f>
        <v>0</v>
      </c>
      <c r="K930">
        <f>'Raw Data'!I930</f>
        <v>0</v>
      </c>
      <c r="L930">
        <f>IF('Raw Data'!N930&lt;&gt;0,'Raw Data'!N930,IFERROR(VALUE(MID(F930,SEARCH("QTY",F930)+4,IFERROR(FIND(" ",F930,SEARCH("QTY",F930)+4)-(SEARCH("QTY",F930)+4),3))),""))</f>
        <v>0</v>
      </c>
      <c r="M930">
        <f>'Raw Data'!O930</f>
        <v>0</v>
      </c>
      <c r="N930">
        <f>'Raw Data'!P930</f>
        <v>0</v>
      </c>
      <c r="O930">
        <f>'Raw Data'!Q930</f>
        <v>0</v>
      </c>
      <c r="P930">
        <f>'Raw Data'!R930</f>
        <v>0</v>
      </c>
      <c r="Q930">
        <f>'Raw Data'!S930</f>
        <v>0</v>
      </c>
      <c r="R930">
        <f>'Raw Data'!T930</f>
        <v>0</v>
      </c>
      <c r="S930">
        <f>IFERROR(O930,0)+IFERROR(R930,0)</f>
        <v>0</v>
      </c>
      <c r="T930">
        <f>IF(A930="","",YEAR(A930))</f>
        <v>0</v>
      </c>
    </row>
    <row r="931" spans="1:20">
      <c r="A931">
        <f>'Raw Data'!B931</f>
        <v>0</v>
      </c>
      <c r="B931">
        <f>'Raw Data'!A931</f>
        <v>0</v>
      </c>
      <c r="C931">
        <f>'Raw Data'!C931</f>
        <v>0</v>
      </c>
      <c r="D931">
        <f>'Raw Data'!D931</f>
        <v>0</v>
      </c>
      <c r="E931">
        <f>IFERROR(VLOOKUP(D931,'Lookup Tables'!$A:$B,2,FALSE),"Unknown")</f>
        <v>0</v>
      </c>
      <c r="F931">
        <f>'Raw Data'!E931</f>
        <v>0</v>
      </c>
      <c r="G931">
        <f>IFERROR(VLOOKUP(D931,'Lookup Tables'!$A:$C,3,FALSE),IF(ISNUMBER(SEARCH("STEEL",F931)),"Steel","Others"))</f>
        <v>0</v>
      </c>
      <c r="H931">
        <f>IF(ISNUMBER(SEARCH("scrubber",F931)) , "Scrubber", IF(ISNUMBER(SEARCH("container",F931)),"Container", IF(ISNUMBER(SEARCH("basket",F931)),"Basket", IF(ISNUMBER(SEARCH("lunch",F931)),"Lunch Box", IF(ISNUMBER(SEARCH("cutlery",F931)),"Cutlery","Other")))))</f>
        <v>0</v>
      </c>
      <c r="I931">
        <f>IF('Raw Data'!G931&lt;&gt;'','Raw Data'!G931,IFERROR(MID(F931,SEARCH("MODEL",F931)+6,20),""))</f>
        <v>0</v>
      </c>
      <c r="J931">
        <f>'Raw Data'!H931</f>
        <v>0</v>
      </c>
      <c r="K931">
        <f>'Raw Data'!I931</f>
        <v>0</v>
      </c>
      <c r="L931">
        <f>IF('Raw Data'!N931&lt;&gt;0,'Raw Data'!N931,IFERROR(VALUE(MID(F931,SEARCH("QTY",F931)+4,IFERROR(FIND(" ",F931,SEARCH("QTY",F931)+4)-(SEARCH("QTY",F931)+4),3))),""))</f>
        <v>0</v>
      </c>
      <c r="M931">
        <f>'Raw Data'!O931</f>
        <v>0</v>
      </c>
      <c r="N931">
        <f>'Raw Data'!P931</f>
        <v>0</v>
      </c>
      <c r="O931">
        <f>'Raw Data'!Q931</f>
        <v>0</v>
      </c>
      <c r="P931">
        <f>'Raw Data'!R931</f>
        <v>0</v>
      </c>
      <c r="Q931">
        <f>'Raw Data'!S931</f>
        <v>0</v>
      </c>
      <c r="R931">
        <f>'Raw Data'!T931</f>
        <v>0</v>
      </c>
      <c r="S931">
        <f>IFERROR(O931,0)+IFERROR(R931,0)</f>
        <v>0</v>
      </c>
      <c r="T931">
        <f>IF(A931="","",YEAR(A931))</f>
        <v>0</v>
      </c>
    </row>
    <row r="932" spans="1:20">
      <c r="A932">
        <f>'Raw Data'!B932</f>
        <v>0</v>
      </c>
      <c r="B932">
        <f>'Raw Data'!A932</f>
        <v>0</v>
      </c>
      <c r="C932">
        <f>'Raw Data'!C932</f>
        <v>0</v>
      </c>
      <c r="D932">
        <f>'Raw Data'!D932</f>
        <v>0</v>
      </c>
      <c r="E932">
        <f>IFERROR(VLOOKUP(D932,'Lookup Tables'!$A:$B,2,FALSE),"Unknown")</f>
        <v>0</v>
      </c>
      <c r="F932">
        <f>'Raw Data'!E932</f>
        <v>0</v>
      </c>
      <c r="G932">
        <f>IFERROR(VLOOKUP(D932,'Lookup Tables'!$A:$C,3,FALSE),IF(ISNUMBER(SEARCH("STEEL",F932)),"Steel","Others"))</f>
        <v>0</v>
      </c>
      <c r="H932">
        <f>IF(ISNUMBER(SEARCH("scrubber",F932)) , "Scrubber", IF(ISNUMBER(SEARCH("container",F932)),"Container", IF(ISNUMBER(SEARCH("basket",F932)),"Basket", IF(ISNUMBER(SEARCH("lunch",F932)),"Lunch Box", IF(ISNUMBER(SEARCH("cutlery",F932)),"Cutlery","Other")))))</f>
        <v>0</v>
      </c>
      <c r="I932">
        <f>IF('Raw Data'!G932&lt;&gt;'','Raw Data'!G932,IFERROR(MID(F932,SEARCH("MODEL",F932)+6,20),""))</f>
        <v>0</v>
      </c>
      <c r="J932">
        <f>'Raw Data'!H932</f>
        <v>0</v>
      </c>
      <c r="K932">
        <f>'Raw Data'!I932</f>
        <v>0</v>
      </c>
      <c r="L932">
        <f>IF('Raw Data'!N932&lt;&gt;0,'Raw Data'!N932,IFERROR(VALUE(MID(F932,SEARCH("QTY",F932)+4,IFERROR(FIND(" ",F932,SEARCH("QTY",F932)+4)-(SEARCH("QTY",F932)+4),3))),""))</f>
        <v>0</v>
      </c>
      <c r="M932">
        <f>'Raw Data'!O932</f>
        <v>0</v>
      </c>
      <c r="N932">
        <f>'Raw Data'!P932</f>
        <v>0</v>
      </c>
      <c r="O932">
        <f>'Raw Data'!Q932</f>
        <v>0</v>
      </c>
      <c r="P932">
        <f>'Raw Data'!R932</f>
        <v>0</v>
      </c>
      <c r="Q932">
        <f>'Raw Data'!S932</f>
        <v>0</v>
      </c>
      <c r="R932">
        <f>'Raw Data'!T932</f>
        <v>0</v>
      </c>
      <c r="S932">
        <f>IFERROR(O932,0)+IFERROR(R932,0)</f>
        <v>0</v>
      </c>
      <c r="T932">
        <f>IF(A932="","",YEAR(A932))</f>
        <v>0</v>
      </c>
    </row>
    <row r="933" spans="1:20">
      <c r="A933">
        <f>'Raw Data'!B933</f>
        <v>0</v>
      </c>
      <c r="B933">
        <f>'Raw Data'!A933</f>
        <v>0</v>
      </c>
      <c r="C933">
        <f>'Raw Data'!C933</f>
        <v>0</v>
      </c>
      <c r="D933">
        <f>'Raw Data'!D933</f>
        <v>0</v>
      </c>
      <c r="E933">
        <f>IFERROR(VLOOKUP(D933,'Lookup Tables'!$A:$B,2,FALSE),"Unknown")</f>
        <v>0</v>
      </c>
      <c r="F933">
        <f>'Raw Data'!E933</f>
        <v>0</v>
      </c>
      <c r="G933">
        <f>IFERROR(VLOOKUP(D933,'Lookup Tables'!$A:$C,3,FALSE),IF(ISNUMBER(SEARCH("STEEL",F933)),"Steel","Others"))</f>
        <v>0</v>
      </c>
      <c r="H933">
        <f>IF(ISNUMBER(SEARCH("scrubber",F933)) , "Scrubber", IF(ISNUMBER(SEARCH("container",F933)),"Container", IF(ISNUMBER(SEARCH("basket",F933)),"Basket", IF(ISNUMBER(SEARCH("lunch",F933)),"Lunch Box", IF(ISNUMBER(SEARCH("cutlery",F933)),"Cutlery","Other")))))</f>
        <v>0</v>
      </c>
      <c r="I933">
        <f>IF('Raw Data'!G933&lt;&gt;'','Raw Data'!G933,IFERROR(MID(F933,SEARCH("MODEL",F933)+6,20),""))</f>
        <v>0</v>
      </c>
      <c r="J933">
        <f>'Raw Data'!H933</f>
        <v>0</v>
      </c>
      <c r="K933">
        <f>'Raw Data'!I933</f>
        <v>0</v>
      </c>
      <c r="L933">
        <f>IF('Raw Data'!N933&lt;&gt;0,'Raw Data'!N933,IFERROR(VALUE(MID(F933,SEARCH("QTY",F933)+4,IFERROR(FIND(" ",F933,SEARCH("QTY",F933)+4)-(SEARCH("QTY",F933)+4),3))),""))</f>
        <v>0</v>
      </c>
      <c r="M933">
        <f>'Raw Data'!O933</f>
        <v>0</v>
      </c>
      <c r="N933">
        <f>'Raw Data'!P933</f>
        <v>0</v>
      </c>
      <c r="O933">
        <f>'Raw Data'!Q933</f>
        <v>0</v>
      </c>
      <c r="P933">
        <f>'Raw Data'!R933</f>
        <v>0</v>
      </c>
      <c r="Q933">
        <f>'Raw Data'!S933</f>
        <v>0</v>
      </c>
      <c r="R933">
        <f>'Raw Data'!T933</f>
        <v>0</v>
      </c>
      <c r="S933">
        <f>IFERROR(O933,0)+IFERROR(R933,0)</f>
        <v>0</v>
      </c>
      <c r="T933">
        <f>IF(A933="","",YEAR(A933))</f>
        <v>0</v>
      </c>
    </row>
    <row r="934" spans="1:20">
      <c r="A934">
        <f>'Raw Data'!B934</f>
        <v>0</v>
      </c>
      <c r="B934">
        <f>'Raw Data'!A934</f>
        <v>0</v>
      </c>
      <c r="C934">
        <f>'Raw Data'!C934</f>
        <v>0</v>
      </c>
      <c r="D934">
        <f>'Raw Data'!D934</f>
        <v>0</v>
      </c>
      <c r="E934">
        <f>IFERROR(VLOOKUP(D934,'Lookup Tables'!$A:$B,2,FALSE),"Unknown")</f>
        <v>0</v>
      </c>
      <c r="F934">
        <f>'Raw Data'!E934</f>
        <v>0</v>
      </c>
      <c r="G934">
        <f>IFERROR(VLOOKUP(D934,'Lookup Tables'!$A:$C,3,FALSE),IF(ISNUMBER(SEARCH("STEEL",F934)),"Steel","Others"))</f>
        <v>0</v>
      </c>
      <c r="H934">
        <f>IF(ISNUMBER(SEARCH("scrubber",F934)) , "Scrubber", IF(ISNUMBER(SEARCH("container",F934)),"Container", IF(ISNUMBER(SEARCH("basket",F934)),"Basket", IF(ISNUMBER(SEARCH("lunch",F934)),"Lunch Box", IF(ISNUMBER(SEARCH("cutlery",F934)),"Cutlery","Other")))))</f>
        <v>0</v>
      </c>
      <c r="I934">
        <f>IF('Raw Data'!G934&lt;&gt;'','Raw Data'!G934,IFERROR(MID(F934,SEARCH("MODEL",F934)+6,20),""))</f>
        <v>0</v>
      </c>
      <c r="J934">
        <f>'Raw Data'!H934</f>
        <v>0</v>
      </c>
      <c r="K934">
        <f>'Raw Data'!I934</f>
        <v>0</v>
      </c>
      <c r="L934">
        <f>IF('Raw Data'!N934&lt;&gt;0,'Raw Data'!N934,IFERROR(VALUE(MID(F934,SEARCH("QTY",F934)+4,IFERROR(FIND(" ",F934,SEARCH("QTY",F934)+4)-(SEARCH("QTY",F934)+4),3))),""))</f>
        <v>0</v>
      </c>
      <c r="M934">
        <f>'Raw Data'!O934</f>
        <v>0</v>
      </c>
      <c r="N934">
        <f>'Raw Data'!P934</f>
        <v>0</v>
      </c>
      <c r="O934">
        <f>'Raw Data'!Q934</f>
        <v>0</v>
      </c>
      <c r="P934">
        <f>'Raw Data'!R934</f>
        <v>0</v>
      </c>
      <c r="Q934">
        <f>'Raw Data'!S934</f>
        <v>0</v>
      </c>
      <c r="R934">
        <f>'Raw Data'!T934</f>
        <v>0</v>
      </c>
      <c r="S934">
        <f>IFERROR(O934,0)+IFERROR(R934,0)</f>
        <v>0</v>
      </c>
      <c r="T934">
        <f>IF(A934="","",YEAR(A934))</f>
        <v>0</v>
      </c>
    </row>
    <row r="935" spans="1:20">
      <c r="A935">
        <f>'Raw Data'!B935</f>
        <v>0</v>
      </c>
      <c r="B935">
        <f>'Raw Data'!A935</f>
        <v>0</v>
      </c>
      <c r="C935">
        <f>'Raw Data'!C935</f>
        <v>0</v>
      </c>
      <c r="D935">
        <f>'Raw Data'!D935</f>
        <v>0</v>
      </c>
      <c r="E935">
        <f>IFERROR(VLOOKUP(D935,'Lookup Tables'!$A:$B,2,FALSE),"Unknown")</f>
        <v>0</v>
      </c>
      <c r="F935">
        <f>'Raw Data'!E935</f>
        <v>0</v>
      </c>
      <c r="G935">
        <f>IFERROR(VLOOKUP(D935,'Lookup Tables'!$A:$C,3,FALSE),IF(ISNUMBER(SEARCH("STEEL",F935)),"Steel","Others"))</f>
        <v>0</v>
      </c>
      <c r="H935">
        <f>IF(ISNUMBER(SEARCH("scrubber",F935)) , "Scrubber", IF(ISNUMBER(SEARCH("container",F935)),"Container", IF(ISNUMBER(SEARCH("basket",F935)),"Basket", IF(ISNUMBER(SEARCH("lunch",F935)),"Lunch Box", IF(ISNUMBER(SEARCH("cutlery",F935)),"Cutlery","Other")))))</f>
        <v>0</v>
      </c>
      <c r="I935">
        <f>IF('Raw Data'!G935&lt;&gt;'','Raw Data'!G935,IFERROR(MID(F935,SEARCH("MODEL",F935)+6,20),""))</f>
        <v>0</v>
      </c>
      <c r="J935">
        <f>'Raw Data'!H935</f>
        <v>0</v>
      </c>
      <c r="K935">
        <f>'Raw Data'!I935</f>
        <v>0</v>
      </c>
      <c r="L935">
        <f>IF('Raw Data'!N935&lt;&gt;0,'Raw Data'!N935,IFERROR(VALUE(MID(F935,SEARCH("QTY",F935)+4,IFERROR(FIND(" ",F935,SEARCH("QTY",F935)+4)-(SEARCH("QTY",F935)+4),3))),""))</f>
        <v>0</v>
      </c>
      <c r="M935">
        <f>'Raw Data'!O935</f>
        <v>0</v>
      </c>
      <c r="N935">
        <f>'Raw Data'!P935</f>
        <v>0</v>
      </c>
      <c r="O935">
        <f>'Raw Data'!Q935</f>
        <v>0</v>
      </c>
      <c r="P935">
        <f>'Raw Data'!R935</f>
        <v>0</v>
      </c>
      <c r="Q935">
        <f>'Raw Data'!S935</f>
        <v>0</v>
      </c>
      <c r="R935">
        <f>'Raw Data'!T935</f>
        <v>0</v>
      </c>
      <c r="S935">
        <f>IFERROR(O935,0)+IFERROR(R935,0)</f>
        <v>0</v>
      </c>
      <c r="T935">
        <f>IF(A935="","",YEAR(A935))</f>
        <v>0</v>
      </c>
    </row>
    <row r="936" spans="1:20">
      <c r="A936">
        <f>'Raw Data'!B936</f>
        <v>0</v>
      </c>
      <c r="B936">
        <f>'Raw Data'!A936</f>
        <v>0</v>
      </c>
      <c r="C936">
        <f>'Raw Data'!C936</f>
        <v>0</v>
      </c>
      <c r="D936">
        <f>'Raw Data'!D936</f>
        <v>0</v>
      </c>
      <c r="E936">
        <f>IFERROR(VLOOKUP(D936,'Lookup Tables'!$A:$B,2,FALSE),"Unknown")</f>
        <v>0</v>
      </c>
      <c r="F936">
        <f>'Raw Data'!E936</f>
        <v>0</v>
      </c>
      <c r="G936">
        <f>IFERROR(VLOOKUP(D936,'Lookup Tables'!$A:$C,3,FALSE),IF(ISNUMBER(SEARCH("STEEL",F936)),"Steel","Others"))</f>
        <v>0</v>
      </c>
      <c r="H936">
        <f>IF(ISNUMBER(SEARCH("scrubber",F936)) , "Scrubber", IF(ISNUMBER(SEARCH("container",F936)),"Container", IF(ISNUMBER(SEARCH("basket",F936)),"Basket", IF(ISNUMBER(SEARCH("lunch",F936)),"Lunch Box", IF(ISNUMBER(SEARCH("cutlery",F936)),"Cutlery","Other")))))</f>
        <v>0</v>
      </c>
      <c r="I936">
        <f>IF('Raw Data'!G936&lt;&gt;'','Raw Data'!G936,IFERROR(MID(F936,SEARCH("MODEL",F936)+6,20),""))</f>
        <v>0</v>
      </c>
      <c r="J936">
        <f>'Raw Data'!H936</f>
        <v>0</v>
      </c>
      <c r="K936">
        <f>'Raw Data'!I936</f>
        <v>0</v>
      </c>
      <c r="L936">
        <f>IF('Raw Data'!N936&lt;&gt;0,'Raw Data'!N936,IFERROR(VALUE(MID(F936,SEARCH("QTY",F936)+4,IFERROR(FIND(" ",F936,SEARCH("QTY",F936)+4)-(SEARCH("QTY",F936)+4),3))),""))</f>
        <v>0</v>
      </c>
      <c r="M936">
        <f>'Raw Data'!O936</f>
        <v>0</v>
      </c>
      <c r="N936">
        <f>'Raw Data'!P936</f>
        <v>0</v>
      </c>
      <c r="O936">
        <f>'Raw Data'!Q936</f>
        <v>0</v>
      </c>
      <c r="P936">
        <f>'Raw Data'!R936</f>
        <v>0</v>
      </c>
      <c r="Q936">
        <f>'Raw Data'!S936</f>
        <v>0</v>
      </c>
      <c r="R936">
        <f>'Raw Data'!T936</f>
        <v>0</v>
      </c>
      <c r="S936">
        <f>IFERROR(O936,0)+IFERROR(R936,0)</f>
        <v>0</v>
      </c>
      <c r="T936">
        <f>IF(A936="","",YEAR(A936))</f>
        <v>0</v>
      </c>
    </row>
    <row r="937" spans="1:20">
      <c r="A937">
        <f>'Raw Data'!B937</f>
        <v>0</v>
      </c>
      <c r="B937">
        <f>'Raw Data'!A937</f>
        <v>0</v>
      </c>
      <c r="C937">
        <f>'Raw Data'!C937</f>
        <v>0</v>
      </c>
      <c r="D937">
        <f>'Raw Data'!D937</f>
        <v>0</v>
      </c>
      <c r="E937">
        <f>IFERROR(VLOOKUP(D937,'Lookup Tables'!$A:$B,2,FALSE),"Unknown")</f>
        <v>0</v>
      </c>
      <c r="F937">
        <f>'Raw Data'!E937</f>
        <v>0</v>
      </c>
      <c r="G937">
        <f>IFERROR(VLOOKUP(D937,'Lookup Tables'!$A:$C,3,FALSE),IF(ISNUMBER(SEARCH("STEEL",F937)),"Steel","Others"))</f>
        <v>0</v>
      </c>
      <c r="H937">
        <f>IF(ISNUMBER(SEARCH("scrubber",F937)) , "Scrubber", IF(ISNUMBER(SEARCH("container",F937)),"Container", IF(ISNUMBER(SEARCH("basket",F937)),"Basket", IF(ISNUMBER(SEARCH("lunch",F937)),"Lunch Box", IF(ISNUMBER(SEARCH("cutlery",F937)),"Cutlery","Other")))))</f>
        <v>0</v>
      </c>
      <c r="I937">
        <f>IF('Raw Data'!G937&lt;&gt;'','Raw Data'!G937,IFERROR(MID(F937,SEARCH("MODEL",F937)+6,20),""))</f>
        <v>0</v>
      </c>
      <c r="J937">
        <f>'Raw Data'!H937</f>
        <v>0</v>
      </c>
      <c r="K937">
        <f>'Raw Data'!I937</f>
        <v>0</v>
      </c>
      <c r="L937">
        <f>IF('Raw Data'!N937&lt;&gt;0,'Raw Data'!N937,IFERROR(VALUE(MID(F937,SEARCH("QTY",F937)+4,IFERROR(FIND(" ",F937,SEARCH("QTY",F937)+4)-(SEARCH("QTY",F937)+4),3))),""))</f>
        <v>0</v>
      </c>
      <c r="M937">
        <f>'Raw Data'!O937</f>
        <v>0</v>
      </c>
      <c r="N937">
        <f>'Raw Data'!P937</f>
        <v>0</v>
      </c>
      <c r="O937">
        <f>'Raw Data'!Q937</f>
        <v>0</v>
      </c>
      <c r="P937">
        <f>'Raw Data'!R937</f>
        <v>0</v>
      </c>
      <c r="Q937">
        <f>'Raw Data'!S937</f>
        <v>0</v>
      </c>
      <c r="R937">
        <f>'Raw Data'!T937</f>
        <v>0</v>
      </c>
      <c r="S937">
        <f>IFERROR(O937,0)+IFERROR(R937,0)</f>
        <v>0</v>
      </c>
      <c r="T937">
        <f>IF(A937="","",YEAR(A937))</f>
        <v>0</v>
      </c>
    </row>
    <row r="938" spans="1:20">
      <c r="A938">
        <f>'Raw Data'!B938</f>
        <v>0</v>
      </c>
      <c r="B938">
        <f>'Raw Data'!A938</f>
        <v>0</v>
      </c>
      <c r="C938">
        <f>'Raw Data'!C938</f>
        <v>0</v>
      </c>
      <c r="D938">
        <f>'Raw Data'!D938</f>
        <v>0</v>
      </c>
      <c r="E938">
        <f>IFERROR(VLOOKUP(D938,'Lookup Tables'!$A:$B,2,FALSE),"Unknown")</f>
        <v>0</v>
      </c>
      <c r="F938">
        <f>'Raw Data'!E938</f>
        <v>0</v>
      </c>
      <c r="G938">
        <f>IFERROR(VLOOKUP(D938,'Lookup Tables'!$A:$C,3,FALSE),IF(ISNUMBER(SEARCH("STEEL",F938)),"Steel","Others"))</f>
        <v>0</v>
      </c>
      <c r="H938">
        <f>IF(ISNUMBER(SEARCH("scrubber",F938)) , "Scrubber", IF(ISNUMBER(SEARCH("container",F938)),"Container", IF(ISNUMBER(SEARCH("basket",F938)),"Basket", IF(ISNUMBER(SEARCH("lunch",F938)),"Lunch Box", IF(ISNUMBER(SEARCH("cutlery",F938)),"Cutlery","Other")))))</f>
        <v>0</v>
      </c>
      <c r="I938">
        <f>IF('Raw Data'!G938&lt;&gt;'','Raw Data'!G938,IFERROR(MID(F938,SEARCH("MODEL",F938)+6,20),""))</f>
        <v>0</v>
      </c>
      <c r="J938">
        <f>'Raw Data'!H938</f>
        <v>0</v>
      </c>
      <c r="K938">
        <f>'Raw Data'!I938</f>
        <v>0</v>
      </c>
      <c r="L938">
        <f>IF('Raw Data'!N938&lt;&gt;0,'Raw Data'!N938,IFERROR(VALUE(MID(F938,SEARCH("QTY",F938)+4,IFERROR(FIND(" ",F938,SEARCH("QTY",F938)+4)-(SEARCH("QTY",F938)+4),3))),""))</f>
        <v>0</v>
      </c>
      <c r="M938">
        <f>'Raw Data'!O938</f>
        <v>0</v>
      </c>
      <c r="N938">
        <f>'Raw Data'!P938</f>
        <v>0</v>
      </c>
      <c r="O938">
        <f>'Raw Data'!Q938</f>
        <v>0</v>
      </c>
      <c r="P938">
        <f>'Raw Data'!R938</f>
        <v>0</v>
      </c>
      <c r="Q938">
        <f>'Raw Data'!S938</f>
        <v>0</v>
      </c>
      <c r="R938">
        <f>'Raw Data'!T938</f>
        <v>0</v>
      </c>
      <c r="S938">
        <f>IFERROR(O938,0)+IFERROR(R938,0)</f>
        <v>0</v>
      </c>
      <c r="T938">
        <f>IF(A938="","",YEAR(A938))</f>
        <v>0</v>
      </c>
    </row>
    <row r="939" spans="1:20">
      <c r="A939">
        <f>'Raw Data'!B939</f>
        <v>0</v>
      </c>
      <c r="B939">
        <f>'Raw Data'!A939</f>
        <v>0</v>
      </c>
      <c r="C939">
        <f>'Raw Data'!C939</f>
        <v>0</v>
      </c>
      <c r="D939">
        <f>'Raw Data'!D939</f>
        <v>0</v>
      </c>
      <c r="E939">
        <f>IFERROR(VLOOKUP(D939,'Lookup Tables'!$A:$B,2,FALSE),"Unknown")</f>
        <v>0</v>
      </c>
      <c r="F939">
        <f>'Raw Data'!E939</f>
        <v>0</v>
      </c>
      <c r="G939">
        <f>IFERROR(VLOOKUP(D939,'Lookup Tables'!$A:$C,3,FALSE),IF(ISNUMBER(SEARCH("STEEL",F939)),"Steel","Others"))</f>
        <v>0</v>
      </c>
      <c r="H939">
        <f>IF(ISNUMBER(SEARCH("scrubber",F939)) , "Scrubber", IF(ISNUMBER(SEARCH("container",F939)),"Container", IF(ISNUMBER(SEARCH("basket",F939)),"Basket", IF(ISNUMBER(SEARCH("lunch",F939)),"Lunch Box", IF(ISNUMBER(SEARCH("cutlery",F939)),"Cutlery","Other")))))</f>
        <v>0</v>
      </c>
      <c r="I939">
        <f>IF('Raw Data'!G939&lt;&gt;'','Raw Data'!G939,IFERROR(MID(F939,SEARCH("MODEL",F939)+6,20),""))</f>
        <v>0</v>
      </c>
      <c r="J939">
        <f>'Raw Data'!H939</f>
        <v>0</v>
      </c>
      <c r="K939">
        <f>'Raw Data'!I939</f>
        <v>0</v>
      </c>
      <c r="L939">
        <f>IF('Raw Data'!N939&lt;&gt;0,'Raw Data'!N939,IFERROR(VALUE(MID(F939,SEARCH("QTY",F939)+4,IFERROR(FIND(" ",F939,SEARCH("QTY",F939)+4)-(SEARCH("QTY",F939)+4),3))),""))</f>
        <v>0</v>
      </c>
      <c r="M939">
        <f>'Raw Data'!O939</f>
        <v>0</v>
      </c>
      <c r="N939">
        <f>'Raw Data'!P939</f>
        <v>0</v>
      </c>
      <c r="O939">
        <f>'Raw Data'!Q939</f>
        <v>0</v>
      </c>
      <c r="P939">
        <f>'Raw Data'!R939</f>
        <v>0</v>
      </c>
      <c r="Q939">
        <f>'Raw Data'!S939</f>
        <v>0</v>
      </c>
      <c r="R939">
        <f>'Raw Data'!T939</f>
        <v>0</v>
      </c>
      <c r="S939">
        <f>IFERROR(O939,0)+IFERROR(R939,0)</f>
        <v>0</v>
      </c>
      <c r="T939">
        <f>IF(A939="","",YEAR(A939))</f>
        <v>0</v>
      </c>
    </row>
    <row r="940" spans="1:20">
      <c r="A940">
        <f>'Raw Data'!B940</f>
        <v>0</v>
      </c>
      <c r="B940">
        <f>'Raw Data'!A940</f>
        <v>0</v>
      </c>
      <c r="C940">
        <f>'Raw Data'!C940</f>
        <v>0</v>
      </c>
      <c r="D940">
        <f>'Raw Data'!D940</f>
        <v>0</v>
      </c>
      <c r="E940">
        <f>IFERROR(VLOOKUP(D940,'Lookup Tables'!$A:$B,2,FALSE),"Unknown")</f>
        <v>0</v>
      </c>
      <c r="F940">
        <f>'Raw Data'!E940</f>
        <v>0</v>
      </c>
      <c r="G940">
        <f>IFERROR(VLOOKUP(D940,'Lookup Tables'!$A:$C,3,FALSE),IF(ISNUMBER(SEARCH("STEEL",F940)),"Steel","Others"))</f>
        <v>0</v>
      </c>
      <c r="H940">
        <f>IF(ISNUMBER(SEARCH("scrubber",F940)) , "Scrubber", IF(ISNUMBER(SEARCH("container",F940)),"Container", IF(ISNUMBER(SEARCH("basket",F940)),"Basket", IF(ISNUMBER(SEARCH("lunch",F940)),"Lunch Box", IF(ISNUMBER(SEARCH("cutlery",F940)),"Cutlery","Other")))))</f>
        <v>0</v>
      </c>
      <c r="I940">
        <f>IF('Raw Data'!G940&lt;&gt;'','Raw Data'!G940,IFERROR(MID(F940,SEARCH("MODEL",F940)+6,20),""))</f>
        <v>0</v>
      </c>
      <c r="J940">
        <f>'Raw Data'!H940</f>
        <v>0</v>
      </c>
      <c r="K940">
        <f>'Raw Data'!I940</f>
        <v>0</v>
      </c>
      <c r="L940">
        <f>IF('Raw Data'!N940&lt;&gt;0,'Raw Data'!N940,IFERROR(VALUE(MID(F940,SEARCH("QTY",F940)+4,IFERROR(FIND(" ",F940,SEARCH("QTY",F940)+4)-(SEARCH("QTY",F940)+4),3))),""))</f>
        <v>0</v>
      </c>
      <c r="M940">
        <f>'Raw Data'!O940</f>
        <v>0</v>
      </c>
      <c r="N940">
        <f>'Raw Data'!P940</f>
        <v>0</v>
      </c>
      <c r="O940">
        <f>'Raw Data'!Q940</f>
        <v>0</v>
      </c>
      <c r="P940">
        <f>'Raw Data'!R940</f>
        <v>0</v>
      </c>
      <c r="Q940">
        <f>'Raw Data'!S940</f>
        <v>0</v>
      </c>
      <c r="R940">
        <f>'Raw Data'!T940</f>
        <v>0</v>
      </c>
      <c r="S940">
        <f>IFERROR(O940,0)+IFERROR(R940,0)</f>
        <v>0</v>
      </c>
      <c r="T940">
        <f>IF(A940="","",YEAR(A940))</f>
        <v>0</v>
      </c>
    </row>
    <row r="941" spans="1:20">
      <c r="A941">
        <f>'Raw Data'!B941</f>
        <v>0</v>
      </c>
      <c r="B941">
        <f>'Raw Data'!A941</f>
        <v>0</v>
      </c>
      <c r="C941">
        <f>'Raw Data'!C941</f>
        <v>0</v>
      </c>
      <c r="D941">
        <f>'Raw Data'!D941</f>
        <v>0</v>
      </c>
      <c r="E941">
        <f>IFERROR(VLOOKUP(D941,'Lookup Tables'!$A:$B,2,FALSE),"Unknown")</f>
        <v>0</v>
      </c>
      <c r="F941">
        <f>'Raw Data'!E941</f>
        <v>0</v>
      </c>
      <c r="G941">
        <f>IFERROR(VLOOKUP(D941,'Lookup Tables'!$A:$C,3,FALSE),IF(ISNUMBER(SEARCH("STEEL",F941)),"Steel","Others"))</f>
        <v>0</v>
      </c>
      <c r="H941">
        <f>IF(ISNUMBER(SEARCH("scrubber",F941)) , "Scrubber", IF(ISNUMBER(SEARCH("container",F941)),"Container", IF(ISNUMBER(SEARCH("basket",F941)),"Basket", IF(ISNUMBER(SEARCH("lunch",F941)),"Lunch Box", IF(ISNUMBER(SEARCH("cutlery",F941)),"Cutlery","Other")))))</f>
        <v>0</v>
      </c>
      <c r="I941">
        <f>IF('Raw Data'!G941&lt;&gt;'','Raw Data'!G941,IFERROR(MID(F941,SEARCH("MODEL",F941)+6,20),""))</f>
        <v>0</v>
      </c>
      <c r="J941">
        <f>'Raw Data'!H941</f>
        <v>0</v>
      </c>
      <c r="K941">
        <f>'Raw Data'!I941</f>
        <v>0</v>
      </c>
      <c r="L941">
        <f>IF('Raw Data'!N941&lt;&gt;0,'Raw Data'!N941,IFERROR(VALUE(MID(F941,SEARCH("QTY",F941)+4,IFERROR(FIND(" ",F941,SEARCH("QTY",F941)+4)-(SEARCH("QTY",F941)+4),3))),""))</f>
        <v>0</v>
      </c>
      <c r="M941">
        <f>'Raw Data'!O941</f>
        <v>0</v>
      </c>
      <c r="N941">
        <f>'Raw Data'!P941</f>
        <v>0</v>
      </c>
      <c r="O941">
        <f>'Raw Data'!Q941</f>
        <v>0</v>
      </c>
      <c r="P941">
        <f>'Raw Data'!R941</f>
        <v>0</v>
      </c>
      <c r="Q941">
        <f>'Raw Data'!S941</f>
        <v>0</v>
      </c>
      <c r="R941">
        <f>'Raw Data'!T941</f>
        <v>0</v>
      </c>
      <c r="S941">
        <f>IFERROR(O941,0)+IFERROR(R941,0)</f>
        <v>0</v>
      </c>
      <c r="T941">
        <f>IF(A941="","",YEAR(A941))</f>
        <v>0</v>
      </c>
    </row>
    <row r="942" spans="1:20">
      <c r="A942">
        <f>'Raw Data'!B942</f>
        <v>0</v>
      </c>
      <c r="B942">
        <f>'Raw Data'!A942</f>
        <v>0</v>
      </c>
      <c r="C942">
        <f>'Raw Data'!C942</f>
        <v>0</v>
      </c>
      <c r="D942">
        <f>'Raw Data'!D942</f>
        <v>0</v>
      </c>
      <c r="E942">
        <f>IFERROR(VLOOKUP(D942,'Lookup Tables'!$A:$B,2,FALSE),"Unknown")</f>
        <v>0</v>
      </c>
      <c r="F942">
        <f>'Raw Data'!E942</f>
        <v>0</v>
      </c>
      <c r="G942">
        <f>IFERROR(VLOOKUP(D942,'Lookup Tables'!$A:$C,3,FALSE),IF(ISNUMBER(SEARCH("STEEL",F942)),"Steel","Others"))</f>
        <v>0</v>
      </c>
      <c r="H942">
        <f>IF(ISNUMBER(SEARCH("scrubber",F942)) , "Scrubber", IF(ISNUMBER(SEARCH("container",F942)),"Container", IF(ISNUMBER(SEARCH("basket",F942)),"Basket", IF(ISNUMBER(SEARCH("lunch",F942)),"Lunch Box", IF(ISNUMBER(SEARCH("cutlery",F942)),"Cutlery","Other")))))</f>
        <v>0</v>
      </c>
      <c r="I942">
        <f>IF('Raw Data'!G942&lt;&gt;'','Raw Data'!G942,IFERROR(MID(F942,SEARCH("MODEL",F942)+6,20),""))</f>
        <v>0</v>
      </c>
      <c r="J942">
        <f>'Raw Data'!H942</f>
        <v>0</v>
      </c>
      <c r="K942">
        <f>'Raw Data'!I942</f>
        <v>0</v>
      </c>
      <c r="L942">
        <f>IF('Raw Data'!N942&lt;&gt;0,'Raw Data'!N942,IFERROR(VALUE(MID(F942,SEARCH("QTY",F942)+4,IFERROR(FIND(" ",F942,SEARCH("QTY",F942)+4)-(SEARCH("QTY",F942)+4),3))),""))</f>
        <v>0</v>
      </c>
      <c r="M942">
        <f>'Raw Data'!O942</f>
        <v>0</v>
      </c>
      <c r="N942">
        <f>'Raw Data'!P942</f>
        <v>0</v>
      </c>
      <c r="O942">
        <f>'Raw Data'!Q942</f>
        <v>0</v>
      </c>
      <c r="P942">
        <f>'Raw Data'!R942</f>
        <v>0</v>
      </c>
      <c r="Q942">
        <f>'Raw Data'!S942</f>
        <v>0</v>
      </c>
      <c r="R942">
        <f>'Raw Data'!T942</f>
        <v>0</v>
      </c>
      <c r="S942">
        <f>IFERROR(O942,0)+IFERROR(R942,0)</f>
        <v>0</v>
      </c>
      <c r="T942">
        <f>IF(A942="","",YEAR(A942))</f>
        <v>0</v>
      </c>
    </row>
    <row r="943" spans="1:20">
      <c r="A943">
        <f>'Raw Data'!B943</f>
        <v>0</v>
      </c>
      <c r="B943">
        <f>'Raw Data'!A943</f>
        <v>0</v>
      </c>
      <c r="C943">
        <f>'Raw Data'!C943</f>
        <v>0</v>
      </c>
      <c r="D943">
        <f>'Raw Data'!D943</f>
        <v>0</v>
      </c>
      <c r="E943">
        <f>IFERROR(VLOOKUP(D943,'Lookup Tables'!$A:$B,2,FALSE),"Unknown")</f>
        <v>0</v>
      </c>
      <c r="F943">
        <f>'Raw Data'!E943</f>
        <v>0</v>
      </c>
      <c r="G943">
        <f>IFERROR(VLOOKUP(D943,'Lookup Tables'!$A:$C,3,FALSE),IF(ISNUMBER(SEARCH("STEEL",F943)),"Steel","Others"))</f>
        <v>0</v>
      </c>
      <c r="H943">
        <f>IF(ISNUMBER(SEARCH("scrubber",F943)) , "Scrubber", IF(ISNUMBER(SEARCH("container",F943)),"Container", IF(ISNUMBER(SEARCH("basket",F943)),"Basket", IF(ISNUMBER(SEARCH("lunch",F943)),"Lunch Box", IF(ISNUMBER(SEARCH("cutlery",F943)),"Cutlery","Other")))))</f>
        <v>0</v>
      </c>
      <c r="I943">
        <f>IF('Raw Data'!G943&lt;&gt;'','Raw Data'!G943,IFERROR(MID(F943,SEARCH("MODEL",F943)+6,20),""))</f>
        <v>0</v>
      </c>
      <c r="J943">
        <f>'Raw Data'!H943</f>
        <v>0</v>
      </c>
      <c r="K943">
        <f>'Raw Data'!I943</f>
        <v>0</v>
      </c>
      <c r="L943">
        <f>IF('Raw Data'!N943&lt;&gt;0,'Raw Data'!N943,IFERROR(VALUE(MID(F943,SEARCH("QTY",F943)+4,IFERROR(FIND(" ",F943,SEARCH("QTY",F943)+4)-(SEARCH("QTY",F943)+4),3))),""))</f>
        <v>0</v>
      </c>
      <c r="M943">
        <f>'Raw Data'!O943</f>
        <v>0</v>
      </c>
      <c r="N943">
        <f>'Raw Data'!P943</f>
        <v>0</v>
      </c>
      <c r="O943">
        <f>'Raw Data'!Q943</f>
        <v>0</v>
      </c>
      <c r="P943">
        <f>'Raw Data'!R943</f>
        <v>0</v>
      </c>
      <c r="Q943">
        <f>'Raw Data'!S943</f>
        <v>0</v>
      </c>
      <c r="R943">
        <f>'Raw Data'!T943</f>
        <v>0</v>
      </c>
      <c r="S943">
        <f>IFERROR(O943,0)+IFERROR(R943,0)</f>
        <v>0</v>
      </c>
      <c r="T943">
        <f>IF(A943="","",YEAR(A943))</f>
        <v>0</v>
      </c>
    </row>
    <row r="944" spans="1:20">
      <c r="A944">
        <f>'Raw Data'!B944</f>
        <v>0</v>
      </c>
      <c r="B944">
        <f>'Raw Data'!A944</f>
        <v>0</v>
      </c>
      <c r="C944">
        <f>'Raw Data'!C944</f>
        <v>0</v>
      </c>
      <c r="D944">
        <f>'Raw Data'!D944</f>
        <v>0</v>
      </c>
      <c r="E944">
        <f>IFERROR(VLOOKUP(D944,'Lookup Tables'!$A:$B,2,FALSE),"Unknown")</f>
        <v>0</v>
      </c>
      <c r="F944">
        <f>'Raw Data'!E944</f>
        <v>0</v>
      </c>
      <c r="G944">
        <f>IFERROR(VLOOKUP(D944,'Lookup Tables'!$A:$C,3,FALSE),IF(ISNUMBER(SEARCH("STEEL",F944)),"Steel","Others"))</f>
        <v>0</v>
      </c>
      <c r="H944">
        <f>IF(ISNUMBER(SEARCH("scrubber",F944)) , "Scrubber", IF(ISNUMBER(SEARCH("container",F944)),"Container", IF(ISNUMBER(SEARCH("basket",F944)),"Basket", IF(ISNUMBER(SEARCH("lunch",F944)),"Lunch Box", IF(ISNUMBER(SEARCH("cutlery",F944)),"Cutlery","Other")))))</f>
        <v>0</v>
      </c>
      <c r="I944">
        <f>IF('Raw Data'!G944&lt;&gt;'','Raw Data'!G944,IFERROR(MID(F944,SEARCH("MODEL",F944)+6,20),""))</f>
        <v>0</v>
      </c>
      <c r="J944">
        <f>'Raw Data'!H944</f>
        <v>0</v>
      </c>
      <c r="K944">
        <f>'Raw Data'!I944</f>
        <v>0</v>
      </c>
      <c r="L944">
        <f>IF('Raw Data'!N944&lt;&gt;0,'Raw Data'!N944,IFERROR(VALUE(MID(F944,SEARCH("QTY",F944)+4,IFERROR(FIND(" ",F944,SEARCH("QTY",F944)+4)-(SEARCH("QTY",F944)+4),3))),""))</f>
        <v>0</v>
      </c>
      <c r="M944">
        <f>'Raw Data'!O944</f>
        <v>0</v>
      </c>
      <c r="N944">
        <f>'Raw Data'!P944</f>
        <v>0</v>
      </c>
      <c r="O944">
        <f>'Raw Data'!Q944</f>
        <v>0</v>
      </c>
      <c r="P944">
        <f>'Raw Data'!R944</f>
        <v>0</v>
      </c>
      <c r="Q944">
        <f>'Raw Data'!S944</f>
        <v>0</v>
      </c>
      <c r="R944">
        <f>'Raw Data'!T944</f>
        <v>0</v>
      </c>
      <c r="S944">
        <f>IFERROR(O944,0)+IFERROR(R944,0)</f>
        <v>0</v>
      </c>
      <c r="T944">
        <f>IF(A944="","",YEAR(A944))</f>
        <v>0</v>
      </c>
    </row>
    <row r="945" spans="1:20">
      <c r="A945">
        <f>'Raw Data'!B945</f>
        <v>0</v>
      </c>
      <c r="B945">
        <f>'Raw Data'!A945</f>
        <v>0</v>
      </c>
      <c r="C945">
        <f>'Raw Data'!C945</f>
        <v>0</v>
      </c>
      <c r="D945">
        <f>'Raw Data'!D945</f>
        <v>0</v>
      </c>
      <c r="E945">
        <f>IFERROR(VLOOKUP(D945,'Lookup Tables'!$A:$B,2,FALSE),"Unknown")</f>
        <v>0</v>
      </c>
      <c r="F945">
        <f>'Raw Data'!E945</f>
        <v>0</v>
      </c>
      <c r="G945">
        <f>IFERROR(VLOOKUP(D945,'Lookup Tables'!$A:$C,3,FALSE),IF(ISNUMBER(SEARCH("STEEL",F945)),"Steel","Others"))</f>
        <v>0</v>
      </c>
      <c r="H945">
        <f>IF(ISNUMBER(SEARCH("scrubber",F945)) , "Scrubber", IF(ISNUMBER(SEARCH("container",F945)),"Container", IF(ISNUMBER(SEARCH("basket",F945)),"Basket", IF(ISNUMBER(SEARCH("lunch",F945)),"Lunch Box", IF(ISNUMBER(SEARCH("cutlery",F945)),"Cutlery","Other")))))</f>
        <v>0</v>
      </c>
      <c r="I945">
        <f>IF('Raw Data'!G945&lt;&gt;'','Raw Data'!G945,IFERROR(MID(F945,SEARCH("MODEL",F945)+6,20),""))</f>
        <v>0</v>
      </c>
      <c r="J945">
        <f>'Raw Data'!H945</f>
        <v>0</v>
      </c>
      <c r="K945">
        <f>'Raw Data'!I945</f>
        <v>0</v>
      </c>
      <c r="L945">
        <f>IF('Raw Data'!N945&lt;&gt;0,'Raw Data'!N945,IFERROR(VALUE(MID(F945,SEARCH("QTY",F945)+4,IFERROR(FIND(" ",F945,SEARCH("QTY",F945)+4)-(SEARCH("QTY",F945)+4),3))),""))</f>
        <v>0</v>
      </c>
      <c r="M945">
        <f>'Raw Data'!O945</f>
        <v>0</v>
      </c>
      <c r="N945">
        <f>'Raw Data'!P945</f>
        <v>0</v>
      </c>
      <c r="O945">
        <f>'Raw Data'!Q945</f>
        <v>0</v>
      </c>
      <c r="P945">
        <f>'Raw Data'!R945</f>
        <v>0</v>
      </c>
      <c r="Q945">
        <f>'Raw Data'!S945</f>
        <v>0</v>
      </c>
      <c r="R945">
        <f>'Raw Data'!T945</f>
        <v>0</v>
      </c>
      <c r="S945">
        <f>IFERROR(O945,0)+IFERROR(R945,0)</f>
        <v>0</v>
      </c>
      <c r="T945">
        <f>IF(A945="","",YEAR(A945))</f>
        <v>0</v>
      </c>
    </row>
    <row r="946" spans="1:20">
      <c r="A946">
        <f>'Raw Data'!B946</f>
        <v>0</v>
      </c>
      <c r="B946">
        <f>'Raw Data'!A946</f>
        <v>0</v>
      </c>
      <c r="C946">
        <f>'Raw Data'!C946</f>
        <v>0</v>
      </c>
      <c r="D946">
        <f>'Raw Data'!D946</f>
        <v>0</v>
      </c>
      <c r="E946">
        <f>IFERROR(VLOOKUP(D946,'Lookup Tables'!$A:$B,2,FALSE),"Unknown")</f>
        <v>0</v>
      </c>
      <c r="F946">
        <f>'Raw Data'!E946</f>
        <v>0</v>
      </c>
      <c r="G946">
        <f>IFERROR(VLOOKUP(D946,'Lookup Tables'!$A:$C,3,FALSE),IF(ISNUMBER(SEARCH("STEEL",F946)),"Steel","Others"))</f>
        <v>0</v>
      </c>
      <c r="H946">
        <f>IF(ISNUMBER(SEARCH("scrubber",F946)) , "Scrubber", IF(ISNUMBER(SEARCH("container",F946)),"Container", IF(ISNUMBER(SEARCH("basket",F946)),"Basket", IF(ISNUMBER(SEARCH("lunch",F946)),"Lunch Box", IF(ISNUMBER(SEARCH("cutlery",F946)),"Cutlery","Other")))))</f>
        <v>0</v>
      </c>
      <c r="I946">
        <f>IF('Raw Data'!G946&lt;&gt;'','Raw Data'!G946,IFERROR(MID(F946,SEARCH("MODEL",F946)+6,20),""))</f>
        <v>0</v>
      </c>
      <c r="J946">
        <f>'Raw Data'!H946</f>
        <v>0</v>
      </c>
      <c r="K946">
        <f>'Raw Data'!I946</f>
        <v>0</v>
      </c>
      <c r="L946">
        <f>IF('Raw Data'!N946&lt;&gt;0,'Raw Data'!N946,IFERROR(VALUE(MID(F946,SEARCH("QTY",F946)+4,IFERROR(FIND(" ",F946,SEARCH("QTY",F946)+4)-(SEARCH("QTY",F946)+4),3))),""))</f>
        <v>0</v>
      </c>
      <c r="M946">
        <f>'Raw Data'!O946</f>
        <v>0</v>
      </c>
      <c r="N946">
        <f>'Raw Data'!P946</f>
        <v>0</v>
      </c>
      <c r="O946">
        <f>'Raw Data'!Q946</f>
        <v>0</v>
      </c>
      <c r="P946">
        <f>'Raw Data'!R946</f>
        <v>0</v>
      </c>
      <c r="Q946">
        <f>'Raw Data'!S946</f>
        <v>0</v>
      </c>
      <c r="R946">
        <f>'Raw Data'!T946</f>
        <v>0</v>
      </c>
      <c r="S946">
        <f>IFERROR(O946,0)+IFERROR(R946,0)</f>
        <v>0</v>
      </c>
      <c r="T946">
        <f>IF(A946="","",YEAR(A946))</f>
        <v>0</v>
      </c>
    </row>
    <row r="947" spans="1:20">
      <c r="A947">
        <f>'Raw Data'!B947</f>
        <v>0</v>
      </c>
      <c r="B947">
        <f>'Raw Data'!A947</f>
        <v>0</v>
      </c>
      <c r="C947">
        <f>'Raw Data'!C947</f>
        <v>0</v>
      </c>
      <c r="D947">
        <f>'Raw Data'!D947</f>
        <v>0</v>
      </c>
      <c r="E947">
        <f>IFERROR(VLOOKUP(D947,'Lookup Tables'!$A:$B,2,FALSE),"Unknown")</f>
        <v>0</v>
      </c>
      <c r="F947">
        <f>'Raw Data'!E947</f>
        <v>0</v>
      </c>
      <c r="G947">
        <f>IFERROR(VLOOKUP(D947,'Lookup Tables'!$A:$C,3,FALSE),IF(ISNUMBER(SEARCH("STEEL",F947)),"Steel","Others"))</f>
        <v>0</v>
      </c>
      <c r="H947">
        <f>IF(ISNUMBER(SEARCH("scrubber",F947)) , "Scrubber", IF(ISNUMBER(SEARCH("container",F947)),"Container", IF(ISNUMBER(SEARCH("basket",F947)),"Basket", IF(ISNUMBER(SEARCH("lunch",F947)),"Lunch Box", IF(ISNUMBER(SEARCH("cutlery",F947)),"Cutlery","Other")))))</f>
        <v>0</v>
      </c>
      <c r="I947">
        <f>IF('Raw Data'!G947&lt;&gt;'','Raw Data'!G947,IFERROR(MID(F947,SEARCH("MODEL",F947)+6,20),""))</f>
        <v>0</v>
      </c>
      <c r="J947">
        <f>'Raw Data'!H947</f>
        <v>0</v>
      </c>
      <c r="K947">
        <f>'Raw Data'!I947</f>
        <v>0</v>
      </c>
      <c r="L947">
        <f>IF('Raw Data'!N947&lt;&gt;0,'Raw Data'!N947,IFERROR(VALUE(MID(F947,SEARCH("QTY",F947)+4,IFERROR(FIND(" ",F947,SEARCH("QTY",F947)+4)-(SEARCH("QTY",F947)+4),3))),""))</f>
        <v>0</v>
      </c>
      <c r="M947">
        <f>'Raw Data'!O947</f>
        <v>0</v>
      </c>
      <c r="N947">
        <f>'Raw Data'!P947</f>
        <v>0</v>
      </c>
      <c r="O947">
        <f>'Raw Data'!Q947</f>
        <v>0</v>
      </c>
      <c r="P947">
        <f>'Raw Data'!R947</f>
        <v>0</v>
      </c>
      <c r="Q947">
        <f>'Raw Data'!S947</f>
        <v>0</v>
      </c>
      <c r="R947">
        <f>'Raw Data'!T947</f>
        <v>0</v>
      </c>
      <c r="S947">
        <f>IFERROR(O947,0)+IFERROR(R947,0)</f>
        <v>0</v>
      </c>
      <c r="T947">
        <f>IF(A947="","",YEAR(A947))</f>
        <v>0</v>
      </c>
    </row>
    <row r="948" spans="1:20">
      <c r="A948">
        <f>'Raw Data'!B948</f>
        <v>0</v>
      </c>
      <c r="B948">
        <f>'Raw Data'!A948</f>
        <v>0</v>
      </c>
      <c r="C948">
        <f>'Raw Data'!C948</f>
        <v>0</v>
      </c>
      <c r="D948">
        <f>'Raw Data'!D948</f>
        <v>0</v>
      </c>
      <c r="E948">
        <f>IFERROR(VLOOKUP(D948,'Lookup Tables'!$A:$B,2,FALSE),"Unknown")</f>
        <v>0</v>
      </c>
      <c r="F948">
        <f>'Raw Data'!E948</f>
        <v>0</v>
      </c>
      <c r="G948">
        <f>IFERROR(VLOOKUP(D948,'Lookup Tables'!$A:$C,3,FALSE),IF(ISNUMBER(SEARCH("STEEL",F948)),"Steel","Others"))</f>
        <v>0</v>
      </c>
      <c r="H948">
        <f>IF(ISNUMBER(SEARCH("scrubber",F948)) , "Scrubber", IF(ISNUMBER(SEARCH("container",F948)),"Container", IF(ISNUMBER(SEARCH("basket",F948)),"Basket", IF(ISNUMBER(SEARCH("lunch",F948)),"Lunch Box", IF(ISNUMBER(SEARCH("cutlery",F948)),"Cutlery","Other")))))</f>
        <v>0</v>
      </c>
      <c r="I948">
        <f>IF('Raw Data'!G948&lt;&gt;'','Raw Data'!G948,IFERROR(MID(F948,SEARCH("MODEL",F948)+6,20),""))</f>
        <v>0</v>
      </c>
      <c r="J948">
        <f>'Raw Data'!H948</f>
        <v>0</v>
      </c>
      <c r="K948">
        <f>'Raw Data'!I948</f>
        <v>0</v>
      </c>
      <c r="L948">
        <f>IF('Raw Data'!N948&lt;&gt;0,'Raw Data'!N948,IFERROR(VALUE(MID(F948,SEARCH("QTY",F948)+4,IFERROR(FIND(" ",F948,SEARCH("QTY",F948)+4)-(SEARCH("QTY",F948)+4),3))),""))</f>
        <v>0</v>
      </c>
      <c r="M948">
        <f>'Raw Data'!O948</f>
        <v>0</v>
      </c>
      <c r="N948">
        <f>'Raw Data'!P948</f>
        <v>0</v>
      </c>
      <c r="O948">
        <f>'Raw Data'!Q948</f>
        <v>0</v>
      </c>
      <c r="P948">
        <f>'Raw Data'!R948</f>
        <v>0</v>
      </c>
      <c r="Q948">
        <f>'Raw Data'!S948</f>
        <v>0</v>
      </c>
      <c r="R948">
        <f>'Raw Data'!T948</f>
        <v>0</v>
      </c>
      <c r="S948">
        <f>IFERROR(O948,0)+IFERROR(R948,0)</f>
        <v>0</v>
      </c>
      <c r="T948">
        <f>IF(A948="","",YEAR(A948))</f>
        <v>0</v>
      </c>
    </row>
    <row r="949" spans="1:20">
      <c r="A949">
        <f>'Raw Data'!B949</f>
        <v>0</v>
      </c>
      <c r="B949">
        <f>'Raw Data'!A949</f>
        <v>0</v>
      </c>
      <c r="C949">
        <f>'Raw Data'!C949</f>
        <v>0</v>
      </c>
      <c r="D949">
        <f>'Raw Data'!D949</f>
        <v>0</v>
      </c>
      <c r="E949">
        <f>IFERROR(VLOOKUP(D949,'Lookup Tables'!$A:$B,2,FALSE),"Unknown")</f>
        <v>0</v>
      </c>
      <c r="F949">
        <f>'Raw Data'!E949</f>
        <v>0</v>
      </c>
      <c r="G949">
        <f>IFERROR(VLOOKUP(D949,'Lookup Tables'!$A:$C,3,FALSE),IF(ISNUMBER(SEARCH("STEEL",F949)),"Steel","Others"))</f>
        <v>0</v>
      </c>
      <c r="H949">
        <f>IF(ISNUMBER(SEARCH("scrubber",F949)) , "Scrubber", IF(ISNUMBER(SEARCH("container",F949)),"Container", IF(ISNUMBER(SEARCH("basket",F949)),"Basket", IF(ISNUMBER(SEARCH("lunch",F949)),"Lunch Box", IF(ISNUMBER(SEARCH("cutlery",F949)),"Cutlery","Other")))))</f>
        <v>0</v>
      </c>
      <c r="I949">
        <f>IF('Raw Data'!G949&lt;&gt;'','Raw Data'!G949,IFERROR(MID(F949,SEARCH("MODEL",F949)+6,20),""))</f>
        <v>0</v>
      </c>
      <c r="J949">
        <f>'Raw Data'!H949</f>
        <v>0</v>
      </c>
      <c r="K949">
        <f>'Raw Data'!I949</f>
        <v>0</v>
      </c>
      <c r="L949">
        <f>IF('Raw Data'!N949&lt;&gt;0,'Raw Data'!N949,IFERROR(VALUE(MID(F949,SEARCH("QTY",F949)+4,IFERROR(FIND(" ",F949,SEARCH("QTY",F949)+4)-(SEARCH("QTY",F949)+4),3))),""))</f>
        <v>0</v>
      </c>
      <c r="M949">
        <f>'Raw Data'!O949</f>
        <v>0</v>
      </c>
      <c r="N949">
        <f>'Raw Data'!P949</f>
        <v>0</v>
      </c>
      <c r="O949">
        <f>'Raw Data'!Q949</f>
        <v>0</v>
      </c>
      <c r="P949">
        <f>'Raw Data'!R949</f>
        <v>0</v>
      </c>
      <c r="Q949">
        <f>'Raw Data'!S949</f>
        <v>0</v>
      </c>
      <c r="R949">
        <f>'Raw Data'!T949</f>
        <v>0</v>
      </c>
      <c r="S949">
        <f>IFERROR(O949,0)+IFERROR(R949,0)</f>
        <v>0</v>
      </c>
      <c r="T949">
        <f>IF(A949="","",YEAR(A949))</f>
        <v>0</v>
      </c>
    </row>
    <row r="950" spans="1:20">
      <c r="A950">
        <f>'Raw Data'!B950</f>
        <v>0</v>
      </c>
      <c r="B950">
        <f>'Raw Data'!A950</f>
        <v>0</v>
      </c>
      <c r="C950">
        <f>'Raw Data'!C950</f>
        <v>0</v>
      </c>
      <c r="D950">
        <f>'Raw Data'!D950</f>
        <v>0</v>
      </c>
      <c r="E950">
        <f>IFERROR(VLOOKUP(D950,'Lookup Tables'!$A:$B,2,FALSE),"Unknown")</f>
        <v>0</v>
      </c>
      <c r="F950">
        <f>'Raw Data'!E950</f>
        <v>0</v>
      </c>
      <c r="G950">
        <f>IFERROR(VLOOKUP(D950,'Lookup Tables'!$A:$C,3,FALSE),IF(ISNUMBER(SEARCH("STEEL",F950)),"Steel","Others"))</f>
        <v>0</v>
      </c>
      <c r="H950">
        <f>IF(ISNUMBER(SEARCH("scrubber",F950)) , "Scrubber", IF(ISNUMBER(SEARCH("container",F950)),"Container", IF(ISNUMBER(SEARCH("basket",F950)),"Basket", IF(ISNUMBER(SEARCH("lunch",F950)),"Lunch Box", IF(ISNUMBER(SEARCH("cutlery",F950)),"Cutlery","Other")))))</f>
        <v>0</v>
      </c>
      <c r="I950">
        <f>IF('Raw Data'!G950&lt;&gt;'','Raw Data'!G950,IFERROR(MID(F950,SEARCH("MODEL",F950)+6,20),""))</f>
        <v>0</v>
      </c>
      <c r="J950">
        <f>'Raw Data'!H950</f>
        <v>0</v>
      </c>
      <c r="K950">
        <f>'Raw Data'!I950</f>
        <v>0</v>
      </c>
      <c r="L950">
        <f>IF('Raw Data'!N950&lt;&gt;0,'Raw Data'!N950,IFERROR(VALUE(MID(F950,SEARCH("QTY",F950)+4,IFERROR(FIND(" ",F950,SEARCH("QTY",F950)+4)-(SEARCH("QTY",F950)+4),3))),""))</f>
        <v>0</v>
      </c>
      <c r="M950">
        <f>'Raw Data'!O950</f>
        <v>0</v>
      </c>
      <c r="N950">
        <f>'Raw Data'!P950</f>
        <v>0</v>
      </c>
      <c r="O950">
        <f>'Raw Data'!Q950</f>
        <v>0</v>
      </c>
      <c r="P950">
        <f>'Raw Data'!R950</f>
        <v>0</v>
      </c>
      <c r="Q950">
        <f>'Raw Data'!S950</f>
        <v>0</v>
      </c>
      <c r="R950">
        <f>'Raw Data'!T950</f>
        <v>0</v>
      </c>
      <c r="S950">
        <f>IFERROR(O950,0)+IFERROR(R950,0)</f>
        <v>0</v>
      </c>
      <c r="T950">
        <f>IF(A950="","",YEAR(A950))</f>
        <v>0</v>
      </c>
    </row>
    <row r="951" spans="1:20">
      <c r="A951">
        <f>'Raw Data'!B951</f>
        <v>0</v>
      </c>
      <c r="B951">
        <f>'Raw Data'!A951</f>
        <v>0</v>
      </c>
      <c r="C951">
        <f>'Raw Data'!C951</f>
        <v>0</v>
      </c>
      <c r="D951">
        <f>'Raw Data'!D951</f>
        <v>0</v>
      </c>
      <c r="E951">
        <f>IFERROR(VLOOKUP(D951,'Lookup Tables'!$A:$B,2,FALSE),"Unknown")</f>
        <v>0</v>
      </c>
      <c r="F951">
        <f>'Raw Data'!E951</f>
        <v>0</v>
      </c>
      <c r="G951">
        <f>IFERROR(VLOOKUP(D951,'Lookup Tables'!$A:$C,3,FALSE),IF(ISNUMBER(SEARCH("STEEL",F951)),"Steel","Others"))</f>
        <v>0</v>
      </c>
      <c r="H951">
        <f>IF(ISNUMBER(SEARCH("scrubber",F951)) , "Scrubber", IF(ISNUMBER(SEARCH("container",F951)),"Container", IF(ISNUMBER(SEARCH("basket",F951)),"Basket", IF(ISNUMBER(SEARCH("lunch",F951)),"Lunch Box", IF(ISNUMBER(SEARCH("cutlery",F951)),"Cutlery","Other")))))</f>
        <v>0</v>
      </c>
      <c r="I951">
        <f>IF('Raw Data'!G951&lt;&gt;'','Raw Data'!G951,IFERROR(MID(F951,SEARCH("MODEL",F951)+6,20),""))</f>
        <v>0</v>
      </c>
      <c r="J951">
        <f>'Raw Data'!H951</f>
        <v>0</v>
      </c>
      <c r="K951">
        <f>'Raw Data'!I951</f>
        <v>0</v>
      </c>
      <c r="L951">
        <f>IF('Raw Data'!N951&lt;&gt;0,'Raw Data'!N951,IFERROR(VALUE(MID(F951,SEARCH("QTY",F951)+4,IFERROR(FIND(" ",F951,SEARCH("QTY",F951)+4)-(SEARCH("QTY",F951)+4),3))),""))</f>
        <v>0</v>
      </c>
      <c r="M951">
        <f>'Raw Data'!O951</f>
        <v>0</v>
      </c>
      <c r="N951">
        <f>'Raw Data'!P951</f>
        <v>0</v>
      </c>
      <c r="O951">
        <f>'Raw Data'!Q951</f>
        <v>0</v>
      </c>
      <c r="P951">
        <f>'Raw Data'!R951</f>
        <v>0</v>
      </c>
      <c r="Q951">
        <f>'Raw Data'!S951</f>
        <v>0</v>
      </c>
      <c r="R951">
        <f>'Raw Data'!T951</f>
        <v>0</v>
      </c>
      <c r="S951">
        <f>IFERROR(O951,0)+IFERROR(R951,0)</f>
        <v>0</v>
      </c>
      <c r="T951">
        <f>IF(A951="","",YEAR(A951))</f>
        <v>0</v>
      </c>
    </row>
    <row r="952" spans="1:20">
      <c r="A952">
        <f>'Raw Data'!B952</f>
        <v>0</v>
      </c>
      <c r="B952">
        <f>'Raw Data'!A952</f>
        <v>0</v>
      </c>
      <c r="C952">
        <f>'Raw Data'!C952</f>
        <v>0</v>
      </c>
      <c r="D952">
        <f>'Raw Data'!D952</f>
        <v>0</v>
      </c>
      <c r="E952">
        <f>IFERROR(VLOOKUP(D952,'Lookup Tables'!$A:$B,2,FALSE),"Unknown")</f>
        <v>0</v>
      </c>
      <c r="F952">
        <f>'Raw Data'!E952</f>
        <v>0</v>
      </c>
      <c r="G952">
        <f>IFERROR(VLOOKUP(D952,'Lookup Tables'!$A:$C,3,FALSE),IF(ISNUMBER(SEARCH("STEEL",F952)),"Steel","Others"))</f>
        <v>0</v>
      </c>
      <c r="H952">
        <f>IF(ISNUMBER(SEARCH("scrubber",F952)) , "Scrubber", IF(ISNUMBER(SEARCH("container",F952)),"Container", IF(ISNUMBER(SEARCH("basket",F952)),"Basket", IF(ISNUMBER(SEARCH("lunch",F952)),"Lunch Box", IF(ISNUMBER(SEARCH("cutlery",F952)),"Cutlery","Other")))))</f>
        <v>0</v>
      </c>
      <c r="I952">
        <f>IF('Raw Data'!G952&lt;&gt;'','Raw Data'!G952,IFERROR(MID(F952,SEARCH("MODEL",F952)+6,20),""))</f>
        <v>0</v>
      </c>
      <c r="J952">
        <f>'Raw Data'!H952</f>
        <v>0</v>
      </c>
      <c r="K952">
        <f>'Raw Data'!I952</f>
        <v>0</v>
      </c>
      <c r="L952">
        <f>IF('Raw Data'!N952&lt;&gt;0,'Raw Data'!N952,IFERROR(VALUE(MID(F952,SEARCH("QTY",F952)+4,IFERROR(FIND(" ",F952,SEARCH("QTY",F952)+4)-(SEARCH("QTY",F952)+4),3))),""))</f>
        <v>0</v>
      </c>
      <c r="M952">
        <f>'Raw Data'!O952</f>
        <v>0</v>
      </c>
      <c r="N952">
        <f>'Raw Data'!P952</f>
        <v>0</v>
      </c>
      <c r="O952">
        <f>'Raw Data'!Q952</f>
        <v>0</v>
      </c>
      <c r="P952">
        <f>'Raw Data'!R952</f>
        <v>0</v>
      </c>
      <c r="Q952">
        <f>'Raw Data'!S952</f>
        <v>0</v>
      </c>
      <c r="R952">
        <f>'Raw Data'!T952</f>
        <v>0</v>
      </c>
      <c r="S952">
        <f>IFERROR(O952,0)+IFERROR(R952,0)</f>
        <v>0</v>
      </c>
      <c r="T952">
        <f>IF(A952="","",YEAR(A952))</f>
        <v>0</v>
      </c>
    </row>
    <row r="953" spans="1:20">
      <c r="A953">
        <f>'Raw Data'!B953</f>
        <v>0</v>
      </c>
      <c r="B953">
        <f>'Raw Data'!A953</f>
        <v>0</v>
      </c>
      <c r="C953">
        <f>'Raw Data'!C953</f>
        <v>0</v>
      </c>
      <c r="D953">
        <f>'Raw Data'!D953</f>
        <v>0</v>
      </c>
      <c r="E953">
        <f>IFERROR(VLOOKUP(D953,'Lookup Tables'!$A:$B,2,FALSE),"Unknown")</f>
        <v>0</v>
      </c>
      <c r="F953">
        <f>'Raw Data'!E953</f>
        <v>0</v>
      </c>
      <c r="G953">
        <f>IFERROR(VLOOKUP(D953,'Lookup Tables'!$A:$C,3,FALSE),IF(ISNUMBER(SEARCH("STEEL",F953)),"Steel","Others"))</f>
        <v>0</v>
      </c>
      <c r="H953">
        <f>IF(ISNUMBER(SEARCH("scrubber",F953)) , "Scrubber", IF(ISNUMBER(SEARCH("container",F953)),"Container", IF(ISNUMBER(SEARCH("basket",F953)),"Basket", IF(ISNUMBER(SEARCH("lunch",F953)),"Lunch Box", IF(ISNUMBER(SEARCH("cutlery",F953)),"Cutlery","Other")))))</f>
        <v>0</v>
      </c>
      <c r="I953">
        <f>IF('Raw Data'!G953&lt;&gt;'','Raw Data'!G953,IFERROR(MID(F953,SEARCH("MODEL",F953)+6,20),""))</f>
        <v>0</v>
      </c>
      <c r="J953">
        <f>'Raw Data'!H953</f>
        <v>0</v>
      </c>
      <c r="K953">
        <f>'Raw Data'!I953</f>
        <v>0</v>
      </c>
      <c r="L953">
        <f>IF('Raw Data'!N953&lt;&gt;0,'Raw Data'!N953,IFERROR(VALUE(MID(F953,SEARCH("QTY",F953)+4,IFERROR(FIND(" ",F953,SEARCH("QTY",F953)+4)-(SEARCH("QTY",F953)+4),3))),""))</f>
        <v>0</v>
      </c>
      <c r="M953">
        <f>'Raw Data'!O953</f>
        <v>0</v>
      </c>
      <c r="N953">
        <f>'Raw Data'!P953</f>
        <v>0</v>
      </c>
      <c r="O953">
        <f>'Raw Data'!Q953</f>
        <v>0</v>
      </c>
      <c r="P953">
        <f>'Raw Data'!R953</f>
        <v>0</v>
      </c>
      <c r="Q953">
        <f>'Raw Data'!S953</f>
        <v>0</v>
      </c>
      <c r="R953">
        <f>'Raw Data'!T953</f>
        <v>0</v>
      </c>
      <c r="S953">
        <f>IFERROR(O953,0)+IFERROR(R953,0)</f>
        <v>0</v>
      </c>
      <c r="T953">
        <f>IF(A953="","",YEAR(A953))</f>
        <v>0</v>
      </c>
    </row>
    <row r="954" spans="1:20">
      <c r="A954">
        <f>'Raw Data'!B954</f>
        <v>0</v>
      </c>
      <c r="B954">
        <f>'Raw Data'!A954</f>
        <v>0</v>
      </c>
      <c r="C954">
        <f>'Raw Data'!C954</f>
        <v>0</v>
      </c>
      <c r="D954">
        <f>'Raw Data'!D954</f>
        <v>0</v>
      </c>
      <c r="E954">
        <f>IFERROR(VLOOKUP(D954,'Lookup Tables'!$A:$B,2,FALSE),"Unknown")</f>
        <v>0</v>
      </c>
      <c r="F954">
        <f>'Raw Data'!E954</f>
        <v>0</v>
      </c>
      <c r="G954">
        <f>IFERROR(VLOOKUP(D954,'Lookup Tables'!$A:$C,3,FALSE),IF(ISNUMBER(SEARCH("STEEL",F954)),"Steel","Others"))</f>
        <v>0</v>
      </c>
      <c r="H954">
        <f>IF(ISNUMBER(SEARCH("scrubber",F954)) , "Scrubber", IF(ISNUMBER(SEARCH("container",F954)),"Container", IF(ISNUMBER(SEARCH("basket",F954)),"Basket", IF(ISNUMBER(SEARCH("lunch",F954)),"Lunch Box", IF(ISNUMBER(SEARCH("cutlery",F954)),"Cutlery","Other")))))</f>
        <v>0</v>
      </c>
      <c r="I954">
        <f>IF('Raw Data'!G954&lt;&gt;'','Raw Data'!G954,IFERROR(MID(F954,SEARCH("MODEL",F954)+6,20),""))</f>
        <v>0</v>
      </c>
      <c r="J954">
        <f>'Raw Data'!H954</f>
        <v>0</v>
      </c>
      <c r="K954">
        <f>'Raw Data'!I954</f>
        <v>0</v>
      </c>
      <c r="L954">
        <f>IF('Raw Data'!N954&lt;&gt;0,'Raw Data'!N954,IFERROR(VALUE(MID(F954,SEARCH("QTY",F954)+4,IFERROR(FIND(" ",F954,SEARCH("QTY",F954)+4)-(SEARCH("QTY",F954)+4),3))),""))</f>
        <v>0</v>
      </c>
      <c r="M954">
        <f>'Raw Data'!O954</f>
        <v>0</v>
      </c>
      <c r="N954">
        <f>'Raw Data'!P954</f>
        <v>0</v>
      </c>
      <c r="O954">
        <f>'Raw Data'!Q954</f>
        <v>0</v>
      </c>
      <c r="P954">
        <f>'Raw Data'!R954</f>
        <v>0</v>
      </c>
      <c r="Q954">
        <f>'Raw Data'!S954</f>
        <v>0</v>
      </c>
      <c r="R954">
        <f>'Raw Data'!T954</f>
        <v>0</v>
      </c>
      <c r="S954">
        <f>IFERROR(O954,0)+IFERROR(R954,0)</f>
        <v>0</v>
      </c>
      <c r="T954">
        <f>IF(A954="","",YEAR(A954))</f>
        <v>0</v>
      </c>
    </row>
    <row r="955" spans="1:20">
      <c r="A955">
        <f>'Raw Data'!B955</f>
        <v>0</v>
      </c>
      <c r="B955">
        <f>'Raw Data'!A955</f>
        <v>0</v>
      </c>
      <c r="C955">
        <f>'Raw Data'!C955</f>
        <v>0</v>
      </c>
      <c r="D955">
        <f>'Raw Data'!D955</f>
        <v>0</v>
      </c>
      <c r="E955">
        <f>IFERROR(VLOOKUP(D955,'Lookup Tables'!$A:$B,2,FALSE),"Unknown")</f>
        <v>0</v>
      </c>
      <c r="F955">
        <f>'Raw Data'!E955</f>
        <v>0</v>
      </c>
      <c r="G955">
        <f>IFERROR(VLOOKUP(D955,'Lookup Tables'!$A:$C,3,FALSE),IF(ISNUMBER(SEARCH("STEEL",F955)),"Steel","Others"))</f>
        <v>0</v>
      </c>
      <c r="H955">
        <f>IF(ISNUMBER(SEARCH("scrubber",F955)) , "Scrubber", IF(ISNUMBER(SEARCH("container",F955)),"Container", IF(ISNUMBER(SEARCH("basket",F955)),"Basket", IF(ISNUMBER(SEARCH("lunch",F955)),"Lunch Box", IF(ISNUMBER(SEARCH("cutlery",F955)),"Cutlery","Other")))))</f>
        <v>0</v>
      </c>
      <c r="I955">
        <f>IF('Raw Data'!G955&lt;&gt;'','Raw Data'!G955,IFERROR(MID(F955,SEARCH("MODEL",F955)+6,20),""))</f>
        <v>0</v>
      </c>
      <c r="J955">
        <f>'Raw Data'!H955</f>
        <v>0</v>
      </c>
      <c r="K955">
        <f>'Raw Data'!I955</f>
        <v>0</v>
      </c>
      <c r="L955">
        <f>IF('Raw Data'!N955&lt;&gt;0,'Raw Data'!N955,IFERROR(VALUE(MID(F955,SEARCH("QTY",F955)+4,IFERROR(FIND(" ",F955,SEARCH("QTY",F955)+4)-(SEARCH("QTY",F955)+4),3))),""))</f>
        <v>0</v>
      </c>
      <c r="M955">
        <f>'Raw Data'!O955</f>
        <v>0</v>
      </c>
      <c r="N955">
        <f>'Raw Data'!P955</f>
        <v>0</v>
      </c>
      <c r="O955">
        <f>'Raw Data'!Q955</f>
        <v>0</v>
      </c>
      <c r="P955">
        <f>'Raw Data'!R955</f>
        <v>0</v>
      </c>
      <c r="Q955">
        <f>'Raw Data'!S955</f>
        <v>0</v>
      </c>
      <c r="R955">
        <f>'Raw Data'!T955</f>
        <v>0</v>
      </c>
      <c r="S955">
        <f>IFERROR(O955,0)+IFERROR(R955,0)</f>
        <v>0</v>
      </c>
      <c r="T955">
        <f>IF(A955="","",YEAR(A955))</f>
        <v>0</v>
      </c>
    </row>
    <row r="956" spans="1:20">
      <c r="A956">
        <f>'Raw Data'!B956</f>
        <v>0</v>
      </c>
      <c r="B956">
        <f>'Raw Data'!A956</f>
        <v>0</v>
      </c>
      <c r="C956">
        <f>'Raw Data'!C956</f>
        <v>0</v>
      </c>
      <c r="D956">
        <f>'Raw Data'!D956</f>
        <v>0</v>
      </c>
      <c r="E956">
        <f>IFERROR(VLOOKUP(D956,'Lookup Tables'!$A:$B,2,FALSE),"Unknown")</f>
        <v>0</v>
      </c>
      <c r="F956">
        <f>'Raw Data'!E956</f>
        <v>0</v>
      </c>
      <c r="G956">
        <f>IFERROR(VLOOKUP(D956,'Lookup Tables'!$A:$C,3,FALSE),IF(ISNUMBER(SEARCH("STEEL",F956)),"Steel","Others"))</f>
        <v>0</v>
      </c>
      <c r="H956">
        <f>IF(ISNUMBER(SEARCH("scrubber",F956)) , "Scrubber", IF(ISNUMBER(SEARCH("container",F956)),"Container", IF(ISNUMBER(SEARCH("basket",F956)),"Basket", IF(ISNUMBER(SEARCH("lunch",F956)),"Lunch Box", IF(ISNUMBER(SEARCH("cutlery",F956)),"Cutlery","Other")))))</f>
        <v>0</v>
      </c>
      <c r="I956">
        <f>IF('Raw Data'!G956&lt;&gt;'','Raw Data'!G956,IFERROR(MID(F956,SEARCH("MODEL",F956)+6,20),""))</f>
        <v>0</v>
      </c>
      <c r="J956">
        <f>'Raw Data'!H956</f>
        <v>0</v>
      </c>
      <c r="K956">
        <f>'Raw Data'!I956</f>
        <v>0</v>
      </c>
      <c r="L956">
        <f>IF('Raw Data'!N956&lt;&gt;0,'Raw Data'!N956,IFERROR(VALUE(MID(F956,SEARCH("QTY",F956)+4,IFERROR(FIND(" ",F956,SEARCH("QTY",F956)+4)-(SEARCH("QTY",F956)+4),3))),""))</f>
        <v>0</v>
      </c>
      <c r="M956">
        <f>'Raw Data'!O956</f>
        <v>0</v>
      </c>
      <c r="N956">
        <f>'Raw Data'!P956</f>
        <v>0</v>
      </c>
      <c r="O956">
        <f>'Raw Data'!Q956</f>
        <v>0</v>
      </c>
      <c r="P956">
        <f>'Raw Data'!R956</f>
        <v>0</v>
      </c>
      <c r="Q956">
        <f>'Raw Data'!S956</f>
        <v>0</v>
      </c>
      <c r="R956">
        <f>'Raw Data'!T956</f>
        <v>0</v>
      </c>
      <c r="S956">
        <f>IFERROR(O956,0)+IFERROR(R956,0)</f>
        <v>0</v>
      </c>
      <c r="T956">
        <f>IF(A956="","",YEAR(A956))</f>
        <v>0</v>
      </c>
    </row>
    <row r="957" spans="1:20">
      <c r="A957">
        <f>'Raw Data'!B957</f>
        <v>0</v>
      </c>
      <c r="B957">
        <f>'Raw Data'!A957</f>
        <v>0</v>
      </c>
      <c r="C957">
        <f>'Raw Data'!C957</f>
        <v>0</v>
      </c>
      <c r="D957">
        <f>'Raw Data'!D957</f>
        <v>0</v>
      </c>
      <c r="E957">
        <f>IFERROR(VLOOKUP(D957,'Lookup Tables'!$A:$B,2,FALSE),"Unknown")</f>
        <v>0</v>
      </c>
      <c r="F957">
        <f>'Raw Data'!E957</f>
        <v>0</v>
      </c>
      <c r="G957">
        <f>IFERROR(VLOOKUP(D957,'Lookup Tables'!$A:$C,3,FALSE),IF(ISNUMBER(SEARCH("STEEL",F957)),"Steel","Others"))</f>
        <v>0</v>
      </c>
      <c r="H957">
        <f>IF(ISNUMBER(SEARCH("scrubber",F957)) , "Scrubber", IF(ISNUMBER(SEARCH("container",F957)),"Container", IF(ISNUMBER(SEARCH("basket",F957)),"Basket", IF(ISNUMBER(SEARCH("lunch",F957)),"Lunch Box", IF(ISNUMBER(SEARCH("cutlery",F957)),"Cutlery","Other")))))</f>
        <v>0</v>
      </c>
      <c r="I957">
        <f>IF('Raw Data'!G957&lt;&gt;'','Raw Data'!G957,IFERROR(MID(F957,SEARCH("MODEL",F957)+6,20),""))</f>
        <v>0</v>
      </c>
      <c r="J957">
        <f>'Raw Data'!H957</f>
        <v>0</v>
      </c>
      <c r="K957">
        <f>'Raw Data'!I957</f>
        <v>0</v>
      </c>
      <c r="L957">
        <f>IF('Raw Data'!N957&lt;&gt;0,'Raw Data'!N957,IFERROR(VALUE(MID(F957,SEARCH("QTY",F957)+4,IFERROR(FIND(" ",F957,SEARCH("QTY",F957)+4)-(SEARCH("QTY",F957)+4),3))),""))</f>
        <v>0</v>
      </c>
      <c r="M957">
        <f>'Raw Data'!O957</f>
        <v>0</v>
      </c>
      <c r="N957">
        <f>'Raw Data'!P957</f>
        <v>0</v>
      </c>
      <c r="O957">
        <f>'Raw Data'!Q957</f>
        <v>0</v>
      </c>
      <c r="P957">
        <f>'Raw Data'!R957</f>
        <v>0</v>
      </c>
      <c r="Q957">
        <f>'Raw Data'!S957</f>
        <v>0</v>
      </c>
      <c r="R957">
        <f>'Raw Data'!T957</f>
        <v>0</v>
      </c>
      <c r="S957">
        <f>IFERROR(O957,0)+IFERROR(R957,0)</f>
        <v>0</v>
      </c>
      <c r="T957">
        <f>IF(A957="","",YEAR(A957))</f>
        <v>0</v>
      </c>
    </row>
    <row r="958" spans="1:20">
      <c r="A958">
        <f>'Raw Data'!B958</f>
        <v>0</v>
      </c>
      <c r="B958">
        <f>'Raw Data'!A958</f>
        <v>0</v>
      </c>
      <c r="C958">
        <f>'Raw Data'!C958</f>
        <v>0</v>
      </c>
      <c r="D958">
        <f>'Raw Data'!D958</f>
        <v>0</v>
      </c>
      <c r="E958">
        <f>IFERROR(VLOOKUP(D958,'Lookup Tables'!$A:$B,2,FALSE),"Unknown")</f>
        <v>0</v>
      </c>
      <c r="F958">
        <f>'Raw Data'!E958</f>
        <v>0</v>
      </c>
      <c r="G958">
        <f>IFERROR(VLOOKUP(D958,'Lookup Tables'!$A:$C,3,FALSE),IF(ISNUMBER(SEARCH("STEEL",F958)),"Steel","Others"))</f>
        <v>0</v>
      </c>
      <c r="H958">
        <f>IF(ISNUMBER(SEARCH("scrubber",F958)) , "Scrubber", IF(ISNUMBER(SEARCH("container",F958)),"Container", IF(ISNUMBER(SEARCH("basket",F958)),"Basket", IF(ISNUMBER(SEARCH("lunch",F958)),"Lunch Box", IF(ISNUMBER(SEARCH("cutlery",F958)),"Cutlery","Other")))))</f>
        <v>0</v>
      </c>
      <c r="I958">
        <f>IF('Raw Data'!G958&lt;&gt;'','Raw Data'!G958,IFERROR(MID(F958,SEARCH("MODEL",F958)+6,20),""))</f>
        <v>0</v>
      </c>
      <c r="J958">
        <f>'Raw Data'!H958</f>
        <v>0</v>
      </c>
      <c r="K958">
        <f>'Raw Data'!I958</f>
        <v>0</v>
      </c>
      <c r="L958">
        <f>IF('Raw Data'!N958&lt;&gt;0,'Raw Data'!N958,IFERROR(VALUE(MID(F958,SEARCH("QTY",F958)+4,IFERROR(FIND(" ",F958,SEARCH("QTY",F958)+4)-(SEARCH("QTY",F958)+4),3))),""))</f>
        <v>0</v>
      </c>
      <c r="M958">
        <f>'Raw Data'!O958</f>
        <v>0</v>
      </c>
      <c r="N958">
        <f>'Raw Data'!P958</f>
        <v>0</v>
      </c>
      <c r="O958">
        <f>'Raw Data'!Q958</f>
        <v>0</v>
      </c>
      <c r="P958">
        <f>'Raw Data'!R958</f>
        <v>0</v>
      </c>
      <c r="Q958">
        <f>'Raw Data'!S958</f>
        <v>0</v>
      </c>
      <c r="R958">
        <f>'Raw Data'!T958</f>
        <v>0</v>
      </c>
      <c r="S958">
        <f>IFERROR(O958,0)+IFERROR(R958,0)</f>
        <v>0</v>
      </c>
      <c r="T958">
        <f>IF(A958="","",YEAR(A958))</f>
        <v>0</v>
      </c>
    </row>
    <row r="959" spans="1:20">
      <c r="A959">
        <f>'Raw Data'!B959</f>
        <v>0</v>
      </c>
      <c r="B959">
        <f>'Raw Data'!A959</f>
        <v>0</v>
      </c>
      <c r="C959">
        <f>'Raw Data'!C959</f>
        <v>0</v>
      </c>
      <c r="D959">
        <f>'Raw Data'!D959</f>
        <v>0</v>
      </c>
      <c r="E959">
        <f>IFERROR(VLOOKUP(D959,'Lookup Tables'!$A:$B,2,FALSE),"Unknown")</f>
        <v>0</v>
      </c>
      <c r="F959">
        <f>'Raw Data'!E959</f>
        <v>0</v>
      </c>
      <c r="G959">
        <f>IFERROR(VLOOKUP(D959,'Lookup Tables'!$A:$C,3,FALSE),IF(ISNUMBER(SEARCH("STEEL",F959)),"Steel","Others"))</f>
        <v>0</v>
      </c>
      <c r="H959">
        <f>IF(ISNUMBER(SEARCH("scrubber",F959)) , "Scrubber", IF(ISNUMBER(SEARCH("container",F959)),"Container", IF(ISNUMBER(SEARCH("basket",F959)),"Basket", IF(ISNUMBER(SEARCH("lunch",F959)),"Lunch Box", IF(ISNUMBER(SEARCH("cutlery",F959)),"Cutlery","Other")))))</f>
        <v>0</v>
      </c>
      <c r="I959">
        <f>IF('Raw Data'!G959&lt;&gt;'','Raw Data'!G959,IFERROR(MID(F959,SEARCH("MODEL",F959)+6,20),""))</f>
        <v>0</v>
      </c>
      <c r="J959">
        <f>'Raw Data'!H959</f>
        <v>0</v>
      </c>
      <c r="K959">
        <f>'Raw Data'!I959</f>
        <v>0</v>
      </c>
      <c r="L959">
        <f>IF('Raw Data'!N959&lt;&gt;0,'Raw Data'!N959,IFERROR(VALUE(MID(F959,SEARCH("QTY",F959)+4,IFERROR(FIND(" ",F959,SEARCH("QTY",F959)+4)-(SEARCH("QTY",F959)+4),3))),""))</f>
        <v>0</v>
      </c>
      <c r="M959">
        <f>'Raw Data'!O959</f>
        <v>0</v>
      </c>
      <c r="N959">
        <f>'Raw Data'!P959</f>
        <v>0</v>
      </c>
      <c r="O959">
        <f>'Raw Data'!Q959</f>
        <v>0</v>
      </c>
      <c r="P959">
        <f>'Raw Data'!R959</f>
        <v>0</v>
      </c>
      <c r="Q959">
        <f>'Raw Data'!S959</f>
        <v>0</v>
      </c>
      <c r="R959">
        <f>'Raw Data'!T959</f>
        <v>0</v>
      </c>
      <c r="S959">
        <f>IFERROR(O959,0)+IFERROR(R959,0)</f>
        <v>0</v>
      </c>
      <c r="T959">
        <f>IF(A959="","",YEAR(A959))</f>
        <v>0</v>
      </c>
    </row>
    <row r="960" spans="1:20">
      <c r="A960">
        <f>'Raw Data'!B960</f>
        <v>0</v>
      </c>
      <c r="B960">
        <f>'Raw Data'!A960</f>
        <v>0</v>
      </c>
      <c r="C960">
        <f>'Raw Data'!C960</f>
        <v>0</v>
      </c>
      <c r="D960">
        <f>'Raw Data'!D960</f>
        <v>0</v>
      </c>
      <c r="E960">
        <f>IFERROR(VLOOKUP(D960,'Lookup Tables'!$A:$B,2,FALSE),"Unknown")</f>
        <v>0</v>
      </c>
      <c r="F960">
        <f>'Raw Data'!E960</f>
        <v>0</v>
      </c>
      <c r="G960">
        <f>IFERROR(VLOOKUP(D960,'Lookup Tables'!$A:$C,3,FALSE),IF(ISNUMBER(SEARCH("STEEL",F960)),"Steel","Others"))</f>
        <v>0</v>
      </c>
      <c r="H960">
        <f>IF(ISNUMBER(SEARCH("scrubber",F960)) , "Scrubber", IF(ISNUMBER(SEARCH("container",F960)),"Container", IF(ISNUMBER(SEARCH("basket",F960)),"Basket", IF(ISNUMBER(SEARCH("lunch",F960)),"Lunch Box", IF(ISNUMBER(SEARCH("cutlery",F960)),"Cutlery","Other")))))</f>
        <v>0</v>
      </c>
      <c r="I960">
        <f>IF('Raw Data'!G960&lt;&gt;'','Raw Data'!G960,IFERROR(MID(F960,SEARCH("MODEL",F960)+6,20),""))</f>
        <v>0</v>
      </c>
      <c r="J960">
        <f>'Raw Data'!H960</f>
        <v>0</v>
      </c>
      <c r="K960">
        <f>'Raw Data'!I960</f>
        <v>0</v>
      </c>
      <c r="L960">
        <f>IF('Raw Data'!N960&lt;&gt;0,'Raw Data'!N960,IFERROR(VALUE(MID(F960,SEARCH("QTY",F960)+4,IFERROR(FIND(" ",F960,SEARCH("QTY",F960)+4)-(SEARCH("QTY",F960)+4),3))),""))</f>
        <v>0</v>
      </c>
      <c r="M960">
        <f>'Raw Data'!O960</f>
        <v>0</v>
      </c>
      <c r="N960">
        <f>'Raw Data'!P960</f>
        <v>0</v>
      </c>
      <c r="O960">
        <f>'Raw Data'!Q960</f>
        <v>0</v>
      </c>
      <c r="P960">
        <f>'Raw Data'!R960</f>
        <v>0</v>
      </c>
      <c r="Q960">
        <f>'Raw Data'!S960</f>
        <v>0</v>
      </c>
      <c r="R960">
        <f>'Raw Data'!T960</f>
        <v>0</v>
      </c>
      <c r="S960">
        <f>IFERROR(O960,0)+IFERROR(R960,0)</f>
        <v>0</v>
      </c>
      <c r="T960">
        <f>IF(A960="","",YEAR(A960))</f>
        <v>0</v>
      </c>
    </row>
    <row r="961" spans="1:20">
      <c r="A961">
        <f>'Raw Data'!B961</f>
        <v>0</v>
      </c>
      <c r="B961">
        <f>'Raw Data'!A961</f>
        <v>0</v>
      </c>
      <c r="C961">
        <f>'Raw Data'!C961</f>
        <v>0</v>
      </c>
      <c r="D961">
        <f>'Raw Data'!D961</f>
        <v>0</v>
      </c>
      <c r="E961">
        <f>IFERROR(VLOOKUP(D961,'Lookup Tables'!$A:$B,2,FALSE),"Unknown")</f>
        <v>0</v>
      </c>
      <c r="F961">
        <f>'Raw Data'!E961</f>
        <v>0</v>
      </c>
      <c r="G961">
        <f>IFERROR(VLOOKUP(D961,'Lookup Tables'!$A:$C,3,FALSE),IF(ISNUMBER(SEARCH("STEEL",F961)),"Steel","Others"))</f>
        <v>0</v>
      </c>
      <c r="H961">
        <f>IF(ISNUMBER(SEARCH("scrubber",F961)) , "Scrubber", IF(ISNUMBER(SEARCH("container",F961)),"Container", IF(ISNUMBER(SEARCH("basket",F961)),"Basket", IF(ISNUMBER(SEARCH("lunch",F961)),"Lunch Box", IF(ISNUMBER(SEARCH("cutlery",F961)),"Cutlery","Other")))))</f>
        <v>0</v>
      </c>
      <c r="I961">
        <f>IF('Raw Data'!G961&lt;&gt;'','Raw Data'!G961,IFERROR(MID(F961,SEARCH("MODEL",F961)+6,20),""))</f>
        <v>0</v>
      </c>
      <c r="J961">
        <f>'Raw Data'!H961</f>
        <v>0</v>
      </c>
      <c r="K961">
        <f>'Raw Data'!I961</f>
        <v>0</v>
      </c>
      <c r="L961">
        <f>IF('Raw Data'!N961&lt;&gt;0,'Raw Data'!N961,IFERROR(VALUE(MID(F961,SEARCH("QTY",F961)+4,IFERROR(FIND(" ",F961,SEARCH("QTY",F961)+4)-(SEARCH("QTY",F961)+4),3))),""))</f>
        <v>0</v>
      </c>
      <c r="M961">
        <f>'Raw Data'!O961</f>
        <v>0</v>
      </c>
      <c r="N961">
        <f>'Raw Data'!P961</f>
        <v>0</v>
      </c>
      <c r="O961">
        <f>'Raw Data'!Q961</f>
        <v>0</v>
      </c>
      <c r="P961">
        <f>'Raw Data'!R961</f>
        <v>0</v>
      </c>
      <c r="Q961">
        <f>'Raw Data'!S961</f>
        <v>0</v>
      </c>
      <c r="R961">
        <f>'Raw Data'!T961</f>
        <v>0</v>
      </c>
      <c r="S961">
        <f>IFERROR(O961,0)+IFERROR(R961,0)</f>
        <v>0</v>
      </c>
      <c r="T961">
        <f>IF(A961="","",YEAR(A961))</f>
        <v>0</v>
      </c>
    </row>
    <row r="962" spans="1:20">
      <c r="A962">
        <f>'Raw Data'!B962</f>
        <v>0</v>
      </c>
      <c r="B962">
        <f>'Raw Data'!A962</f>
        <v>0</v>
      </c>
      <c r="C962">
        <f>'Raw Data'!C962</f>
        <v>0</v>
      </c>
      <c r="D962">
        <f>'Raw Data'!D962</f>
        <v>0</v>
      </c>
      <c r="E962">
        <f>IFERROR(VLOOKUP(D962,'Lookup Tables'!$A:$B,2,FALSE),"Unknown")</f>
        <v>0</v>
      </c>
      <c r="F962">
        <f>'Raw Data'!E962</f>
        <v>0</v>
      </c>
      <c r="G962">
        <f>IFERROR(VLOOKUP(D962,'Lookup Tables'!$A:$C,3,FALSE),IF(ISNUMBER(SEARCH("STEEL",F962)),"Steel","Others"))</f>
        <v>0</v>
      </c>
      <c r="H962">
        <f>IF(ISNUMBER(SEARCH("scrubber",F962)) , "Scrubber", IF(ISNUMBER(SEARCH("container",F962)),"Container", IF(ISNUMBER(SEARCH("basket",F962)),"Basket", IF(ISNUMBER(SEARCH("lunch",F962)),"Lunch Box", IF(ISNUMBER(SEARCH("cutlery",F962)),"Cutlery","Other")))))</f>
        <v>0</v>
      </c>
      <c r="I962">
        <f>IF('Raw Data'!G962&lt;&gt;'','Raw Data'!G962,IFERROR(MID(F962,SEARCH("MODEL",F962)+6,20),""))</f>
        <v>0</v>
      </c>
      <c r="J962">
        <f>'Raw Data'!H962</f>
        <v>0</v>
      </c>
      <c r="K962">
        <f>'Raw Data'!I962</f>
        <v>0</v>
      </c>
      <c r="L962">
        <f>IF('Raw Data'!N962&lt;&gt;0,'Raw Data'!N962,IFERROR(VALUE(MID(F962,SEARCH("QTY",F962)+4,IFERROR(FIND(" ",F962,SEARCH("QTY",F962)+4)-(SEARCH("QTY",F962)+4),3))),""))</f>
        <v>0</v>
      </c>
      <c r="M962">
        <f>'Raw Data'!O962</f>
        <v>0</v>
      </c>
      <c r="N962">
        <f>'Raw Data'!P962</f>
        <v>0</v>
      </c>
      <c r="O962">
        <f>'Raw Data'!Q962</f>
        <v>0</v>
      </c>
      <c r="P962">
        <f>'Raw Data'!R962</f>
        <v>0</v>
      </c>
      <c r="Q962">
        <f>'Raw Data'!S962</f>
        <v>0</v>
      </c>
      <c r="R962">
        <f>'Raw Data'!T962</f>
        <v>0</v>
      </c>
      <c r="S962">
        <f>IFERROR(O962,0)+IFERROR(R962,0)</f>
        <v>0</v>
      </c>
      <c r="T962">
        <f>IF(A962="","",YEAR(A962))</f>
        <v>0</v>
      </c>
    </row>
    <row r="963" spans="1:20">
      <c r="A963">
        <f>'Raw Data'!B963</f>
        <v>0</v>
      </c>
      <c r="B963">
        <f>'Raw Data'!A963</f>
        <v>0</v>
      </c>
      <c r="C963">
        <f>'Raw Data'!C963</f>
        <v>0</v>
      </c>
      <c r="D963">
        <f>'Raw Data'!D963</f>
        <v>0</v>
      </c>
      <c r="E963">
        <f>IFERROR(VLOOKUP(D963,'Lookup Tables'!$A:$B,2,FALSE),"Unknown")</f>
        <v>0</v>
      </c>
      <c r="F963">
        <f>'Raw Data'!E963</f>
        <v>0</v>
      </c>
      <c r="G963">
        <f>IFERROR(VLOOKUP(D963,'Lookup Tables'!$A:$C,3,FALSE),IF(ISNUMBER(SEARCH("STEEL",F963)),"Steel","Others"))</f>
        <v>0</v>
      </c>
      <c r="H963">
        <f>IF(ISNUMBER(SEARCH("scrubber",F963)) , "Scrubber", IF(ISNUMBER(SEARCH("container",F963)),"Container", IF(ISNUMBER(SEARCH("basket",F963)),"Basket", IF(ISNUMBER(SEARCH("lunch",F963)),"Lunch Box", IF(ISNUMBER(SEARCH("cutlery",F963)),"Cutlery","Other")))))</f>
        <v>0</v>
      </c>
      <c r="I963">
        <f>IF('Raw Data'!G963&lt;&gt;'','Raw Data'!G963,IFERROR(MID(F963,SEARCH("MODEL",F963)+6,20),""))</f>
        <v>0</v>
      </c>
      <c r="J963">
        <f>'Raw Data'!H963</f>
        <v>0</v>
      </c>
      <c r="K963">
        <f>'Raw Data'!I963</f>
        <v>0</v>
      </c>
      <c r="L963">
        <f>IF('Raw Data'!N963&lt;&gt;0,'Raw Data'!N963,IFERROR(VALUE(MID(F963,SEARCH("QTY",F963)+4,IFERROR(FIND(" ",F963,SEARCH("QTY",F963)+4)-(SEARCH("QTY",F963)+4),3))),""))</f>
        <v>0</v>
      </c>
      <c r="M963">
        <f>'Raw Data'!O963</f>
        <v>0</v>
      </c>
      <c r="N963">
        <f>'Raw Data'!P963</f>
        <v>0</v>
      </c>
      <c r="O963">
        <f>'Raw Data'!Q963</f>
        <v>0</v>
      </c>
      <c r="P963">
        <f>'Raw Data'!R963</f>
        <v>0</v>
      </c>
      <c r="Q963">
        <f>'Raw Data'!S963</f>
        <v>0</v>
      </c>
      <c r="R963">
        <f>'Raw Data'!T963</f>
        <v>0</v>
      </c>
      <c r="S963">
        <f>IFERROR(O963,0)+IFERROR(R963,0)</f>
        <v>0</v>
      </c>
      <c r="T963">
        <f>IF(A963="","",YEAR(A963))</f>
        <v>0</v>
      </c>
    </row>
    <row r="964" spans="1:20">
      <c r="A964">
        <f>'Raw Data'!B964</f>
        <v>0</v>
      </c>
      <c r="B964">
        <f>'Raw Data'!A964</f>
        <v>0</v>
      </c>
      <c r="C964">
        <f>'Raw Data'!C964</f>
        <v>0</v>
      </c>
      <c r="D964">
        <f>'Raw Data'!D964</f>
        <v>0</v>
      </c>
      <c r="E964">
        <f>IFERROR(VLOOKUP(D964,'Lookup Tables'!$A:$B,2,FALSE),"Unknown")</f>
        <v>0</v>
      </c>
      <c r="F964">
        <f>'Raw Data'!E964</f>
        <v>0</v>
      </c>
      <c r="G964">
        <f>IFERROR(VLOOKUP(D964,'Lookup Tables'!$A:$C,3,FALSE),IF(ISNUMBER(SEARCH("STEEL",F964)),"Steel","Others"))</f>
        <v>0</v>
      </c>
      <c r="H964">
        <f>IF(ISNUMBER(SEARCH("scrubber",F964)) , "Scrubber", IF(ISNUMBER(SEARCH("container",F964)),"Container", IF(ISNUMBER(SEARCH("basket",F964)),"Basket", IF(ISNUMBER(SEARCH("lunch",F964)),"Lunch Box", IF(ISNUMBER(SEARCH("cutlery",F964)),"Cutlery","Other")))))</f>
        <v>0</v>
      </c>
      <c r="I964">
        <f>IF('Raw Data'!G964&lt;&gt;'','Raw Data'!G964,IFERROR(MID(F964,SEARCH("MODEL",F964)+6,20),""))</f>
        <v>0</v>
      </c>
      <c r="J964">
        <f>'Raw Data'!H964</f>
        <v>0</v>
      </c>
      <c r="K964">
        <f>'Raw Data'!I964</f>
        <v>0</v>
      </c>
      <c r="L964">
        <f>IF('Raw Data'!N964&lt;&gt;0,'Raw Data'!N964,IFERROR(VALUE(MID(F964,SEARCH("QTY",F964)+4,IFERROR(FIND(" ",F964,SEARCH("QTY",F964)+4)-(SEARCH("QTY",F964)+4),3))),""))</f>
        <v>0</v>
      </c>
      <c r="M964">
        <f>'Raw Data'!O964</f>
        <v>0</v>
      </c>
      <c r="N964">
        <f>'Raw Data'!P964</f>
        <v>0</v>
      </c>
      <c r="O964">
        <f>'Raw Data'!Q964</f>
        <v>0</v>
      </c>
      <c r="P964">
        <f>'Raw Data'!R964</f>
        <v>0</v>
      </c>
      <c r="Q964">
        <f>'Raw Data'!S964</f>
        <v>0</v>
      </c>
      <c r="R964">
        <f>'Raw Data'!T964</f>
        <v>0</v>
      </c>
      <c r="S964">
        <f>IFERROR(O964,0)+IFERROR(R964,0)</f>
        <v>0</v>
      </c>
      <c r="T964">
        <f>IF(A964="","",YEAR(A964))</f>
        <v>0</v>
      </c>
    </row>
    <row r="965" spans="1:20">
      <c r="A965">
        <f>'Raw Data'!B965</f>
        <v>0</v>
      </c>
      <c r="B965">
        <f>'Raw Data'!A965</f>
        <v>0</v>
      </c>
      <c r="C965">
        <f>'Raw Data'!C965</f>
        <v>0</v>
      </c>
      <c r="D965">
        <f>'Raw Data'!D965</f>
        <v>0</v>
      </c>
      <c r="E965">
        <f>IFERROR(VLOOKUP(D965,'Lookup Tables'!$A:$B,2,FALSE),"Unknown")</f>
        <v>0</v>
      </c>
      <c r="F965">
        <f>'Raw Data'!E965</f>
        <v>0</v>
      </c>
      <c r="G965">
        <f>IFERROR(VLOOKUP(D965,'Lookup Tables'!$A:$C,3,FALSE),IF(ISNUMBER(SEARCH("STEEL",F965)),"Steel","Others"))</f>
        <v>0</v>
      </c>
      <c r="H965">
        <f>IF(ISNUMBER(SEARCH("scrubber",F965)) , "Scrubber", IF(ISNUMBER(SEARCH("container",F965)),"Container", IF(ISNUMBER(SEARCH("basket",F965)),"Basket", IF(ISNUMBER(SEARCH("lunch",F965)),"Lunch Box", IF(ISNUMBER(SEARCH("cutlery",F965)),"Cutlery","Other")))))</f>
        <v>0</v>
      </c>
      <c r="I965">
        <f>IF('Raw Data'!G965&lt;&gt;'','Raw Data'!G965,IFERROR(MID(F965,SEARCH("MODEL",F965)+6,20),""))</f>
        <v>0</v>
      </c>
      <c r="J965">
        <f>'Raw Data'!H965</f>
        <v>0</v>
      </c>
      <c r="K965">
        <f>'Raw Data'!I965</f>
        <v>0</v>
      </c>
      <c r="L965">
        <f>IF('Raw Data'!N965&lt;&gt;0,'Raw Data'!N965,IFERROR(VALUE(MID(F965,SEARCH("QTY",F965)+4,IFERROR(FIND(" ",F965,SEARCH("QTY",F965)+4)-(SEARCH("QTY",F965)+4),3))),""))</f>
        <v>0</v>
      </c>
      <c r="M965">
        <f>'Raw Data'!O965</f>
        <v>0</v>
      </c>
      <c r="N965">
        <f>'Raw Data'!P965</f>
        <v>0</v>
      </c>
      <c r="O965">
        <f>'Raw Data'!Q965</f>
        <v>0</v>
      </c>
      <c r="P965">
        <f>'Raw Data'!R965</f>
        <v>0</v>
      </c>
      <c r="Q965">
        <f>'Raw Data'!S965</f>
        <v>0</v>
      </c>
      <c r="R965">
        <f>'Raw Data'!T965</f>
        <v>0</v>
      </c>
      <c r="S965">
        <f>IFERROR(O965,0)+IFERROR(R965,0)</f>
        <v>0</v>
      </c>
      <c r="T965">
        <f>IF(A965="","",YEAR(A965))</f>
        <v>0</v>
      </c>
    </row>
    <row r="966" spans="1:20">
      <c r="A966">
        <f>'Raw Data'!B966</f>
        <v>0</v>
      </c>
      <c r="B966">
        <f>'Raw Data'!A966</f>
        <v>0</v>
      </c>
      <c r="C966">
        <f>'Raw Data'!C966</f>
        <v>0</v>
      </c>
      <c r="D966">
        <f>'Raw Data'!D966</f>
        <v>0</v>
      </c>
      <c r="E966">
        <f>IFERROR(VLOOKUP(D966,'Lookup Tables'!$A:$B,2,FALSE),"Unknown")</f>
        <v>0</v>
      </c>
      <c r="F966">
        <f>'Raw Data'!E966</f>
        <v>0</v>
      </c>
      <c r="G966">
        <f>IFERROR(VLOOKUP(D966,'Lookup Tables'!$A:$C,3,FALSE),IF(ISNUMBER(SEARCH("STEEL",F966)),"Steel","Others"))</f>
        <v>0</v>
      </c>
      <c r="H966">
        <f>IF(ISNUMBER(SEARCH("scrubber",F966)) , "Scrubber", IF(ISNUMBER(SEARCH("container",F966)),"Container", IF(ISNUMBER(SEARCH("basket",F966)),"Basket", IF(ISNUMBER(SEARCH("lunch",F966)),"Lunch Box", IF(ISNUMBER(SEARCH("cutlery",F966)),"Cutlery","Other")))))</f>
        <v>0</v>
      </c>
      <c r="I966">
        <f>IF('Raw Data'!G966&lt;&gt;'','Raw Data'!G966,IFERROR(MID(F966,SEARCH("MODEL",F966)+6,20),""))</f>
        <v>0</v>
      </c>
      <c r="J966">
        <f>'Raw Data'!H966</f>
        <v>0</v>
      </c>
      <c r="K966">
        <f>'Raw Data'!I966</f>
        <v>0</v>
      </c>
      <c r="L966">
        <f>IF('Raw Data'!N966&lt;&gt;0,'Raw Data'!N966,IFERROR(VALUE(MID(F966,SEARCH("QTY",F966)+4,IFERROR(FIND(" ",F966,SEARCH("QTY",F966)+4)-(SEARCH("QTY",F966)+4),3))),""))</f>
        <v>0</v>
      </c>
      <c r="M966">
        <f>'Raw Data'!O966</f>
        <v>0</v>
      </c>
      <c r="N966">
        <f>'Raw Data'!P966</f>
        <v>0</v>
      </c>
      <c r="O966">
        <f>'Raw Data'!Q966</f>
        <v>0</v>
      </c>
      <c r="P966">
        <f>'Raw Data'!R966</f>
        <v>0</v>
      </c>
      <c r="Q966">
        <f>'Raw Data'!S966</f>
        <v>0</v>
      </c>
      <c r="R966">
        <f>'Raw Data'!T966</f>
        <v>0</v>
      </c>
      <c r="S966">
        <f>IFERROR(O966,0)+IFERROR(R966,0)</f>
        <v>0</v>
      </c>
      <c r="T966">
        <f>IF(A966="","",YEAR(A966))</f>
        <v>0</v>
      </c>
    </row>
    <row r="967" spans="1:20">
      <c r="A967">
        <f>'Raw Data'!B967</f>
        <v>0</v>
      </c>
      <c r="B967">
        <f>'Raw Data'!A967</f>
        <v>0</v>
      </c>
      <c r="C967">
        <f>'Raw Data'!C967</f>
        <v>0</v>
      </c>
      <c r="D967">
        <f>'Raw Data'!D967</f>
        <v>0</v>
      </c>
      <c r="E967">
        <f>IFERROR(VLOOKUP(D967,'Lookup Tables'!$A:$B,2,FALSE),"Unknown")</f>
        <v>0</v>
      </c>
      <c r="F967">
        <f>'Raw Data'!E967</f>
        <v>0</v>
      </c>
      <c r="G967">
        <f>IFERROR(VLOOKUP(D967,'Lookup Tables'!$A:$C,3,FALSE),IF(ISNUMBER(SEARCH("STEEL",F967)),"Steel","Others"))</f>
        <v>0</v>
      </c>
      <c r="H967">
        <f>IF(ISNUMBER(SEARCH("scrubber",F967)) , "Scrubber", IF(ISNUMBER(SEARCH("container",F967)),"Container", IF(ISNUMBER(SEARCH("basket",F967)),"Basket", IF(ISNUMBER(SEARCH("lunch",F967)),"Lunch Box", IF(ISNUMBER(SEARCH("cutlery",F967)),"Cutlery","Other")))))</f>
        <v>0</v>
      </c>
      <c r="I967">
        <f>IF('Raw Data'!G967&lt;&gt;'','Raw Data'!G967,IFERROR(MID(F967,SEARCH("MODEL",F967)+6,20),""))</f>
        <v>0</v>
      </c>
      <c r="J967">
        <f>'Raw Data'!H967</f>
        <v>0</v>
      </c>
      <c r="K967">
        <f>'Raw Data'!I967</f>
        <v>0</v>
      </c>
      <c r="L967">
        <f>IF('Raw Data'!N967&lt;&gt;0,'Raw Data'!N967,IFERROR(VALUE(MID(F967,SEARCH("QTY",F967)+4,IFERROR(FIND(" ",F967,SEARCH("QTY",F967)+4)-(SEARCH("QTY",F967)+4),3))),""))</f>
        <v>0</v>
      </c>
      <c r="M967">
        <f>'Raw Data'!O967</f>
        <v>0</v>
      </c>
      <c r="N967">
        <f>'Raw Data'!P967</f>
        <v>0</v>
      </c>
      <c r="O967">
        <f>'Raw Data'!Q967</f>
        <v>0</v>
      </c>
      <c r="P967">
        <f>'Raw Data'!R967</f>
        <v>0</v>
      </c>
      <c r="Q967">
        <f>'Raw Data'!S967</f>
        <v>0</v>
      </c>
      <c r="R967">
        <f>'Raw Data'!T967</f>
        <v>0</v>
      </c>
      <c r="S967">
        <f>IFERROR(O967,0)+IFERROR(R967,0)</f>
        <v>0</v>
      </c>
      <c r="T967">
        <f>IF(A967="","",YEAR(A967))</f>
        <v>0</v>
      </c>
    </row>
    <row r="968" spans="1:20">
      <c r="A968">
        <f>'Raw Data'!B968</f>
        <v>0</v>
      </c>
      <c r="B968">
        <f>'Raw Data'!A968</f>
        <v>0</v>
      </c>
      <c r="C968">
        <f>'Raw Data'!C968</f>
        <v>0</v>
      </c>
      <c r="D968">
        <f>'Raw Data'!D968</f>
        <v>0</v>
      </c>
      <c r="E968">
        <f>IFERROR(VLOOKUP(D968,'Lookup Tables'!$A:$B,2,FALSE),"Unknown")</f>
        <v>0</v>
      </c>
      <c r="F968">
        <f>'Raw Data'!E968</f>
        <v>0</v>
      </c>
      <c r="G968">
        <f>IFERROR(VLOOKUP(D968,'Lookup Tables'!$A:$C,3,FALSE),IF(ISNUMBER(SEARCH("STEEL",F968)),"Steel","Others"))</f>
        <v>0</v>
      </c>
      <c r="H968">
        <f>IF(ISNUMBER(SEARCH("scrubber",F968)) , "Scrubber", IF(ISNUMBER(SEARCH("container",F968)),"Container", IF(ISNUMBER(SEARCH("basket",F968)),"Basket", IF(ISNUMBER(SEARCH("lunch",F968)),"Lunch Box", IF(ISNUMBER(SEARCH("cutlery",F968)),"Cutlery","Other")))))</f>
        <v>0</v>
      </c>
      <c r="I968">
        <f>IF('Raw Data'!G968&lt;&gt;'','Raw Data'!G968,IFERROR(MID(F968,SEARCH("MODEL",F968)+6,20),""))</f>
        <v>0</v>
      </c>
      <c r="J968">
        <f>'Raw Data'!H968</f>
        <v>0</v>
      </c>
      <c r="K968">
        <f>'Raw Data'!I968</f>
        <v>0</v>
      </c>
      <c r="L968">
        <f>IF('Raw Data'!N968&lt;&gt;0,'Raw Data'!N968,IFERROR(VALUE(MID(F968,SEARCH("QTY",F968)+4,IFERROR(FIND(" ",F968,SEARCH("QTY",F968)+4)-(SEARCH("QTY",F968)+4),3))),""))</f>
        <v>0</v>
      </c>
      <c r="M968">
        <f>'Raw Data'!O968</f>
        <v>0</v>
      </c>
      <c r="N968">
        <f>'Raw Data'!P968</f>
        <v>0</v>
      </c>
      <c r="O968">
        <f>'Raw Data'!Q968</f>
        <v>0</v>
      </c>
      <c r="P968">
        <f>'Raw Data'!R968</f>
        <v>0</v>
      </c>
      <c r="Q968">
        <f>'Raw Data'!S968</f>
        <v>0</v>
      </c>
      <c r="R968">
        <f>'Raw Data'!T968</f>
        <v>0</v>
      </c>
      <c r="S968">
        <f>IFERROR(O968,0)+IFERROR(R968,0)</f>
        <v>0</v>
      </c>
      <c r="T968">
        <f>IF(A968="","",YEAR(A968))</f>
        <v>0</v>
      </c>
    </row>
    <row r="969" spans="1:20">
      <c r="A969">
        <f>'Raw Data'!B969</f>
        <v>0</v>
      </c>
      <c r="B969">
        <f>'Raw Data'!A969</f>
        <v>0</v>
      </c>
      <c r="C969">
        <f>'Raw Data'!C969</f>
        <v>0</v>
      </c>
      <c r="D969">
        <f>'Raw Data'!D969</f>
        <v>0</v>
      </c>
      <c r="E969">
        <f>IFERROR(VLOOKUP(D969,'Lookup Tables'!$A:$B,2,FALSE),"Unknown")</f>
        <v>0</v>
      </c>
      <c r="F969">
        <f>'Raw Data'!E969</f>
        <v>0</v>
      </c>
      <c r="G969">
        <f>IFERROR(VLOOKUP(D969,'Lookup Tables'!$A:$C,3,FALSE),IF(ISNUMBER(SEARCH("STEEL",F969)),"Steel","Others"))</f>
        <v>0</v>
      </c>
      <c r="H969">
        <f>IF(ISNUMBER(SEARCH("scrubber",F969)) , "Scrubber", IF(ISNUMBER(SEARCH("container",F969)),"Container", IF(ISNUMBER(SEARCH("basket",F969)),"Basket", IF(ISNUMBER(SEARCH("lunch",F969)),"Lunch Box", IF(ISNUMBER(SEARCH("cutlery",F969)),"Cutlery","Other")))))</f>
        <v>0</v>
      </c>
      <c r="I969">
        <f>IF('Raw Data'!G969&lt;&gt;'','Raw Data'!G969,IFERROR(MID(F969,SEARCH("MODEL",F969)+6,20),""))</f>
        <v>0</v>
      </c>
      <c r="J969">
        <f>'Raw Data'!H969</f>
        <v>0</v>
      </c>
      <c r="K969">
        <f>'Raw Data'!I969</f>
        <v>0</v>
      </c>
      <c r="L969">
        <f>IF('Raw Data'!N969&lt;&gt;0,'Raw Data'!N969,IFERROR(VALUE(MID(F969,SEARCH("QTY",F969)+4,IFERROR(FIND(" ",F969,SEARCH("QTY",F969)+4)-(SEARCH("QTY",F969)+4),3))),""))</f>
        <v>0</v>
      </c>
      <c r="M969">
        <f>'Raw Data'!O969</f>
        <v>0</v>
      </c>
      <c r="N969">
        <f>'Raw Data'!P969</f>
        <v>0</v>
      </c>
      <c r="O969">
        <f>'Raw Data'!Q969</f>
        <v>0</v>
      </c>
      <c r="P969">
        <f>'Raw Data'!R969</f>
        <v>0</v>
      </c>
      <c r="Q969">
        <f>'Raw Data'!S969</f>
        <v>0</v>
      </c>
      <c r="R969">
        <f>'Raw Data'!T969</f>
        <v>0</v>
      </c>
      <c r="S969">
        <f>IFERROR(O969,0)+IFERROR(R969,0)</f>
        <v>0</v>
      </c>
      <c r="T969">
        <f>IF(A969="","",YEAR(A969))</f>
        <v>0</v>
      </c>
    </row>
    <row r="970" spans="1:20">
      <c r="A970">
        <f>'Raw Data'!B970</f>
        <v>0</v>
      </c>
      <c r="B970">
        <f>'Raw Data'!A970</f>
        <v>0</v>
      </c>
      <c r="C970">
        <f>'Raw Data'!C970</f>
        <v>0</v>
      </c>
      <c r="D970">
        <f>'Raw Data'!D970</f>
        <v>0</v>
      </c>
      <c r="E970">
        <f>IFERROR(VLOOKUP(D970,'Lookup Tables'!$A:$B,2,FALSE),"Unknown")</f>
        <v>0</v>
      </c>
      <c r="F970">
        <f>'Raw Data'!E970</f>
        <v>0</v>
      </c>
      <c r="G970">
        <f>IFERROR(VLOOKUP(D970,'Lookup Tables'!$A:$C,3,FALSE),IF(ISNUMBER(SEARCH("STEEL",F970)),"Steel","Others"))</f>
        <v>0</v>
      </c>
      <c r="H970">
        <f>IF(ISNUMBER(SEARCH("scrubber",F970)) , "Scrubber", IF(ISNUMBER(SEARCH("container",F970)),"Container", IF(ISNUMBER(SEARCH("basket",F970)),"Basket", IF(ISNUMBER(SEARCH("lunch",F970)),"Lunch Box", IF(ISNUMBER(SEARCH("cutlery",F970)),"Cutlery","Other")))))</f>
        <v>0</v>
      </c>
      <c r="I970">
        <f>IF('Raw Data'!G970&lt;&gt;'','Raw Data'!G970,IFERROR(MID(F970,SEARCH("MODEL",F970)+6,20),""))</f>
        <v>0</v>
      </c>
      <c r="J970">
        <f>'Raw Data'!H970</f>
        <v>0</v>
      </c>
      <c r="K970">
        <f>'Raw Data'!I970</f>
        <v>0</v>
      </c>
      <c r="L970">
        <f>IF('Raw Data'!N970&lt;&gt;0,'Raw Data'!N970,IFERROR(VALUE(MID(F970,SEARCH("QTY",F970)+4,IFERROR(FIND(" ",F970,SEARCH("QTY",F970)+4)-(SEARCH("QTY",F970)+4),3))),""))</f>
        <v>0</v>
      </c>
      <c r="M970">
        <f>'Raw Data'!O970</f>
        <v>0</v>
      </c>
      <c r="N970">
        <f>'Raw Data'!P970</f>
        <v>0</v>
      </c>
      <c r="O970">
        <f>'Raw Data'!Q970</f>
        <v>0</v>
      </c>
      <c r="P970">
        <f>'Raw Data'!R970</f>
        <v>0</v>
      </c>
      <c r="Q970">
        <f>'Raw Data'!S970</f>
        <v>0</v>
      </c>
      <c r="R970">
        <f>'Raw Data'!T970</f>
        <v>0</v>
      </c>
      <c r="S970">
        <f>IFERROR(O970,0)+IFERROR(R970,0)</f>
        <v>0</v>
      </c>
      <c r="T970">
        <f>IF(A970="","",YEAR(A970))</f>
        <v>0</v>
      </c>
    </row>
    <row r="971" spans="1:20">
      <c r="A971">
        <f>'Raw Data'!B971</f>
        <v>0</v>
      </c>
      <c r="B971">
        <f>'Raw Data'!A971</f>
        <v>0</v>
      </c>
      <c r="C971">
        <f>'Raw Data'!C971</f>
        <v>0</v>
      </c>
      <c r="D971">
        <f>'Raw Data'!D971</f>
        <v>0</v>
      </c>
      <c r="E971">
        <f>IFERROR(VLOOKUP(D971,'Lookup Tables'!$A:$B,2,FALSE),"Unknown")</f>
        <v>0</v>
      </c>
      <c r="F971">
        <f>'Raw Data'!E971</f>
        <v>0</v>
      </c>
      <c r="G971">
        <f>IFERROR(VLOOKUP(D971,'Lookup Tables'!$A:$C,3,FALSE),IF(ISNUMBER(SEARCH("STEEL",F971)),"Steel","Others"))</f>
        <v>0</v>
      </c>
      <c r="H971">
        <f>IF(ISNUMBER(SEARCH("scrubber",F971)) , "Scrubber", IF(ISNUMBER(SEARCH("container",F971)),"Container", IF(ISNUMBER(SEARCH("basket",F971)),"Basket", IF(ISNUMBER(SEARCH("lunch",F971)),"Lunch Box", IF(ISNUMBER(SEARCH("cutlery",F971)),"Cutlery","Other")))))</f>
        <v>0</v>
      </c>
      <c r="I971">
        <f>IF('Raw Data'!G971&lt;&gt;'','Raw Data'!G971,IFERROR(MID(F971,SEARCH("MODEL",F971)+6,20),""))</f>
        <v>0</v>
      </c>
      <c r="J971">
        <f>'Raw Data'!H971</f>
        <v>0</v>
      </c>
      <c r="K971">
        <f>'Raw Data'!I971</f>
        <v>0</v>
      </c>
      <c r="L971">
        <f>IF('Raw Data'!N971&lt;&gt;0,'Raw Data'!N971,IFERROR(VALUE(MID(F971,SEARCH("QTY",F971)+4,IFERROR(FIND(" ",F971,SEARCH("QTY",F971)+4)-(SEARCH("QTY",F971)+4),3))),""))</f>
        <v>0</v>
      </c>
      <c r="M971">
        <f>'Raw Data'!O971</f>
        <v>0</v>
      </c>
      <c r="N971">
        <f>'Raw Data'!P971</f>
        <v>0</v>
      </c>
      <c r="O971">
        <f>'Raw Data'!Q971</f>
        <v>0</v>
      </c>
      <c r="P971">
        <f>'Raw Data'!R971</f>
        <v>0</v>
      </c>
      <c r="Q971">
        <f>'Raw Data'!S971</f>
        <v>0</v>
      </c>
      <c r="R971">
        <f>'Raw Data'!T971</f>
        <v>0</v>
      </c>
      <c r="S971">
        <f>IFERROR(O971,0)+IFERROR(R971,0)</f>
        <v>0</v>
      </c>
      <c r="T971">
        <f>IF(A971="","",YEAR(A971))</f>
        <v>0</v>
      </c>
    </row>
    <row r="972" spans="1:20">
      <c r="A972">
        <f>'Raw Data'!B972</f>
        <v>0</v>
      </c>
      <c r="B972">
        <f>'Raw Data'!A972</f>
        <v>0</v>
      </c>
      <c r="C972">
        <f>'Raw Data'!C972</f>
        <v>0</v>
      </c>
      <c r="D972">
        <f>'Raw Data'!D972</f>
        <v>0</v>
      </c>
      <c r="E972">
        <f>IFERROR(VLOOKUP(D972,'Lookup Tables'!$A:$B,2,FALSE),"Unknown")</f>
        <v>0</v>
      </c>
      <c r="F972">
        <f>'Raw Data'!E972</f>
        <v>0</v>
      </c>
      <c r="G972">
        <f>IFERROR(VLOOKUP(D972,'Lookup Tables'!$A:$C,3,FALSE),IF(ISNUMBER(SEARCH("STEEL",F972)),"Steel","Others"))</f>
        <v>0</v>
      </c>
      <c r="H972">
        <f>IF(ISNUMBER(SEARCH("scrubber",F972)) , "Scrubber", IF(ISNUMBER(SEARCH("container",F972)),"Container", IF(ISNUMBER(SEARCH("basket",F972)),"Basket", IF(ISNUMBER(SEARCH("lunch",F972)),"Lunch Box", IF(ISNUMBER(SEARCH("cutlery",F972)),"Cutlery","Other")))))</f>
        <v>0</v>
      </c>
      <c r="I972">
        <f>IF('Raw Data'!G972&lt;&gt;'','Raw Data'!G972,IFERROR(MID(F972,SEARCH("MODEL",F972)+6,20),""))</f>
        <v>0</v>
      </c>
      <c r="J972">
        <f>'Raw Data'!H972</f>
        <v>0</v>
      </c>
      <c r="K972">
        <f>'Raw Data'!I972</f>
        <v>0</v>
      </c>
      <c r="L972">
        <f>IF('Raw Data'!N972&lt;&gt;0,'Raw Data'!N972,IFERROR(VALUE(MID(F972,SEARCH("QTY",F972)+4,IFERROR(FIND(" ",F972,SEARCH("QTY",F972)+4)-(SEARCH("QTY",F972)+4),3))),""))</f>
        <v>0</v>
      </c>
      <c r="M972">
        <f>'Raw Data'!O972</f>
        <v>0</v>
      </c>
      <c r="N972">
        <f>'Raw Data'!P972</f>
        <v>0</v>
      </c>
      <c r="O972">
        <f>'Raw Data'!Q972</f>
        <v>0</v>
      </c>
      <c r="P972">
        <f>'Raw Data'!R972</f>
        <v>0</v>
      </c>
      <c r="Q972">
        <f>'Raw Data'!S972</f>
        <v>0</v>
      </c>
      <c r="R972">
        <f>'Raw Data'!T972</f>
        <v>0</v>
      </c>
      <c r="S972">
        <f>IFERROR(O972,0)+IFERROR(R972,0)</f>
        <v>0</v>
      </c>
      <c r="T972">
        <f>IF(A972="","",YEAR(A972))</f>
        <v>0</v>
      </c>
    </row>
    <row r="973" spans="1:20">
      <c r="A973">
        <f>'Raw Data'!B973</f>
        <v>0</v>
      </c>
      <c r="B973">
        <f>'Raw Data'!A973</f>
        <v>0</v>
      </c>
      <c r="C973">
        <f>'Raw Data'!C973</f>
        <v>0</v>
      </c>
      <c r="D973">
        <f>'Raw Data'!D973</f>
        <v>0</v>
      </c>
      <c r="E973">
        <f>IFERROR(VLOOKUP(D973,'Lookup Tables'!$A:$B,2,FALSE),"Unknown")</f>
        <v>0</v>
      </c>
      <c r="F973">
        <f>'Raw Data'!E973</f>
        <v>0</v>
      </c>
      <c r="G973">
        <f>IFERROR(VLOOKUP(D973,'Lookup Tables'!$A:$C,3,FALSE),IF(ISNUMBER(SEARCH("STEEL",F973)),"Steel","Others"))</f>
        <v>0</v>
      </c>
      <c r="H973">
        <f>IF(ISNUMBER(SEARCH("scrubber",F973)) , "Scrubber", IF(ISNUMBER(SEARCH("container",F973)),"Container", IF(ISNUMBER(SEARCH("basket",F973)),"Basket", IF(ISNUMBER(SEARCH("lunch",F973)),"Lunch Box", IF(ISNUMBER(SEARCH("cutlery",F973)),"Cutlery","Other")))))</f>
        <v>0</v>
      </c>
      <c r="I973">
        <f>IF('Raw Data'!G973&lt;&gt;'','Raw Data'!G973,IFERROR(MID(F973,SEARCH("MODEL",F973)+6,20),""))</f>
        <v>0</v>
      </c>
      <c r="J973">
        <f>'Raw Data'!H973</f>
        <v>0</v>
      </c>
      <c r="K973">
        <f>'Raw Data'!I973</f>
        <v>0</v>
      </c>
      <c r="L973">
        <f>IF('Raw Data'!N973&lt;&gt;0,'Raw Data'!N973,IFERROR(VALUE(MID(F973,SEARCH("QTY",F973)+4,IFERROR(FIND(" ",F973,SEARCH("QTY",F973)+4)-(SEARCH("QTY",F973)+4),3))),""))</f>
        <v>0</v>
      </c>
      <c r="M973">
        <f>'Raw Data'!O973</f>
        <v>0</v>
      </c>
      <c r="N973">
        <f>'Raw Data'!P973</f>
        <v>0</v>
      </c>
      <c r="O973">
        <f>'Raw Data'!Q973</f>
        <v>0</v>
      </c>
      <c r="P973">
        <f>'Raw Data'!R973</f>
        <v>0</v>
      </c>
      <c r="Q973">
        <f>'Raw Data'!S973</f>
        <v>0</v>
      </c>
      <c r="R973">
        <f>'Raw Data'!T973</f>
        <v>0</v>
      </c>
      <c r="S973">
        <f>IFERROR(O973,0)+IFERROR(R973,0)</f>
        <v>0</v>
      </c>
      <c r="T973">
        <f>IF(A973="","",YEAR(A973))</f>
        <v>0</v>
      </c>
    </row>
    <row r="974" spans="1:20">
      <c r="A974">
        <f>'Raw Data'!B974</f>
        <v>0</v>
      </c>
      <c r="B974">
        <f>'Raw Data'!A974</f>
        <v>0</v>
      </c>
      <c r="C974">
        <f>'Raw Data'!C974</f>
        <v>0</v>
      </c>
      <c r="D974">
        <f>'Raw Data'!D974</f>
        <v>0</v>
      </c>
      <c r="E974">
        <f>IFERROR(VLOOKUP(D974,'Lookup Tables'!$A:$B,2,FALSE),"Unknown")</f>
        <v>0</v>
      </c>
      <c r="F974">
        <f>'Raw Data'!E974</f>
        <v>0</v>
      </c>
      <c r="G974">
        <f>IFERROR(VLOOKUP(D974,'Lookup Tables'!$A:$C,3,FALSE),IF(ISNUMBER(SEARCH("STEEL",F974)),"Steel","Others"))</f>
        <v>0</v>
      </c>
      <c r="H974">
        <f>IF(ISNUMBER(SEARCH("scrubber",F974)) , "Scrubber", IF(ISNUMBER(SEARCH("container",F974)),"Container", IF(ISNUMBER(SEARCH("basket",F974)),"Basket", IF(ISNUMBER(SEARCH("lunch",F974)),"Lunch Box", IF(ISNUMBER(SEARCH("cutlery",F974)),"Cutlery","Other")))))</f>
        <v>0</v>
      </c>
      <c r="I974">
        <f>IF('Raw Data'!G974&lt;&gt;'','Raw Data'!G974,IFERROR(MID(F974,SEARCH("MODEL",F974)+6,20),""))</f>
        <v>0</v>
      </c>
      <c r="J974">
        <f>'Raw Data'!H974</f>
        <v>0</v>
      </c>
      <c r="K974">
        <f>'Raw Data'!I974</f>
        <v>0</v>
      </c>
      <c r="L974">
        <f>IF('Raw Data'!N974&lt;&gt;0,'Raw Data'!N974,IFERROR(VALUE(MID(F974,SEARCH("QTY",F974)+4,IFERROR(FIND(" ",F974,SEARCH("QTY",F974)+4)-(SEARCH("QTY",F974)+4),3))),""))</f>
        <v>0</v>
      </c>
      <c r="M974">
        <f>'Raw Data'!O974</f>
        <v>0</v>
      </c>
      <c r="N974">
        <f>'Raw Data'!P974</f>
        <v>0</v>
      </c>
      <c r="O974">
        <f>'Raw Data'!Q974</f>
        <v>0</v>
      </c>
      <c r="P974">
        <f>'Raw Data'!R974</f>
        <v>0</v>
      </c>
      <c r="Q974">
        <f>'Raw Data'!S974</f>
        <v>0</v>
      </c>
      <c r="R974">
        <f>'Raw Data'!T974</f>
        <v>0</v>
      </c>
      <c r="S974">
        <f>IFERROR(O974,0)+IFERROR(R974,0)</f>
        <v>0</v>
      </c>
      <c r="T974">
        <f>IF(A974="","",YEAR(A974))</f>
        <v>0</v>
      </c>
    </row>
    <row r="975" spans="1:20">
      <c r="A975">
        <f>'Raw Data'!B975</f>
        <v>0</v>
      </c>
      <c r="B975">
        <f>'Raw Data'!A975</f>
        <v>0</v>
      </c>
      <c r="C975">
        <f>'Raw Data'!C975</f>
        <v>0</v>
      </c>
      <c r="D975">
        <f>'Raw Data'!D975</f>
        <v>0</v>
      </c>
      <c r="E975">
        <f>IFERROR(VLOOKUP(D975,'Lookup Tables'!$A:$B,2,FALSE),"Unknown")</f>
        <v>0</v>
      </c>
      <c r="F975">
        <f>'Raw Data'!E975</f>
        <v>0</v>
      </c>
      <c r="G975">
        <f>IFERROR(VLOOKUP(D975,'Lookup Tables'!$A:$C,3,FALSE),IF(ISNUMBER(SEARCH("STEEL",F975)),"Steel","Others"))</f>
        <v>0</v>
      </c>
      <c r="H975">
        <f>IF(ISNUMBER(SEARCH("scrubber",F975)) , "Scrubber", IF(ISNUMBER(SEARCH("container",F975)),"Container", IF(ISNUMBER(SEARCH("basket",F975)),"Basket", IF(ISNUMBER(SEARCH("lunch",F975)),"Lunch Box", IF(ISNUMBER(SEARCH("cutlery",F975)),"Cutlery","Other")))))</f>
        <v>0</v>
      </c>
      <c r="I975">
        <f>IF('Raw Data'!G975&lt;&gt;'','Raw Data'!G975,IFERROR(MID(F975,SEARCH("MODEL",F975)+6,20),""))</f>
        <v>0</v>
      </c>
      <c r="J975">
        <f>'Raw Data'!H975</f>
        <v>0</v>
      </c>
      <c r="K975">
        <f>'Raw Data'!I975</f>
        <v>0</v>
      </c>
      <c r="L975">
        <f>IF('Raw Data'!N975&lt;&gt;0,'Raw Data'!N975,IFERROR(VALUE(MID(F975,SEARCH("QTY",F975)+4,IFERROR(FIND(" ",F975,SEARCH("QTY",F975)+4)-(SEARCH("QTY",F975)+4),3))),""))</f>
        <v>0</v>
      </c>
      <c r="M975">
        <f>'Raw Data'!O975</f>
        <v>0</v>
      </c>
      <c r="N975">
        <f>'Raw Data'!P975</f>
        <v>0</v>
      </c>
      <c r="O975">
        <f>'Raw Data'!Q975</f>
        <v>0</v>
      </c>
      <c r="P975">
        <f>'Raw Data'!R975</f>
        <v>0</v>
      </c>
      <c r="Q975">
        <f>'Raw Data'!S975</f>
        <v>0</v>
      </c>
      <c r="R975">
        <f>'Raw Data'!T975</f>
        <v>0</v>
      </c>
      <c r="S975">
        <f>IFERROR(O975,0)+IFERROR(R975,0)</f>
        <v>0</v>
      </c>
      <c r="T975">
        <f>IF(A975="","",YEAR(A975))</f>
        <v>0</v>
      </c>
    </row>
    <row r="976" spans="1:20">
      <c r="A976">
        <f>'Raw Data'!B976</f>
        <v>0</v>
      </c>
      <c r="B976">
        <f>'Raw Data'!A976</f>
        <v>0</v>
      </c>
      <c r="C976">
        <f>'Raw Data'!C976</f>
        <v>0</v>
      </c>
      <c r="D976">
        <f>'Raw Data'!D976</f>
        <v>0</v>
      </c>
      <c r="E976">
        <f>IFERROR(VLOOKUP(D976,'Lookup Tables'!$A:$B,2,FALSE),"Unknown")</f>
        <v>0</v>
      </c>
      <c r="F976">
        <f>'Raw Data'!E976</f>
        <v>0</v>
      </c>
      <c r="G976">
        <f>IFERROR(VLOOKUP(D976,'Lookup Tables'!$A:$C,3,FALSE),IF(ISNUMBER(SEARCH("STEEL",F976)),"Steel","Others"))</f>
        <v>0</v>
      </c>
      <c r="H976">
        <f>IF(ISNUMBER(SEARCH("scrubber",F976)) , "Scrubber", IF(ISNUMBER(SEARCH("container",F976)),"Container", IF(ISNUMBER(SEARCH("basket",F976)),"Basket", IF(ISNUMBER(SEARCH("lunch",F976)),"Lunch Box", IF(ISNUMBER(SEARCH("cutlery",F976)),"Cutlery","Other")))))</f>
        <v>0</v>
      </c>
      <c r="I976">
        <f>IF('Raw Data'!G976&lt;&gt;'','Raw Data'!G976,IFERROR(MID(F976,SEARCH("MODEL",F976)+6,20),""))</f>
        <v>0</v>
      </c>
      <c r="J976">
        <f>'Raw Data'!H976</f>
        <v>0</v>
      </c>
      <c r="K976">
        <f>'Raw Data'!I976</f>
        <v>0</v>
      </c>
      <c r="L976">
        <f>IF('Raw Data'!N976&lt;&gt;0,'Raw Data'!N976,IFERROR(VALUE(MID(F976,SEARCH("QTY",F976)+4,IFERROR(FIND(" ",F976,SEARCH("QTY",F976)+4)-(SEARCH("QTY",F976)+4),3))),""))</f>
        <v>0</v>
      </c>
      <c r="M976">
        <f>'Raw Data'!O976</f>
        <v>0</v>
      </c>
      <c r="N976">
        <f>'Raw Data'!P976</f>
        <v>0</v>
      </c>
      <c r="O976">
        <f>'Raw Data'!Q976</f>
        <v>0</v>
      </c>
      <c r="P976">
        <f>'Raw Data'!R976</f>
        <v>0</v>
      </c>
      <c r="Q976">
        <f>'Raw Data'!S976</f>
        <v>0</v>
      </c>
      <c r="R976">
        <f>'Raw Data'!T976</f>
        <v>0</v>
      </c>
      <c r="S976">
        <f>IFERROR(O976,0)+IFERROR(R976,0)</f>
        <v>0</v>
      </c>
      <c r="T976">
        <f>IF(A976="","",YEAR(A976))</f>
        <v>0</v>
      </c>
    </row>
    <row r="977" spans="1:20">
      <c r="A977">
        <f>'Raw Data'!B977</f>
        <v>0</v>
      </c>
      <c r="B977">
        <f>'Raw Data'!A977</f>
        <v>0</v>
      </c>
      <c r="C977">
        <f>'Raw Data'!C977</f>
        <v>0</v>
      </c>
      <c r="D977">
        <f>'Raw Data'!D977</f>
        <v>0</v>
      </c>
      <c r="E977">
        <f>IFERROR(VLOOKUP(D977,'Lookup Tables'!$A:$B,2,FALSE),"Unknown")</f>
        <v>0</v>
      </c>
      <c r="F977">
        <f>'Raw Data'!E977</f>
        <v>0</v>
      </c>
      <c r="G977">
        <f>IFERROR(VLOOKUP(D977,'Lookup Tables'!$A:$C,3,FALSE),IF(ISNUMBER(SEARCH("STEEL",F977)),"Steel","Others"))</f>
        <v>0</v>
      </c>
      <c r="H977">
        <f>IF(ISNUMBER(SEARCH("scrubber",F977)) , "Scrubber", IF(ISNUMBER(SEARCH("container",F977)),"Container", IF(ISNUMBER(SEARCH("basket",F977)),"Basket", IF(ISNUMBER(SEARCH("lunch",F977)),"Lunch Box", IF(ISNUMBER(SEARCH("cutlery",F977)),"Cutlery","Other")))))</f>
        <v>0</v>
      </c>
      <c r="I977">
        <f>IF('Raw Data'!G977&lt;&gt;'','Raw Data'!G977,IFERROR(MID(F977,SEARCH("MODEL",F977)+6,20),""))</f>
        <v>0</v>
      </c>
      <c r="J977">
        <f>'Raw Data'!H977</f>
        <v>0</v>
      </c>
      <c r="K977">
        <f>'Raw Data'!I977</f>
        <v>0</v>
      </c>
      <c r="L977">
        <f>IF('Raw Data'!N977&lt;&gt;0,'Raw Data'!N977,IFERROR(VALUE(MID(F977,SEARCH("QTY",F977)+4,IFERROR(FIND(" ",F977,SEARCH("QTY",F977)+4)-(SEARCH("QTY",F977)+4),3))),""))</f>
        <v>0</v>
      </c>
      <c r="M977">
        <f>'Raw Data'!O977</f>
        <v>0</v>
      </c>
      <c r="N977">
        <f>'Raw Data'!P977</f>
        <v>0</v>
      </c>
      <c r="O977">
        <f>'Raw Data'!Q977</f>
        <v>0</v>
      </c>
      <c r="P977">
        <f>'Raw Data'!R977</f>
        <v>0</v>
      </c>
      <c r="Q977">
        <f>'Raw Data'!S977</f>
        <v>0</v>
      </c>
      <c r="R977">
        <f>'Raw Data'!T977</f>
        <v>0</v>
      </c>
      <c r="S977">
        <f>IFERROR(O977,0)+IFERROR(R977,0)</f>
        <v>0</v>
      </c>
      <c r="T977">
        <f>IF(A977="","",YEAR(A977))</f>
        <v>0</v>
      </c>
    </row>
    <row r="978" spans="1:20">
      <c r="A978">
        <f>'Raw Data'!B978</f>
        <v>0</v>
      </c>
      <c r="B978">
        <f>'Raw Data'!A978</f>
        <v>0</v>
      </c>
      <c r="C978">
        <f>'Raw Data'!C978</f>
        <v>0</v>
      </c>
      <c r="D978">
        <f>'Raw Data'!D978</f>
        <v>0</v>
      </c>
      <c r="E978">
        <f>IFERROR(VLOOKUP(D978,'Lookup Tables'!$A:$B,2,FALSE),"Unknown")</f>
        <v>0</v>
      </c>
      <c r="F978">
        <f>'Raw Data'!E978</f>
        <v>0</v>
      </c>
      <c r="G978">
        <f>IFERROR(VLOOKUP(D978,'Lookup Tables'!$A:$C,3,FALSE),IF(ISNUMBER(SEARCH("STEEL",F978)),"Steel","Others"))</f>
        <v>0</v>
      </c>
      <c r="H978">
        <f>IF(ISNUMBER(SEARCH("scrubber",F978)) , "Scrubber", IF(ISNUMBER(SEARCH("container",F978)),"Container", IF(ISNUMBER(SEARCH("basket",F978)),"Basket", IF(ISNUMBER(SEARCH("lunch",F978)),"Lunch Box", IF(ISNUMBER(SEARCH("cutlery",F978)),"Cutlery","Other")))))</f>
        <v>0</v>
      </c>
      <c r="I978">
        <f>IF('Raw Data'!G978&lt;&gt;'','Raw Data'!G978,IFERROR(MID(F978,SEARCH("MODEL",F978)+6,20),""))</f>
        <v>0</v>
      </c>
      <c r="J978">
        <f>'Raw Data'!H978</f>
        <v>0</v>
      </c>
      <c r="K978">
        <f>'Raw Data'!I978</f>
        <v>0</v>
      </c>
      <c r="L978">
        <f>IF('Raw Data'!N978&lt;&gt;0,'Raw Data'!N978,IFERROR(VALUE(MID(F978,SEARCH("QTY",F978)+4,IFERROR(FIND(" ",F978,SEARCH("QTY",F978)+4)-(SEARCH("QTY",F978)+4),3))),""))</f>
        <v>0</v>
      </c>
      <c r="M978">
        <f>'Raw Data'!O978</f>
        <v>0</v>
      </c>
      <c r="N978">
        <f>'Raw Data'!P978</f>
        <v>0</v>
      </c>
      <c r="O978">
        <f>'Raw Data'!Q978</f>
        <v>0</v>
      </c>
      <c r="P978">
        <f>'Raw Data'!R978</f>
        <v>0</v>
      </c>
      <c r="Q978">
        <f>'Raw Data'!S978</f>
        <v>0</v>
      </c>
      <c r="R978">
        <f>'Raw Data'!T978</f>
        <v>0</v>
      </c>
      <c r="S978">
        <f>IFERROR(O978,0)+IFERROR(R978,0)</f>
        <v>0</v>
      </c>
      <c r="T978">
        <f>IF(A978="","",YEAR(A978))</f>
        <v>0</v>
      </c>
    </row>
    <row r="979" spans="1:20">
      <c r="A979">
        <f>'Raw Data'!B979</f>
        <v>0</v>
      </c>
      <c r="B979">
        <f>'Raw Data'!A979</f>
        <v>0</v>
      </c>
      <c r="C979">
        <f>'Raw Data'!C979</f>
        <v>0</v>
      </c>
      <c r="D979">
        <f>'Raw Data'!D979</f>
        <v>0</v>
      </c>
      <c r="E979">
        <f>IFERROR(VLOOKUP(D979,'Lookup Tables'!$A:$B,2,FALSE),"Unknown")</f>
        <v>0</v>
      </c>
      <c r="F979">
        <f>'Raw Data'!E979</f>
        <v>0</v>
      </c>
      <c r="G979">
        <f>IFERROR(VLOOKUP(D979,'Lookup Tables'!$A:$C,3,FALSE),IF(ISNUMBER(SEARCH("STEEL",F979)),"Steel","Others"))</f>
        <v>0</v>
      </c>
      <c r="H979">
        <f>IF(ISNUMBER(SEARCH("scrubber",F979)) , "Scrubber", IF(ISNUMBER(SEARCH("container",F979)),"Container", IF(ISNUMBER(SEARCH("basket",F979)),"Basket", IF(ISNUMBER(SEARCH("lunch",F979)),"Lunch Box", IF(ISNUMBER(SEARCH("cutlery",F979)),"Cutlery","Other")))))</f>
        <v>0</v>
      </c>
      <c r="I979">
        <f>IF('Raw Data'!G979&lt;&gt;'','Raw Data'!G979,IFERROR(MID(F979,SEARCH("MODEL",F979)+6,20),""))</f>
        <v>0</v>
      </c>
      <c r="J979">
        <f>'Raw Data'!H979</f>
        <v>0</v>
      </c>
      <c r="K979">
        <f>'Raw Data'!I979</f>
        <v>0</v>
      </c>
      <c r="L979">
        <f>IF('Raw Data'!N979&lt;&gt;0,'Raw Data'!N979,IFERROR(VALUE(MID(F979,SEARCH("QTY",F979)+4,IFERROR(FIND(" ",F979,SEARCH("QTY",F979)+4)-(SEARCH("QTY",F979)+4),3))),""))</f>
        <v>0</v>
      </c>
      <c r="M979">
        <f>'Raw Data'!O979</f>
        <v>0</v>
      </c>
      <c r="N979">
        <f>'Raw Data'!P979</f>
        <v>0</v>
      </c>
      <c r="O979">
        <f>'Raw Data'!Q979</f>
        <v>0</v>
      </c>
      <c r="P979">
        <f>'Raw Data'!R979</f>
        <v>0</v>
      </c>
      <c r="Q979">
        <f>'Raw Data'!S979</f>
        <v>0</v>
      </c>
      <c r="R979">
        <f>'Raw Data'!T979</f>
        <v>0</v>
      </c>
      <c r="S979">
        <f>IFERROR(O979,0)+IFERROR(R979,0)</f>
        <v>0</v>
      </c>
      <c r="T979">
        <f>IF(A979="","",YEAR(A979))</f>
        <v>0</v>
      </c>
    </row>
    <row r="980" spans="1:20">
      <c r="A980">
        <f>'Raw Data'!B980</f>
        <v>0</v>
      </c>
      <c r="B980">
        <f>'Raw Data'!A980</f>
        <v>0</v>
      </c>
      <c r="C980">
        <f>'Raw Data'!C980</f>
        <v>0</v>
      </c>
      <c r="D980">
        <f>'Raw Data'!D980</f>
        <v>0</v>
      </c>
      <c r="E980">
        <f>IFERROR(VLOOKUP(D980,'Lookup Tables'!$A:$B,2,FALSE),"Unknown")</f>
        <v>0</v>
      </c>
      <c r="F980">
        <f>'Raw Data'!E980</f>
        <v>0</v>
      </c>
      <c r="G980">
        <f>IFERROR(VLOOKUP(D980,'Lookup Tables'!$A:$C,3,FALSE),IF(ISNUMBER(SEARCH("STEEL",F980)),"Steel","Others"))</f>
        <v>0</v>
      </c>
      <c r="H980">
        <f>IF(ISNUMBER(SEARCH("scrubber",F980)) , "Scrubber", IF(ISNUMBER(SEARCH("container",F980)),"Container", IF(ISNUMBER(SEARCH("basket",F980)),"Basket", IF(ISNUMBER(SEARCH("lunch",F980)),"Lunch Box", IF(ISNUMBER(SEARCH("cutlery",F980)),"Cutlery","Other")))))</f>
        <v>0</v>
      </c>
      <c r="I980">
        <f>IF('Raw Data'!G980&lt;&gt;'','Raw Data'!G980,IFERROR(MID(F980,SEARCH("MODEL",F980)+6,20),""))</f>
        <v>0</v>
      </c>
      <c r="J980">
        <f>'Raw Data'!H980</f>
        <v>0</v>
      </c>
      <c r="K980">
        <f>'Raw Data'!I980</f>
        <v>0</v>
      </c>
      <c r="L980">
        <f>IF('Raw Data'!N980&lt;&gt;0,'Raw Data'!N980,IFERROR(VALUE(MID(F980,SEARCH("QTY",F980)+4,IFERROR(FIND(" ",F980,SEARCH("QTY",F980)+4)-(SEARCH("QTY",F980)+4),3))),""))</f>
        <v>0</v>
      </c>
      <c r="M980">
        <f>'Raw Data'!O980</f>
        <v>0</v>
      </c>
      <c r="N980">
        <f>'Raw Data'!P980</f>
        <v>0</v>
      </c>
      <c r="O980">
        <f>'Raw Data'!Q980</f>
        <v>0</v>
      </c>
      <c r="P980">
        <f>'Raw Data'!R980</f>
        <v>0</v>
      </c>
      <c r="Q980">
        <f>'Raw Data'!S980</f>
        <v>0</v>
      </c>
      <c r="R980">
        <f>'Raw Data'!T980</f>
        <v>0</v>
      </c>
      <c r="S980">
        <f>IFERROR(O980,0)+IFERROR(R980,0)</f>
        <v>0</v>
      </c>
      <c r="T980">
        <f>IF(A980="","",YEAR(A980))</f>
        <v>0</v>
      </c>
    </row>
    <row r="981" spans="1:20">
      <c r="A981">
        <f>'Raw Data'!B981</f>
        <v>0</v>
      </c>
      <c r="B981">
        <f>'Raw Data'!A981</f>
        <v>0</v>
      </c>
      <c r="C981">
        <f>'Raw Data'!C981</f>
        <v>0</v>
      </c>
      <c r="D981">
        <f>'Raw Data'!D981</f>
        <v>0</v>
      </c>
      <c r="E981">
        <f>IFERROR(VLOOKUP(D981,'Lookup Tables'!$A:$B,2,FALSE),"Unknown")</f>
        <v>0</v>
      </c>
      <c r="F981">
        <f>'Raw Data'!E981</f>
        <v>0</v>
      </c>
      <c r="G981">
        <f>IFERROR(VLOOKUP(D981,'Lookup Tables'!$A:$C,3,FALSE),IF(ISNUMBER(SEARCH("STEEL",F981)),"Steel","Others"))</f>
        <v>0</v>
      </c>
      <c r="H981">
        <f>IF(ISNUMBER(SEARCH("scrubber",F981)) , "Scrubber", IF(ISNUMBER(SEARCH("container",F981)),"Container", IF(ISNUMBER(SEARCH("basket",F981)),"Basket", IF(ISNUMBER(SEARCH("lunch",F981)),"Lunch Box", IF(ISNUMBER(SEARCH("cutlery",F981)),"Cutlery","Other")))))</f>
        <v>0</v>
      </c>
      <c r="I981">
        <f>IF('Raw Data'!G981&lt;&gt;'','Raw Data'!G981,IFERROR(MID(F981,SEARCH("MODEL",F981)+6,20),""))</f>
        <v>0</v>
      </c>
      <c r="J981">
        <f>'Raw Data'!H981</f>
        <v>0</v>
      </c>
      <c r="K981">
        <f>'Raw Data'!I981</f>
        <v>0</v>
      </c>
      <c r="L981">
        <f>IF('Raw Data'!N981&lt;&gt;0,'Raw Data'!N981,IFERROR(VALUE(MID(F981,SEARCH("QTY",F981)+4,IFERROR(FIND(" ",F981,SEARCH("QTY",F981)+4)-(SEARCH("QTY",F981)+4),3))),""))</f>
        <v>0</v>
      </c>
      <c r="M981">
        <f>'Raw Data'!O981</f>
        <v>0</v>
      </c>
      <c r="N981">
        <f>'Raw Data'!P981</f>
        <v>0</v>
      </c>
      <c r="O981">
        <f>'Raw Data'!Q981</f>
        <v>0</v>
      </c>
      <c r="P981">
        <f>'Raw Data'!R981</f>
        <v>0</v>
      </c>
      <c r="Q981">
        <f>'Raw Data'!S981</f>
        <v>0</v>
      </c>
      <c r="R981">
        <f>'Raw Data'!T981</f>
        <v>0</v>
      </c>
      <c r="S981">
        <f>IFERROR(O981,0)+IFERROR(R981,0)</f>
        <v>0</v>
      </c>
      <c r="T981">
        <f>IF(A981="","",YEAR(A981))</f>
        <v>0</v>
      </c>
    </row>
    <row r="982" spans="1:20">
      <c r="A982">
        <f>'Raw Data'!B982</f>
        <v>0</v>
      </c>
      <c r="B982">
        <f>'Raw Data'!A982</f>
        <v>0</v>
      </c>
      <c r="C982">
        <f>'Raw Data'!C982</f>
        <v>0</v>
      </c>
      <c r="D982">
        <f>'Raw Data'!D982</f>
        <v>0</v>
      </c>
      <c r="E982">
        <f>IFERROR(VLOOKUP(D982,'Lookup Tables'!$A:$B,2,FALSE),"Unknown")</f>
        <v>0</v>
      </c>
      <c r="F982">
        <f>'Raw Data'!E982</f>
        <v>0</v>
      </c>
      <c r="G982">
        <f>IFERROR(VLOOKUP(D982,'Lookup Tables'!$A:$C,3,FALSE),IF(ISNUMBER(SEARCH("STEEL",F982)),"Steel","Others"))</f>
        <v>0</v>
      </c>
      <c r="H982">
        <f>IF(ISNUMBER(SEARCH("scrubber",F982)) , "Scrubber", IF(ISNUMBER(SEARCH("container",F982)),"Container", IF(ISNUMBER(SEARCH("basket",F982)),"Basket", IF(ISNUMBER(SEARCH("lunch",F982)),"Lunch Box", IF(ISNUMBER(SEARCH("cutlery",F982)),"Cutlery","Other")))))</f>
        <v>0</v>
      </c>
      <c r="I982">
        <f>IF('Raw Data'!G982&lt;&gt;'','Raw Data'!G982,IFERROR(MID(F982,SEARCH("MODEL",F982)+6,20),""))</f>
        <v>0</v>
      </c>
      <c r="J982">
        <f>'Raw Data'!H982</f>
        <v>0</v>
      </c>
      <c r="K982">
        <f>'Raw Data'!I982</f>
        <v>0</v>
      </c>
      <c r="L982">
        <f>IF('Raw Data'!N982&lt;&gt;0,'Raw Data'!N982,IFERROR(VALUE(MID(F982,SEARCH("QTY",F982)+4,IFERROR(FIND(" ",F982,SEARCH("QTY",F982)+4)-(SEARCH("QTY",F982)+4),3))),""))</f>
        <v>0</v>
      </c>
      <c r="M982">
        <f>'Raw Data'!O982</f>
        <v>0</v>
      </c>
      <c r="N982">
        <f>'Raw Data'!P982</f>
        <v>0</v>
      </c>
      <c r="O982">
        <f>'Raw Data'!Q982</f>
        <v>0</v>
      </c>
      <c r="P982">
        <f>'Raw Data'!R982</f>
        <v>0</v>
      </c>
      <c r="Q982">
        <f>'Raw Data'!S982</f>
        <v>0</v>
      </c>
      <c r="R982">
        <f>'Raw Data'!T982</f>
        <v>0</v>
      </c>
      <c r="S982">
        <f>IFERROR(O982,0)+IFERROR(R982,0)</f>
        <v>0</v>
      </c>
      <c r="T982">
        <f>IF(A982="","",YEAR(A982))</f>
        <v>0</v>
      </c>
    </row>
    <row r="983" spans="1:20">
      <c r="A983">
        <f>'Raw Data'!B983</f>
        <v>0</v>
      </c>
      <c r="B983">
        <f>'Raw Data'!A983</f>
        <v>0</v>
      </c>
      <c r="C983">
        <f>'Raw Data'!C983</f>
        <v>0</v>
      </c>
      <c r="D983">
        <f>'Raw Data'!D983</f>
        <v>0</v>
      </c>
      <c r="E983">
        <f>IFERROR(VLOOKUP(D983,'Lookup Tables'!$A:$B,2,FALSE),"Unknown")</f>
        <v>0</v>
      </c>
      <c r="F983">
        <f>'Raw Data'!E983</f>
        <v>0</v>
      </c>
      <c r="G983">
        <f>IFERROR(VLOOKUP(D983,'Lookup Tables'!$A:$C,3,FALSE),IF(ISNUMBER(SEARCH("STEEL",F983)),"Steel","Others"))</f>
        <v>0</v>
      </c>
      <c r="H983">
        <f>IF(ISNUMBER(SEARCH("scrubber",F983)) , "Scrubber", IF(ISNUMBER(SEARCH("container",F983)),"Container", IF(ISNUMBER(SEARCH("basket",F983)),"Basket", IF(ISNUMBER(SEARCH("lunch",F983)),"Lunch Box", IF(ISNUMBER(SEARCH("cutlery",F983)),"Cutlery","Other")))))</f>
        <v>0</v>
      </c>
      <c r="I983">
        <f>IF('Raw Data'!G983&lt;&gt;'','Raw Data'!G983,IFERROR(MID(F983,SEARCH("MODEL",F983)+6,20),""))</f>
        <v>0</v>
      </c>
      <c r="J983">
        <f>'Raw Data'!H983</f>
        <v>0</v>
      </c>
      <c r="K983">
        <f>'Raw Data'!I983</f>
        <v>0</v>
      </c>
      <c r="L983">
        <f>IF('Raw Data'!N983&lt;&gt;0,'Raw Data'!N983,IFERROR(VALUE(MID(F983,SEARCH("QTY",F983)+4,IFERROR(FIND(" ",F983,SEARCH("QTY",F983)+4)-(SEARCH("QTY",F983)+4),3))),""))</f>
        <v>0</v>
      </c>
      <c r="M983">
        <f>'Raw Data'!O983</f>
        <v>0</v>
      </c>
      <c r="N983">
        <f>'Raw Data'!P983</f>
        <v>0</v>
      </c>
      <c r="O983">
        <f>'Raw Data'!Q983</f>
        <v>0</v>
      </c>
      <c r="P983">
        <f>'Raw Data'!R983</f>
        <v>0</v>
      </c>
      <c r="Q983">
        <f>'Raw Data'!S983</f>
        <v>0</v>
      </c>
      <c r="R983">
        <f>'Raw Data'!T983</f>
        <v>0</v>
      </c>
      <c r="S983">
        <f>IFERROR(O983,0)+IFERROR(R983,0)</f>
        <v>0</v>
      </c>
      <c r="T983">
        <f>IF(A983="","",YEAR(A983))</f>
        <v>0</v>
      </c>
    </row>
    <row r="984" spans="1:20">
      <c r="A984">
        <f>'Raw Data'!B984</f>
        <v>0</v>
      </c>
      <c r="B984">
        <f>'Raw Data'!A984</f>
        <v>0</v>
      </c>
      <c r="C984">
        <f>'Raw Data'!C984</f>
        <v>0</v>
      </c>
      <c r="D984">
        <f>'Raw Data'!D984</f>
        <v>0</v>
      </c>
      <c r="E984">
        <f>IFERROR(VLOOKUP(D984,'Lookup Tables'!$A:$B,2,FALSE),"Unknown")</f>
        <v>0</v>
      </c>
      <c r="F984">
        <f>'Raw Data'!E984</f>
        <v>0</v>
      </c>
      <c r="G984">
        <f>IFERROR(VLOOKUP(D984,'Lookup Tables'!$A:$C,3,FALSE),IF(ISNUMBER(SEARCH("STEEL",F984)),"Steel","Others"))</f>
        <v>0</v>
      </c>
      <c r="H984">
        <f>IF(ISNUMBER(SEARCH("scrubber",F984)) , "Scrubber", IF(ISNUMBER(SEARCH("container",F984)),"Container", IF(ISNUMBER(SEARCH("basket",F984)),"Basket", IF(ISNUMBER(SEARCH("lunch",F984)),"Lunch Box", IF(ISNUMBER(SEARCH("cutlery",F984)),"Cutlery","Other")))))</f>
        <v>0</v>
      </c>
      <c r="I984">
        <f>IF('Raw Data'!G984&lt;&gt;'','Raw Data'!G984,IFERROR(MID(F984,SEARCH("MODEL",F984)+6,20),""))</f>
        <v>0</v>
      </c>
      <c r="J984">
        <f>'Raw Data'!H984</f>
        <v>0</v>
      </c>
      <c r="K984">
        <f>'Raw Data'!I984</f>
        <v>0</v>
      </c>
      <c r="L984">
        <f>IF('Raw Data'!N984&lt;&gt;0,'Raw Data'!N984,IFERROR(VALUE(MID(F984,SEARCH("QTY",F984)+4,IFERROR(FIND(" ",F984,SEARCH("QTY",F984)+4)-(SEARCH("QTY",F984)+4),3))),""))</f>
        <v>0</v>
      </c>
      <c r="M984">
        <f>'Raw Data'!O984</f>
        <v>0</v>
      </c>
      <c r="N984">
        <f>'Raw Data'!P984</f>
        <v>0</v>
      </c>
      <c r="O984">
        <f>'Raw Data'!Q984</f>
        <v>0</v>
      </c>
      <c r="P984">
        <f>'Raw Data'!R984</f>
        <v>0</v>
      </c>
      <c r="Q984">
        <f>'Raw Data'!S984</f>
        <v>0</v>
      </c>
      <c r="R984">
        <f>'Raw Data'!T984</f>
        <v>0</v>
      </c>
      <c r="S984">
        <f>IFERROR(O984,0)+IFERROR(R984,0)</f>
        <v>0</v>
      </c>
      <c r="T984">
        <f>IF(A984="","",YEAR(A984))</f>
        <v>0</v>
      </c>
    </row>
    <row r="985" spans="1:20">
      <c r="A985">
        <f>'Raw Data'!B985</f>
        <v>0</v>
      </c>
      <c r="B985">
        <f>'Raw Data'!A985</f>
        <v>0</v>
      </c>
      <c r="C985">
        <f>'Raw Data'!C985</f>
        <v>0</v>
      </c>
      <c r="D985">
        <f>'Raw Data'!D985</f>
        <v>0</v>
      </c>
      <c r="E985">
        <f>IFERROR(VLOOKUP(D985,'Lookup Tables'!$A:$B,2,FALSE),"Unknown")</f>
        <v>0</v>
      </c>
      <c r="F985">
        <f>'Raw Data'!E985</f>
        <v>0</v>
      </c>
      <c r="G985">
        <f>IFERROR(VLOOKUP(D985,'Lookup Tables'!$A:$C,3,FALSE),IF(ISNUMBER(SEARCH("STEEL",F985)),"Steel","Others"))</f>
        <v>0</v>
      </c>
      <c r="H985">
        <f>IF(ISNUMBER(SEARCH("scrubber",F985)) , "Scrubber", IF(ISNUMBER(SEARCH("container",F985)),"Container", IF(ISNUMBER(SEARCH("basket",F985)),"Basket", IF(ISNUMBER(SEARCH("lunch",F985)),"Lunch Box", IF(ISNUMBER(SEARCH("cutlery",F985)),"Cutlery","Other")))))</f>
        <v>0</v>
      </c>
      <c r="I985">
        <f>IF('Raw Data'!G985&lt;&gt;'','Raw Data'!G985,IFERROR(MID(F985,SEARCH("MODEL",F985)+6,20),""))</f>
        <v>0</v>
      </c>
      <c r="J985">
        <f>'Raw Data'!H985</f>
        <v>0</v>
      </c>
      <c r="K985">
        <f>'Raw Data'!I985</f>
        <v>0</v>
      </c>
      <c r="L985">
        <f>IF('Raw Data'!N985&lt;&gt;0,'Raw Data'!N985,IFERROR(VALUE(MID(F985,SEARCH("QTY",F985)+4,IFERROR(FIND(" ",F985,SEARCH("QTY",F985)+4)-(SEARCH("QTY",F985)+4),3))),""))</f>
        <v>0</v>
      </c>
      <c r="M985">
        <f>'Raw Data'!O985</f>
        <v>0</v>
      </c>
      <c r="N985">
        <f>'Raw Data'!P985</f>
        <v>0</v>
      </c>
      <c r="O985">
        <f>'Raw Data'!Q985</f>
        <v>0</v>
      </c>
      <c r="P985">
        <f>'Raw Data'!R985</f>
        <v>0</v>
      </c>
      <c r="Q985">
        <f>'Raw Data'!S985</f>
        <v>0</v>
      </c>
      <c r="R985">
        <f>'Raw Data'!T985</f>
        <v>0</v>
      </c>
      <c r="S985">
        <f>IFERROR(O985,0)+IFERROR(R985,0)</f>
        <v>0</v>
      </c>
      <c r="T985">
        <f>IF(A985="","",YEAR(A985))</f>
        <v>0</v>
      </c>
    </row>
    <row r="986" spans="1:20">
      <c r="A986">
        <f>'Raw Data'!B986</f>
        <v>0</v>
      </c>
      <c r="B986">
        <f>'Raw Data'!A986</f>
        <v>0</v>
      </c>
      <c r="C986">
        <f>'Raw Data'!C986</f>
        <v>0</v>
      </c>
      <c r="D986">
        <f>'Raw Data'!D986</f>
        <v>0</v>
      </c>
      <c r="E986">
        <f>IFERROR(VLOOKUP(D986,'Lookup Tables'!$A:$B,2,FALSE),"Unknown")</f>
        <v>0</v>
      </c>
      <c r="F986">
        <f>'Raw Data'!E986</f>
        <v>0</v>
      </c>
      <c r="G986">
        <f>IFERROR(VLOOKUP(D986,'Lookup Tables'!$A:$C,3,FALSE),IF(ISNUMBER(SEARCH("STEEL",F986)),"Steel","Others"))</f>
        <v>0</v>
      </c>
      <c r="H986">
        <f>IF(ISNUMBER(SEARCH("scrubber",F986)) , "Scrubber", IF(ISNUMBER(SEARCH("container",F986)),"Container", IF(ISNUMBER(SEARCH("basket",F986)),"Basket", IF(ISNUMBER(SEARCH("lunch",F986)),"Lunch Box", IF(ISNUMBER(SEARCH("cutlery",F986)),"Cutlery","Other")))))</f>
        <v>0</v>
      </c>
      <c r="I986">
        <f>IF('Raw Data'!G986&lt;&gt;'','Raw Data'!G986,IFERROR(MID(F986,SEARCH("MODEL",F986)+6,20),""))</f>
        <v>0</v>
      </c>
      <c r="J986">
        <f>'Raw Data'!H986</f>
        <v>0</v>
      </c>
      <c r="K986">
        <f>'Raw Data'!I986</f>
        <v>0</v>
      </c>
      <c r="L986">
        <f>IF('Raw Data'!N986&lt;&gt;0,'Raw Data'!N986,IFERROR(VALUE(MID(F986,SEARCH("QTY",F986)+4,IFERROR(FIND(" ",F986,SEARCH("QTY",F986)+4)-(SEARCH("QTY",F986)+4),3))),""))</f>
        <v>0</v>
      </c>
      <c r="M986">
        <f>'Raw Data'!O986</f>
        <v>0</v>
      </c>
      <c r="N986">
        <f>'Raw Data'!P986</f>
        <v>0</v>
      </c>
      <c r="O986">
        <f>'Raw Data'!Q986</f>
        <v>0</v>
      </c>
      <c r="P986">
        <f>'Raw Data'!R986</f>
        <v>0</v>
      </c>
      <c r="Q986">
        <f>'Raw Data'!S986</f>
        <v>0</v>
      </c>
      <c r="R986">
        <f>'Raw Data'!T986</f>
        <v>0</v>
      </c>
      <c r="S986">
        <f>IFERROR(O986,0)+IFERROR(R986,0)</f>
        <v>0</v>
      </c>
      <c r="T986">
        <f>IF(A986="","",YEAR(A986))</f>
        <v>0</v>
      </c>
    </row>
    <row r="987" spans="1:20">
      <c r="A987">
        <f>'Raw Data'!B987</f>
        <v>0</v>
      </c>
      <c r="B987">
        <f>'Raw Data'!A987</f>
        <v>0</v>
      </c>
      <c r="C987">
        <f>'Raw Data'!C987</f>
        <v>0</v>
      </c>
      <c r="D987">
        <f>'Raw Data'!D987</f>
        <v>0</v>
      </c>
      <c r="E987">
        <f>IFERROR(VLOOKUP(D987,'Lookup Tables'!$A:$B,2,FALSE),"Unknown")</f>
        <v>0</v>
      </c>
      <c r="F987">
        <f>'Raw Data'!E987</f>
        <v>0</v>
      </c>
      <c r="G987">
        <f>IFERROR(VLOOKUP(D987,'Lookup Tables'!$A:$C,3,FALSE),IF(ISNUMBER(SEARCH("STEEL",F987)),"Steel","Others"))</f>
        <v>0</v>
      </c>
      <c r="H987">
        <f>IF(ISNUMBER(SEARCH("scrubber",F987)) , "Scrubber", IF(ISNUMBER(SEARCH("container",F987)),"Container", IF(ISNUMBER(SEARCH("basket",F987)),"Basket", IF(ISNUMBER(SEARCH("lunch",F987)),"Lunch Box", IF(ISNUMBER(SEARCH("cutlery",F987)),"Cutlery","Other")))))</f>
        <v>0</v>
      </c>
      <c r="I987">
        <f>IF('Raw Data'!G987&lt;&gt;'','Raw Data'!G987,IFERROR(MID(F987,SEARCH("MODEL",F987)+6,20),""))</f>
        <v>0</v>
      </c>
      <c r="J987">
        <f>'Raw Data'!H987</f>
        <v>0</v>
      </c>
      <c r="K987">
        <f>'Raw Data'!I987</f>
        <v>0</v>
      </c>
      <c r="L987">
        <f>IF('Raw Data'!N987&lt;&gt;0,'Raw Data'!N987,IFERROR(VALUE(MID(F987,SEARCH("QTY",F987)+4,IFERROR(FIND(" ",F987,SEARCH("QTY",F987)+4)-(SEARCH("QTY",F987)+4),3))),""))</f>
        <v>0</v>
      </c>
      <c r="M987">
        <f>'Raw Data'!O987</f>
        <v>0</v>
      </c>
      <c r="N987">
        <f>'Raw Data'!P987</f>
        <v>0</v>
      </c>
      <c r="O987">
        <f>'Raw Data'!Q987</f>
        <v>0</v>
      </c>
      <c r="P987">
        <f>'Raw Data'!R987</f>
        <v>0</v>
      </c>
      <c r="Q987">
        <f>'Raw Data'!S987</f>
        <v>0</v>
      </c>
      <c r="R987">
        <f>'Raw Data'!T987</f>
        <v>0</v>
      </c>
      <c r="S987">
        <f>IFERROR(O987,0)+IFERROR(R987,0)</f>
        <v>0</v>
      </c>
      <c r="T987">
        <f>IF(A987="","",YEAR(A987))</f>
        <v>0</v>
      </c>
    </row>
    <row r="988" spans="1:20">
      <c r="A988">
        <f>'Raw Data'!B988</f>
        <v>0</v>
      </c>
      <c r="B988">
        <f>'Raw Data'!A988</f>
        <v>0</v>
      </c>
      <c r="C988">
        <f>'Raw Data'!C988</f>
        <v>0</v>
      </c>
      <c r="D988">
        <f>'Raw Data'!D988</f>
        <v>0</v>
      </c>
      <c r="E988">
        <f>IFERROR(VLOOKUP(D988,'Lookup Tables'!$A:$B,2,FALSE),"Unknown")</f>
        <v>0</v>
      </c>
      <c r="F988">
        <f>'Raw Data'!E988</f>
        <v>0</v>
      </c>
      <c r="G988">
        <f>IFERROR(VLOOKUP(D988,'Lookup Tables'!$A:$C,3,FALSE),IF(ISNUMBER(SEARCH("STEEL",F988)),"Steel","Others"))</f>
        <v>0</v>
      </c>
      <c r="H988">
        <f>IF(ISNUMBER(SEARCH("scrubber",F988)) , "Scrubber", IF(ISNUMBER(SEARCH("container",F988)),"Container", IF(ISNUMBER(SEARCH("basket",F988)),"Basket", IF(ISNUMBER(SEARCH("lunch",F988)),"Lunch Box", IF(ISNUMBER(SEARCH("cutlery",F988)),"Cutlery","Other")))))</f>
        <v>0</v>
      </c>
      <c r="I988">
        <f>IF('Raw Data'!G988&lt;&gt;'','Raw Data'!G988,IFERROR(MID(F988,SEARCH("MODEL",F988)+6,20),""))</f>
        <v>0</v>
      </c>
      <c r="J988">
        <f>'Raw Data'!H988</f>
        <v>0</v>
      </c>
      <c r="K988">
        <f>'Raw Data'!I988</f>
        <v>0</v>
      </c>
      <c r="L988">
        <f>IF('Raw Data'!N988&lt;&gt;0,'Raw Data'!N988,IFERROR(VALUE(MID(F988,SEARCH("QTY",F988)+4,IFERROR(FIND(" ",F988,SEARCH("QTY",F988)+4)-(SEARCH("QTY",F988)+4),3))),""))</f>
        <v>0</v>
      </c>
      <c r="M988">
        <f>'Raw Data'!O988</f>
        <v>0</v>
      </c>
      <c r="N988">
        <f>'Raw Data'!P988</f>
        <v>0</v>
      </c>
      <c r="O988">
        <f>'Raw Data'!Q988</f>
        <v>0</v>
      </c>
      <c r="P988">
        <f>'Raw Data'!R988</f>
        <v>0</v>
      </c>
      <c r="Q988">
        <f>'Raw Data'!S988</f>
        <v>0</v>
      </c>
      <c r="R988">
        <f>'Raw Data'!T988</f>
        <v>0</v>
      </c>
      <c r="S988">
        <f>IFERROR(O988,0)+IFERROR(R988,0)</f>
        <v>0</v>
      </c>
      <c r="T988">
        <f>IF(A988="","",YEAR(A988))</f>
        <v>0</v>
      </c>
    </row>
    <row r="989" spans="1:20">
      <c r="A989">
        <f>'Raw Data'!B989</f>
        <v>0</v>
      </c>
      <c r="B989">
        <f>'Raw Data'!A989</f>
        <v>0</v>
      </c>
      <c r="C989">
        <f>'Raw Data'!C989</f>
        <v>0</v>
      </c>
      <c r="D989">
        <f>'Raw Data'!D989</f>
        <v>0</v>
      </c>
      <c r="E989">
        <f>IFERROR(VLOOKUP(D989,'Lookup Tables'!$A:$B,2,FALSE),"Unknown")</f>
        <v>0</v>
      </c>
      <c r="F989">
        <f>'Raw Data'!E989</f>
        <v>0</v>
      </c>
      <c r="G989">
        <f>IFERROR(VLOOKUP(D989,'Lookup Tables'!$A:$C,3,FALSE),IF(ISNUMBER(SEARCH("STEEL",F989)),"Steel","Others"))</f>
        <v>0</v>
      </c>
      <c r="H989">
        <f>IF(ISNUMBER(SEARCH("scrubber",F989)) , "Scrubber", IF(ISNUMBER(SEARCH("container",F989)),"Container", IF(ISNUMBER(SEARCH("basket",F989)),"Basket", IF(ISNUMBER(SEARCH("lunch",F989)),"Lunch Box", IF(ISNUMBER(SEARCH("cutlery",F989)),"Cutlery","Other")))))</f>
        <v>0</v>
      </c>
      <c r="I989">
        <f>IF('Raw Data'!G989&lt;&gt;'','Raw Data'!G989,IFERROR(MID(F989,SEARCH("MODEL",F989)+6,20),""))</f>
        <v>0</v>
      </c>
      <c r="J989">
        <f>'Raw Data'!H989</f>
        <v>0</v>
      </c>
      <c r="K989">
        <f>'Raw Data'!I989</f>
        <v>0</v>
      </c>
      <c r="L989">
        <f>IF('Raw Data'!N989&lt;&gt;0,'Raw Data'!N989,IFERROR(VALUE(MID(F989,SEARCH("QTY",F989)+4,IFERROR(FIND(" ",F989,SEARCH("QTY",F989)+4)-(SEARCH("QTY",F989)+4),3))),""))</f>
        <v>0</v>
      </c>
      <c r="M989">
        <f>'Raw Data'!O989</f>
        <v>0</v>
      </c>
      <c r="N989">
        <f>'Raw Data'!P989</f>
        <v>0</v>
      </c>
      <c r="O989">
        <f>'Raw Data'!Q989</f>
        <v>0</v>
      </c>
      <c r="P989">
        <f>'Raw Data'!R989</f>
        <v>0</v>
      </c>
      <c r="Q989">
        <f>'Raw Data'!S989</f>
        <v>0</v>
      </c>
      <c r="R989">
        <f>'Raw Data'!T989</f>
        <v>0</v>
      </c>
      <c r="S989">
        <f>IFERROR(O989,0)+IFERROR(R989,0)</f>
        <v>0</v>
      </c>
      <c r="T989">
        <f>IF(A989="","",YEAR(A989))</f>
        <v>0</v>
      </c>
    </row>
    <row r="990" spans="1:20">
      <c r="A990">
        <f>'Raw Data'!B990</f>
        <v>0</v>
      </c>
      <c r="B990">
        <f>'Raw Data'!A990</f>
        <v>0</v>
      </c>
      <c r="C990">
        <f>'Raw Data'!C990</f>
        <v>0</v>
      </c>
      <c r="D990">
        <f>'Raw Data'!D990</f>
        <v>0</v>
      </c>
      <c r="E990">
        <f>IFERROR(VLOOKUP(D990,'Lookup Tables'!$A:$B,2,FALSE),"Unknown")</f>
        <v>0</v>
      </c>
      <c r="F990">
        <f>'Raw Data'!E990</f>
        <v>0</v>
      </c>
      <c r="G990">
        <f>IFERROR(VLOOKUP(D990,'Lookup Tables'!$A:$C,3,FALSE),IF(ISNUMBER(SEARCH("STEEL",F990)),"Steel","Others"))</f>
        <v>0</v>
      </c>
      <c r="H990">
        <f>IF(ISNUMBER(SEARCH("scrubber",F990)) , "Scrubber", IF(ISNUMBER(SEARCH("container",F990)),"Container", IF(ISNUMBER(SEARCH("basket",F990)),"Basket", IF(ISNUMBER(SEARCH("lunch",F990)),"Lunch Box", IF(ISNUMBER(SEARCH("cutlery",F990)),"Cutlery","Other")))))</f>
        <v>0</v>
      </c>
      <c r="I990">
        <f>IF('Raw Data'!G990&lt;&gt;'','Raw Data'!G990,IFERROR(MID(F990,SEARCH("MODEL",F990)+6,20),""))</f>
        <v>0</v>
      </c>
      <c r="J990">
        <f>'Raw Data'!H990</f>
        <v>0</v>
      </c>
      <c r="K990">
        <f>'Raw Data'!I990</f>
        <v>0</v>
      </c>
      <c r="L990">
        <f>IF('Raw Data'!N990&lt;&gt;0,'Raw Data'!N990,IFERROR(VALUE(MID(F990,SEARCH("QTY",F990)+4,IFERROR(FIND(" ",F990,SEARCH("QTY",F990)+4)-(SEARCH("QTY",F990)+4),3))),""))</f>
        <v>0</v>
      </c>
      <c r="M990">
        <f>'Raw Data'!O990</f>
        <v>0</v>
      </c>
      <c r="N990">
        <f>'Raw Data'!P990</f>
        <v>0</v>
      </c>
      <c r="O990">
        <f>'Raw Data'!Q990</f>
        <v>0</v>
      </c>
      <c r="P990">
        <f>'Raw Data'!R990</f>
        <v>0</v>
      </c>
      <c r="Q990">
        <f>'Raw Data'!S990</f>
        <v>0</v>
      </c>
      <c r="R990">
        <f>'Raw Data'!T990</f>
        <v>0</v>
      </c>
      <c r="S990">
        <f>IFERROR(O990,0)+IFERROR(R990,0)</f>
        <v>0</v>
      </c>
      <c r="T990">
        <f>IF(A990="","",YEAR(A990))</f>
        <v>0</v>
      </c>
    </row>
    <row r="991" spans="1:20">
      <c r="A991">
        <f>'Raw Data'!B991</f>
        <v>0</v>
      </c>
      <c r="B991">
        <f>'Raw Data'!A991</f>
        <v>0</v>
      </c>
      <c r="C991">
        <f>'Raw Data'!C991</f>
        <v>0</v>
      </c>
      <c r="D991">
        <f>'Raw Data'!D991</f>
        <v>0</v>
      </c>
      <c r="E991">
        <f>IFERROR(VLOOKUP(D991,'Lookup Tables'!$A:$B,2,FALSE),"Unknown")</f>
        <v>0</v>
      </c>
      <c r="F991">
        <f>'Raw Data'!E991</f>
        <v>0</v>
      </c>
      <c r="G991">
        <f>IFERROR(VLOOKUP(D991,'Lookup Tables'!$A:$C,3,FALSE),IF(ISNUMBER(SEARCH("STEEL",F991)),"Steel","Others"))</f>
        <v>0</v>
      </c>
      <c r="H991">
        <f>IF(ISNUMBER(SEARCH("scrubber",F991)) , "Scrubber", IF(ISNUMBER(SEARCH("container",F991)),"Container", IF(ISNUMBER(SEARCH("basket",F991)),"Basket", IF(ISNUMBER(SEARCH("lunch",F991)),"Lunch Box", IF(ISNUMBER(SEARCH("cutlery",F991)),"Cutlery","Other")))))</f>
        <v>0</v>
      </c>
      <c r="I991">
        <f>IF('Raw Data'!G991&lt;&gt;'','Raw Data'!G991,IFERROR(MID(F991,SEARCH("MODEL",F991)+6,20),""))</f>
        <v>0</v>
      </c>
      <c r="J991">
        <f>'Raw Data'!H991</f>
        <v>0</v>
      </c>
      <c r="K991">
        <f>'Raw Data'!I991</f>
        <v>0</v>
      </c>
      <c r="L991">
        <f>IF('Raw Data'!N991&lt;&gt;0,'Raw Data'!N991,IFERROR(VALUE(MID(F991,SEARCH("QTY",F991)+4,IFERROR(FIND(" ",F991,SEARCH("QTY",F991)+4)-(SEARCH("QTY",F991)+4),3))),""))</f>
        <v>0</v>
      </c>
      <c r="M991">
        <f>'Raw Data'!O991</f>
        <v>0</v>
      </c>
      <c r="N991">
        <f>'Raw Data'!P991</f>
        <v>0</v>
      </c>
      <c r="O991">
        <f>'Raw Data'!Q991</f>
        <v>0</v>
      </c>
      <c r="P991">
        <f>'Raw Data'!R991</f>
        <v>0</v>
      </c>
      <c r="Q991">
        <f>'Raw Data'!S991</f>
        <v>0</v>
      </c>
      <c r="R991">
        <f>'Raw Data'!T991</f>
        <v>0</v>
      </c>
      <c r="S991">
        <f>IFERROR(O991,0)+IFERROR(R991,0)</f>
        <v>0</v>
      </c>
      <c r="T991">
        <f>IF(A991="","",YEAR(A991))</f>
        <v>0</v>
      </c>
    </row>
    <row r="992" spans="1:20">
      <c r="A992">
        <f>'Raw Data'!B992</f>
        <v>0</v>
      </c>
      <c r="B992">
        <f>'Raw Data'!A992</f>
        <v>0</v>
      </c>
      <c r="C992">
        <f>'Raw Data'!C992</f>
        <v>0</v>
      </c>
      <c r="D992">
        <f>'Raw Data'!D992</f>
        <v>0</v>
      </c>
      <c r="E992">
        <f>IFERROR(VLOOKUP(D992,'Lookup Tables'!$A:$B,2,FALSE),"Unknown")</f>
        <v>0</v>
      </c>
      <c r="F992">
        <f>'Raw Data'!E992</f>
        <v>0</v>
      </c>
      <c r="G992">
        <f>IFERROR(VLOOKUP(D992,'Lookup Tables'!$A:$C,3,FALSE),IF(ISNUMBER(SEARCH("STEEL",F992)),"Steel","Others"))</f>
        <v>0</v>
      </c>
      <c r="H992">
        <f>IF(ISNUMBER(SEARCH("scrubber",F992)) , "Scrubber", IF(ISNUMBER(SEARCH("container",F992)),"Container", IF(ISNUMBER(SEARCH("basket",F992)),"Basket", IF(ISNUMBER(SEARCH("lunch",F992)),"Lunch Box", IF(ISNUMBER(SEARCH("cutlery",F992)),"Cutlery","Other")))))</f>
        <v>0</v>
      </c>
      <c r="I992">
        <f>IF('Raw Data'!G992&lt;&gt;'','Raw Data'!G992,IFERROR(MID(F992,SEARCH("MODEL",F992)+6,20),""))</f>
        <v>0</v>
      </c>
      <c r="J992">
        <f>'Raw Data'!H992</f>
        <v>0</v>
      </c>
      <c r="K992">
        <f>'Raw Data'!I992</f>
        <v>0</v>
      </c>
      <c r="L992">
        <f>IF('Raw Data'!N992&lt;&gt;0,'Raw Data'!N992,IFERROR(VALUE(MID(F992,SEARCH("QTY",F992)+4,IFERROR(FIND(" ",F992,SEARCH("QTY",F992)+4)-(SEARCH("QTY",F992)+4),3))),""))</f>
        <v>0</v>
      </c>
      <c r="M992">
        <f>'Raw Data'!O992</f>
        <v>0</v>
      </c>
      <c r="N992">
        <f>'Raw Data'!P992</f>
        <v>0</v>
      </c>
      <c r="O992">
        <f>'Raw Data'!Q992</f>
        <v>0</v>
      </c>
      <c r="P992">
        <f>'Raw Data'!R992</f>
        <v>0</v>
      </c>
      <c r="Q992">
        <f>'Raw Data'!S992</f>
        <v>0</v>
      </c>
      <c r="R992">
        <f>'Raw Data'!T992</f>
        <v>0</v>
      </c>
      <c r="S992">
        <f>IFERROR(O992,0)+IFERROR(R992,0)</f>
        <v>0</v>
      </c>
      <c r="T992">
        <f>IF(A992="","",YEAR(A992))</f>
        <v>0</v>
      </c>
    </row>
    <row r="993" spans="1:20">
      <c r="A993">
        <f>'Raw Data'!B993</f>
        <v>0</v>
      </c>
      <c r="B993">
        <f>'Raw Data'!A993</f>
        <v>0</v>
      </c>
      <c r="C993">
        <f>'Raw Data'!C993</f>
        <v>0</v>
      </c>
      <c r="D993">
        <f>'Raw Data'!D993</f>
        <v>0</v>
      </c>
      <c r="E993">
        <f>IFERROR(VLOOKUP(D993,'Lookup Tables'!$A:$B,2,FALSE),"Unknown")</f>
        <v>0</v>
      </c>
      <c r="F993">
        <f>'Raw Data'!E993</f>
        <v>0</v>
      </c>
      <c r="G993">
        <f>IFERROR(VLOOKUP(D993,'Lookup Tables'!$A:$C,3,FALSE),IF(ISNUMBER(SEARCH("STEEL",F993)),"Steel","Others"))</f>
        <v>0</v>
      </c>
      <c r="H993">
        <f>IF(ISNUMBER(SEARCH("scrubber",F993)) , "Scrubber", IF(ISNUMBER(SEARCH("container",F993)),"Container", IF(ISNUMBER(SEARCH("basket",F993)),"Basket", IF(ISNUMBER(SEARCH("lunch",F993)),"Lunch Box", IF(ISNUMBER(SEARCH("cutlery",F993)),"Cutlery","Other")))))</f>
        <v>0</v>
      </c>
      <c r="I993">
        <f>IF('Raw Data'!G993&lt;&gt;'','Raw Data'!G993,IFERROR(MID(F993,SEARCH("MODEL",F993)+6,20),""))</f>
        <v>0</v>
      </c>
      <c r="J993">
        <f>'Raw Data'!H993</f>
        <v>0</v>
      </c>
      <c r="K993">
        <f>'Raw Data'!I993</f>
        <v>0</v>
      </c>
      <c r="L993">
        <f>IF('Raw Data'!N993&lt;&gt;0,'Raw Data'!N993,IFERROR(VALUE(MID(F993,SEARCH("QTY",F993)+4,IFERROR(FIND(" ",F993,SEARCH("QTY",F993)+4)-(SEARCH("QTY",F993)+4),3))),""))</f>
        <v>0</v>
      </c>
      <c r="M993">
        <f>'Raw Data'!O993</f>
        <v>0</v>
      </c>
      <c r="N993">
        <f>'Raw Data'!P993</f>
        <v>0</v>
      </c>
      <c r="O993">
        <f>'Raw Data'!Q993</f>
        <v>0</v>
      </c>
      <c r="P993">
        <f>'Raw Data'!R993</f>
        <v>0</v>
      </c>
      <c r="Q993">
        <f>'Raw Data'!S993</f>
        <v>0</v>
      </c>
      <c r="R993">
        <f>'Raw Data'!T993</f>
        <v>0</v>
      </c>
      <c r="S993">
        <f>IFERROR(O993,0)+IFERROR(R993,0)</f>
        <v>0</v>
      </c>
      <c r="T993">
        <f>IF(A993="","",YEAR(A993))</f>
        <v>0</v>
      </c>
    </row>
    <row r="994" spans="1:20">
      <c r="A994">
        <f>'Raw Data'!B994</f>
        <v>0</v>
      </c>
      <c r="B994">
        <f>'Raw Data'!A994</f>
        <v>0</v>
      </c>
      <c r="C994">
        <f>'Raw Data'!C994</f>
        <v>0</v>
      </c>
      <c r="D994">
        <f>'Raw Data'!D994</f>
        <v>0</v>
      </c>
      <c r="E994">
        <f>IFERROR(VLOOKUP(D994,'Lookup Tables'!$A:$B,2,FALSE),"Unknown")</f>
        <v>0</v>
      </c>
      <c r="F994">
        <f>'Raw Data'!E994</f>
        <v>0</v>
      </c>
      <c r="G994">
        <f>IFERROR(VLOOKUP(D994,'Lookup Tables'!$A:$C,3,FALSE),IF(ISNUMBER(SEARCH("STEEL",F994)),"Steel","Others"))</f>
        <v>0</v>
      </c>
      <c r="H994">
        <f>IF(ISNUMBER(SEARCH("scrubber",F994)) , "Scrubber", IF(ISNUMBER(SEARCH("container",F994)),"Container", IF(ISNUMBER(SEARCH("basket",F994)),"Basket", IF(ISNUMBER(SEARCH("lunch",F994)),"Lunch Box", IF(ISNUMBER(SEARCH("cutlery",F994)),"Cutlery","Other")))))</f>
        <v>0</v>
      </c>
      <c r="I994">
        <f>IF('Raw Data'!G994&lt;&gt;'','Raw Data'!G994,IFERROR(MID(F994,SEARCH("MODEL",F994)+6,20),""))</f>
        <v>0</v>
      </c>
      <c r="J994">
        <f>'Raw Data'!H994</f>
        <v>0</v>
      </c>
      <c r="K994">
        <f>'Raw Data'!I994</f>
        <v>0</v>
      </c>
      <c r="L994">
        <f>IF('Raw Data'!N994&lt;&gt;0,'Raw Data'!N994,IFERROR(VALUE(MID(F994,SEARCH("QTY",F994)+4,IFERROR(FIND(" ",F994,SEARCH("QTY",F994)+4)-(SEARCH("QTY",F994)+4),3))),""))</f>
        <v>0</v>
      </c>
      <c r="M994">
        <f>'Raw Data'!O994</f>
        <v>0</v>
      </c>
      <c r="N994">
        <f>'Raw Data'!P994</f>
        <v>0</v>
      </c>
      <c r="O994">
        <f>'Raw Data'!Q994</f>
        <v>0</v>
      </c>
      <c r="P994">
        <f>'Raw Data'!R994</f>
        <v>0</v>
      </c>
      <c r="Q994">
        <f>'Raw Data'!S994</f>
        <v>0</v>
      </c>
      <c r="R994">
        <f>'Raw Data'!T994</f>
        <v>0</v>
      </c>
      <c r="S994">
        <f>IFERROR(O994,0)+IFERROR(R994,0)</f>
        <v>0</v>
      </c>
      <c r="T994">
        <f>IF(A994="","",YEAR(A994))</f>
        <v>0</v>
      </c>
    </row>
    <row r="995" spans="1:20">
      <c r="A995">
        <f>'Raw Data'!B995</f>
        <v>0</v>
      </c>
      <c r="B995">
        <f>'Raw Data'!A995</f>
        <v>0</v>
      </c>
      <c r="C995">
        <f>'Raw Data'!C995</f>
        <v>0</v>
      </c>
      <c r="D995">
        <f>'Raw Data'!D995</f>
        <v>0</v>
      </c>
      <c r="E995">
        <f>IFERROR(VLOOKUP(D995,'Lookup Tables'!$A:$B,2,FALSE),"Unknown")</f>
        <v>0</v>
      </c>
      <c r="F995">
        <f>'Raw Data'!E995</f>
        <v>0</v>
      </c>
      <c r="G995">
        <f>IFERROR(VLOOKUP(D995,'Lookup Tables'!$A:$C,3,FALSE),IF(ISNUMBER(SEARCH("STEEL",F995)),"Steel","Others"))</f>
        <v>0</v>
      </c>
      <c r="H995">
        <f>IF(ISNUMBER(SEARCH("scrubber",F995)) , "Scrubber", IF(ISNUMBER(SEARCH("container",F995)),"Container", IF(ISNUMBER(SEARCH("basket",F995)),"Basket", IF(ISNUMBER(SEARCH("lunch",F995)),"Lunch Box", IF(ISNUMBER(SEARCH("cutlery",F995)),"Cutlery","Other")))))</f>
        <v>0</v>
      </c>
      <c r="I995">
        <f>IF('Raw Data'!G995&lt;&gt;'','Raw Data'!G995,IFERROR(MID(F995,SEARCH("MODEL",F995)+6,20),""))</f>
        <v>0</v>
      </c>
      <c r="J995">
        <f>'Raw Data'!H995</f>
        <v>0</v>
      </c>
      <c r="K995">
        <f>'Raw Data'!I995</f>
        <v>0</v>
      </c>
      <c r="L995">
        <f>IF('Raw Data'!N995&lt;&gt;0,'Raw Data'!N995,IFERROR(VALUE(MID(F995,SEARCH("QTY",F995)+4,IFERROR(FIND(" ",F995,SEARCH("QTY",F995)+4)-(SEARCH("QTY",F995)+4),3))),""))</f>
        <v>0</v>
      </c>
      <c r="M995">
        <f>'Raw Data'!O995</f>
        <v>0</v>
      </c>
      <c r="N995">
        <f>'Raw Data'!P995</f>
        <v>0</v>
      </c>
      <c r="O995">
        <f>'Raw Data'!Q995</f>
        <v>0</v>
      </c>
      <c r="P995">
        <f>'Raw Data'!R995</f>
        <v>0</v>
      </c>
      <c r="Q995">
        <f>'Raw Data'!S995</f>
        <v>0</v>
      </c>
      <c r="R995">
        <f>'Raw Data'!T995</f>
        <v>0</v>
      </c>
      <c r="S995">
        <f>IFERROR(O995,0)+IFERROR(R995,0)</f>
        <v>0</v>
      </c>
      <c r="T995">
        <f>IF(A995="","",YEAR(A995))</f>
        <v>0</v>
      </c>
    </row>
    <row r="996" spans="1:20">
      <c r="A996">
        <f>'Raw Data'!B996</f>
        <v>0</v>
      </c>
      <c r="B996">
        <f>'Raw Data'!A996</f>
        <v>0</v>
      </c>
      <c r="C996">
        <f>'Raw Data'!C996</f>
        <v>0</v>
      </c>
      <c r="D996">
        <f>'Raw Data'!D996</f>
        <v>0</v>
      </c>
      <c r="E996">
        <f>IFERROR(VLOOKUP(D996,'Lookup Tables'!$A:$B,2,FALSE),"Unknown")</f>
        <v>0</v>
      </c>
      <c r="F996">
        <f>'Raw Data'!E996</f>
        <v>0</v>
      </c>
      <c r="G996">
        <f>IFERROR(VLOOKUP(D996,'Lookup Tables'!$A:$C,3,FALSE),IF(ISNUMBER(SEARCH("STEEL",F996)),"Steel","Others"))</f>
        <v>0</v>
      </c>
      <c r="H996">
        <f>IF(ISNUMBER(SEARCH("scrubber",F996)) , "Scrubber", IF(ISNUMBER(SEARCH("container",F996)),"Container", IF(ISNUMBER(SEARCH("basket",F996)),"Basket", IF(ISNUMBER(SEARCH("lunch",F996)),"Lunch Box", IF(ISNUMBER(SEARCH("cutlery",F996)),"Cutlery","Other")))))</f>
        <v>0</v>
      </c>
      <c r="I996">
        <f>IF('Raw Data'!G996&lt;&gt;'','Raw Data'!G996,IFERROR(MID(F996,SEARCH("MODEL",F996)+6,20),""))</f>
        <v>0</v>
      </c>
      <c r="J996">
        <f>'Raw Data'!H996</f>
        <v>0</v>
      </c>
      <c r="K996">
        <f>'Raw Data'!I996</f>
        <v>0</v>
      </c>
      <c r="L996">
        <f>IF('Raw Data'!N996&lt;&gt;0,'Raw Data'!N996,IFERROR(VALUE(MID(F996,SEARCH("QTY",F996)+4,IFERROR(FIND(" ",F996,SEARCH("QTY",F996)+4)-(SEARCH("QTY",F996)+4),3))),""))</f>
        <v>0</v>
      </c>
      <c r="M996">
        <f>'Raw Data'!O996</f>
        <v>0</v>
      </c>
      <c r="N996">
        <f>'Raw Data'!P996</f>
        <v>0</v>
      </c>
      <c r="O996">
        <f>'Raw Data'!Q996</f>
        <v>0</v>
      </c>
      <c r="P996">
        <f>'Raw Data'!R996</f>
        <v>0</v>
      </c>
      <c r="Q996">
        <f>'Raw Data'!S996</f>
        <v>0</v>
      </c>
      <c r="R996">
        <f>'Raw Data'!T996</f>
        <v>0</v>
      </c>
      <c r="S996">
        <f>IFERROR(O996,0)+IFERROR(R996,0)</f>
        <v>0</v>
      </c>
      <c r="T996">
        <f>IF(A996="","",YEAR(A996))</f>
        <v>0</v>
      </c>
    </row>
    <row r="997" spans="1:20">
      <c r="A997">
        <f>'Raw Data'!B997</f>
        <v>0</v>
      </c>
      <c r="B997">
        <f>'Raw Data'!A997</f>
        <v>0</v>
      </c>
      <c r="C997">
        <f>'Raw Data'!C997</f>
        <v>0</v>
      </c>
      <c r="D997">
        <f>'Raw Data'!D997</f>
        <v>0</v>
      </c>
      <c r="E997">
        <f>IFERROR(VLOOKUP(D997,'Lookup Tables'!$A:$B,2,FALSE),"Unknown")</f>
        <v>0</v>
      </c>
      <c r="F997">
        <f>'Raw Data'!E997</f>
        <v>0</v>
      </c>
      <c r="G997">
        <f>IFERROR(VLOOKUP(D997,'Lookup Tables'!$A:$C,3,FALSE),IF(ISNUMBER(SEARCH("STEEL",F997)),"Steel","Others"))</f>
        <v>0</v>
      </c>
      <c r="H997">
        <f>IF(ISNUMBER(SEARCH("scrubber",F997)) , "Scrubber", IF(ISNUMBER(SEARCH("container",F997)),"Container", IF(ISNUMBER(SEARCH("basket",F997)),"Basket", IF(ISNUMBER(SEARCH("lunch",F997)),"Lunch Box", IF(ISNUMBER(SEARCH("cutlery",F997)),"Cutlery","Other")))))</f>
        <v>0</v>
      </c>
      <c r="I997">
        <f>IF('Raw Data'!G997&lt;&gt;'','Raw Data'!G997,IFERROR(MID(F997,SEARCH("MODEL",F997)+6,20),""))</f>
        <v>0</v>
      </c>
      <c r="J997">
        <f>'Raw Data'!H997</f>
        <v>0</v>
      </c>
      <c r="K997">
        <f>'Raw Data'!I997</f>
        <v>0</v>
      </c>
      <c r="L997">
        <f>IF('Raw Data'!N997&lt;&gt;0,'Raw Data'!N997,IFERROR(VALUE(MID(F997,SEARCH("QTY",F997)+4,IFERROR(FIND(" ",F997,SEARCH("QTY",F997)+4)-(SEARCH("QTY",F997)+4),3))),""))</f>
        <v>0</v>
      </c>
      <c r="M997">
        <f>'Raw Data'!O997</f>
        <v>0</v>
      </c>
      <c r="N997">
        <f>'Raw Data'!P997</f>
        <v>0</v>
      </c>
      <c r="O997">
        <f>'Raw Data'!Q997</f>
        <v>0</v>
      </c>
      <c r="P997">
        <f>'Raw Data'!R997</f>
        <v>0</v>
      </c>
      <c r="Q997">
        <f>'Raw Data'!S997</f>
        <v>0</v>
      </c>
      <c r="R997">
        <f>'Raw Data'!T997</f>
        <v>0</v>
      </c>
      <c r="S997">
        <f>IFERROR(O997,0)+IFERROR(R997,0)</f>
        <v>0</v>
      </c>
      <c r="T997">
        <f>IF(A997="","",YEAR(A997))</f>
        <v>0</v>
      </c>
    </row>
    <row r="998" spans="1:20">
      <c r="A998">
        <f>'Raw Data'!B998</f>
        <v>0</v>
      </c>
      <c r="B998">
        <f>'Raw Data'!A998</f>
        <v>0</v>
      </c>
      <c r="C998">
        <f>'Raw Data'!C998</f>
        <v>0</v>
      </c>
      <c r="D998">
        <f>'Raw Data'!D998</f>
        <v>0</v>
      </c>
      <c r="E998">
        <f>IFERROR(VLOOKUP(D998,'Lookup Tables'!$A:$B,2,FALSE),"Unknown")</f>
        <v>0</v>
      </c>
      <c r="F998">
        <f>'Raw Data'!E998</f>
        <v>0</v>
      </c>
      <c r="G998">
        <f>IFERROR(VLOOKUP(D998,'Lookup Tables'!$A:$C,3,FALSE),IF(ISNUMBER(SEARCH("STEEL",F998)),"Steel","Others"))</f>
        <v>0</v>
      </c>
      <c r="H998">
        <f>IF(ISNUMBER(SEARCH("scrubber",F998)) , "Scrubber", IF(ISNUMBER(SEARCH("container",F998)),"Container", IF(ISNUMBER(SEARCH("basket",F998)),"Basket", IF(ISNUMBER(SEARCH("lunch",F998)),"Lunch Box", IF(ISNUMBER(SEARCH("cutlery",F998)),"Cutlery","Other")))))</f>
        <v>0</v>
      </c>
      <c r="I998">
        <f>IF('Raw Data'!G998&lt;&gt;'','Raw Data'!G998,IFERROR(MID(F998,SEARCH("MODEL",F998)+6,20),""))</f>
        <v>0</v>
      </c>
      <c r="J998">
        <f>'Raw Data'!H998</f>
        <v>0</v>
      </c>
      <c r="K998">
        <f>'Raw Data'!I998</f>
        <v>0</v>
      </c>
      <c r="L998">
        <f>IF('Raw Data'!N998&lt;&gt;0,'Raw Data'!N998,IFERROR(VALUE(MID(F998,SEARCH("QTY",F998)+4,IFERROR(FIND(" ",F998,SEARCH("QTY",F998)+4)-(SEARCH("QTY",F998)+4),3))),""))</f>
        <v>0</v>
      </c>
      <c r="M998">
        <f>'Raw Data'!O998</f>
        <v>0</v>
      </c>
      <c r="N998">
        <f>'Raw Data'!P998</f>
        <v>0</v>
      </c>
      <c r="O998">
        <f>'Raw Data'!Q998</f>
        <v>0</v>
      </c>
      <c r="P998">
        <f>'Raw Data'!R998</f>
        <v>0</v>
      </c>
      <c r="Q998">
        <f>'Raw Data'!S998</f>
        <v>0</v>
      </c>
      <c r="R998">
        <f>'Raw Data'!T998</f>
        <v>0</v>
      </c>
      <c r="S998">
        <f>IFERROR(O998,0)+IFERROR(R998,0)</f>
        <v>0</v>
      </c>
      <c r="T998">
        <f>IF(A998="","",YEAR(A998))</f>
        <v>0</v>
      </c>
    </row>
    <row r="999" spans="1:20">
      <c r="A999">
        <f>'Raw Data'!B999</f>
        <v>0</v>
      </c>
      <c r="B999">
        <f>'Raw Data'!A999</f>
        <v>0</v>
      </c>
      <c r="C999">
        <f>'Raw Data'!C999</f>
        <v>0</v>
      </c>
      <c r="D999">
        <f>'Raw Data'!D999</f>
        <v>0</v>
      </c>
      <c r="E999">
        <f>IFERROR(VLOOKUP(D999,'Lookup Tables'!$A:$B,2,FALSE),"Unknown")</f>
        <v>0</v>
      </c>
      <c r="F999">
        <f>'Raw Data'!E999</f>
        <v>0</v>
      </c>
      <c r="G999">
        <f>IFERROR(VLOOKUP(D999,'Lookup Tables'!$A:$C,3,FALSE),IF(ISNUMBER(SEARCH("STEEL",F999)),"Steel","Others"))</f>
        <v>0</v>
      </c>
      <c r="H999">
        <f>IF(ISNUMBER(SEARCH("scrubber",F999)) , "Scrubber", IF(ISNUMBER(SEARCH("container",F999)),"Container", IF(ISNUMBER(SEARCH("basket",F999)),"Basket", IF(ISNUMBER(SEARCH("lunch",F999)),"Lunch Box", IF(ISNUMBER(SEARCH("cutlery",F999)),"Cutlery","Other")))))</f>
        <v>0</v>
      </c>
      <c r="I999">
        <f>IF('Raw Data'!G999&lt;&gt;'','Raw Data'!G999,IFERROR(MID(F999,SEARCH("MODEL",F999)+6,20),""))</f>
        <v>0</v>
      </c>
      <c r="J999">
        <f>'Raw Data'!H999</f>
        <v>0</v>
      </c>
      <c r="K999">
        <f>'Raw Data'!I999</f>
        <v>0</v>
      </c>
      <c r="L999">
        <f>IF('Raw Data'!N999&lt;&gt;0,'Raw Data'!N999,IFERROR(VALUE(MID(F999,SEARCH("QTY",F999)+4,IFERROR(FIND(" ",F999,SEARCH("QTY",F999)+4)-(SEARCH("QTY",F999)+4),3))),""))</f>
        <v>0</v>
      </c>
      <c r="M999">
        <f>'Raw Data'!O999</f>
        <v>0</v>
      </c>
      <c r="N999">
        <f>'Raw Data'!P999</f>
        <v>0</v>
      </c>
      <c r="O999">
        <f>'Raw Data'!Q999</f>
        <v>0</v>
      </c>
      <c r="P999">
        <f>'Raw Data'!R999</f>
        <v>0</v>
      </c>
      <c r="Q999">
        <f>'Raw Data'!S999</f>
        <v>0</v>
      </c>
      <c r="R999">
        <f>'Raw Data'!T999</f>
        <v>0</v>
      </c>
      <c r="S999">
        <f>IFERROR(O999,0)+IFERROR(R999,0)</f>
        <v>0</v>
      </c>
      <c r="T999">
        <f>IF(A999="","",YEAR(A999))</f>
        <v>0</v>
      </c>
    </row>
    <row r="1000" spans="1:20">
      <c r="A1000">
        <f>'Raw Data'!B1000</f>
        <v>0</v>
      </c>
      <c r="B1000">
        <f>'Raw Data'!A1000</f>
        <v>0</v>
      </c>
      <c r="C1000">
        <f>'Raw Data'!C1000</f>
        <v>0</v>
      </c>
      <c r="D1000">
        <f>'Raw Data'!D1000</f>
        <v>0</v>
      </c>
      <c r="E1000">
        <f>IFERROR(VLOOKUP(D1000,'Lookup Tables'!$A:$B,2,FALSE),"Unknown")</f>
        <v>0</v>
      </c>
      <c r="F1000">
        <f>'Raw Data'!E1000</f>
        <v>0</v>
      </c>
      <c r="G1000">
        <f>IFERROR(VLOOKUP(D1000,'Lookup Tables'!$A:$C,3,FALSE),IF(ISNUMBER(SEARCH("STEEL",F1000)),"Steel","Others"))</f>
        <v>0</v>
      </c>
      <c r="H1000">
        <f>IF(ISNUMBER(SEARCH("scrubber",F1000)) , "Scrubber", IF(ISNUMBER(SEARCH("container",F1000)),"Container", IF(ISNUMBER(SEARCH("basket",F1000)),"Basket", IF(ISNUMBER(SEARCH("lunch",F1000)),"Lunch Box", IF(ISNUMBER(SEARCH("cutlery",F1000)),"Cutlery","Other")))))</f>
        <v>0</v>
      </c>
      <c r="I1000">
        <f>IF('Raw Data'!G1000&lt;&gt;'','Raw Data'!G1000,IFERROR(MID(F1000,SEARCH("MODEL",F1000)+6,20),""))</f>
        <v>0</v>
      </c>
      <c r="J1000">
        <f>'Raw Data'!H1000</f>
        <v>0</v>
      </c>
      <c r="K1000">
        <f>'Raw Data'!I1000</f>
        <v>0</v>
      </c>
      <c r="L1000">
        <f>IF('Raw Data'!N1000&lt;&gt;0,'Raw Data'!N1000,IFERROR(VALUE(MID(F1000,SEARCH("QTY",F1000)+4,IFERROR(FIND(" ",F1000,SEARCH("QTY",F1000)+4)-(SEARCH("QTY",F1000)+4),3))),""))</f>
        <v>0</v>
      </c>
      <c r="M1000">
        <f>'Raw Data'!O1000</f>
        <v>0</v>
      </c>
      <c r="N1000">
        <f>'Raw Data'!P1000</f>
        <v>0</v>
      </c>
      <c r="O1000">
        <f>'Raw Data'!Q1000</f>
        <v>0</v>
      </c>
      <c r="P1000">
        <f>'Raw Data'!R1000</f>
        <v>0</v>
      </c>
      <c r="Q1000">
        <f>'Raw Data'!S1000</f>
        <v>0</v>
      </c>
      <c r="R1000">
        <f>'Raw Data'!T1000</f>
        <v>0</v>
      </c>
      <c r="S1000">
        <f>IFERROR(O1000,0)+IFERROR(R1000,0)</f>
        <v>0</v>
      </c>
      <c r="T1000">
        <f>IF(A1000="","",YEAR(A1000))</f>
        <v>0</v>
      </c>
    </row>
    <row r="1001" spans="1:20">
      <c r="A1001">
        <f>'Raw Data'!B1001</f>
        <v>0</v>
      </c>
      <c r="B1001">
        <f>'Raw Data'!A1001</f>
        <v>0</v>
      </c>
      <c r="C1001">
        <f>'Raw Data'!C1001</f>
        <v>0</v>
      </c>
      <c r="D1001">
        <f>'Raw Data'!D1001</f>
        <v>0</v>
      </c>
      <c r="E1001">
        <f>IFERROR(VLOOKUP(D1001,'Lookup Tables'!$A:$B,2,FALSE),"Unknown")</f>
        <v>0</v>
      </c>
      <c r="F1001">
        <f>'Raw Data'!E1001</f>
        <v>0</v>
      </c>
      <c r="G1001">
        <f>IFERROR(VLOOKUP(D1001,'Lookup Tables'!$A:$C,3,FALSE),IF(ISNUMBER(SEARCH("STEEL",F1001)),"Steel","Others"))</f>
        <v>0</v>
      </c>
      <c r="H1001">
        <f>IF(ISNUMBER(SEARCH("scrubber",F1001)) , "Scrubber", IF(ISNUMBER(SEARCH("container",F1001)),"Container", IF(ISNUMBER(SEARCH("basket",F1001)),"Basket", IF(ISNUMBER(SEARCH("lunch",F1001)),"Lunch Box", IF(ISNUMBER(SEARCH("cutlery",F1001)),"Cutlery","Other")))))</f>
        <v>0</v>
      </c>
      <c r="I1001">
        <f>IF('Raw Data'!G1001&lt;&gt;'','Raw Data'!G1001,IFERROR(MID(F1001,SEARCH("MODEL",F1001)+6,20),""))</f>
        <v>0</v>
      </c>
      <c r="J1001">
        <f>'Raw Data'!H1001</f>
        <v>0</v>
      </c>
      <c r="K1001">
        <f>'Raw Data'!I1001</f>
        <v>0</v>
      </c>
      <c r="L1001">
        <f>IF('Raw Data'!N1001&lt;&gt;0,'Raw Data'!N1001,IFERROR(VALUE(MID(F1001,SEARCH("QTY",F1001)+4,IFERROR(FIND(" ",F1001,SEARCH("QTY",F1001)+4)-(SEARCH("QTY",F1001)+4),3))),""))</f>
        <v>0</v>
      </c>
      <c r="M1001">
        <f>'Raw Data'!O1001</f>
        <v>0</v>
      </c>
      <c r="N1001">
        <f>'Raw Data'!P1001</f>
        <v>0</v>
      </c>
      <c r="O1001">
        <f>'Raw Data'!Q1001</f>
        <v>0</v>
      </c>
      <c r="P1001">
        <f>'Raw Data'!R1001</f>
        <v>0</v>
      </c>
      <c r="Q1001">
        <f>'Raw Data'!S1001</f>
        <v>0</v>
      </c>
      <c r="R1001">
        <f>'Raw Data'!T1001</f>
        <v>0</v>
      </c>
      <c r="S1001">
        <f>IFERROR(O1001,0)+IFERROR(R1001,0)</f>
        <v>0</v>
      </c>
      <c r="T1001">
        <f>IF(A1001="","",YEAR(A1001))</f>
        <v>0</v>
      </c>
    </row>
    <row r="1002" spans="1:20">
      <c r="A1002">
        <f>'Raw Data'!B1002</f>
        <v>0</v>
      </c>
      <c r="B1002">
        <f>'Raw Data'!A1002</f>
        <v>0</v>
      </c>
      <c r="C1002">
        <f>'Raw Data'!C1002</f>
        <v>0</v>
      </c>
      <c r="D1002">
        <f>'Raw Data'!D1002</f>
        <v>0</v>
      </c>
      <c r="E1002">
        <f>IFERROR(VLOOKUP(D1002,'Lookup Tables'!$A:$B,2,FALSE),"Unknown")</f>
        <v>0</v>
      </c>
      <c r="F1002">
        <f>'Raw Data'!E1002</f>
        <v>0</v>
      </c>
      <c r="G1002">
        <f>IFERROR(VLOOKUP(D1002,'Lookup Tables'!$A:$C,3,FALSE),IF(ISNUMBER(SEARCH("STEEL",F1002)),"Steel","Others"))</f>
        <v>0</v>
      </c>
      <c r="H1002">
        <f>IF(ISNUMBER(SEARCH("scrubber",F1002)) , "Scrubber", IF(ISNUMBER(SEARCH("container",F1002)),"Container", IF(ISNUMBER(SEARCH("basket",F1002)),"Basket", IF(ISNUMBER(SEARCH("lunch",F1002)),"Lunch Box", IF(ISNUMBER(SEARCH("cutlery",F1002)),"Cutlery","Other")))))</f>
        <v>0</v>
      </c>
      <c r="I1002">
        <f>IF('Raw Data'!G1002&lt;&gt;'','Raw Data'!G1002,IFERROR(MID(F1002,SEARCH("MODEL",F1002)+6,20),""))</f>
        <v>0</v>
      </c>
      <c r="J1002">
        <f>'Raw Data'!H1002</f>
        <v>0</v>
      </c>
      <c r="K1002">
        <f>'Raw Data'!I1002</f>
        <v>0</v>
      </c>
      <c r="L1002">
        <f>IF('Raw Data'!N1002&lt;&gt;0,'Raw Data'!N1002,IFERROR(VALUE(MID(F1002,SEARCH("QTY",F1002)+4,IFERROR(FIND(" ",F1002,SEARCH("QTY",F1002)+4)-(SEARCH("QTY",F1002)+4),3))),""))</f>
        <v>0</v>
      </c>
      <c r="M1002">
        <f>'Raw Data'!O1002</f>
        <v>0</v>
      </c>
      <c r="N1002">
        <f>'Raw Data'!P1002</f>
        <v>0</v>
      </c>
      <c r="O1002">
        <f>'Raw Data'!Q1002</f>
        <v>0</v>
      </c>
      <c r="P1002">
        <f>'Raw Data'!R1002</f>
        <v>0</v>
      </c>
      <c r="Q1002">
        <f>'Raw Data'!S1002</f>
        <v>0</v>
      </c>
      <c r="R1002">
        <f>'Raw Data'!T1002</f>
        <v>0</v>
      </c>
      <c r="S1002">
        <f>IFERROR(O1002,0)+IFERROR(R1002,0)</f>
        <v>0</v>
      </c>
      <c r="T1002">
        <f>IF(A1002="","",YEAR(A1002))</f>
        <v>0</v>
      </c>
    </row>
    <row r="1003" spans="1:20">
      <c r="A1003">
        <f>'Raw Data'!B1003</f>
        <v>0</v>
      </c>
      <c r="B1003">
        <f>'Raw Data'!A1003</f>
        <v>0</v>
      </c>
      <c r="C1003">
        <f>'Raw Data'!C1003</f>
        <v>0</v>
      </c>
      <c r="D1003">
        <f>'Raw Data'!D1003</f>
        <v>0</v>
      </c>
      <c r="E1003">
        <f>IFERROR(VLOOKUP(D1003,'Lookup Tables'!$A:$B,2,FALSE),"Unknown")</f>
        <v>0</v>
      </c>
      <c r="F1003">
        <f>'Raw Data'!E1003</f>
        <v>0</v>
      </c>
      <c r="G1003">
        <f>IFERROR(VLOOKUP(D1003,'Lookup Tables'!$A:$C,3,FALSE),IF(ISNUMBER(SEARCH("STEEL",F1003)),"Steel","Others"))</f>
        <v>0</v>
      </c>
      <c r="H1003">
        <f>IF(ISNUMBER(SEARCH("scrubber",F1003)) , "Scrubber", IF(ISNUMBER(SEARCH("container",F1003)),"Container", IF(ISNUMBER(SEARCH("basket",F1003)),"Basket", IF(ISNUMBER(SEARCH("lunch",F1003)),"Lunch Box", IF(ISNUMBER(SEARCH("cutlery",F1003)),"Cutlery","Other")))))</f>
        <v>0</v>
      </c>
      <c r="I1003">
        <f>IF('Raw Data'!G1003&lt;&gt;'','Raw Data'!G1003,IFERROR(MID(F1003,SEARCH("MODEL",F1003)+6,20),""))</f>
        <v>0</v>
      </c>
      <c r="J1003">
        <f>'Raw Data'!H1003</f>
        <v>0</v>
      </c>
      <c r="K1003">
        <f>'Raw Data'!I1003</f>
        <v>0</v>
      </c>
      <c r="L1003">
        <f>IF('Raw Data'!N1003&lt;&gt;0,'Raw Data'!N1003,IFERROR(VALUE(MID(F1003,SEARCH("QTY",F1003)+4,IFERROR(FIND(" ",F1003,SEARCH("QTY",F1003)+4)-(SEARCH("QTY",F1003)+4),3))),""))</f>
        <v>0</v>
      </c>
      <c r="M1003">
        <f>'Raw Data'!O1003</f>
        <v>0</v>
      </c>
      <c r="N1003">
        <f>'Raw Data'!P1003</f>
        <v>0</v>
      </c>
      <c r="O1003">
        <f>'Raw Data'!Q1003</f>
        <v>0</v>
      </c>
      <c r="P1003">
        <f>'Raw Data'!R1003</f>
        <v>0</v>
      </c>
      <c r="Q1003">
        <f>'Raw Data'!S1003</f>
        <v>0</v>
      </c>
      <c r="R1003">
        <f>'Raw Data'!T1003</f>
        <v>0</v>
      </c>
      <c r="S1003">
        <f>IFERROR(O1003,0)+IFERROR(R1003,0)</f>
        <v>0</v>
      </c>
      <c r="T1003">
        <f>IF(A1003="","",YEAR(A1003))</f>
        <v>0</v>
      </c>
    </row>
    <row r="1004" spans="1:20">
      <c r="A1004">
        <f>'Raw Data'!B1004</f>
        <v>0</v>
      </c>
      <c r="B1004">
        <f>'Raw Data'!A1004</f>
        <v>0</v>
      </c>
      <c r="C1004">
        <f>'Raw Data'!C1004</f>
        <v>0</v>
      </c>
      <c r="D1004">
        <f>'Raw Data'!D1004</f>
        <v>0</v>
      </c>
      <c r="E1004">
        <f>IFERROR(VLOOKUP(D1004,'Lookup Tables'!$A:$B,2,FALSE),"Unknown")</f>
        <v>0</v>
      </c>
      <c r="F1004">
        <f>'Raw Data'!E1004</f>
        <v>0</v>
      </c>
      <c r="G1004">
        <f>IFERROR(VLOOKUP(D1004,'Lookup Tables'!$A:$C,3,FALSE),IF(ISNUMBER(SEARCH("STEEL",F1004)),"Steel","Others"))</f>
        <v>0</v>
      </c>
      <c r="H1004">
        <f>IF(ISNUMBER(SEARCH("scrubber",F1004)) , "Scrubber", IF(ISNUMBER(SEARCH("container",F1004)),"Container", IF(ISNUMBER(SEARCH("basket",F1004)),"Basket", IF(ISNUMBER(SEARCH("lunch",F1004)),"Lunch Box", IF(ISNUMBER(SEARCH("cutlery",F1004)),"Cutlery","Other")))))</f>
        <v>0</v>
      </c>
      <c r="I1004">
        <f>IF('Raw Data'!G1004&lt;&gt;'','Raw Data'!G1004,IFERROR(MID(F1004,SEARCH("MODEL",F1004)+6,20),""))</f>
        <v>0</v>
      </c>
      <c r="J1004">
        <f>'Raw Data'!H1004</f>
        <v>0</v>
      </c>
      <c r="K1004">
        <f>'Raw Data'!I1004</f>
        <v>0</v>
      </c>
      <c r="L1004">
        <f>IF('Raw Data'!N1004&lt;&gt;0,'Raw Data'!N1004,IFERROR(VALUE(MID(F1004,SEARCH("QTY",F1004)+4,IFERROR(FIND(" ",F1004,SEARCH("QTY",F1004)+4)-(SEARCH("QTY",F1004)+4),3))),""))</f>
        <v>0</v>
      </c>
      <c r="M1004">
        <f>'Raw Data'!O1004</f>
        <v>0</v>
      </c>
      <c r="N1004">
        <f>'Raw Data'!P1004</f>
        <v>0</v>
      </c>
      <c r="O1004">
        <f>'Raw Data'!Q1004</f>
        <v>0</v>
      </c>
      <c r="P1004">
        <f>'Raw Data'!R1004</f>
        <v>0</v>
      </c>
      <c r="Q1004">
        <f>'Raw Data'!S1004</f>
        <v>0</v>
      </c>
      <c r="R1004">
        <f>'Raw Data'!T1004</f>
        <v>0</v>
      </c>
      <c r="S1004">
        <f>IFERROR(O1004,0)+IFERROR(R1004,0)</f>
        <v>0</v>
      </c>
      <c r="T1004">
        <f>IF(A1004="","",YEAR(A1004))</f>
        <v>0</v>
      </c>
    </row>
    <row r="1005" spans="1:20">
      <c r="A1005">
        <f>'Raw Data'!B1005</f>
        <v>0</v>
      </c>
      <c r="B1005">
        <f>'Raw Data'!A1005</f>
        <v>0</v>
      </c>
      <c r="C1005">
        <f>'Raw Data'!C1005</f>
        <v>0</v>
      </c>
      <c r="D1005">
        <f>'Raw Data'!D1005</f>
        <v>0</v>
      </c>
      <c r="E1005">
        <f>IFERROR(VLOOKUP(D1005,'Lookup Tables'!$A:$B,2,FALSE),"Unknown")</f>
        <v>0</v>
      </c>
      <c r="F1005">
        <f>'Raw Data'!E1005</f>
        <v>0</v>
      </c>
      <c r="G1005">
        <f>IFERROR(VLOOKUP(D1005,'Lookup Tables'!$A:$C,3,FALSE),IF(ISNUMBER(SEARCH("STEEL",F1005)),"Steel","Others"))</f>
        <v>0</v>
      </c>
      <c r="H1005">
        <f>IF(ISNUMBER(SEARCH("scrubber",F1005)) , "Scrubber", IF(ISNUMBER(SEARCH("container",F1005)),"Container", IF(ISNUMBER(SEARCH("basket",F1005)),"Basket", IF(ISNUMBER(SEARCH("lunch",F1005)),"Lunch Box", IF(ISNUMBER(SEARCH("cutlery",F1005)),"Cutlery","Other")))))</f>
        <v>0</v>
      </c>
      <c r="I1005">
        <f>IF('Raw Data'!G1005&lt;&gt;'','Raw Data'!G1005,IFERROR(MID(F1005,SEARCH("MODEL",F1005)+6,20),""))</f>
        <v>0</v>
      </c>
      <c r="J1005">
        <f>'Raw Data'!H1005</f>
        <v>0</v>
      </c>
      <c r="K1005">
        <f>'Raw Data'!I1005</f>
        <v>0</v>
      </c>
      <c r="L1005">
        <f>IF('Raw Data'!N1005&lt;&gt;0,'Raw Data'!N1005,IFERROR(VALUE(MID(F1005,SEARCH("QTY",F1005)+4,IFERROR(FIND(" ",F1005,SEARCH("QTY",F1005)+4)-(SEARCH("QTY",F1005)+4),3))),""))</f>
        <v>0</v>
      </c>
      <c r="M1005">
        <f>'Raw Data'!O1005</f>
        <v>0</v>
      </c>
      <c r="N1005">
        <f>'Raw Data'!P1005</f>
        <v>0</v>
      </c>
      <c r="O1005">
        <f>'Raw Data'!Q1005</f>
        <v>0</v>
      </c>
      <c r="P1005">
        <f>'Raw Data'!R1005</f>
        <v>0</v>
      </c>
      <c r="Q1005">
        <f>'Raw Data'!S1005</f>
        <v>0</v>
      </c>
      <c r="R1005">
        <f>'Raw Data'!T1005</f>
        <v>0</v>
      </c>
      <c r="S1005">
        <f>IFERROR(O1005,0)+IFERROR(R1005,0)</f>
        <v>0</v>
      </c>
      <c r="T1005">
        <f>IF(A1005="","",YEAR(A1005))</f>
        <v>0</v>
      </c>
    </row>
    <row r="1006" spans="1:20">
      <c r="A1006">
        <f>'Raw Data'!B1006</f>
        <v>0</v>
      </c>
      <c r="B1006">
        <f>'Raw Data'!A1006</f>
        <v>0</v>
      </c>
      <c r="C1006">
        <f>'Raw Data'!C1006</f>
        <v>0</v>
      </c>
      <c r="D1006">
        <f>'Raw Data'!D1006</f>
        <v>0</v>
      </c>
      <c r="E1006">
        <f>IFERROR(VLOOKUP(D1006,'Lookup Tables'!$A:$B,2,FALSE),"Unknown")</f>
        <v>0</v>
      </c>
      <c r="F1006">
        <f>'Raw Data'!E1006</f>
        <v>0</v>
      </c>
      <c r="G1006">
        <f>IFERROR(VLOOKUP(D1006,'Lookup Tables'!$A:$C,3,FALSE),IF(ISNUMBER(SEARCH("STEEL",F1006)),"Steel","Others"))</f>
        <v>0</v>
      </c>
      <c r="H1006">
        <f>IF(ISNUMBER(SEARCH("scrubber",F1006)) , "Scrubber", IF(ISNUMBER(SEARCH("container",F1006)),"Container", IF(ISNUMBER(SEARCH("basket",F1006)),"Basket", IF(ISNUMBER(SEARCH("lunch",F1006)),"Lunch Box", IF(ISNUMBER(SEARCH("cutlery",F1006)),"Cutlery","Other")))))</f>
        <v>0</v>
      </c>
      <c r="I1006">
        <f>IF('Raw Data'!G1006&lt;&gt;'','Raw Data'!G1006,IFERROR(MID(F1006,SEARCH("MODEL",F1006)+6,20),""))</f>
        <v>0</v>
      </c>
      <c r="J1006">
        <f>'Raw Data'!H1006</f>
        <v>0</v>
      </c>
      <c r="K1006">
        <f>'Raw Data'!I1006</f>
        <v>0</v>
      </c>
      <c r="L1006">
        <f>IF('Raw Data'!N1006&lt;&gt;0,'Raw Data'!N1006,IFERROR(VALUE(MID(F1006,SEARCH("QTY",F1006)+4,IFERROR(FIND(" ",F1006,SEARCH("QTY",F1006)+4)-(SEARCH("QTY",F1006)+4),3))),""))</f>
        <v>0</v>
      </c>
      <c r="M1006">
        <f>'Raw Data'!O1006</f>
        <v>0</v>
      </c>
      <c r="N1006">
        <f>'Raw Data'!P1006</f>
        <v>0</v>
      </c>
      <c r="O1006">
        <f>'Raw Data'!Q1006</f>
        <v>0</v>
      </c>
      <c r="P1006">
        <f>'Raw Data'!R1006</f>
        <v>0</v>
      </c>
      <c r="Q1006">
        <f>'Raw Data'!S1006</f>
        <v>0</v>
      </c>
      <c r="R1006">
        <f>'Raw Data'!T1006</f>
        <v>0</v>
      </c>
      <c r="S1006">
        <f>IFERROR(O1006,0)+IFERROR(R1006,0)</f>
        <v>0</v>
      </c>
      <c r="T1006">
        <f>IF(A1006="","",YEAR(A1006))</f>
        <v>0</v>
      </c>
    </row>
    <row r="1007" spans="1:20">
      <c r="A1007">
        <f>'Raw Data'!B1007</f>
        <v>0</v>
      </c>
      <c r="B1007">
        <f>'Raw Data'!A1007</f>
        <v>0</v>
      </c>
      <c r="C1007">
        <f>'Raw Data'!C1007</f>
        <v>0</v>
      </c>
      <c r="D1007">
        <f>'Raw Data'!D1007</f>
        <v>0</v>
      </c>
      <c r="E1007">
        <f>IFERROR(VLOOKUP(D1007,'Lookup Tables'!$A:$B,2,FALSE),"Unknown")</f>
        <v>0</v>
      </c>
      <c r="F1007">
        <f>'Raw Data'!E1007</f>
        <v>0</v>
      </c>
      <c r="G1007">
        <f>IFERROR(VLOOKUP(D1007,'Lookup Tables'!$A:$C,3,FALSE),IF(ISNUMBER(SEARCH("STEEL",F1007)),"Steel","Others"))</f>
        <v>0</v>
      </c>
      <c r="H1007">
        <f>IF(ISNUMBER(SEARCH("scrubber",F1007)) , "Scrubber", IF(ISNUMBER(SEARCH("container",F1007)),"Container", IF(ISNUMBER(SEARCH("basket",F1007)),"Basket", IF(ISNUMBER(SEARCH("lunch",F1007)),"Lunch Box", IF(ISNUMBER(SEARCH("cutlery",F1007)),"Cutlery","Other")))))</f>
        <v>0</v>
      </c>
      <c r="I1007">
        <f>IF('Raw Data'!G1007&lt;&gt;'','Raw Data'!G1007,IFERROR(MID(F1007,SEARCH("MODEL",F1007)+6,20),""))</f>
        <v>0</v>
      </c>
      <c r="J1007">
        <f>'Raw Data'!H1007</f>
        <v>0</v>
      </c>
      <c r="K1007">
        <f>'Raw Data'!I1007</f>
        <v>0</v>
      </c>
      <c r="L1007">
        <f>IF('Raw Data'!N1007&lt;&gt;0,'Raw Data'!N1007,IFERROR(VALUE(MID(F1007,SEARCH("QTY",F1007)+4,IFERROR(FIND(" ",F1007,SEARCH("QTY",F1007)+4)-(SEARCH("QTY",F1007)+4),3))),""))</f>
        <v>0</v>
      </c>
      <c r="M1007">
        <f>'Raw Data'!O1007</f>
        <v>0</v>
      </c>
      <c r="N1007">
        <f>'Raw Data'!P1007</f>
        <v>0</v>
      </c>
      <c r="O1007">
        <f>'Raw Data'!Q1007</f>
        <v>0</v>
      </c>
      <c r="P1007">
        <f>'Raw Data'!R1007</f>
        <v>0</v>
      </c>
      <c r="Q1007">
        <f>'Raw Data'!S1007</f>
        <v>0</v>
      </c>
      <c r="R1007">
        <f>'Raw Data'!T1007</f>
        <v>0</v>
      </c>
      <c r="S1007">
        <f>IFERROR(O1007,0)+IFERROR(R1007,0)</f>
        <v>0</v>
      </c>
      <c r="T1007">
        <f>IF(A1007="","",YEAR(A1007))</f>
        <v>0</v>
      </c>
    </row>
    <row r="1008" spans="1:20">
      <c r="A1008">
        <f>'Raw Data'!B1008</f>
        <v>0</v>
      </c>
      <c r="B1008">
        <f>'Raw Data'!A1008</f>
        <v>0</v>
      </c>
      <c r="C1008">
        <f>'Raw Data'!C1008</f>
        <v>0</v>
      </c>
      <c r="D1008">
        <f>'Raw Data'!D1008</f>
        <v>0</v>
      </c>
      <c r="E1008">
        <f>IFERROR(VLOOKUP(D1008,'Lookup Tables'!$A:$B,2,FALSE),"Unknown")</f>
        <v>0</v>
      </c>
      <c r="F1008">
        <f>'Raw Data'!E1008</f>
        <v>0</v>
      </c>
      <c r="G1008">
        <f>IFERROR(VLOOKUP(D1008,'Lookup Tables'!$A:$C,3,FALSE),IF(ISNUMBER(SEARCH("STEEL",F1008)),"Steel","Others"))</f>
        <v>0</v>
      </c>
      <c r="H1008">
        <f>IF(ISNUMBER(SEARCH("scrubber",F1008)) , "Scrubber", IF(ISNUMBER(SEARCH("container",F1008)),"Container", IF(ISNUMBER(SEARCH("basket",F1008)),"Basket", IF(ISNUMBER(SEARCH("lunch",F1008)),"Lunch Box", IF(ISNUMBER(SEARCH("cutlery",F1008)),"Cutlery","Other")))))</f>
        <v>0</v>
      </c>
      <c r="I1008">
        <f>IF('Raw Data'!G1008&lt;&gt;'','Raw Data'!G1008,IFERROR(MID(F1008,SEARCH("MODEL",F1008)+6,20),""))</f>
        <v>0</v>
      </c>
      <c r="J1008">
        <f>'Raw Data'!H1008</f>
        <v>0</v>
      </c>
      <c r="K1008">
        <f>'Raw Data'!I1008</f>
        <v>0</v>
      </c>
      <c r="L1008">
        <f>IF('Raw Data'!N1008&lt;&gt;0,'Raw Data'!N1008,IFERROR(VALUE(MID(F1008,SEARCH("QTY",F1008)+4,IFERROR(FIND(" ",F1008,SEARCH("QTY",F1008)+4)-(SEARCH("QTY",F1008)+4),3))),""))</f>
        <v>0</v>
      </c>
      <c r="M1008">
        <f>'Raw Data'!O1008</f>
        <v>0</v>
      </c>
      <c r="N1008">
        <f>'Raw Data'!P1008</f>
        <v>0</v>
      </c>
      <c r="O1008">
        <f>'Raw Data'!Q1008</f>
        <v>0</v>
      </c>
      <c r="P1008">
        <f>'Raw Data'!R1008</f>
        <v>0</v>
      </c>
      <c r="Q1008">
        <f>'Raw Data'!S1008</f>
        <v>0</v>
      </c>
      <c r="R1008">
        <f>'Raw Data'!T1008</f>
        <v>0</v>
      </c>
      <c r="S1008">
        <f>IFERROR(O1008,0)+IFERROR(R1008,0)</f>
        <v>0</v>
      </c>
      <c r="T1008">
        <f>IF(A1008="","",YEAR(A1008))</f>
        <v>0</v>
      </c>
    </row>
    <row r="1009" spans="1:20">
      <c r="A1009">
        <f>'Raw Data'!B1009</f>
        <v>0</v>
      </c>
      <c r="B1009">
        <f>'Raw Data'!A1009</f>
        <v>0</v>
      </c>
      <c r="C1009">
        <f>'Raw Data'!C1009</f>
        <v>0</v>
      </c>
      <c r="D1009">
        <f>'Raw Data'!D1009</f>
        <v>0</v>
      </c>
      <c r="E1009">
        <f>IFERROR(VLOOKUP(D1009,'Lookup Tables'!$A:$B,2,FALSE),"Unknown")</f>
        <v>0</v>
      </c>
      <c r="F1009">
        <f>'Raw Data'!E1009</f>
        <v>0</v>
      </c>
      <c r="G1009">
        <f>IFERROR(VLOOKUP(D1009,'Lookup Tables'!$A:$C,3,FALSE),IF(ISNUMBER(SEARCH("STEEL",F1009)),"Steel","Others"))</f>
        <v>0</v>
      </c>
      <c r="H1009">
        <f>IF(ISNUMBER(SEARCH("scrubber",F1009)) , "Scrubber", IF(ISNUMBER(SEARCH("container",F1009)),"Container", IF(ISNUMBER(SEARCH("basket",F1009)),"Basket", IF(ISNUMBER(SEARCH("lunch",F1009)),"Lunch Box", IF(ISNUMBER(SEARCH("cutlery",F1009)),"Cutlery","Other")))))</f>
        <v>0</v>
      </c>
      <c r="I1009">
        <f>IF('Raw Data'!G1009&lt;&gt;'','Raw Data'!G1009,IFERROR(MID(F1009,SEARCH("MODEL",F1009)+6,20),""))</f>
        <v>0</v>
      </c>
      <c r="J1009">
        <f>'Raw Data'!H1009</f>
        <v>0</v>
      </c>
      <c r="K1009">
        <f>'Raw Data'!I1009</f>
        <v>0</v>
      </c>
      <c r="L1009">
        <f>IF('Raw Data'!N1009&lt;&gt;0,'Raw Data'!N1009,IFERROR(VALUE(MID(F1009,SEARCH("QTY",F1009)+4,IFERROR(FIND(" ",F1009,SEARCH("QTY",F1009)+4)-(SEARCH("QTY",F1009)+4),3))),""))</f>
        <v>0</v>
      </c>
      <c r="M1009">
        <f>'Raw Data'!O1009</f>
        <v>0</v>
      </c>
      <c r="N1009">
        <f>'Raw Data'!P1009</f>
        <v>0</v>
      </c>
      <c r="O1009">
        <f>'Raw Data'!Q1009</f>
        <v>0</v>
      </c>
      <c r="P1009">
        <f>'Raw Data'!R1009</f>
        <v>0</v>
      </c>
      <c r="Q1009">
        <f>'Raw Data'!S1009</f>
        <v>0</v>
      </c>
      <c r="R1009">
        <f>'Raw Data'!T1009</f>
        <v>0</v>
      </c>
      <c r="S1009">
        <f>IFERROR(O1009,0)+IFERROR(R1009,0)</f>
        <v>0</v>
      </c>
      <c r="T1009">
        <f>IF(A1009="","",YEAR(A1009))</f>
        <v>0</v>
      </c>
    </row>
    <row r="1010" spans="1:20">
      <c r="A1010">
        <f>'Raw Data'!B1010</f>
        <v>0</v>
      </c>
      <c r="B1010">
        <f>'Raw Data'!A1010</f>
        <v>0</v>
      </c>
      <c r="C1010">
        <f>'Raw Data'!C1010</f>
        <v>0</v>
      </c>
      <c r="D1010">
        <f>'Raw Data'!D1010</f>
        <v>0</v>
      </c>
      <c r="E1010">
        <f>IFERROR(VLOOKUP(D1010,'Lookup Tables'!$A:$B,2,FALSE),"Unknown")</f>
        <v>0</v>
      </c>
      <c r="F1010">
        <f>'Raw Data'!E1010</f>
        <v>0</v>
      </c>
      <c r="G1010">
        <f>IFERROR(VLOOKUP(D1010,'Lookup Tables'!$A:$C,3,FALSE),IF(ISNUMBER(SEARCH("STEEL",F1010)),"Steel","Others"))</f>
        <v>0</v>
      </c>
      <c r="H1010">
        <f>IF(ISNUMBER(SEARCH("scrubber",F1010)) , "Scrubber", IF(ISNUMBER(SEARCH("container",F1010)),"Container", IF(ISNUMBER(SEARCH("basket",F1010)),"Basket", IF(ISNUMBER(SEARCH("lunch",F1010)),"Lunch Box", IF(ISNUMBER(SEARCH("cutlery",F1010)),"Cutlery","Other")))))</f>
        <v>0</v>
      </c>
      <c r="I1010">
        <f>IF('Raw Data'!G1010&lt;&gt;'','Raw Data'!G1010,IFERROR(MID(F1010,SEARCH("MODEL",F1010)+6,20),""))</f>
        <v>0</v>
      </c>
      <c r="J1010">
        <f>'Raw Data'!H1010</f>
        <v>0</v>
      </c>
      <c r="K1010">
        <f>'Raw Data'!I1010</f>
        <v>0</v>
      </c>
      <c r="L1010">
        <f>IF('Raw Data'!N1010&lt;&gt;0,'Raw Data'!N1010,IFERROR(VALUE(MID(F1010,SEARCH("QTY",F1010)+4,IFERROR(FIND(" ",F1010,SEARCH("QTY",F1010)+4)-(SEARCH("QTY",F1010)+4),3))),""))</f>
        <v>0</v>
      </c>
      <c r="M1010">
        <f>'Raw Data'!O1010</f>
        <v>0</v>
      </c>
      <c r="N1010">
        <f>'Raw Data'!P1010</f>
        <v>0</v>
      </c>
      <c r="O1010">
        <f>'Raw Data'!Q1010</f>
        <v>0</v>
      </c>
      <c r="P1010">
        <f>'Raw Data'!R1010</f>
        <v>0</v>
      </c>
      <c r="Q1010">
        <f>'Raw Data'!S1010</f>
        <v>0</v>
      </c>
      <c r="R1010">
        <f>'Raw Data'!T1010</f>
        <v>0</v>
      </c>
      <c r="S1010">
        <f>IFERROR(O1010,0)+IFERROR(R1010,0)</f>
        <v>0</v>
      </c>
      <c r="T1010">
        <f>IF(A1010="","",YEAR(A1010))</f>
        <v>0</v>
      </c>
    </row>
    <row r="1011" spans="1:20">
      <c r="A1011">
        <f>'Raw Data'!B1011</f>
        <v>0</v>
      </c>
      <c r="B1011">
        <f>'Raw Data'!A1011</f>
        <v>0</v>
      </c>
      <c r="C1011">
        <f>'Raw Data'!C1011</f>
        <v>0</v>
      </c>
      <c r="D1011">
        <f>'Raw Data'!D1011</f>
        <v>0</v>
      </c>
      <c r="E1011">
        <f>IFERROR(VLOOKUP(D1011,'Lookup Tables'!$A:$B,2,FALSE),"Unknown")</f>
        <v>0</v>
      </c>
      <c r="F1011">
        <f>'Raw Data'!E1011</f>
        <v>0</v>
      </c>
      <c r="G1011">
        <f>IFERROR(VLOOKUP(D1011,'Lookup Tables'!$A:$C,3,FALSE),IF(ISNUMBER(SEARCH("STEEL",F1011)),"Steel","Others"))</f>
        <v>0</v>
      </c>
      <c r="H1011">
        <f>IF(ISNUMBER(SEARCH("scrubber",F1011)) , "Scrubber", IF(ISNUMBER(SEARCH("container",F1011)),"Container", IF(ISNUMBER(SEARCH("basket",F1011)),"Basket", IF(ISNUMBER(SEARCH("lunch",F1011)),"Lunch Box", IF(ISNUMBER(SEARCH("cutlery",F1011)),"Cutlery","Other")))))</f>
        <v>0</v>
      </c>
      <c r="I1011">
        <f>IF('Raw Data'!G1011&lt;&gt;'','Raw Data'!G1011,IFERROR(MID(F1011,SEARCH("MODEL",F1011)+6,20),""))</f>
        <v>0</v>
      </c>
      <c r="J1011">
        <f>'Raw Data'!H1011</f>
        <v>0</v>
      </c>
      <c r="K1011">
        <f>'Raw Data'!I1011</f>
        <v>0</v>
      </c>
      <c r="L1011">
        <f>IF('Raw Data'!N1011&lt;&gt;0,'Raw Data'!N1011,IFERROR(VALUE(MID(F1011,SEARCH("QTY",F1011)+4,IFERROR(FIND(" ",F1011,SEARCH("QTY",F1011)+4)-(SEARCH("QTY",F1011)+4),3))),""))</f>
        <v>0</v>
      </c>
      <c r="M1011">
        <f>'Raw Data'!O1011</f>
        <v>0</v>
      </c>
      <c r="N1011">
        <f>'Raw Data'!P1011</f>
        <v>0</v>
      </c>
      <c r="O1011">
        <f>'Raw Data'!Q1011</f>
        <v>0</v>
      </c>
      <c r="P1011">
        <f>'Raw Data'!R1011</f>
        <v>0</v>
      </c>
      <c r="Q1011">
        <f>'Raw Data'!S1011</f>
        <v>0</v>
      </c>
      <c r="R1011">
        <f>'Raw Data'!T1011</f>
        <v>0</v>
      </c>
      <c r="S1011">
        <f>IFERROR(O1011,0)+IFERROR(R1011,0)</f>
        <v>0</v>
      </c>
      <c r="T1011">
        <f>IF(A1011="","",YEAR(A1011))</f>
        <v>0</v>
      </c>
    </row>
    <row r="1012" spans="1:20">
      <c r="A1012">
        <f>'Raw Data'!B1012</f>
        <v>0</v>
      </c>
      <c r="B1012">
        <f>'Raw Data'!A1012</f>
        <v>0</v>
      </c>
      <c r="C1012">
        <f>'Raw Data'!C1012</f>
        <v>0</v>
      </c>
      <c r="D1012">
        <f>'Raw Data'!D1012</f>
        <v>0</v>
      </c>
      <c r="E1012">
        <f>IFERROR(VLOOKUP(D1012,'Lookup Tables'!$A:$B,2,FALSE),"Unknown")</f>
        <v>0</v>
      </c>
      <c r="F1012">
        <f>'Raw Data'!E1012</f>
        <v>0</v>
      </c>
      <c r="G1012">
        <f>IFERROR(VLOOKUP(D1012,'Lookup Tables'!$A:$C,3,FALSE),IF(ISNUMBER(SEARCH("STEEL",F1012)),"Steel","Others"))</f>
        <v>0</v>
      </c>
      <c r="H1012">
        <f>IF(ISNUMBER(SEARCH("scrubber",F1012)) , "Scrubber", IF(ISNUMBER(SEARCH("container",F1012)),"Container", IF(ISNUMBER(SEARCH("basket",F1012)),"Basket", IF(ISNUMBER(SEARCH("lunch",F1012)),"Lunch Box", IF(ISNUMBER(SEARCH("cutlery",F1012)),"Cutlery","Other")))))</f>
        <v>0</v>
      </c>
      <c r="I1012">
        <f>IF('Raw Data'!G1012&lt;&gt;'','Raw Data'!G1012,IFERROR(MID(F1012,SEARCH("MODEL",F1012)+6,20),""))</f>
        <v>0</v>
      </c>
      <c r="J1012">
        <f>'Raw Data'!H1012</f>
        <v>0</v>
      </c>
      <c r="K1012">
        <f>'Raw Data'!I1012</f>
        <v>0</v>
      </c>
      <c r="L1012">
        <f>IF('Raw Data'!N1012&lt;&gt;0,'Raw Data'!N1012,IFERROR(VALUE(MID(F1012,SEARCH("QTY",F1012)+4,IFERROR(FIND(" ",F1012,SEARCH("QTY",F1012)+4)-(SEARCH("QTY",F1012)+4),3))),""))</f>
        <v>0</v>
      </c>
      <c r="M1012">
        <f>'Raw Data'!O1012</f>
        <v>0</v>
      </c>
      <c r="N1012">
        <f>'Raw Data'!P1012</f>
        <v>0</v>
      </c>
      <c r="O1012">
        <f>'Raw Data'!Q1012</f>
        <v>0</v>
      </c>
      <c r="P1012">
        <f>'Raw Data'!R1012</f>
        <v>0</v>
      </c>
      <c r="Q1012">
        <f>'Raw Data'!S1012</f>
        <v>0</v>
      </c>
      <c r="R1012">
        <f>'Raw Data'!T1012</f>
        <v>0</v>
      </c>
      <c r="S1012">
        <f>IFERROR(O1012,0)+IFERROR(R1012,0)</f>
        <v>0</v>
      </c>
      <c r="T1012">
        <f>IF(A1012="","",YEAR(A1012))</f>
        <v>0</v>
      </c>
    </row>
    <row r="1013" spans="1:20">
      <c r="A1013">
        <f>'Raw Data'!B1013</f>
        <v>0</v>
      </c>
      <c r="B1013">
        <f>'Raw Data'!A1013</f>
        <v>0</v>
      </c>
      <c r="C1013">
        <f>'Raw Data'!C1013</f>
        <v>0</v>
      </c>
      <c r="D1013">
        <f>'Raw Data'!D1013</f>
        <v>0</v>
      </c>
      <c r="E1013">
        <f>IFERROR(VLOOKUP(D1013,'Lookup Tables'!$A:$B,2,FALSE),"Unknown")</f>
        <v>0</v>
      </c>
      <c r="F1013">
        <f>'Raw Data'!E1013</f>
        <v>0</v>
      </c>
      <c r="G1013">
        <f>IFERROR(VLOOKUP(D1013,'Lookup Tables'!$A:$C,3,FALSE),IF(ISNUMBER(SEARCH("STEEL",F1013)),"Steel","Others"))</f>
        <v>0</v>
      </c>
      <c r="H1013">
        <f>IF(ISNUMBER(SEARCH("scrubber",F1013)) , "Scrubber", IF(ISNUMBER(SEARCH("container",F1013)),"Container", IF(ISNUMBER(SEARCH("basket",F1013)),"Basket", IF(ISNUMBER(SEARCH("lunch",F1013)),"Lunch Box", IF(ISNUMBER(SEARCH("cutlery",F1013)),"Cutlery","Other")))))</f>
        <v>0</v>
      </c>
      <c r="I1013">
        <f>IF('Raw Data'!G1013&lt;&gt;'','Raw Data'!G1013,IFERROR(MID(F1013,SEARCH("MODEL",F1013)+6,20),""))</f>
        <v>0</v>
      </c>
      <c r="J1013">
        <f>'Raw Data'!H1013</f>
        <v>0</v>
      </c>
      <c r="K1013">
        <f>'Raw Data'!I1013</f>
        <v>0</v>
      </c>
      <c r="L1013">
        <f>IF('Raw Data'!N1013&lt;&gt;0,'Raw Data'!N1013,IFERROR(VALUE(MID(F1013,SEARCH("QTY",F1013)+4,IFERROR(FIND(" ",F1013,SEARCH("QTY",F1013)+4)-(SEARCH("QTY",F1013)+4),3))),""))</f>
        <v>0</v>
      </c>
      <c r="M1013">
        <f>'Raw Data'!O1013</f>
        <v>0</v>
      </c>
      <c r="N1013">
        <f>'Raw Data'!P1013</f>
        <v>0</v>
      </c>
      <c r="O1013">
        <f>'Raw Data'!Q1013</f>
        <v>0</v>
      </c>
      <c r="P1013">
        <f>'Raw Data'!R1013</f>
        <v>0</v>
      </c>
      <c r="Q1013">
        <f>'Raw Data'!S1013</f>
        <v>0</v>
      </c>
      <c r="R1013">
        <f>'Raw Data'!T1013</f>
        <v>0</v>
      </c>
      <c r="S1013">
        <f>IFERROR(O1013,0)+IFERROR(R1013,0)</f>
        <v>0</v>
      </c>
      <c r="T1013">
        <f>IF(A1013="","",YEAR(A1013))</f>
        <v>0</v>
      </c>
    </row>
    <row r="1014" spans="1:20">
      <c r="A1014">
        <f>'Raw Data'!B1014</f>
        <v>0</v>
      </c>
      <c r="B1014">
        <f>'Raw Data'!A1014</f>
        <v>0</v>
      </c>
      <c r="C1014">
        <f>'Raw Data'!C1014</f>
        <v>0</v>
      </c>
      <c r="D1014">
        <f>'Raw Data'!D1014</f>
        <v>0</v>
      </c>
      <c r="E1014">
        <f>IFERROR(VLOOKUP(D1014,'Lookup Tables'!$A:$B,2,FALSE),"Unknown")</f>
        <v>0</v>
      </c>
      <c r="F1014">
        <f>'Raw Data'!E1014</f>
        <v>0</v>
      </c>
      <c r="G1014">
        <f>IFERROR(VLOOKUP(D1014,'Lookup Tables'!$A:$C,3,FALSE),IF(ISNUMBER(SEARCH("STEEL",F1014)),"Steel","Others"))</f>
        <v>0</v>
      </c>
      <c r="H1014">
        <f>IF(ISNUMBER(SEARCH("scrubber",F1014)) , "Scrubber", IF(ISNUMBER(SEARCH("container",F1014)),"Container", IF(ISNUMBER(SEARCH("basket",F1014)),"Basket", IF(ISNUMBER(SEARCH("lunch",F1014)),"Lunch Box", IF(ISNUMBER(SEARCH("cutlery",F1014)),"Cutlery","Other")))))</f>
        <v>0</v>
      </c>
      <c r="I1014">
        <f>IF('Raw Data'!G1014&lt;&gt;'','Raw Data'!G1014,IFERROR(MID(F1014,SEARCH("MODEL",F1014)+6,20),""))</f>
        <v>0</v>
      </c>
      <c r="J1014">
        <f>'Raw Data'!H1014</f>
        <v>0</v>
      </c>
      <c r="K1014">
        <f>'Raw Data'!I1014</f>
        <v>0</v>
      </c>
      <c r="L1014">
        <f>IF('Raw Data'!N1014&lt;&gt;0,'Raw Data'!N1014,IFERROR(VALUE(MID(F1014,SEARCH("QTY",F1014)+4,IFERROR(FIND(" ",F1014,SEARCH("QTY",F1014)+4)-(SEARCH("QTY",F1014)+4),3))),""))</f>
        <v>0</v>
      </c>
      <c r="M1014">
        <f>'Raw Data'!O1014</f>
        <v>0</v>
      </c>
      <c r="N1014">
        <f>'Raw Data'!P1014</f>
        <v>0</v>
      </c>
      <c r="O1014">
        <f>'Raw Data'!Q1014</f>
        <v>0</v>
      </c>
      <c r="P1014">
        <f>'Raw Data'!R1014</f>
        <v>0</v>
      </c>
      <c r="Q1014">
        <f>'Raw Data'!S1014</f>
        <v>0</v>
      </c>
      <c r="R1014">
        <f>'Raw Data'!T1014</f>
        <v>0</v>
      </c>
      <c r="S1014">
        <f>IFERROR(O1014,0)+IFERROR(R1014,0)</f>
        <v>0</v>
      </c>
      <c r="T1014">
        <f>IF(A1014="","",YEAR(A1014))</f>
        <v>0</v>
      </c>
    </row>
    <row r="1015" spans="1:20">
      <c r="A1015">
        <f>'Raw Data'!B1015</f>
        <v>0</v>
      </c>
      <c r="B1015">
        <f>'Raw Data'!A1015</f>
        <v>0</v>
      </c>
      <c r="C1015">
        <f>'Raw Data'!C1015</f>
        <v>0</v>
      </c>
      <c r="D1015">
        <f>'Raw Data'!D1015</f>
        <v>0</v>
      </c>
      <c r="E1015">
        <f>IFERROR(VLOOKUP(D1015,'Lookup Tables'!$A:$B,2,FALSE),"Unknown")</f>
        <v>0</v>
      </c>
      <c r="F1015">
        <f>'Raw Data'!E1015</f>
        <v>0</v>
      </c>
      <c r="G1015">
        <f>IFERROR(VLOOKUP(D1015,'Lookup Tables'!$A:$C,3,FALSE),IF(ISNUMBER(SEARCH("STEEL",F1015)),"Steel","Others"))</f>
        <v>0</v>
      </c>
      <c r="H1015">
        <f>IF(ISNUMBER(SEARCH("scrubber",F1015)) , "Scrubber", IF(ISNUMBER(SEARCH("container",F1015)),"Container", IF(ISNUMBER(SEARCH("basket",F1015)),"Basket", IF(ISNUMBER(SEARCH("lunch",F1015)),"Lunch Box", IF(ISNUMBER(SEARCH("cutlery",F1015)),"Cutlery","Other")))))</f>
        <v>0</v>
      </c>
      <c r="I1015">
        <f>IF('Raw Data'!G1015&lt;&gt;'','Raw Data'!G1015,IFERROR(MID(F1015,SEARCH("MODEL",F1015)+6,20),""))</f>
        <v>0</v>
      </c>
      <c r="J1015">
        <f>'Raw Data'!H1015</f>
        <v>0</v>
      </c>
      <c r="K1015">
        <f>'Raw Data'!I1015</f>
        <v>0</v>
      </c>
      <c r="L1015">
        <f>IF('Raw Data'!N1015&lt;&gt;0,'Raw Data'!N1015,IFERROR(VALUE(MID(F1015,SEARCH("QTY",F1015)+4,IFERROR(FIND(" ",F1015,SEARCH("QTY",F1015)+4)-(SEARCH("QTY",F1015)+4),3))),""))</f>
        <v>0</v>
      </c>
      <c r="M1015">
        <f>'Raw Data'!O1015</f>
        <v>0</v>
      </c>
      <c r="N1015">
        <f>'Raw Data'!P1015</f>
        <v>0</v>
      </c>
      <c r="O1015">
        <f>'Raw Data'!Q1015</f>
        <v>0</v>
      </c>
      <c r="P1015">
        <f>'Raw Data'!R1015</f>
        <v>0</v>
      </c>
      <c r="Q1015">
        <f>'Raw Data'!S1015</f>
        <v>0</v>
      </c>
      <c r="R1015">
        <f>'Raw Data'!T1015</f>
        <v>0</v>
      </c>
      <c r="S1015">
        <f>IFERROR(O1015,0)+IFERROR(R1015,0)</f>
        <v>0</v>
      </c>
      <c r="T1015">
        <f>IF(A1015="","",YEAR(A1015))</f>
        <v>0</v>
      </c>
    </row>
    <row r="1016" spans="1:20">
      <c r="A1016">
        <f>'Raw Data'!B1016</f>
        <v>0</v>
      </c>
      <c r="B1016">
        <f>'Raw Data'!A1016</f>
        <v>0</v>
      </c>
      <c r="C1016">
        <f>'Raw Data'!C1016</f>
        <v>0</v>
      </c>
      <c r="D1016">
        <f>'Raw Data'!D1016</f>
        <v>0</v>
      </c>
      <c r="E1016">
        <f>IFERROR(VLOOKUP(D1016,'Lookup Tables'!$A:$B,2,FALSE),"Unknown")</f>
        <v>0</v>
      </c>
      <c r="F1016">
        <f>'Raw Data'!E1016</f>
        <v>0</v>
      </c>
      <c r="G1016">
        <f>IFERROR(VLOOKUP(D1016,'Lookup Tables'!$A:$C,3,FALSE),IF(ISNUMBER(SEARCH("STEEL",F1016)),"Steel","Others"))</f>
        <v>0</v>
      </c>
      <c r="H1016">
        <f>IF(ISNUMBER(SEARCH("scrubber",F1016)) , "Scrubber", IF(ISNUMBER(SEARCH("container",F1016)),"Container", IF(ISNUMBER(SEARCH("basket",F1016)),"Basket", IF(ISNUMBER(SEARCH("lunch",F1016)),"Lunch Box", IF(ISNUMBER(SEARCH("cutlery",F1016)),"Cutlery","Other")))))</f>
        <v>0</v>
      </c>
      <c r="I1016">
        <f>IF('Raw Data'!G1016&lt;&gt;'','Raw Data'!G1016,IFERROR(MID(F1016,SEARCH("MODEL",F1016)+6,20),""))</f>
        <v>0</v>
      </c>
      <c r="J1016">
        <f>'Raw Data'!H1016</f>
        <v>0</v>
      </c>
      <c r="K1016">
        <f>'Raw Data'!I1016</f>
        <v>0</v>
      </c>
      <c r="L1016">
        <f>IF('Raw Data'!N1016&lt;&gt;0,'Raw Data'!N1016,IFERROR(VALUE(MID(F1016,SEARCH("QTY",F1016)+4,IFERROR(FIND(" ",F1016,SEARCH("QTY",F1016)+4)-(SEARCH("QTY",F1016)+4),3))),""))</f>
        <v>0</v>
      </c>
      <c r="M1016">
        <f>'Raw Data'!O1016</f>
        <v>0</v>
      </c>
      <c r="N1016">
        <f>'Raw Data'!P1016</f>
        <v>0</v>
      </c>
      <c r="O1016">
        <f>'Raw Data'!Q1016</f>
        <v>0</v>
      </c>
      <c r="P1016">
        <f>'Raw Data'!R1016</f>
        <v>0</v>
      </c>
      <c r="Q1016">
        <f>'Raw Data'!S1016</f>
        <v>0</v>
      </c>
      <c r="R1016">
        <f>'Raw Data'!T1016</f>
        <v>0</v>
      </c>
      <c r="S1016">
        <f>IFERROR(O1016,0)+IFERROR(R1016,0)</f>
        <v>0</v>
      </c>
      <c r="T1016">
        <f>IF(A1016="","",YEAR(A1016))</f>
        <v>0</v>
      </c>
    </row>
    <row r="1017" spans="1:20">
      <c r="A1017">
        <f>'Raw Data'!B1017</f>
        <v>0</v>
      </c>
      <c r="B1017">
        <f>'Raw Data'!A1017</f>
        <v>0</v>
      </c>
      <c r="C1017">
        <f>'Raw Data'!C1017</f>
        <v>0</v>
      </c>
      <c r="D1017">
        <f>'Raw Data'!D1017</f>
        <v>0</v>
      </c>
      <c r="E1017">
        <f>IFERROR(VLOOKUP(D1017,'Lookup Tables'!$A:$B,2,FALSE),"Unknown")</f>
        <v>0</v>
      </c>
      <c r="F1017">
        <f>'Raw Data'!E1017</f>
        <v>0</v>
      </c>
      <c r="G1017">
        <f>IFERROR(VLOOKUP(D1017,'Lookup Tables'!$A:$C,3,FALSE),IF(ISNUMBER(SEARCH("STEEL",F1017)),"Steel","Others"))</f>
        <v>0</v>
      </c>
      <c r="H1017">
        <f>IF(ISNUMBER(SEARCH("scrubber",F1017)) , "Scrubber", IF(ISNUMBER(SEARCH("container",F1017)),"Container", IF(ISNUMBER(SEARCH("basket",F1017)),"Basket", IF(ISNUMBER(SEARCH("lunch",F1017)),"Lunch Box", IF(ISNUMBER(SEARCH("cutlery",F1017)),"Cutlery","Other")))))</f>
        <v>0</v>
      </c>
      <c r="I1017">
        <f>IF('Raw Data'!G1017&lt;&gt;'','Raw Data'!G1017,IFERROR(MID(F1017,SEARCH("MODEL",F1017)+6,20),""))</f>
        <v>0</v>
      </c>
      <c r="J1017">
        <f>'Raw Data'!H1017</f>
        <v>0</v>
      </c>
      <c r="K1017">
        <f>'Raw Data'!I1017</f>
        <v>0</v>
      </c>
      <c r="L1017">
        <f>IF('Raw Data'!N1017&lt;&gt;0,'Raw Data'!N1017,IFERROR(VALUE(MID(F1017,SEARCH("QTY",F1017)+4,IFERROR(FIND(" ",F1017,SEARCH("QTY",F1017)+4)-(SEARCH("QTY",F1017)+4),3))),""))</f>
        <v>0</v>
      </c>
      <c r="M1017">
        <f>'Raw Data'!O1017</f>
        <v>0</v>
      </c>
      <c r="N1017">
        <f>'Raw Data'!P1017</f>
        <v>0</v>
      </c>
      <c r="O1017">
        <f>'Raw Data'!Q1017</f>
        <v>0</v>
      </c>
      <c r="P1017">
        <f>'Raw Data'!R1017</f>
        <v>0</v>
      </c>
      <c r="Q1017">
        <f>'Raw Data'!S1017</f>
        <v>0</v>
      </c>
      <c r="R1017">
        <f>'Raw Data'!T1017</f>
        <v>0</v>
      </c>
      <c r="S1017">
        <f>IFERROR(O1017,0)+IFERROR(R1017,0)</f>
        <v>0</v>
      </c>
      <c r="T1017">
        <f>IF(A1017="","",YEAR(A1017))</f>
        <v>0</v>
      </c>
    </row>
    <row r="1018" spans="1:20">
      <c r="A1018">
        <f>'Raw Data'!B1018</f>
        <v>0</v>
      </c>
      <c r="B1018">
        <f>'Raw Data'!A1018</f>
        <v>0</v>
      </c>
      <c r="C1018">
        <f>'Raw Data'!C1018</f>
        <v>0</v>
      </c>
      <c r="D1018">
        <f>'Raw Data'!D1018</f>
        <v>0</v>
      </c>
      <c r="E1018">
        <f>IFERROR(VLOOKUP(D1018,'Lookup Tables'!$A:$B,2,FALSE),"Unknown")</f>
        <v>0</v>
      </c>
      <c r="F1018">
        <f>'Raw Data'!E1018</f>
        <v>0</v>
      </c>
      <c r="G1018">
        <f>IFERROR(VLOOKUP(D1018,'Lookup Tables'!$A:$C,3,FALSE),IF(ISNUMBER(SEARCH("STEEL",F1018)),"Steel","Others"))</f>
        <v>0</v>
      </c>
      <c r="H1018">
        <f>IF(ISNUMBER(SEARCH("scrubber",F1018)) , "Scrubber", IF(ISNUMBER(SEARCH("container",F1018)),"Container", IF(ISNUMBER(SEARCH("basket",F1018)),"Basket", IF(ISNUMBER(SEARCH("lunch",F1018)),"Lunch Box", IF(ISNUMBER(SEARCH("cutlery",F1018)),"Cutlery","Other")))))</f>
        <v>0</v>
      </c>
      <c r="I1018">
        <f>IF('Raw Data'!G1018&lt;&gt;'','Raw Data'!G1018,IFERROR(MID(F1018,SEARCH("MODEL",F1018)+6,20),""))</f>
        <v>0</v>
      </c>
      <c r="J1018">
        <f>'Raw Data'!H1018</f>
        <v>0</v>
      </c>
      <c r="K1018">
        <f>'Raw Data'!I1018</f>
        <v>0</v>
      </c>
      <c r="L1018">
        <f>IF('Raw Data'!N1018&lt;&gt;0,'Raw Data'!N1018,IFERROR(VALUE(MID(F1018,SEARCH("QTY",F1018)+4,IFERROR(FIND(" ",F1018,SEARCH("QTY",F1018)+4)-(SEARCH("QTY",F1018)+4),3))),""))</f>
        <v>0</v>
      </c>
      <c r="M1018">
        <f>'Raw Data'!O1018</f>
        <v>0</v>
      </c>
      <c r="N1018">
        <f>'Raw Data'!P1018</f>
        <v>0</v>
      </c>
      <c r="O1018">
        <f>'Raw Data'!Q1018</f>
        <v>0</v>
      </c>
      <c r="P1018">
        <f>'Raw Data'!R1018</f>
        <v>0</v>
      </c>
      <c r="Q1018">
        <f>'Raw Data'!S1018</f>
        <v>0</v>
      </c>
      <c r="R1018">
        <f>'Raw Data'!T1018</f>
        <v>0</v>
      </c>
      <c r="S1018">
        <f>IFERROR(O1018,0)+IFERROR(R1018,0)</f>
        <v>0</v>
      </c>
      <c r="T1018">
        <f>IF(A1018="","",YEAR(A1018))</f>
        <v>0</v>
      </c>
    </row>
    <row r="1019" spans="1:20">
      <c r="A1019">
        <f>'Raw Data'!B1019</f>
        <v>0</v>
      </c>
      <c r="B1019">
        <f>'Raw Data'!A1019</f>
        <v>0</v>
      </c>
      <c r="C1019">
        <f>'Raw Data'!C1019</f>
        <v>0</v>
      </c>
      <c r="D1019">
        <f>'Raw Data'!D1019</f>
        <v>0</v>
      </c>
      <c r="E1019">
        <f>IFERROR(VLOOKUP(D1019,'Lookup Tables'!$A:$B,2,FALSE),"Unknown")</f>
        <v>0</v>
      </c>
      <c r="F1019">
        <f>'Raw Data'!E1019</f>
        <v>0</v>
      </c>
      <c r="G1019">
        <f>IFERROR(VLOOKUP(D1019,'Lookup Tables'!$A:$C,3,FALSE),IF(ISNUMBER(SEARCH("STEEL",F1019)),"Steel","Others"))</f>
        <v>0</v>
      </c>
      <c r="H1019">
        <f>IF(ISNUMBER(SEARCH("scrubber",F1019)) , "Scrubber", IF(ISNUMBER(SEARCH("container",F1019)),"Container", IF(ISNUMBER(SEARCH("basket",F1019)),"Basket", IF(ISNUMBER(SEARCH("lunch",F1019)),"Lunch Box", IF(ISNUMBER(SEARCH("cutlery",F1019)),"Cutlery","Other")))))</f>
        <v>0</v>
      </c>
      <c r="I1019">
        <f>IF('Raw Data'!G1019&lt;&gt;'','Raw Data'!G1019,IFERROR(MID(F1019,SEARCH("MODEL",F1019)+6,20),""))</f>
        <v>0</v>
      </c>
      <c r="J1019">
        <f>'Raw Data'!H1019</f>
        <v>0</v>
      </c>
      <c r="K1019">
        <f>'Raw Data'!I1019</f>
        <v>0</v>
      </c>
      <c r="L1019">
        <f>IF('Raw Data'!N1019&lt;&gt;0,'Raw Data'!N1019,IFERROR(VALUE(MID(F1019,SEARCH("QTY",F1019)+4,IFERROR(FIND(" ",F1019,SEARCH("QTY",F1019)+4)-(SEARCH("QTY",F1019)+4),3))),""))</f>
        <v>0</v>
      </c>
      <c r="M1019">
        <f>'Raw Data'!O1019</f>
        <v>0</v>
      </c>
      <c r="N1019">
        <f>'Raw Data'!P1019</f>
        <v>0</v>
      </c>
      <c r="O1019">
        <f>'Raw Data'!Q1019</f>
        <v>0</v>
      </c>
      <c r="P1019">
        <f>'Raw Data'!R1019</f>
        <v>0</v>
      </c>
      <c r="Q1019">
        <f>'Raw Data'!S1019</f>
        <v>0</v>
      </c>
      <c r="R1019">
        <f>'Raw Data'!T1019</f>
        <v>0</v>
      </c>
      <c r="S1019">
        <f>IFERROR(O1019,0)+IFERROR(R1019,0)</f>
        <v>0</v>
      </c>
      <c r="T1019">
        <f>IF(A1019="","",YEAR(A1019))</f>
        <v>0</v>
      </c>
    </row>
    <row r="1020" spans="1:20">
      <c r="A1020">
        <f>'Raw Data'!B1020</f>
        <v>0</v>
      </c>
      <c r="B1020">
        <f>'Raw Data'!A1020</f>
        <v>0</v>
      </c>
      <c r="C1020">
        <f>'Raw Data'!C1020</f>
        <v>0</v>
      </c>
      <c r="D1020">
        <f>'Raw Data'!D1020</f>
        <v>0</v>
      </c>
      <c r="E1020">
        <f>IFERROR(VLOOKUP(D1020,'Lookup Tables'!$A:$B,2,FALSE),"Unknown")</f>
        <v>0</v>
      </c>
      <c r="F1020">
        <f>'Raw Data'!E1020</f>
        <v>0</v>
      </c>
      <c r="G1020">
        <f>IFERROR(VLOOKUP(D1020,'Lookup Tables'!$A:$C,3,FALSE),IF(ISNUMBER(SEARCH("STEEL",F1020)),"Steel","Others"))</f>
        <v>0</v>
      </c>
      <c r="H1020">
        <f>IF(ISNUMBER(SEARCH("scrubber",F1020)) , "Scrubber", IF(ISNUMBER(SEARCH("container",F1020)),"Container", IF(ISNUMBER(SEARCH("basket",F1020)),"Basket", IF(ISNUMBER(SEARCH("lunch",F1020)),"Lunch Box", IF(ISNUMBER(SEARCH("cutlery",F1020)),"Cutlery","Other")))))</f>
        <v>0</v>
      </c>
      <c r="I1020">
        <f>IF('Raw Data'!G1020&lt;&gt;'','Raw Data'!G1020,IFERROR(MID(F1020,SEARCH("MODEL",F1020)+6,20),""))</f>
        <v>0</v>
      </c>
      <c r="J1020">
        <f>'Raw Data'!H1020</f>
        <v>0</v>
      </c>
      <c r="K1020">
        <f>'Raw Data'!I1020</f>
        <v>0</v>
      </c>
      <c r="L1020">
        <f>IF('Raw Data'!N1020&lt;&gt;0,'Raw Data'!N1020,IFERROR(VALUE(MID(F1020,SEARCH("QTY",F1020)+4,IFERROR(FIND(" ",F1020,SEARCH("QTY",F1020)+4)-(SEARCH("QTY",F1020)+4),3))),""))</f>
        <v>0</v>
      </c>
      <c r="M1020">
        <f>'Raw Data'!O1020</f>
        <v>0</v>
      </c>
      <c r="N1020">
        <f>'Raw Data'!P1020</f>
        <v>0</v>
      </c>
      <c r="O1020">
        <f>'Raw Data'!Q1020</f>
        <v>0</v>
      </c>
      <c r="P1020">
        <f>'Raw Data'!R1020</f>
        <v>0</v>
      </c>
      <c r="Q1020">
        <f>'Raw Data'!S1020</f>
        <v>0</v>
      </c>
      <c r="R1020">
        <f>'Raw Data'!T1020</f>
        <v>0</v>
      </c>
      <c r="S1020">
        <f>IFERROR(O1020,0)+IFERROR(R1020,0)</f>
        <v>0</v>
      </c>
      <c r="T1020">
        <f>IF(A1020="","",YEAR(A1020))</f>
        <v>0</v>
      </c>
    </row>
    <row r="1021" spans="1:20">
      <c r="A1021">
        <f>'Raw Data'!B1021</f>
        <v>0</v>
      </c>
      <c r="B1021">
        <f>'Raw Data'!A1021</f>
        <v>0</v>
      </c>
      <c r="C1021">
        <f>'Raw Data'!C1021</f>
        <v>0</v>
      </c>
      <c r="D1021">
        <f>'Raw Data'!D1021</f>
        <v>0</v>
      </c>
      <c r="E1021">
        <f>IFERROR(VLOOKUP(D1021,'Lookup Tables'!$A:$B,2,FALSE),"Unknown")</f>
        <v>0</v>
      </c>
      <c r="F1021">
        <f>'Raw Data'!E1021</f>
        <v>0</v>
      </c>
      <c r="G1021">
        <f>IFERROR(VLOOKUP(D1021,'Lookup Tables'!$A:$C,3,FALSE),IF(ISNUMBER(SEARCH("STEEL",F1021)),"Steel","Others"))</f>
        <v>0</v>
      </c>
      <c r="H1021">
        <f>IF(ISNUMBER(SEARCH("scrubber",F1021)) , "Scrubber", IF(ISNUMBER(SEARCH("container",F1021)),"Container", IF(ISNUMBER(SEARCH("basket",F1021)),"Basket", IF(ISNUMBER(SEARCH("lunch",F1021)),"Lunch Box", IF(ISNUMBER(SEARCH("cutlery",F1021)),"Cutlery","Other")))))</f>
        <v>0</v>
      </c>
      <c r="I1021">
        <f>IF('Raw Data'!G1021&lt;&gt;'','Raw Data'!G1021,IFERROR(MID(F1021,SEARCH("MODEL",F1021)+6,20),""))</f>
        <v>0</v>
      </c>
      <c r="J1021">
        <f>'Raw Data'!H1021</f>
        <v>0</v>
      </c>
      <c r="K1021">
        <f>'Raw Data'!I1021</f>
        <v>0</v>
      </c>
      <c r="L1021">
        <f>IF('Raw Data'!N1021&lt;&gt;0,'Raw Data'!N1021,IFERROR(VALUE(MID(F1021,SEARCH("QTY",F1021)+4,IFERROR(FIND(" ",F1021,SEARCH("QTY",F1021)+4)-(SEARCH("QTY",F1021)+4),3))),""))</f>
        <v>0</v>
      </c>
      <c r="M1021">
        <f>'Raw Data'!O1021</f>
        <v>0</v>
      </c>
      <c r="N1021">
        <f>'Raw Data'!P1021</f>
        <v>0</v>
      </c>
      <c r="O1021">
        <f>'Raw Data'!Q1021</f>
        <v>0</v>
      </c>
      <c r="P1021">
        <f>'Raw Data'!R1021</f>
        <v>0</v>
      </c>
      <c r="Q1021">
        <f>'Raw Data'!S1021</f>
        <v>0</v>
      </c>
      <c r="R1021">
        <f>'Raw Data'!T1021</f>
        <v>0</v>
      </c>
      <c r="S1021">
        <f>IFERROR(O1021,0)+IFERROR(R1021,0)</f>
        <v>0</v>
      </c>
      <c r="T1021">
        <f>IF(A1021="","",YEAR(A1021))</f>
        <v>0</v>
      </c>
    </row>
    <row r="1022" spans="1:20">
      <c r="A1022">
        <f>'Raw Data'!B1022</f>
        <v>0</v>
      </c>
      <c r="B1022">
        <f>'Raw Data'!A1022</f>
        <v>0</v>
      </c>
      <c r="C1022">
        <f>'Raw Data'!C1022</f>
        <v>0</v>
      </c>
      <c r="D1022">
        <f>'Raw Data'!D1022</f>
        <v>0</v>
      </c>
      <c r="E1022">
        <f>IFERROR(VLOOKUP(D1022,'Lookup Tables'!$A:$B,2,FALSE),"Unknown")</f>
        <v>0</v>
      </c>
      <c r="F1022">
        <f>'Raw Data'!E1022</f>
        <v>0</v>
      </c>
      <c r="G1022">
        <f>IFERROR(VLOOKUP(D1022,'Lookup Tables'!$A:$C,3,FALSE),IF(ISNUMBER(SEARCH("STEEL",F1022)),"Steel","Others"))</f>
        <v>0</v>
      </c>
      <c r="H1022">
        <f>IF(ISNUMBER(SEARCH("scrubber",F1022)) , "Scrubber", IF(ISNUMBER(SEARCH("container",F1022)),"Container", IF(ISNUMBER(SEARCH("basket",F1022)),"Basket", IF(ISNUMBER(SEARCH("lunch",F1022)),"Lunch Box", IF(ISNUMBER(SEARCH("cutlery",F1022)),"Cutlery","Other")))))</f>
        <v>0</v>
      </c>
      <c r="I1022">
        <f>IF('Raw Data'!G1022&lt;&gt;'','Raw Data'!G1022,IFERROR(MID(F1022,SEARCH("MODEL",F1022)+6,20),""))</f>
        <v>0</v>
      </c>
      <c r="J1022">
        <f>'Raw Data'!H1022</f>
        <v>0</v>
      </c>
      <c r="K1022">
        <f>'Raw Data'!I1022</f>
        <v>0</v>
      </c>
      <c r="L1022">
        <f>IF('Raw Data'!N1022&lt;&gt;0,'Raw Data'!N1022,IFERROR(VALUE(MID(F1022,SEARCH("QTY",F1022)+4,IFERROR(FIND(" ",F1022,SEARCH("QTY",F1022)+4)-(SEARCH("QTY",F1022)+4),3))),""))</f>
        <v>0</v>
      </c>
      <c r="M1022">
        <f>'Raw Data'!O1022</f>
        <v>0</v>
      </c>
      <c r="N1022">
        <f>'Raw Data'!P1022</f>
        <v>0</v>
      </c>
      <c r="O1022">
        <f>'Raw Data'!Q1022</f>
        <v>0</v>
      </c>
      <c r="P1022">
        <f>'Raw Data'!R1022</f>
        <v>0</v>
      </c>
      <c r="Q1022">
        <f>'Raw Data'!S1022</f>
        <v>0</v>
      </c>
      <c r="R1022">
        <f>'Raw Data'!T1022</f>
        <v>0</v>
      </c>
      <c r="S1022">
        <f>IFERROR(O1022,0)+IFERROR(R1022,0)</f>
        <v>0</v>
      </c>
      <c r="T1022">
        <f>IF(A1022="","",YEAR(A1022))</f>
        <v>0</v>
      </c>
    </row>
    <row r="1023" spans="1:20">
      <c r="A1023">
        <f>'Raw Data'!B1023</f>
        <v>0</v>
      </c>
      <c r="B1023">
        <f>'Raw Data'!A1023</f>
        <v>0</v>
      </c>
      <c r="C1023">
        <f>'Raw Data'!C1023</f>
        <v>0</v>
      </c>
      <c r="D1023">
        <f>'Raw Data'!D1023</f>
        <v>0</v>
      </c>
      <c r="E1023">
        <f>IFERROR(VLOOKUP(D1023,'Lookup Tables'!$A:$B,2,FALSE),"Unknown")</f>
        <v>0</v>
      </c>
      <c r="F1023">
        <f>'Raw Data'!E1023</f>
        <v>0</v>
      </c>
      <c r="G1023">
        <f>IFERROR(VLOOKUP(D1023,'Lookup Tables'!$A:$C,3,FALSE),IF(ISNUMBER(SEARCH("STEEL",F1023)),"Steel","Others"))</f>
        <v>0</v>
      </c>
      <c r="H1023">
        <f>IF(ISNUMBER(SEARCH("scrubber",F1023)) , "Scrubber", IF(ISNUMBER(SEARCH("container",F1023)),"Container", IF(ISNUMBER(SEARCH("basket",F1023)),"Basket", IF(ISNUMBER(SEARCH("lunch",F1023)),"Lunch Box", IF(ISNUMBER(SEARCH("cutlery",F1023)),"Cutlery","Other")))))</f>
        <v>0</v>
      </c>
      <c r="I1023">
        <f>IF('Raw Data'!G1023&lt;&gt;'','Raw Data'!G1023,IFERROR(MID(F1023,SEARCH("MODEL",F1023)+6,20),""))</f>
        <v>0</v>
      </c>
      <c r="J1023">
        <f>'Raw Data'!H1023</f>
        <v>0</v>
      </c>
      <c r="K1023">
        <f>'Raw Data'!I1023</f>
        <v>0</v>
      </c>
      <c r="L1023">
        <f>IF('Raw Data'!N1023&lt;&gt;0,'Raw Data'!N1023,IFERROR(VALUE(MID(F1023,SEARCH("QTY",F1023)+4,IFERROR(FIND(" ",F1023,SEARCH("QTY",F1023)+4)-(SEARCH("QTY",F1023)+4),3))),""))</f>
        <v>0</v>
      </c>
      <c r="M1023">
        <f>'Raw Data'!O1023</f>
        <v>0</v>
      </c>
      <c r="N1023">
        <f>'Raw Data'!P1023</f>
        <v>0</v>
      </c>
      <c r="O1023">
        <f>'Raw Data'!Q1023</f>
        <v>0</v>
      </c>
      <c r="P1023">
        <f>'Raw Data'!R1023</f>
        <v>0</v>
      </c>
      <c r="Q1023">
        <f>'Raw Data'!S1023</f>
        <v>0</v>
      </c>
      <c r="R1023">
        <f>'Raw Data'!T1023</f>
        <v>0</v>
      </c>
      <c r="S1023">
        <f>IFERROR(O1023,0)+IFERROR(R1023,0)</f>
        <v>0</v>
      </c>
      <c r="T1023">
        <f>IF(A1023="","",YEAR(A1023))</f>
        <v>0</v>
      </c>
    </row>
    <row r="1024" spans="1:20">
      <c r="A1024">
        <f>'Raw Data'!B1024</f>
        <v>0</v>
      </c>
      <c r="B1024">
        <f>'Raw Data'!A1024</f>
        <v>0</v>
      </c>
      <c r="C1024">
        <f>'Raw Data'!C1024</f>
        <v>0</v>
      </c>
      <c r="D1024">
        <f>'Raw Data'!D1024</f>
        <v>0</v>
      </c>
      <c r="E1024">
        <f>IFERROR(VLOOKUP(D1024,'Lookup Tables'!$A:$B,2,FALSE),"Unknown")</f>
        <v>0</v>
      </c>
      <c r="F1024">
        <f>'Raw Data'!E1024</f>
        <v>0</v>
      </c>
      <c r="G1024">
        <f>IFERROR(VLOOKUP(D1024,'Lookup Tables'!$A:$C,3,FALSE),IF(ISNUMBER(SEARCH("STEEL",F1024)),"Steel","Others"))</f>
        <v>0</v>
      </c>
      <c r="H1024">
        <f>IF(ISNUMBER(SEARCH("scrubber",F1024)) , "Scrubber", IF(ISNUMBER(SEARCH("container",F1024)),"Container", IF(ISNUMBER(SEARCH("basket",F1024)),"Basket", IF(ISNUMBER(SEARCH("lunch",F1024)),"Lunch Box", IF(ISNUMBER(SEARCH("cutlery",F1024)),"Cutlery","Other")))))</f>
        <v>0</v>
      </c>
      <c r="I1024">
        <f>IF('Raw Data'!G1024&lt;&gt;'','Raw Data'!G1024,IFERROR(MID(F1024,SEARCH("MODEL",F1024)+6,20),""))</f>
        <v>0</v>
      </c>
      <c r="J1024">
        <f>'Raw Data'!H1024</f>
        <v>0</v>
      </c>
      <c r="K1024">
        <f>'Raw Data'!I1024</f>
        <v>0</v>
      </c>
      <c r="L1024">
        <f>IF('Raw Data'!N1024&lt;&gt;0,'Raw Data'!N1024,IFERROR(VALUE(MID(F1024,SEARCH("QTY",F1024)+4,IFERROR(FIND(" ",F1024,SEARCH("QTY",F1024)+4)-(SEARCH("QTY",F1024)+4),3))),""))</f>
        <v>0</v>
      </c>
      <c r="M1024">
        <f>'Raw Data'!O1024</f>
        <v>0</v>
      </c>
      <c r="N1024">
        <f>'Raw Data'!P1024</f>
        <v>0</v>
      </c>
      <c r="O1024">
        <f>'Raw Data'!Q1024</f>
        <v>0</v>
      </c>
      <c r="P1024">
        <f>'Raw Data'!R1024</f>
        <v>0</v>
      </c>
      <c r="Q1024">
        <f>'Raw Data'!S1024</f>
        <v>0</v>
      </c>
      <c r="R1024">
        <f>'Raw Data'!T1024</f>
        <v>0</v>
      </c>
      <c r="S1024">
        <f>IFERROR(O1024,0)+IFERROR(R1024,0)</f>
        <v>0</v>
      </c>
      <c r="T1024">
        <f>IF(A1024="","",YEAR(A1024))</f>
        <v>0</v>
      </c>
    </row>
    <row r="1025" spans="1:20">
      <c r="A1025">
        <f>'Raw Data'!B1025</f>
        <v>0</v>
      </c>
      <c r="B1025">
        <f>'Raw Data'!A1025</f>
        <v>0</v>
      </c>
      <c r="C1025">
        <f>'Raw Data'!C1025</f>
        <v>0</v>
      </c>
      <c r="D1025">
        <f>'Raw Data'!D1025</f>
        <v>0</v>
      </c>
      <c r="E1025">
        <f>IFERROR(VLOOKUP(D1025,'Lookup Tables'!$A:$B,2,FALSE),"Unknown")</f>
        <v>0</v>
      </c>
      <c r="F1025">
        <f>'Raw Data'!E1025</f>
        <v>0</v>
      </c>
      <c r="G1025">
        <f>IFERROR(VLOOKUP(D1025,'Lookup Tables'!$A:$C,3,FALSE),IF(ISNUMBER(SEARCH("STEEL",F1025)),"Steel","Others"))</f>
        <v>0</v>
      </c>
      <c r="H1025">
        <f>IF(ISNUMBER(SEARCH("scrubber",F1025)) , "Scrubber", IF(ISNUMBER(SEARCH("container",F1025)),"Container", IF(ISNUMBER(SEARCH("basket",F1025)),"Basket", IF(ISNUMBER(SEARCH("lunch",F1025)),"Lunch Box", IF(ISNUMBER(SEARCH("cutlery",F1025)),"Cutlery","Other")))))</f>
        <v>0</v>
      </c>
      <c r="I1025">
        <f>IF('Raw Data'!G1025&lt;&gt;'','Raw Data'!G1025,IFERROR(MID(F1025,SEARCH("MODEL",F1025)+6,20),""))</f>
        <v>0</v>
      </c>
      <c r="J1025">
        <f>'Raw Data'!H1025</f>
        <v>0</v>
      </c>
      <c r="K1025">
        <f>'Raw Data'!I1025</f>
        <v>0</v>
      </c>
      <c r="L1025">
        <f>IF('Raw Data'!N1025&lt;&gt;0,'Raw Data'!N1025,IFERROR(VALUE(MID(F1025,SEARCH("QTY",F1025)+4,IFERROR(FIND(" ",F1025,SEARCH("QTY",F1025)+4)-(SEARCH("QTY",F1025)+4),3))),""))</f>
        <v>0</v>
      </c>
      <c r="M1025">
        <f>'Raw Data'!O1025</f>
        <v>0</v>
      </c>
      <c r="N1025">
        <f>'Raw Data'!P1025</f>
        <v>0</v>
      </c>
      <c r="O1025">
        <f>'Raw Data'!Q1025</f>
        <v>0</v>
      </c>
      <c r="P1025">
        <f>'Raw Data'!R1025</f>
        <v>0</v>
      </c>
      <c r="Q1025">
        <f>'Raw Data'!S1025</f>
        <v>0</v>
      </c>
      <c r="R1025">
        <f>'Raw Data'!T1025</f>
        <v>0</v>
      </c>
      <c r="S1025">
        <f>IFERROR(O1025,0)+IFERROR(R1025,0)</f>
        <v>0</v>
      </c>
      <c r="T1025">
        <f>IF(A1025="","",YEAR(A1025))</f>
        <v>0</v>
      </c>
    </row>
    <row r="1026" spans="1:20">
      <c r="A1026">
        <f>'Raw Data'!B1026</f>
        <v>0</v>
      </c>
      <c r="B1026">
        <f>'Raw Data'!A1026</f>
        <v>0</v>
      </c>
      <c r="C1026">
        <f>'Raw Data'!C1026</f>
        <v>0</v>
      </c>
      <c r="D1026">
        <f>'Raw Data'!D1026</f>
        <v>0</v>
      </c>
      <c r="E1026">
        <f>IFERROR(VLOOKUP(D1026,'Lookup Tables'!$A:$B,2,FALSE),"Unknown")</f>
        <v>0</v>
      </c>
      <c r="F1026">
        <f>'Raw Data'!E1026</f>
        <v>0</v>
      </c>
      <c r="G1026">
        <f>IFERROR(VLOOKUP(D1026,'Lookup Tables'!$A:$C,3,FALSE),IF(ISNUMBER(SEARCH("STEEL",F1026)),"Steel","Others"))</f>
        <v>0</v>
      </c>
      <c r="H1026">
        <f>IF(ISNUMBER(SEARCH("scrubber",F1026)) , "Scrubber", IF(ISNUMBER(SEARCH("container",F1026)),"Container", IF(ISNUMBER(SEARCH("basket",F1026)),"Basket", IF(ISNUMBER(SEARCH("lunch",F1026)),"Lunch Box", IF(ISNUMBER(SEARCH("cutlery",F1026)),"Cutlery","Other")))))</f>
        <v>0</v>
      </c>
      <c r="I1026">
        <f>IF('Raw Data'!G1026&lt;&gt;'','Raw Data'!G1026,IFERROR(MID(F1026,SEARCH("MODEL",F1026)+6,20),""))</f>
        <v>0</v>
      </c>
      <c r="J1026">
        <f>'Raw Data'!H1026</f>
        <v>0</v>
      </c>
      <c r="K1026">
        <f>'Raw Data'!I1026</f>
        <v>0</v>
      </c>
      <c r="L1026">
        <f>IF('Raw Data'!N1026&lt;&gt;0,'Raw Data'!N1026,IFERROR(VALUE(MID(F1026,SEARCH("QTY",F1026)+4,IFERROR(FIND(" ",F1026,SEARCH("QTY",F1026)+4)-(SEARCH("QTY",F1026)+4),3))),""))</f>
        <v>0</v>
      </c>
      <c r="M1026">
        <f>'Raw Data'!O1026</f>
        <v>0</v>
      </c>
      <c r="N1026">
        <f>'Raw Data'!P1026</f>
        <v>0</v>
      </c>
      <c r="O1026">
        <f>'Raw Data'!Q1026</f>
        <v>0</v>
      </c>
      <c r="P1026">
        <f>'Raw Data'!R1026</f>
        <v>0</v>
      </c>
      <c r="Q1026">
        <f>'Raw Data'!S1026</f>
        <v>0</v>
      </c>
      <c r="R1026">
        <f>'Raw Data'!T1026</f>
        <v>0</v>
      </c>
      <c r="S1026">
        <f>IFERROR(O1026,0)+IFERROR(R1026,0)</f>
        <v>0</v>
      </c>
      <c r="T1026">
        <f>IF(A1026="","",YEAR(A1026))</f>
        <v>0</v>
      </c>
    </row>
    <row r="1027" spans="1:20">
      <c r="A1027">
        <f>'Raw Data'!B1027</f>
        <v>0</v>
      </c>
      <c r="B1027">
        <f>'Raw Data'!A1027</f>
        <v>0</v>
      </c>
      <c r="C1027">
        <f>'Raw Data'!C1027</f>
        <v>0</v>
      </c>
      <c r="D1027">
        <f>'Raw Data'!D1027</f>
        <v>0</v>
      </c>
      <c r="E1027">
        <f>IFERROR(VLOOKUP(D1027,'Lookup Tables'!$A:$B,2,FALSE),"Unknown")</f>
        <v>0</v>
      </c>
      <c r="F1027">
        <f>'Raw Data'!E1027</f>
        <v>0</v>
      </c>
      <c r="G1027">
        <f>IFERROR(VLOOKUP(D1027,'Lookup Tables'!$A:$C,3,FALSE),IF(ISNUMBER(SEARCH("STEEL",F1027)),"Steel","Others"))</f>
        <v>0</v>
      </c>
      <c r="H1027">
        <f>IF(ISNUMBER(SEARCH("scrubber",F1027)) , "Scrubber", IF(ISNUMBER(SEARCH("container",F1027)),"Container", IF(ISNUMBER(SEARCH("basket",F1027)),"Basket", IF(ISNUMBER(SEARCH("lunch",F1027)),"Lunch Box", IF(ISNUMBER(SEARCH("cutlery",F1027)),"Cutlery","Other")))))</f>
        <v>0</v>
      </c>
      <c r="I1027">
        <f>IF('Raw Data'!G1027&lt;&gt;'','Raw Data'!G1027,IFERROR(MID(F1027,SEARCH("MODEL",F1027)+6,20),""))</f>
        <v>0</v>
      </c>
      <c r="J1027">
        <f>'Raw Data'!H1027</f>
        <v>0</v>
      </c>
      <c r="K1027">
        <f>'Raw Data'!I1027</f>
        <v>0</v>
      </c>
      <c r="L1027">
        <f>IF('Raw Data'!N1027&lt;&gt;0,'Raw Data'!N1027,IFERROR(VALUE(MID(F1027,SEARCH("QTY",F1027)+4,IFERROR(FIND(" ",F1027,SEARCH("QTY",F1027)+4)-(SEARCH("QTY",F1027)+4),3))),""))</f>
        <v>0</v>
      </c>
      <c r="M1027">
        <f>'Raw Data'!O1027</f>
        <v>0</v>
      </c>
      <c r="N1027">
        <f>'Raw Data'!P1027</f>
        <v>0</v>
      </c>
      <c r="O1027">
        <f>'Raw Data'!Q1027</f>
        <v>0</v>
      </c>
      <c r="P1027">
        <f>'Raw Data'!R1027</f>
        <v>0</v>
      </c>
      <c r="Q1027">
        <f>'Raw Data'!S1027</f>
        <v>0</v>
      </c>
      <c r="R1027">
        <f>'Raw Data'!T1027</f>
        <v>0</v>
      </c>
      <c r="S1027">
        <f>IFERROR(O1027,0)+IFERROR(R1027,0)</f>
        <v>0</v>
      </c>
      <c r="T1027">
        <f>IF(A1027="","",YEAR(A1027))</f>
        <v>0</v>
      </c>
    </row>
    <row r="1028" spans="1:20">
      <c r="A1028">
        <f>'Raw Data'!B1028</f>
        <v>0</v>
      </c>
      <c r="B1028">
        <f>'Raw Data'!A1028</f>
        <v>0</v>
      </c>
      <c r="C1028">
        <f>'Raw Data'!C1028</f>
        <v>0</v>
      </c>
      <c r="D1028">
        <f>'Raw Data'!D1028</f>
        <v>0</v>
      </c>
      <c r="E1028">
        <f>IFERROR(VLOOKUP(D1028,'Lookup Tables'!$A:$B,2,FALSE),"Unknown")</f>
        <v>0</v>
      </c>
      <c r="F1028">
        <f>'Raw Data'!E1028</f>
        <v>0</v>
      </c>
      <c r="G1028">
        <f>IFERROR(VLOOKUP(D1028,'Lookup Tables'!$A:$C,3,FALSE),IF(ISNUMBER(SEARCH("STEEL",F1028)),"Steel","Others"))</f>
        <v>0</v>
      </c>
      <c r="H1028">
        <f>IF(ISNUMBER(SEARCH("scrubber",F1028)) , "Scrubber", IF(ISNUMBER(SEARCH("container",F1028)),"Container", IF(ISNUMBER(SEARCH("basket",F1028)),"Basket", IF(ISNUMBER(SEARCH("lunch",F1028)),"Lunch Box", IF(ISNUMBER(SEARCH("cutlery",F1028)),"Cutlery","Other")))))</f>
        <v>0</v>
      </c>
      <c r="I1028">
        <f>IF('Raw Data'!G1028&lt;&gt;'','Raw Data'!G1028,IFERROR(MID(F1028,SEARCH("MODEL",F1028)+6,20),""))</f>
        <v>0</v>
      </c>
      <c r="J1028">
        <f>'Raw Data'!H1028</f>
        <v>0</v>
      </c>
      <c r="K1028">
        <f>'Raw Data'!I1028</f>
        <v>0</v>
      </c>
      <c r="L1028">
        <f>IF('Raw Data'!N1028&lt;&gt;0,'Raw Data'!N1028,IFERROR(VALUE(MID(F1028,SEARCH("QTY",F1028)+4,IFERROR(FIND(" ",F1028,SEARCH("QTY",F1028)+4)-(SEARCH("QTY",F1028)+4),3))),""))</f>
        <v>0</v>
      </c>
      <c r="M1028">
        <f>'Raw Data'!O1028</f>
        <v>0</v>
      </c>
      <c r="N1028">
        <f>'Raw Data'!P1028</f>
        <v>0</v>
      </c>
      <c r="O1028">
        <f>'Raw Data'!Q1028</f>
        <v>0</v>
      </c>
      <c r="P1028">
        <f>'Raw Data'!R1028</f>
        <v>0</v>
      </c>
      <c r="Q1028">
        <f>'Raw Data'!S1028</f>
        <v>0</v>
      </c>
      <c r="R1028">
        <f>'Raw Data'!T1028</f>
        <v>0</v>
      </c>
      <c r="S1028">
        <f>IFERROR(O1028,0)+IFERROR(R1028,0)</f>
        <v>0</v>
      </c>
      <c r="T1028">
        <f>IF(A1028="","",YEAR(A1028))</f>
        <v>0</v>
      </c>
    </row>
    <row r="1029" spans="1:20">
      <c r="A1029">
        <f>'Raw Data'!B1029</f>
        <v>0</v>
      </c>
      <c r="B1029">
        <f>'Raw Data'!A1029</f>
        <v>0</v>
      </c>
      <c r="C1029">
        <f>'Raw Data'!C1029</f>
        <v>0</v>
      </c>
      <c r="D1029">
        <f>'Raw Data'!D1029</f>
        <v>0</v>
      </c>
      <c r="E1029">
        <f>IFERROR(VLOOKUP(D1029,'Lookup Tables'!$A:$B,2,FALSE),"Unknown")</f>
        <v>0</v>
      </c>
      <c r="F1029">
        <f>'Raw Data'!E1029</f>
        <v>0</v>
      </c>
      <c r="G1029">
        <f>IFERROR(VLOOKUP(D1029,'Lookup Tables'!$A:$C,3,FALSE),IF(ISNUMBER(SEARCH("STEEL",F1029)),"Steel","Others"))</f>
        <v>0</v>
      </c>
      <c r="H1029">
        <f>IF(ISNUMBER(SEARCH("scrubber",F1029)) , "Scrubber", IF(ISNUMBER(SEARCH("container",F1029)),"Container", IF(ISNUMBER(SEARCH("basket",F1029)),"Basket", IF(ISNUMBER(SEARCH("lunch",F1029)),"Lunch Box", IF(ISNUMBER(SEARCH("cutlery",F1029)),"Cutlery","Other")))))</f>
        <v>0</v>
      </c>
      <c r="I1029">
        <f>IF('Raw Data'!G1029&lt;&gt;'','Raw Data'!G1029,IFERROR(MID(F1029,SEARCH("MODEL",F1029)+6,20),""))</f>
        <v>0</v>
      </c>
      <c r="J1029">
        <f>'Raw Data'!H1029</f>
        <v>0</v>
      </c>
      <c r="K1029">
        <f>'Raw Data'!I1029</f>
        <v>0</v>
      </c>
      <c r="L1029">
        <f>IF('Raw Data'!N1029&lt;&gt;0,'Raw Data'!N1029,IFERROR(VALUE(MID(F1029,SEARCH("QTY",F1029)+4,IFERROR(FIND(" ",F1029,SEARCH("QTY",F1029)+4)-(SEARCH("QTY",F1029)+4),3))),""))</f>
        <v>0</v>
      </c>
      <c r="M1029">
        <f>'Raw Data'!O1029</f>
        <v>0</v>
      </c>
      <c r="N1029">
        <f>'Raw Data'!P1029</f>
        <v>0</v>
      </c>
      <c r="O1029">
        <f>'Raw Data'!Q1029</f>
        <v>0</v>
      </c>
      <c r="P1029">
        <f>'Raw Data'!R1029</f>
        <v>0</v>
      </c>
      <c r="Q1029">
        <f>'Raw Data'!S1029</f>
        <v>0</v>
      </c>
      <c r="R1029">
        <f>'Raw Data'!T1029</f>
        <v>0</v>
      </c>
      <c r="S1029">
        <f>IFERROR(O1029,0)+IFERROR(R1029,0)</f>
        <v>0</v>
      </c>
      <c r="T1029">
        <f>IF(A1029="","",YEAR(A1029))</f>
        <v>0</v>
      </c>
    </row>
    <row r="1030" spans="1:20">
      <c r="A1030">
        <f>'Raw Data'!B1030</f>
        <v>0</v>
      </c>
      <c r="B1030">
        <f>'Raw Data'!A1030</f>
        <v>0</v>
      </c>
      <c r="C1030">
        <f>'Raw Data'!C1030</f>
        <v>0</v>
      </c>
      <c r="D1030">
        <f>'Raw Data'!D1030</f>
        <v>0</v>
      </c>
      <c r="E1030">
        <f>IFERROR(VLOOKUP(D1030,'Lookup Tables'!$A:$B,2,FALSE),"Unknown")</f>
        <v>0</v>
      </c>
      <c r="F1030">
        <f>'Raw Data'!E1030</f>
        <v>0</v>
      </c>
      <c r="G1030">
        <f>IFERROR(VLOOKUP(D1030,'Lookup Tables'!$A:$C,3,FALSE),IF(ISNUMBER(SEARCH("STEEL",F1030)),"Steel","Others"))</f>
        <v>0</v>
      </c>
      <c r="H1030">
        <f>IF(ISNUMBER(SEARCH("scrubber",F1030)) , "Scrubber", IF(ISNUMBER(SEARCH("container",F1030)),"Container", IF(ISNUMBER(SEARCH("basket",F1030)),"Basket", IF(ISNUMBER(SEARCH("lunch",F1030)),"Lunch Box", IF(ISNUMBER(SEARCH("cutlery",F1030)),"Cutlery","Other")))))</f>
        <v>0</v>
      </c>
      <c r="I1030">
        <f>IF('Raw Data'!G1030&lt;&gt;'','Raw Data'!G1030,IFERROR(MID(F1030,SEARCH("MODEL",F1030)+6,20),""))</f>
        <v>0</v>
      </c>
      <c r="J1030">
        <f>'Raw Data'!H1030</f>
        <v>0</v>
      </c>
      <c r="K1030">
        <f>'Raw Data'!I1030</f>
        <v>0</v>
      </c>
      <c r="L1030">
        <f>IF('Raw Data'!N1030&lt;&gt;0,'Raw Data'!N1030,IFERROR(VALUE(MID(F1030,SEARCH("QTY",F1030)+4,IFERROR(FIND(" ",F1030,SEARCH("QTY",F1030)+4)-(SEARCH("QTY",F1030)+4),3))),""))</f>
        <v>0</v>
      </c>
      <c r="M1030">
        <f>'Raw Data'!O1030</f>
        <v>0</v>
      </c>
      <c r="N1030">
        <f>'Raw Data'!P1030</f>
        <v>0</v>
      </c>
      <c r="O1030">
        <f>'Raw Data'!Q1030</f>
        <v>0</v>
      </c>
      <c r="P1030">
        <f>'Raw Data'!R1030</f>
        <v>0</v>
      </c>
      <c r="Q1030">
        <f>'Raw Data'!S1030</f>
        <v>0</v>
      </c>
      <c r="R1030">
        <f>'Raw Data'!T1030</f>
        <v>0</v>
      </c>
      <c r="S1030">
        <f>IFERROR(O1030,0)+IFERROR(R1030,0)</f>
        <v>0</v>
      </c>
      <c r="T1030">
        <f>IF(A1030="","",YEAR(A1030))</f>
        <v>0</v>
      </c>
    </row>
    <row r="1031" spans="1:20">
      <c r="A1031">
        <f>'Raw Data'!B1031</f>
        <v>0</v>
      </c>
      <c r="B1031">
        <f>'Raw Data'!A1031</f>
        <v>0</v>
      </c>
      <c r="C1031">
        <f>'Raw Data'!C1031</f>
        <v>0</v>
      </c>
      <c r="D1031">
        <f>'Raw Data'!D1031</f>
        <v>0</v>
      </c>
      <c r="E1031">
        <f>IFERROR(VLOOKUP(D1031,'Lookup Tables'!$A:$B,2,FALSE),"Unknown")</f>
        <v>0</v>
      </c>
      <c r="F1031">
        <f>'Raw Data'!E1031</f>
        <v>0</v>
      </c>
      <c r="G1031">
        <f>IFERROR(VLOOKUP(D1031,'Lookup Tables'!$A:$C,3,FALSE),IF(ISNUMBER(SEARCH("STEEL",F1031)),"Steel","Others"))</f>
        <v>0</v>
      </c>
      <c r="H1031">
        <f>IF(ISNUMBER(SEARCH("scrubber",F1031)) , "Scrubber", IF(ISNUMBER(SEARCH("container",F1031)),"Container", IF(ISNUMBER(SEARCH("basket",F1031)),"Basket", IF(ISNUMBER(SEARCH("lunch",F1031)),"Lunch Box", IF(ISNUMBER(SEARCH("cutlery",F1031)),"Cutlery","Other")))))</f>
        <v>0</v>
      </c>
      <c r="I1031">
        <f>IF('Raw Data'!G1031&lt;&gt;'','Raw Data'!G1031,IFERROR(MID(F1031,SEARCH("MODEL",F1031)+6,20),""))</f>
        <v>0</v>
      </c>
      <c r="J1031">
        <f>'Raw Data'!H1031</f>
        <v>0</v>
      </c>
      <c r="K1031">
        <f>'Raw Data'!I1031</f>
        <v>0</v>
      </c>
      <c r="L1031">
        <f>IF('Raw Data'!N1031&lt;&gt;0,'Raw Data'!N1031,IFERROR(VALUE(MID(F1031,SEARCH("QTY",F1031)+4,IFERROR(FIND(" ",F1031,SEARCH("QTY",F1031)+4)-(SEARCH("QTY",F1031)+4),3))),""))</f>
        <v>0</v>
      </c>
      <c r="M1031">
        <f>'Raw Data'!O1031</f>
        <v>0</v>
      </c>
      <c r="N1031">
        <f>'Raw Data'!P1031</f>
        <v>0</v>
      </c>
      <c r="O1031">
        <f>'Raw Data'!Q1031</f>
        <v>0</v>
      </c>
      <c r="P1031">
        <f>'Raw Data'!R1031</f>
        <v>0</v>
      </c>
      <c r="Q1031">
        <f>'Raw Data'!S1031</f>
        <v>0</v>
      </c>
      <c r="R1031">
        <f>'Raw Data'!T1031</f>
        <v>0</v>
      </c>
      <c r="S1031">
        <f>IFERROR(O1031,0)+IFERROR(R1031,0)</f>
        <v>0</v>
      </c>
      <c r="T1031">
        <f>IF(A1031="","",YEAR(A1031))</f>
        <v>0</v>
      </c>
    </row>
    <row r="1032" spans="1:20">
      <c r="A1032">
        <f>'Raw Data'!B1032</f>
        <v>0</v>
      </c>
      <c r="B1032">
        <f>'Raw Data'!A1032</f>
        <v>0</v>
      </c>
      <c r="C1032">
        <f>'Raw Data'!C1032</f>
        <v>0</v>
      </c>
      <c r="D1032">
        <f>'Raw Data'!D1032</f>
        <v>0</v>
      </c>
      <c r="E1032">
        <f>IFERROR(VLOOKUP(D1032,'Lookup Tables'!$A:$B,2,FALSE),"Unknown")</f>
        <v>0</v>
      </c>
      <c r="F1032">
        <f>'Raw Data'!E1032</f>
        <v>0</v>
      </c>
      <c r="G1032">
        <f>IFERROR(VLOOKUP(D1032,'Lookup Tables'!$A:$C,3,FALSE),IF(ISNUMBER(SEARCH("STEEL",F1032)),"Steel","Others"))</f>
        <v>0</v>
      </c>
      <c r="H1032">
        <f>IF(ISNUMBER(SEARCH("scrubber",F1032)) , "Scrubber", IF(ISNUMBER(SEARCH("container",F1032)),"Container", IF(ISNUMBER(SEARCH("basket",F1032)),"Basket", IF(ISNUMBER(SEARCH("lunch",F1032)),"Lunch Box", IF(ISNUMBER(SEARCH("cutlery",F1032)),"Cutlery","Other")))))</f>
        <v>0</v>
      </c>
      <c r="I1032">
        <f>IF('Raw Data'!G1032&lt;&gt;'','Raw Data'!G1032,IFERROR(MID(F1032,SEARCH("MODEL",F1032)+6,20),""))</f>
        <v>0</v>
      </c>
      <c r="J1032">
        <f>'Raw Data'!H1032</f>
        <v>0</v>
      </c>
      <c r="K1032">
        <f>'Raw Data'!I1032</f>
        <v>0</v>
      </c>
      <c r="L1032">
        <f>IF('Raw Data'!N1032&lt;&gt;0,'Raw Data'!N1032,IFERROR(VALUE(MID(F1032,SEARCH("QTY",F1032)+4,IFERROR(FIND(" ",F1032,SEARCH("QTY",F1032)+4)-(SEARCH("QTY",F1032)+4),3))),""))</f>
        <v>0</v>
      </c>
      <c r="M1032">
        <f>'Raw Data'!O1032</f>
        <v>0</v>
      </c>
      <c r="N1032">
        <f>'Raw Data'!P1032</f>
        <v>0</v>
      </c>
      <c r="O1032">
        <f>'Raw Data'!Q1032</f>
        <v>0</v>
      </c>
      <c r="P1032">
        <f>'Raw Data'!R1032</f>
        <v>0</v>
      </c>
      <c r="Q1032">
        <f>'Raw Data'!S1032</f>
        <v>0</v>
      </c>
      <c r="R1032">
        <f>'Raw Data'!T1032</f>
        <v>0</v>
      </c>
      <c r="S1032">
        <f>IFERROR(O1032,0)+IFERROR(R1032,0)</f>
        <v>0</v>
      </c>
      <c r="T1032">
        <f>IF(A1032="","",YEAR(A1032))</f>
        <v>0</v>
      </c>
    </row>
    <row r="1033" spans="1:20">
      <c r="A1033">
        <f>'Raw Data'!B1033</f>
        <v>0</v>
      </c>
      <c r="B1033">
        <f>'Raw Data'!A1033</f>
        <v>0</v>
      </c>
      <c r="C1033">
        <f>'Raw Data'!C1033</f>
        <v>0</v>
      </c>
      <c r="D1033">
        <f>'Raw Data'!D1033</f>
        <v>0</v>
      </c>
      <c r="E1033">
        <f>IFERROR(VLOOKUP(D1033,'Lookup Tables'!$A:$B,2,FALSE),"Unknown")</f>
        <v>0</v>
      </c>
      <c r="F1033">
        <f>'Raw Data'!E1033</f>
        <v>0</v>
      </c>
      <c r="G1033">
        <f>IFERROR(VLOOKUP(D1033,'Lookup Tables'!$A:$C,3,FALSE),IF(ISNUMBER(SEARCH("STEEL",F1033)),"Steel","Others"))</f>
        <v>0</v>
      </c>
      <c r="H1033">
        <f>IF(ISNUMBER(SEARCH("scrubber",F1033)) , "Scrubber", IF(ISNUMBER(SEARCH("container",F1033)),"Container", IF(ISNUMBER(SEARCH("basket",F1033)),"Basket", IF(ISNUMBER(SEARCH("lunch",F1033)),"Lunch Box", IF(ISNUMBER(SEARCH("cutlery",F1033)),"Cutlery","Other")))))</f>
        <v>0</v>
      </c>
      <c r="I1033">
        <f>IF('Raw Data'!G1033&lt;&gt;'','Raw Data'!G1033,IFERROR(MID(F1033,SEARCH("MODEL",F1033)+6,20),""))</f>
        <v>0</v>
      </c>
      <c r="J1033">
        <f>'Raw Data'!H1033</f>
        <v>0</v>
      </c>
      <c r="K1033">
        <f>'Raw Data'!I1033</f>
        <v>0</v>
      </c>
      <c r="L1033">
        <f>IF('Raw Data'!N1033&lt;&gt;0,'Raw Data'!N1033,IFERROR(VALUE(MID(F1033,SEARCH("QTY",F1033)+4,IFERROR(FIND(" ",F1033,SEARCH("QTY",F1033)+4)-(SEARCH("QTY",F1033)+4),3))),""))</f>
        <v>0</v>
      </c>
      <c r="M1033">
        <f>'Raw Data'!O1033</f>
        <v>0</v>
      </c>
      <c r="N1033">
        <f>'Raw Data'!P1033</f>
        <v>0</v>
      </c>
      <c r="O1033">
        <f>'Raw Data'!Q1033</f>
        <v>0</v>
      </c>
      <c r="P1033">
        <f>'Raw Data'!R1033</f>
        <v>0</v>
      </c>
      <c r="Q1033">
        <f>'Raw Data'!S1033</f>
        <v>0</v>
      </c>
      <c r="R1033">
        <f>'Raw Data'!T1033</f>
        <v>0</v>
      </c>
      <c r="S1033">
        <f>IFERROR(O1033,0)+IFERROR(R1033,0)</f>
        <v>0</v>
      </c>
      <c r="T1033">
        <f>IF(A1033="","",YEAR(A1033))</f>
        <v>0</v>
      </c>
    </row>
    <row r="1034" spans="1:20">
      <c r="A1034">
        <f>'Raw Data'!B1034</f>
        <v>0</v>
      </c>
      <c r="B1034">
        <f>'Raw Data'!A1034</f>
        <v>0</v>
      </c>
      <c r="C1034">
        <f>'Raw Data'!C1034</f>
        <v>0</v>
      </c>
      <c r="D1034">
        <f>'Raw Data'!D1034</f>
        <v>0</v>
      </c>
      <c r="E1034">
        <f>IFERROR(VLOOKUP(D1034,'Lookup Tables'!$A:$B,2,FALSE),"Unknown")</f>
        <v>0</v>
      </c>
      <c r="F1034">
        <f>'Raw Data'!E1034</f>
        <v>0</v>
      </c>
      <c r="G1034">
        <f>IFERROR(VLOOKUP(D1034,'Lookup Tables'!$A:$C,3,FALSE),IF(ISNUMBER(SEARCH("STEEL",F1034)),"Steel","Others"))</f>
        <v>0</v>
      </c>
      <c r="H1034">
        <f>IF(ISNUMBER(SEARCH("scrubber",F1034)) , "Scrubber", IF(ISNUMBER(SEARCH("container",F1034)),"Container", IF(ISNUMBER(SEARCH("basket",F1034)),"Basket", IF(ISNUMBER(SEARCH("lunch",F1034)),"Lunch Box", IF(ISNUMBER(SEARCH("cutlery",F1034)),"Cutlery","Other")))))</f>
        <v>0</v>
      </c>
      <c r="I1034">
        <f>IF('Raw Data'!G1034&lt;&gt;'','Raw Data'!G1034,IFERROR(MID(F1034,SEARCH("MODEL",F1034)+6,20),""))</f>
        <v>0</v>
      </c>
      <c r="J1034">
        <f>'Raw Data'!H1034</f>
        <v>0</v>
      </c>
      <c r="K1034">
        <f>'Raw Data'!I1034</f>
        <v>0</v>
      </c>
      <c r="L1034">
        <f>IF('Raw Data'!N1034&lt;&gt;0,'Raw Data'!N1034,IFERROR(VALUE(MID(F1034,SEARCH("QTY",F1034)+4,IFERROR(FIND(" ",F1034,SEARCH("QTY",F1034)+4)-(SEARCH("QTY",F1034)+4),3))),""))</f>
        <v>0</v>
      </c>
      <c r="M1034">
        <f>'Raw Data'!O1034</f>
        <v>0</v>
      </c>
      <c r="N1034">
        <f>'Raw Data'!P1034</f>
        <v>0</v>
      </c>
      <c r="O1034">
        <f>'Raw Data'!Q1034</f>
        <v>0</v>
      </c>
      <c r="P1034">
        <f>'Raw Data'!R1034</f>
        <v>0</v>
      </c>
      <c r="Q1034">
        <f>'Raw Data'!S1034</f>
        <v>0</v>
      </c>
      <c r="R1034">
        <f>'Raw Data'!T1034</f>
        <v>0</v>
      </c>
      <c r="S1034">
        <f>IFERROR(O1034,0)+IFERROR(R1034,0)</f>
        <v>0</v>
      </c>
      <c r="T1034">
        <f>IF(A1034="","",YEAR(A1034))</f>
        <v>0</v>
      </c>
    </row>
    <row r="1035" spans="1:20">
      <c r="A1035">
        <f>'Raw Data'!B1035</f>
        <v>0</v>
      </c>
      <c r="B1035">
        <f>'Raw Data'!A1035</f>
        <v>0</v>
      </c>
      <c r="C1035">
        <f>'Raw Data'!C1035</f>
        <v>0</v>
      </c>
      <c r="D1035">
        <f>'Raw Data'!D1035</f>
        <v>0</v>
      </c>
      <c r="E1035">
        <f>IFERROR(VLOOKUP(D1035,'Lookup Tables'!$A:$B,2,FALSE),"Unknown")</f>
        <v>0</v>
      </c>
      <c r="F1035">
        <f>'Raw Data'!E1035</f>
        <v>0</v>
      </c>
      <c r="G1035">
        <f>IFERROR(VLOOKUP(D1035,'Lookup Tables'!$A:$C,3,FALSE),IF(ISNUMBER(SEARCH("STEEL",F1035)),"Steel","Others"))</f>
        <v>0</v>
      </c>
      <c r="H1035">
        <f>IF(ISNUMBER(SEARCH("scrubber",F1035)) , "Scrubber", IF(ISNUMBER(SEARCH("container",F1035)),"Container", IF(ISNUMBER(SEARCH("basket",F1035)),"Basket", IF(ISNUMBER(SEARCH("lunch",F1035)),"Lunch Box", IF(ISNUMBER(SEARCH("cutlery",F1035)),"Cutlery","Other")))))</f>
        <v>0</v>
      </c>
      <c r="I1035">
        <f>IF('Raw Data'!G1035&lt;&gt;'','Raw Data'!G1035,IFERROR(MID(F1035,SEARCH("MODEL",F1035)+6,20),""))</f>
        <v>0</v>
      </c>
      <c r="J1035">
        <f>'Raw Data'!H1035</f>
        <v>0</v>
      </c>
      <c r="K1035">
        <f>'Raw Data'!I1035</f>
        <v>0</v>
      </c>
      <c r="L1035">
        <f>IF('Raw Data'!N1035&lt;&gt;0,'Raw Data'!N1035,IFERROR(VALUE(MID(F1035,SEARCH("QTY",F1035)+4,IFERROR(FIND(" ",F1035,SEARCH("QTY",F1035)+4)-(SEARCH("QTY",F1035)+4),3))),""))</f>
        <v>0</v>
      </c>
      <c r="M1035">
        <f>'Raw Data'!O1035</f>
        <v>0</v>
      </c>
      <c r="N1035">
        <f>'Raw Data'!P1035</f>
        <v>0</v>
      </c>
      <c r="O1035">
        <f>'Raw Data'!Q1035</f>
        <v>0</v>
      </c>
      <c r="P1035">
        <f>'Raw Data'!R1035</f>
        <v>0</v>
      </c>
      <c r="Q1035">
        <f>'Raw Data'!S1035</f>
        <v>0</v>
      </c>
      <c r="R1035">
        <f>'Raw Data'!T1035</f>
        <v>0</v>
      </c>
      <c r="S1035">
        <f>IFERROR(O1035,0)+IFERROR(R1035,0)</f>
        <v>0</v>
      </c>
      <c r="T1035">
        <f>IF(A1035="","",YEAR(A1035))</f>
        <v>0</v>
      </c>
    </row>
    <row r="1036" spans="1:20">
      <c r="A1036">
        <f>'Raw Data'!B1036</f>
        <v>0</v>
      </c>
      <c r="B1036">
        <f>'Raw Data'!A1036</f>
        <v>0</v>
      </c>
      <c r="C1036">
        <f>'Raw Data'!C1036</f>
        <v>0</v>
      </c>
      <c r="D1036">
        <f>'Raw Data'!D1036</f>
        <v>0</v>
      </c>
      <c r="E1036">
        <f>IFERROR(VLOOKUP(D1036,'Lookup Tables'!$A:$B,2,FALSE),"Unknown")</f>
        <v>0</v>
      </c>
      <c r="F1036">
        <f>'Raw Data'!E1036</f>
        <v>0</v>
      </c>
      <c r="G1036">
        <f>IFERROR(VLOOKUP(D1036,'Lookup Tables'!$A:$C,3,FALSE),IF(ISNUMBER(SEARCH("STEEL",F1036)),"Steel","Others"))</f>
        <v>0</v>
      </c>
      <c r="H1036">
        <f>IF(ISNUMBER(SEARCH("scrubber",F1036)) , "Scrubber", IF(ISNUMBER(SEARCH("container",F1036)),"Container", IF(ISNUMBER(SEARCH("basket",F1036)),"Basket", IF(ISNUMBER(SEARCH("lunch",F1036)),"Lunch Box", IF(ISNUMBER(SEARCH("cutlery",F1036)),"Cutlery","Other")))))</f>
        <v>0</v>
      </c>
      <c r="I1036">
        <f>IF('Raw Data'!G1036&lt;&gt;'','Raw Data'!G1036,IFERROR(MID(F1036,SEARCH("MODEL",F1036)+6,20),""))</f>
        <v>0</v>
      </c>
      <c r="J1036">
        <f>'Raw Data'!H1036</f>
        <v>0</v>
      </c>
      <c r="K1036">
        <f>'Raw Data'!I1036</f>
        <v>0</v>
      </c>
      <c r="L1036">
        <f>IF('Raw Data'!N1036&lt;&gt;0,'Raw Data'!N1036,IFERROR(VALUE(MID(F1036,SEARCH("QTY",F1036)+4,IFERROR(FIND(" ",F1036,SEARCH("QTY",F1036)+4)-(SEARCH("QTY",F1036)+4),3))),""))</f>
        <v>0</v>
      </c>
      <c r="M1036">
        <f>'Raw Data'!O1036</f>
        <v>0</v>
      </c>
      <c r="N1036">
        <f>'Raw Data'!P1036</f>
        <v>0</v>
      </c>
      <c r="O1036">
        <f>'Raw Data'!Q1036</f>
        <v>0</v>
      </c>
      <c r="P1036">
        <f>'Raw Data'!R1036</f>
        <v>0</v>
      </c>
      <c r="Q1036">
        <f>'Raw Data'!S1036</f>
        <v>0</v>
      </c>
      <c r="R1036">
        <f>'Raw Data'!T1036</f>
        <v>0</v>
      </c>
      <c r="S1036">
        <f>IFERROR(O1036,0)+IFERROR(R1036,0)</f>
        <v>0</v>
      </c>
      <c r="T1036">
        <f>IF(A1036="","",YEAR(A1036))</f>
        <v>0</v>
      </c>
    </row>
    <row r="1037" spans="1:20">
      <c r="A1037">
        <f>'Raw Data'!B1037</f>
        <v>0</v>
      </c>
      <c r="B1037">
        <f>'Raw Data'!A1037</f>
        <v>0</v>
      </c>
      <c r="C1037">
        <f>'Raw Data'!C1037</f>
        <v>0</v>
      </c>
      <c r="D1037">
        <f>'Raw Data'!D1037</f>
        <v>0</v>
      </c>
      <c r="E1037">
        <f>IFERROR(VLOOKUP(D1037,'Lookup Tables'!$A:$B,2,FALSE),"Unknown")</f>
        <v>0</v>
      </c>
      <c r="F1037">
        <f>'Raw Data'!E1037</f>
        <v>0</v>
      </c>
      <c r="G1037">
        <f>IFERROR(VLOOKUP(D1037,'Lookup Tables'!$A:$C,3,FALSE),IF(ISNUMBER(SEARCH("STEEL",F1037)),"Steel","Others"))</f>
        <v>0</v>
      </c>
      <c r="H1037">
        <f>IF(ISNUMBER(SEARCH("scrubber",F1037)) , "Scrubber", IF(ISNUMBER(SEARCH("container",F1037)),"Container", IF(ISNUMBER(SEARCH("basket",F1037)),"Basket", IF(ISNUMBER(SEARCH("lunch",F1037)),"Lunch Box", IF(ISNUMBER(SEARCH("cutlery",F1037)),"Cutlery","Other")))))</f>
        <v>0</v>
      </c>
      <c r="I1037">
        <f>IF('Raw Data'!G1037&lt;&gt;'','Raw Data'!G1037,IFERROR(MID(F1037,SEARCH("MODEL",F1037)+6,20),""))</f>
        <v>0</v>
      </c>
      <c r="J1037">
        <f>'Raw Data'!H1037</f>
        <v>0</v>
      </c>
      <c r="K1037">
        <f>'Raw Data'!I1037</f>
        <v>0</v>
      </c>
      <c r="L1037">
        <f>IF('Raw Data'!N1037&lt;&gt;0,'Raw Data'!N1037,IFERROR(VALUE(MID(F1037,SEARCH("QTY",F1037)+4,IFERROR(FIND(" ",F1037,SEARCH("QTY",F1037)+4)-(SEARCH("QTY",F1037)+4),3))),""))</f>
        <v>0</v>
      </c>
      <c r="M1037">
        <f>'Raw Data'!O1037</f>
        <v>0</v>
      </c>
      <c r="N1037">
        <f>'Raw Data'!P1037</f>
        <v>0</v>
      </c>
      <c r="O1037">
        <f>'Raw Data'!Q1037</f>
        <v>0</v>
      </c>
      <c r="P1037">
        <f>'Raw Data'!R1037</f>
        <v>0</v>
      </c>
      <c r="Q1037">
        <f>'Raw Data'!S1037</f>
        <v>0</v>
      </c>
      <c r="R1037">
        <f>'Raw Data'!T1037</f>
        <v>0</v>
      </c>
      <c r="S1037">
        <f>IFERROR(O1037,0)+IFERROR(R1037,0)</f>
        <v>0</v>
      </c>
      <c r="T1037">
        <f>IF(A1037="","",YEAR(A1037))</f>
        <v>0</v>
      </c>
    </row>
    <row r="1038" spans="1:20">
      <c r="A1038">
        <f>'Raw Data'!B1038</f>
        <v>0</v>
      </c>
      <c r="B1038">
        <f>'Raw Data'!A1038</f>
        <v>0</v>
      </c>
      <c r="C1038">
        <f>'Raw Data'!C1038</f>
        <v>0</v>
      </c>
      <c r="D1038">
        <f>'Raw Data'!D1038</f>
        <v>0</v>
      </c>
      <c r="E1038">
        <f>IFERROR(VLOOKUP(D1038,'Lookup Tables'!$A:$B,2,FALSE),"Unknown")</f>
        <v>0</v>
      </c>
      <c r="F1038">
        <f>'Raw Data'!E1038</f>
        <v>0</v>
      </c>
      <c r="G1038">
        <f>IFERROR(VLOOKUP(D1038,'Lookup Tables'!$A:$C,3,FALSE),IF(ISNUMBER(SEARCH("STEEL",F1038)),"Steel","Others"))</f>
        <v>0</v>
      </c>
      <c r="H1038">
        <f>IF(ISNUMBER(SEARCH("scrubber",F1038)) , "Scrubber", IF(ISNUMBER(SEARCH("container",F1038)),"Container", IF(ISNUMBER(SEARCH("basket",F1038)),"Basket", IF(ISNUMBER(SEARCH("lunch",F1038)),"Lunch Box", IF(ISNUMBER(SEARCH("cutlery",F1038)),"Cutlery","Other")))))</f>
        <v>0</v>
      </c>
      <c r="I1038">
        <f>IF('Raw Data'!G1038&lt;&gt;'','Raw Data'!G1038,IFERROR(MID(F1038,SEARCH("MODEL",F1038)+6,20),""))</f>
        <v>0</v>
      </c>
      <c r="J1038">
        <f>'Raw Data'!H1038</f>
        <v>0</v>
      </c>
      <c r="K1038">
        <f>'Raw Data'!I1038</f>
        <v>0</v>
      </c>
      <c r="L1038">
        <f>IF('Raw Data'!N1038&lt;&gt;0,'Raw Data'!N1038,IFERROR(VALUE(MID(F1038,SEARCH("QTY",F1038)+4,IFERROR(FIND(" ",F1038,SEARCH("QTY",F1038)+4)-(SEARCH("QTY",F1038)+4),3))),""))</f>
        <v>0</v>
      </c>
      <c r="M1038">
        <f>'Raw Data'!O1038</f>
        <v>0</v>
      </c>
      <c r="N1038">
        <f>'Raw Data'!P1038</f>
        <v>0</v>
      </c>
      <c r="O1038">
        <f>'Raw Data'!Q1038</f>
        <v>0</v>
      </c>
      <c r="P1038">
        <f>'Raw Data'!R1038</f>
        <v>0</v>
      </c>
      <c r="Q1038">
        <f>'Raw Data'!S1038</f>
        <v>0</v>
      </c>
      <c r="R1038">
        <f>'Raw Data'!T1038</f>
        <v>0</v>
      </c>
      <c r="S1038">
        <f>IFERROR(O1038,0)+IFERROR(R1038,0)</f>
        <v>0</v>
      </c>
      <c r="T1038">
        <f>IF(A1038="","",YEAR(A1038))</f>
        <v>0</v>
      </c>
    </row>
    <row r="1039" spans="1:20">
      <c r="A1039">
        <f>'Raw Data'!B1039</f>
        <v>0</v>
      </c>
      <c r="B1039">
        <f>'Raw Data'!A1039</f>
        <v>0</v>
      </c>
      <c r="C1039">
        <f>'Raw Data'!C1039</f>
        <v>0</v>
      </c>
      <c r="D1039">
        <f>'Raw Data'!D1039</f>
        <v>0</v>
      </c>
      <c r="E1039">
        <f>IFERROR(VLOOKUP(D1039,'Lookup Tables'!$A:$B,2,FALSE),"Unknown")</f>
        <v>0</v>
      </c>
      <c r="F1039">
        <f>'Raw Data'!E1039</f>
        <v>0</v>
      </c>
      <c r="G1039">
        <f>IFERROR(VLOOKUP(D1039,'Lookup Tables'!$A:$C,3,FALSE),IF(ISNUMBER(SEARCH("STEEL",F1039)),"Steel","Others"))</f>
        <v>0</v>
      </c>
      <c r="H1039">
        <f>IF(ISNUMBER(SEARCH("scrubber",F1039)) , "Scrubber", IF(ISNUMBER(SEARCH("container",F1039)),"Container", IF(ISNUMBER(SEARCH("basket",F1039)),"Basket", IF(ISNUMBER(SEARCH("lunch",F1039)),"Lunch Box", IF(ISNUMBER(SEARCH("cutlery",F1039)),"Cutlery","Other")))))</f>
        <v>0</v>
      </c>
      <c r="I1039">
        <f>IF('Raw Data'!G1039&lt;&gt;'','Raw Data'!G1039,IFERROR(MID(F1039,SEARCH("MODEL",F1039)+6,20),""))</f>
        <v>0</v>
      </c>
      <c r="J1039">
        <f>'Raw Data'!H1039</f>
        <v>0</v>
      </c>
      <c r="K1039">
        <f>'Raw Data'!I1039</f>
        <v>0</v>
      </c>
      <c r="L1039">
        <f>IF('Raw Data'!N1039&lt;&gt;0,'Raw Data'!N1039,IFERROR(VALUE(MID(F1039,SEARCH("QTY",F1039)+4,IFERROR(FIND(" ",F1039,SEARCH("QTY",F1039)+4)-(SEARCH("QTY",F1039)+4),3))),""))</f>
        <v>0</v>
      </c>
      <c r="M1039">
        <f>'Raw Data'!O1039</f>
        <v>0</v>
      </c>
      <c r="N1039">
        <f>'Raw Data'!P1039</f>
        <v>0</v>
      </c>
      <c r="O1039">
        <f>'Raw Data'!Q1039</f>
        <v>0</v>
      </c>
      <c r="P1039">
        <f>'Raw Data'!R1039</f>
        <v>0</v>
      </c>
      <c r="Q1039">
        <f>'Raw Data'!S1039</f>
        <v>0</v>
      </c>
      <c r="R1039">
        <f>'Raw Data'!T1039</f>
        <v>0</v>
      </c>
      <c r="S1039">
        <f>IFERROR(O1039,0)+IFERROR(R1039,0)</f>
        <v>0</v>
      </c>
      <c r="T1039">
        <f>IF(A1039="","",YEAR(A1039))</f>
        <v>0</v>
      </c>
    </row>
    <row r="1040" spans="1:20">
      <c r="A1040">
        <f>'Raw Data'!B1040</f>
        <v>0</v>
      </c>
      <c r="B1040">
        <f>'Raw Data'!A1040</f>
        <v>0</v>
      </c>
      <c r="C1040">
        <f>'Raw Data'!C1040</f>
        <v>0</v>
      </c>
      <c r="D1040">
        <f>'Raw Data'!D1040</f>
        <v>0</v>
      </c>
      <c r="E1040">
        <f>IFERROR(VLOOKUP(D1040,'Lookup Tables'!$A:$B,2,FALSE),"Unknown")</f>
        <v>0</v>
      </c>
      <c r="F1040">
        <f>'Raw Data'!E1040</f>
        <v>0</v>
      </c>
      <c r="G1040">
        <f>IFERROR(VLOOKUP(D1040,'Lookup Tables'!$A:$C,3,FALSE),IF(ISNUMBER(SEARCH("STEEL",F1040)),"Steel","Others"))</f>
        <v>0</v>
      </c>
      <c r="H1040">
        <f>IF(ISNUMBER(SEARCH("scrubber",F1040)) , "Scrubber", IF(ISNUMBER(SEARCH("container",F1040)),"Container", IF(ISNUMBER(SEARCH("basket",F1040)),"Basket", IF(ISNUMBER(SEARCH("lunch",F1040)),"Lunch Box", IF(ISNUMBER(SEARCH("cutlery",F1040)),"Cutlery","Other")))))</f>
        <v>0</v>
      </c>
      <c r="I1040">
        <f>IF('Raw Data'!G1040&lt;&gt;'','Raw Data'!G1040,IFERROR(MID(F1040,SEARCH("MODEL",F1040)+6,20),""))</f>
        <v>0</v>
      </c>
      <c r="J1040">
        <f>'Raw Data'!H1040</f>
        <v>0</v>
      </c>
      <c r="K1040">
        <f>'Raw Data'!I1040</f>
        <v>0</v>
      </c>
      <c r="L1040">
        <f>IF('Raw Data'!N1040&lt;&gt;0,'Raw Data'!N1040,IFERROR(VALUE(MID(F1040,SEARCH("QTY",F1040)+4,IFERROR(FIND(" ",F1040,SEARCH("QTY",F1040)+4)-(SEARCH("QTY",F1040)+4),3))),""))</f>
        <v>0</v>
      </c>
      <c r="M1040">
        <f>'Raw Data'!O1040</f>
        <v>0</v>
      </c>
      <c r="N1040">
        <f>'Raw Data'!P1040</f>
        <v>0</v>
      </c>
      <c r="O1040">
        <f>'Raw Data'!Q1040</f>
        <v>0</v>
      </c>
      <c r="P1040">
        <f>'Raw Data'!R1040</f>
        <v>0</v>
      </c>
      <c r="Q1040">
        <f>'Raw Data'!S1040</f>
        <v>0</v>
      </c>
      <c r="R1040">
        <f>'Raw Data'!T1040</f>
        <v>0</v>
      </c>
      <c r="S1040">
        <f>IFERROR(O1040,0)+IFERROR(R1040,0)</f>
        <v>0</v>
      </c>
      <c r="T1040">
        <f>IF(A1040="","",YEAR(A1040))</f>
        <v>0</v>
      </c>
    </row>
    <row r="1041" spans="1:20">
      <c r="A1041">
        <f>'Raw Data'!B1041</f>
        <v>0</v>
      </c>
      <c r="B1041">
        <f>'Raw Data'!A1041</f>
        <v>0</v>
      </c>
      <c r="C1041">
        <f>'Raw Data'!C1041</f>
        <v>0</v>
      </c>
      <c r="D1041">
        <f>'Raw Data'!D1041</f>
        <v>0</v>
      </c>
      <c r="E1041">
        <f>IFERROR(VLOOKUP(D1041,'Lookup Tables'!$A:$B,2,FALSE),"Unknown")</f>
        <v>0</v>
      </c>
      <c r="F1041">
        <f>'Raw Data'!E1041</f>
        <v>0</v>
      </c>
      <c r="G1041">
        <f>IFERROR(VLOOKUP(D1041,'Lookup Tables'!$A:$C,3,FALSE),IF(ISNUMBER(SEARCH("STEEL",F1041)),"Steel","Others"))</f>
        <v>0</v>
      </c>
      <c r="H1041">
        <f>IF(ISNUMBER(SEARCH("scrubber",F1041)) , "Scrubber", IF(ISNUMBER(SEARCH("container",F1041)),"Container", IF(ISNUMBER(SEARCH("basket",F1041)),"Basket", IF(ISNUMBER(SEARCH("lunch",F1041)),"Lunch Box", IF(ISNUMBER(SEARCH("cutlery",F1041)),"Cutlery","Other")))))</f>
        <v>0</v>
      </c>
      <c r="I1041">
        <f>IF('Raw Data'!G1041&lt;&gt;'','Raw Data'!G1041,IFERROR(MID(F1041,SEARCH("MODEL",F1041)+6,20),""))</f>
        <v>0</v>
      </c>
      <c r="J1041">
        <f>'Raw Data'!H1041</f>
        <v>0</v>
      </c>
      <c r="K1041">
        <f>'Raw Data'!I1041</f>
        <v>0</v>
      </c>
      <c r="L1041">
        <f>IF('Raw Data'!N1041&lt;&gt;0,'Raw Data'!N1041,IFERROR(VALUE(MID(F1041,SEARCH("QTY",F1041)+4,IFERROR(FIND(" ",F1041,SEARCH("QTY",F1041)+4)-(SEARCH("QTY",F1041)+4),3))),""))</f>
        <v>0</v>
      </c>
      <c r="M1041">
        <f>'Raw Data'!O1041</f>
        <v>0</v>
      </c>
      <c r="N1041">
        <f>'Raw Data'!P1041</f>
        <v>0</v>
      </c>
      <c r="O1041">
        <f>'Raw Data'!Q1041</f>
        <v>0</v>
      </c>
      <c r="P1041">
        <f>'Raw Data'!R1041</f>
        <v>0</v>
      </c>
      <c r="Q1041">
        <f>'Raw Data'!S1041</f>
        <v>0</v>
      </c>
      <c r="R1041">
        <f>'Raw Data'!T1041</f>
        <v>0</v>
      </c>
      <c r="S1041">
        <f>IFERROR(O1041,0)+IFERROR(R1041,0)</f>
        <v>0</v>
      </c>
      <c r="T1041">
        <f>IF(A1041="","",YEAR(A1041))</f>
        <v>0</v>
      </c>
    </row>
    <row r="1042" spans="1:20">
      <c r="A1042">
        <f>'Raw Data'!B1042</f>
        <v>0</v>
      </c>
      <c r="B1042">
        <f>'Raw Data'!A1042</f>
        <v>0</v>
      </c>
      <c r="C1042">
        <f>'Raw Data'!C1042</f>
        <v>0</v>
      </c>
      <c r="D1042">
        <f>'Raw Data'!D1042</f>
        <v>0</v>
      </c>
      <c r="E1042">
        <f>IFERROR(VLOOKUP(D1042,'Lookup Tables'!$A:$B,2,FALSE),"Unknown")</f>
        <v>0</v>
      </c>
      <c r="F1042">
        <f>'Raw Data'!E1042</f>
        <v>0</v>
      </c>
      <c r="G1042">
        <f>IFERROR(VLOOKUP(D1042,'Lookup Tables'!$A:$C,3,FALSE),IF(ISNUMBER(SEARCH("STEEL",F1042)),"Steel","Others"))</f>
        <v>0</v>
      </c>
      <c r="H1042">
        <f>IF(ISNUMBER(SEARCH("scrubber",F1042)) , "Scrubber", IF(ISNUMBER(SEARCH("container",F1042)),"Container", IF(ISNUMBER(SEARCH("basket",F1042)),"Basket", IF(ISNUMBER(SEARCH("lunch",F1042)),"Lunch Box", IF(ISNUMBER(SEARCH("cutlery",F1042)),"Cutlery","Other")))))</f>
        <v>0</v>
      </c>
      <c r="I1042">
        <f>IF('Raw Data'!G1042&lt;&gt;'','Raw Data'!G1042,IFERROR(MID(F1042,SEARCH("MODEL",F1042)+6,20),""))</f>
        <v>0</v>
      </c>
      <c r="J1042">
        <f>'Raw Data'!H1042</f>
        <v>0</v>
      </c>
      <c r="K1042">
        <f>'Raw Data'!I1042</f>
        <v>0</v>
      </c>
      <c r="L1042">
        <f>IF('Raw Data'!N1042&lt;&gt;0,'Raw Data'!N1042,IFERROR(VALUE(MID(F1042,SEARCH("QTY",F1042)+4,IFERROR(FIND(" ",F1042,SEARCH("QTY",F1042)+4)-(SEARCH("QTY",F1042)+4),3))),""))</f>
        <v>0</v>
      </c>
      <c r="M1042">
        <f>'Raw Data'!O1042</f>
        <v>0</v>
      </c>
      <c r="N1042">
        <f>'Raw Data'!P1042</f>
        <v>0</v>
      </c>
      <c r="O1042">
        <f>'Raw Data'!Q1042</f>
        <v>0</v>
      </c>
      <c r="P1042">
        <f>'Raw Data'!R1042</f>
        <v>0</v>
      </c>
      <c r="Q1042">
        <f>'Raw Data'!S1042</f>
        <v>0</v>
      </c>
      <c r="R1042">
        <f>'Raw Data'!T1042</f>
        <v>0</v>
      </c>
      <c r="S1042">
        <f>IFERROR(O1042,0)+IFERROR(R1042,0)</f>
        <v>0</v>
      </c>
      <c r="T1042">
        <f>IF(A1042="","",YEAR(A1042))</f>
        <v>0</v>
      </c>
    </row>
    <row r="1043" spans="1:20">
      <c r="A1043">
        <f>'Raw Data'!B1043</f>
        <v>0</v>
      </c>
      <c r="B1043">
        <f>'Raw Data'!A1043</f>
        <v>0</v>
      </c>
      <c r="C1043">
        <f>'Raw Data'!C1043</f>
        <v>0</v>
      </c>
      <c r="D1043">
        <f>'Raw Data'!D1043</f>
        <v>0</v>
      </c>
      <c r="E1043">
        <f>IFERROR(VLOOKUP(D1043,'Lookup Tables'!$A:$B,2,FALSE),"Unknown")</f>
        <v>0</v>
      </c>
      <c r="F1043">
        <f>'Raw Data'!E1043</f>
        <v>0</v>
      </c>
      <c r="G1043">
        <f>IFERROR(VLOOKUP(D1043,'Lookup Tables'!$A:$C,3,FALSE),IF(ISNUMBER(SEARCH("STEEL",F1043)),"Steel","Others"))</f>
        <v>0</v>
      </c>
      <c r="H1043">
        <f>IF(ISNUMBER(SEARCH("scrubber",F1043)) , "Scrubber", IF(ISNUMBER(SEARCH("container",F1043)),"Container", IF(ISNUMBER(SEARCH("basket",F1043)),"Basket", IF(ISNUMBER(SEARCH("lunch",F1043)),"Lunch Box", IF(ISNUMBER(SEARCH("cutlery",F1043)),"Cutlery","Other")))))</f>
        <v>0</v>
      </c>
      <c r="I1043">
        <f>IF('Raw Data'!G1043&lt;&gt;'','Raw Data'!G1043,IFERROR(MID(F1043,SEARCH("MODEL",F1043)+6,20),""))</f>
        <v>0</v>
      </c>
      <c r="J1043">
        <f>'Raw Data'!H1043</f>
        <v>0</v>
      </c>
      <c r="K1043">
        <f>'Raw Data'!I1043</f>
        <v>0</v>
      </c>
      <c r="L1043">
        <f>IF('Raw Data'!N1043&lt;&gt;0,'Raw Data'!N1043,IFERROR(VALUE(MID(F1043,SEARCH("QTY",F1043)+4,IFERROR(FIND(" ",F1043,SEARCH("QTY",F1043)+4)-(SEARCH("QTY",F1043)+4),3))),""))</f>
        <v>0</v>
      </c>
      <c r="M1043">
        <f>'Raw Data'!O1043</f>
        <v>0</v>
      </c>
      <c r="N1043">
        <f>'Raw Data'!P1043</f>
        <v>0</v>
      </c>
      <c r="O1043">
        <f>'Raw Data'!Q1043</f>
        <v>0</v>
      </c>
      <c r="P1043">
        <f>'Raw Data'!R1043</f>
        <v>0</v>
      </c>
      <c r="Q1043">
        <f>'Raw Data'!S1043</f>
        <v>0</v>
      </c>
      <c r="R1043">
        <f>'Raw Data'!T1043</f>
        <v>0</v>
      </c>
      <c r="S1043">
        <f>IFERROR(O1043,0)+IFERROR(R1043,0)</f>
        <v>0</v>
      </c>
      <c r="T1043">
        <f>IF(A1043="","",YEAR(A1043))</f>
        <v>0</v>
      </c>
    </row>
    <row r="1044" spans="1:20">
      <c r="A1044">
        <f>'Raw Data'!B1044</f>
        <v>0</v>
      </c>
      <c r="B1044">
        <f>'Raw Data'!A1044</f>
        <v>0</v>
      </c>
      <c r="C1044">
        <f>'Raw Data'!C1044</f>
        <v>0</v>
      </c>
      <c r="D1044">
        <f>'Raw Data'!D1044</f>
        <v>0</v>
      </c>
      <c r="E1044">
        <f>IFERROR(VLOOKUP(D1044,'Lookup Tables'!$A:$B,2,FALSE),"Unknown")</f>
        <v>0</v>
      </c>
      <c r="F1044">
        <f>'Raw Data'!E1044</f>
        <v>0</v>
      </c>
      <c r="G1044">
        <f>IFERROR(VLOOKUP(D1044,'Lookup Tables'!$A:$C,3,FALSE),IF(ISNUMBER(SEARCH("STEEL",F1044)),"Steel","Others"))</f>
        <v>0</v>
      </c>
      <c r="H1044">
        <f>IF(ISNUMBER(SEARCH("scrubber",F1044)) , "Scrubber", IF(ISNUMBER(SEARCH("container",F1044)),"Container", IF(ISNUMBER(SEARCH("basket",F1044)),"Basket", IF(ISNUMBER(SEARCH("lunch",F1044)),"Lunch Box", IF(ISNUMBER(SEARCH("cutlery",F1044)),"Cutlery","Other")))))</f>
        <v>0</v>
      </c>
      <c r="I1044">
        <f>IF('Raw Data'!G1044&lt;&gt;'','Raw Data'!G1044,IFERROR(MID(F1044,SEARCH("MODEL",F1044)+6,20),""))</f>
        <v>0</v>
      </c>
      <c r="J1044">
        <f>'Raw Data'!H1044</f>
        <v>0</v>
      </c>
      <c r="K1044">
        <f>'Raw Data'!I1044</f>
        <v>0</v>
      </c>
      <c r="L1044">
        <f>IF('Raw Data'!N1044&lt;&gt;0,'Raw Data'!N1044,IFERROR(VALUE(MID(F1044,SEARCH("QTY",F1044)+4,IFERROR(FIND(" ",F1044,SEARCH("QTY",F1044)+4)-(SEARCH("QTY",F1044)+4),3))),""))</f>
        <v>0</v>
      </c>
      <c r="M1044">
        <f>'Raw Data'!O1044</f>
        <v>0</v>
      </c>
      <c r="N1044">
        <f>'Raw Data'!P1044</f>
        <v>0</v>
      </c>
      <c r="O1044">
        <f>'Raw Data'!Q1044</f>
        <v>0</v>
      </c>
      <c r="P1044">
        <f>'Raw Data'!R1044</f>
        <v>0</v>
      </c>
      <c r="Q1044">
        <f>'Raw Data'!S1044</f>
        <v>0</v>
      </c>
      <c r="R1044">
        <f>'Raw Data'!T1044</f>
        <v>0</v>
      </c>
      <c r="S1044">
        <f>IFERROR(O1044,0)+IFERROR(R1044,0)</f>
        <v>0</v>
      </c>
      <c r="T1044">
        <f>IF(A1044="","",YEAR(A1044))</f>
        <v>0</v>
      </c>
    </row>
    <row r="1045" spans="1:20">
      <c r="A1045">
        <f>'Raw Data'!B1045</f>
        <v>0</v>
      </c>
      <c r="B1045">
        <f>'Raw Data'!A1045</f>
        <v>0</v>
      </c>
      <c r="C1045">
        <f>'Raw Data'!C1045</f>
        <v>0</v>
      </c>
      <c r="D1045">
        <f>'Raw Data'!D1045</f>
        <v>0</v>
      </c>
      <c r="E1045">
        <f>IFERROR(VLOOKUP(D1045,'Lookup Tables'!$A:$B,2,FALSE),"Unknown")</f>
        <v>0</v>
      </c>
      <c r="F1045">
        <f>'Raw Data'!E1045</f>
        <v>0</v>
      </c>
      <c r="G1045">
        <f>IFERROR(VLOOKUP(D1045,'Lookup Tables'!$A:$C,3,FALSE),IF(ISNUMBER(SEARCH("STEEL",F1045)),"Steel","Others"))</f>
        <v>0</v>
      </c>
      <c r="H1045">
        <f>IF(ISNUMBER(SEARCH("scrubber",F1045)) , "Scrubber", IF(ISNUMBER(SEARCH("container",F1045)),"Container", IF(ISNUMBER(SEARCH("basket",F1045)),"Basket", IF(ISNUMBER(SEARCH("lunch",F1045)),"Lunch Box", IF(ISNUMBER(SEARCH("cutlery",F1045)),"Cutlery","Other")))))</f>
        <v>0</v>
      </c>
      <c r="I1045">
        <f>IF('Raw Data'!G1045&lt;&gt;'','Raw Data'!G1045,IFERROR(MID(F1045,SEARCH("MODEL",F1045)+6,20),""))</f>
        <v>0</v>
      </c>
      <c r="J1045">
        <f>'Raw Data'!H1045</f>
        <v>0</v>
      </c>
      <c r="K1045">
        <f>'Raw Data'!I1045</f>
        <v>0</v>
      </c>
      <c r="L1045">
        <f>IF('Raw Data'!N1045&lt;&gt;0,'Raw Data'!N1045,IFERROR(VALUE(MID(F1045,SEARCH("QTY",F1045)+4,IFERROR(FIND(" ",F1045,SEARCH("QTY",F1045)+4)-(SEARCH("QTY",F1045)+4),3))),""))</f>
        <v>0</v>
      </c>
      <c r="M1045">
        <f>'Raw Data'!O1045</f>
        <v>0</v>
      </c>
      <c r="N1045">
        <f>'Raw Data'!P1045</f>
        <v>0</v>
      </c>
      <c r="O1045">
        <f>'Raw Data'!Q1045</f>
        <v>0</v>
      </c>
      <c r="P1045">
        <f>'Raw Data'!R1045</f>
        <v>0</v>
      </c>
      <c r="Q1045">
        <f>'Raw Data'!S1045</f>
        <v>0</v>
      </c>
      <c r="R1045">
        <f>'Raw Data'!T1045</f>
        <v>0</v>
      </c>
      <c r="S1045">
        <f>IFERROR(O1045,0)+IFERROR(R1045,0)</f>
        <v>0</v>
      </c>
      <c r="T1045">
        <f>IF(A1045="","",YEAR(A1045))</f>
        <v>0</v>
      </c>
    </row>
    <row r="1046" spans="1:20">
      <c r="A1046">
        <f>'Raw Data'!B1046</f>
        <v>0</v>
      </c>
      <c r="B1046">
        <f>'Raw Data'!A1046</f>
        <v>0</v>
      </c>
      <c r="C1046">
        <f>'Raw Data'!C1046</f>
        <v>0</v>
      </c>
      <c r="D1046">
        <f>'Raw Data'!D1046</f>
        <v>0</v>
      </c>
      <c r="E1046">
        <f>IFERROR(VLOOKUP(D1046,'Lookup Tables'!$A:$B,2,FALSE),"Unknown")</f>
        <v>0</v>
      </c>
      <c r="F1046">
        <f>'Raw Data'!E1046</f>
        <v>0</v>
      </c>
      <c r="G1046">
        <f>IFERROR(VLOOKUP(D1046,'Lookup Tables'!$A:$C,3,FALSE),IF(ISNUMBER(SEARCH("STEEL",F1046)),"Steel","Others"))</f>
        <v>0</v>
      </c>
      <c r="H1046">
        <f>IF(ISNUMBER(SEARCH("scrubber",F1046)) , "Scrubber", IF(ISNUMBER(SEARCH("container",F1046)),"Container", IF(ISNUMBER(SEARCH("basket",F1046)),"Basket", IF(ISNUMBER(SEARCH("lunch",F1046)),"Lunch Box", IF(ISNUMBER(SEARCH("cutlery",F1046)),"Cutlery","Other")))))</f>
        <v>0</v>
      </c>
      <c r="I1046">
        <f>IF('Raw Data'!G1046&lt;&gt;'','Raw Data'!G1046,IFERROR(MID(F1046,SEARCH("MODEL",F1046)+6,20),""))</f>
        <v>0</v>
      </c>
      <c r="J1046">
        <f>'Raw Data'!H1046</f>
        <v>0</v>
      </c>
      <c r="K1046">
        <f>'Raw Data'!I1046</f>
        <v>0</v>
      </c>
      <c r="L1046">
        <f>IF('Raw Data'!N1046&lt;&gt;0,'Raw Data'!N1046,IFERROR(VALUE(MID(F1046,SEARCH("QTY",F1046)+4,IFERROR(FIND(" ",F1046,SEARCH("QTY",F1046)+4)-(SEARCH("QTY",F1046)+4),3))),""))</f>
        <v>0</v>
      </c>
      <c r="M1046">
        <f>'Raw Data'!O1046</f>
        <v>0</v>
      </c>
      <c r="N1046">
        <f>'Raw Data'!P1046</f>
        <v>0</v>
      </c>
      <c r="O1046">
        <f>'Raw Data'!Q1046</f>
        <v>0</v>
      </c>
      <c r="P1046">
        <f>'Raw Data'!R1046</f>
        <v>0</v>
      </c>
      <c r="Q1046">
        <f>'Raw Data'!S1046</f>
        <v>0</v>
      </c>
      <c r="R1046">
        <f>'Raw Data'!T1046</f>
        <v>0</v>
      </c>
      <c r="S1046">
        <f>IFERROR(O1046,0)+IFERROR(R1046,0)</f>
        <v>0</v>
      </c>
      <c r="T1046">
        <f>IF(A1046="","",YEAR(A1046))</f>
        <v>0</v>
      </c>
    </row>
    <row r="1047" spans="1:20">
      <c r="A1047">
        <f>'Raw Data'!B1047</f>
        <v>0</v>
      </c>
      <c r="B1047">
        <f>'Raw Data'!A1047</f>
        <v>0</v>
      </c>
      <c r="C1047">
        <f>'Raw Data'!C1047</f>
        <v>0</v>
      </c>
      <c r="D1047">
        <f>'Raw Data'!D1047</f>
        <v>0</v>
      </c>
      <c r="E1047">
        <f>IFERROR(VLOOKUP(D1047,'Lookup Tables'!$A:$B,2,FALSE),"Unknown")</f>
        <v>0</v>
      </c>
      <c r="F1047">
        <f>'Raw Data'!E1047</f>
        <v>0</v>
      </c>
      <c r="G1047">
        <f>IFERROR(VLOOKUP(D1047,'Lookup Tables'!$A:$C,3,FALSE),IF(ISNUMBER(SEARCH("STEEL",F1047)),"Steel","Others"))</f>
        <v>0</v>
      </c>
      <c r="H1047">
        <f>IF(ISNUMBER(SEARCH("scrubber",F1047)) , "Scrubber", IF(ISNUMBER(SEARCH("container",F1047)),"Container", IF(ISNUMBER(SEARCH("basket",F1047)),"Basket", IF(ISNUMBER(SEARCH("lunch",F1047)),"Lunch Box", IF(ISNUMBER(SEARCH("cutlery",F1047)),"Cutlery","Other")))))</f>
        <v>0</v>
      </c>
      <c r="I1047">
        <f>IF('Raw Data'!G1047&lt;&gt;'','Raw Data'!G1047,IFERROR(MID(F1047,SEARCH("MODEL",F1047)+6,20),""))</f>
        <v>0</v>
      </c>
      <c r="J1047">
        <f>'Raw Data'!H1047</f>
        <v>0</v>
      </c>
      <c r="K1047">
        <f>'Raw Data'!I1047</f>
        <v>0</v>
      </c>
      <c r="L1047">
        <f>IF('Raw Data'!N1047&lt;&gt;0,'Raw Data'!N1047,IFERROR(VALUE(MID(F1047,SEARCH("QTY",F1047)+4,IFERROR(FIND(" ",F1047,SEARCH("QTY",F1047)+4)-(SEARCH("QTY",F1047)+4),3))),""))</f>
        <v>0</v>
      </c>
      <c r="M1047">
        <f>'Raw Data'!O1047</f>
        <v>0</v>
      </c>
      <c r="N1047">
        <f>'Raw Data'!P1047</f>
        <v>0</v>
      </c>
      <c r="O1047">
        <f>'Raw Data'!Q1047</f>
        <v>0</v>
      </c>
      <c r="P1047">
        <f>'Raw Data'!R1047</f>
        <v>0</v>
      </c>
      <c r="Q1047">
        <f>'Raw Data'!S1047</f>
        <v>0</v>
      </c>
      <c r="R1047">
        <f>'Raw Data'!T1047</f>
        <v>0</v>
      </c>
      <c r="S1047">
        <f>IFERROR(O1047,0)+IFERROR(R1047,0)</f>
        <v>0</v>
      </c>
      <c r="T1047">
        <f>IF(A1047="","",YEAR(A1047))</f>
        <v>0</v>
      </c>
    </row>
    <row r="1048" spans="1:20">
      <c r="A1048">
        <f>'Raw Data'!B1048</f>
        <v>0</v>
      </c>
      <c r="B1048">
        <f>'Raw Data'!A1048</f>
        <v>0</v>
      </c>
      <c r="C1048">
        <f>'Raw Data'!C1048</f>
        <v>0</v>
      </c>
      <c r="D1048">
        <f>'Raw Data'!D1048</f>
        <v>0</v>
      </c>
      <c r="E1048">
        <f>IFERROR(VLOOKUP(D1048,'Lookup Tables'!$A:$B,2,FALSE),"Unknown")</f>
        <v>0</v>
      </c>
      <c r="F1048">
        <f>'Raw Data'!E1048</f>
        <v>0</v>
      </c>
      <c r="G1048">
        <f>IFERROR(VLOOKUP(D1048,'Lookup Tables'!$A:$C,3,FALSE),IF(ISNUMBER(SEARCH("STEEL",F1048)),"Steel","Others"))</f>
        <v>0</v>
      </c>
      <c r="H1048">
        <f>IF(ISNUMBER(SEARCH("scrubber",F1048)) , "Scrubber", IF(ISNUMBER(SEARCH("container",F1048)),"Container", IF(ISNUMBER(SEARCH("basket",F1048)),"Basket", IF(ISNUMBER(SEARCH("lunch",F1048)),"Lunch Box", IF(ISNUMBER(SEARCH("cutlery",F1048)),"Cutlery","Other")))))</f>
        <v>0</v>
      </c>
      <c r="I1048">
        <f>IF('Raw Data'!G1048&lt;&gt;'','Raw Data'!G1048,IFERROR(MID(F1048,SEARCH("MODEL",F1048)+6,20),""))</f>
        <v>0</v>
      </c>
      <c r="J1048">
        <f>'Raw Data'!H1048</f>
        <v>0</v>
      </c>
      <c r="K1048">
        <f>'Raw Data'!I1048</f>
        <v>0</v>
      </c>
      <c r="L1048">
        <f>IF('Raw Data'!N1048&lt;&gt;0,'Raw Data'!N1048,IFERROR(VALUE(MID(F1048,SEARCH("QTY",F1048)+4,IFERROR(FIND(" ",F1048,SEARCH("QTY",F1048)+4)-(SEARCH("QTY",F1048)+4),3))),""))</f>
        <v>0</v>
      </c>
      <c r="M1048">
        <f>'Raw Data'!O1048</f>
        <v>0</v>
      </c>
      <c r="N1048">
        <f>'Raw Data'!P1048</f>
        <v>0</v>
      </c>
      <c r="O1048">
        <f>'Raw Data'!Q1048</f>
        <v>0</v>
      </c>
      <c r="P1048">
        <f>'Raw Data'!R1048</f>
        <v>0</v>
      </c>
      <c r="Q1048">
        <f>'Raw Data'!S1048</f>
        <v>0</v>
      </c>
      <c r="R1048">
        <f>'Raw Data'!T1048</f>
        <v>0</v>
      </c>
      <c r="S1048">
        <f>IFERROR(O1048,0)+IFERROR(R1048,0)</f>
        <v>0</v>
      </c>
      <c r="T1048">
        <f>IF(A1048="","",YEAR(A1048))</f>
        <v>0</v>
      </c>
    </row>
    <row r="1049" spans="1:20">
      <c r="A1049">
        <f>'Raw Data'!B1049</f>
        <v>0</v>
      </c>
      <c r="B1049">
        <f>'Raw Data'!A1049</f>
        <v>0</v>
      </c>
      <c r="C1049">
        <f>'Raw Data'!C1049</f>
        <v>0</v>
      </c>
      <c r="D1049">
        <f>'Raw Data'!D1049</f>
        <v>0</v>
      </c>
      <c r="E1049">
        <f>IFERROR(VLOOKUP(D1049,'Lookup Tables'!$A:$B,2,FALSE),"Unknown")</f>
        <v>0</v>
      </c>
      <c r="F1049">
        <f>'Raw Data'!E1049</f>
        <v>0</v>
      </c>
      <c r="G1049">
        <f>IFERROR(VLOOKUP(D1049,'Lookup Tables'!$A:$C,3,FALSE),IF(ISNUMBER(SEARCH("STEEL",F1049)),"Steel","Others"))</f>
        <v>0</v>
      </c>
      <c r="H1049">
        <f>IF(ISNUMBER(SEARCH("scrubber",F1049)) , "Scrubber", IF(ISNUMBER(SEARCH("container",F1049)),"Container", IF(ISNUMBER(SEARCH("basket",F1049)),"Basket", IF(ISNUMBER(SEARCH("lunch",F1049)),"Lunch Box", IF(ISNUMBER(SEARCH("cutlery",F1049)),"Cutlery","Other")))))</f>
        <v>0</v>
      </c>
      <c r="I1049">
        <f>IF('Raw Data'!G1049&lt;&gt;'','Raw Data'!G1049,IFERROR(MID(F1049,SEARCH("MODEL",F1049)+6,20),""))</f>
        <v>0</v>
      </c>
      <c r="J1049">
        <f>'Raw Data'!H1049</f>
        <v>0</v>
      </c>
      <c r="K1049">
        <f>'Raw Data'!I1049</f>
        <v>0</v>
      </c>
      <c r="L1049">
        <f>IF('Raw Data'!N1049&lt;&gt;0,'Raw Data'!N1049,IFERROR(VALUE(MID(F1049,SEARCH("QTY",F1049)+4,IFERROR(FIND(" ",F1049,SEARCH("QTY",F1049)+4)-(SEARCH("QTY",F1049)+4),3))),""))</f>
        <v>0</v>
      </c>
      <c r="M1049">
        <f>'Raw Data'!O1049</f>
        <v>0</v>
      </c>
      <c r="N1049">
        <f>'Raw Data'!P1049</f>
        <v>0</v>
      </c>
      <c r="O1049">
        <f>'Raw Data'!Q1049</f>
        <v>0</v>
      </c>
      <c r="P1049">
        <f>'Raw Data'!R1049</f>
        <v>0</v>
      </c>
      <c r="Q1049">
        <f>'Raw Data'!S1049</f>
        <v>0</v>
      </c>
      <c r="R1049">
        <f>'Raw Data'!T1049</f>
        <v>0</v>
      </c>
      <c r="S1049">
        <f>IFERROR(O1049,0)+IFERROR(R1049,0)</f>
        <v>0</v>
      </c>
      <c r="T1049">
        <f>IF(A1049="","",YEAR(A1049))</f>
        <v>0</v>
      </c>
    </row>
    <row r="1050" spans="1:20">
      <c r="A1050">
        <f>'Raw Data'!B1050</f>
        <v>0</v>
      </c>
      <c r="B1050">
        <f>'Raw Data'!A1050</f>
        <v>0</v>
      </c>
      <c r="C1050">
        <f>'Raw Data'!C1050</f>
        <v>0</v>
      </c>
      <c r="D1050">
        <f>'Raw Data'!D1050</f>
        <v>0</v>
      </c>
      <c r="E1050">
        <f>IFERROR(VLOOKUP(D1050,'Lookup Tables'!$A:$B,2,FALSE),"Unknown")</f>
        <v>0</v>
      </c>
      <c r="F1050">
        <f>'Raw Data'!E1050</f>
        <v>0</v>
      </c>
      <c r="G1050">
        <f>IFERROR(VLOOKUP(D1050,'Lookup Tables'!$A:$C,3,FALSE),IF(ISNUMBER(SEARCH("STEEL",F1050)),"Steel","Others"))</f>
        <v>0</v>
      </c>
      <c r="H1050">
        <f>IF(ISNUMBER(SEARCH("scrubber",F1050)) , "Scrubber", IF(ISNUMBER(SEARCH("container",F1050)),"Container", IF(ISNUMBER(SEARCH("basket",F1050)),"Basket", IF(ISNUMBER(SEARCH("lunch",F1050)),"Lunch Box", IF(ISNUMBER(SEARCH("cutlery",F1050)),"Cutlery","Other")))))</f>
        <v>0</v>
      </c>
      <c r="I1050">
        <f>IF('Raw Data'!G1050&lt;&gt;'','Raw Data'!G1050,IFERROR(MID(F1050,SEARCH("MODEL",F1050)+6,20),""))</f>
        <v>0</v>
      </c>
      <c r="J1050">
        <f>'Raw Data'!H1050</f>
        <v>0</v>
      </c>
      <c r="K1050">
        <f>'Raw Data'!I1050</f>
        <v>0</v>
      </c>
      <c r="L1050">
        <f>IF('Raw Data'!N1050&lt;&gt;0,'Raw Data'!N1050,IFERROR(VALUE(MID(F1050,SEARCH("QTY",F1050)+4,IFERROR(FIND(" ",F1050,SEARCH("QTY",F1050)+4)-(SEARCH("QTY",F1050)+4),3))),""))</f>
        <v>0</v>
      </c>
      <c r="M1050">
        <f>'Raw Data'!O1050</f>
        <v>0</v>
      </c>
      <c r="N1050">
        <f>'Raw Data'!P1050</f>
        <v>0</v>
      </c>
      <c r="O1050">
        <f>'Raw Data'!Q1050</f>
        <v>0</v>
      </c>
      <c r="P1050">
        <f>'Raw Data'!R1050</f>
        <v>0</v>
      </c>
      <c r="Q1050">
        <f>'Raw Data'!S1050</f>
        <v>0</v>
      </c>
      <c r="R1050">
        <f>'Raw Data'!T1050</f>
        <v>0</v>
      </c>
      <c r="S1050">
        <f>IFERROR(O1050,0)+IFERROR(R1050,0)</f>
        <v>0</v>
      </c>
      <c r="T1050">
        <f>IF(A1050="","",YEAR(A1050))</f>
        <v>0</v>
      </c>
    </row>
    <row r="1051" spans="1:20">
      <c r="A1051">
        <f>'Raw Data'!B1051</f>
        <v>0</v>
      </c>
      <c r="B1051">
        <f>'Raw Data'!A1051</f>
        <v>0</v>
      </c>
      <c r="C1051">
        <f>'Raw Data'!C1051</f>
        <v>0</v>
      </c>
      <c r="D1051">
        <f>'Raw Data'!D1051</f>
        <v>0</v>
      </c>
      <c r="E1051">
        <f>IFERROR(VLOOKUP(D1051,'Lookup Tables'!$A:$B,2,FALSE),"Unknown")</f>
        <v>0</v>
      </c>
      <c r="F1051">
        <f>'Raw Data'!E1051</f>
        <v>0</v>
      </c>
      <c r="G1051">
        <f>IFERROR(VLOOKUP(D1051,'Lookup Tables'!$A:$C,3,FALSE),IF(ISNUMBER(SEARCH("STEEL",F1051)),"Steel","Others"))</f>
        <v>0</v>
      </c>
      <c r="H1051">
        <f>IF(ISNUMBER(SEARCH("scrubber",F1051)) , "Scrubber", IF(ISNUMBER(SEARCH("container",F1051)),"Container", IF(ISNUMBER(SEARCH("basket",F1051)),"Basket", IF(ISNUMBER(SEARCH("lunch",F1051)),"Lunch Box", IF(ISNUMBER(SEARCH("cutlery",F1051)),"Cutlery","Other")))))</f>
        <v>0</v>
      </c>
      <c r="I1051">
        <f>IF('Raw Data'!G1051&lt;&gt;'','Raw Data'!G1051,IFERROR(MID(F1051,SEARCH("MODEL",F1051)+6,20),""))</f>
        <v>0</v>
      </c>
      <c r="J1051">
        <f>'Raw Data'!H1051</f>
        <v>0</v>
      </c>
      <c r="K1051">
        <f>'Raw Data'!I1051</f>
        <v>0</v>
      </c>
      <c r="L1051">
        <f>IF('Raw Data'!N1051&lt;&gt;0,'Raw Data'!N1051,IFERROR(VALUE(MID(F1051,SEARCH("QTY",F1051)+4,IFERROR(FIND(" ",F1051,SEARCH("QTY",F1051)+4)-(SEARCH("QTY",F1051)+4),3))),""))</f>
        <v>0</v>
      </c>
      <c r="M1051">
        <f>'Raw Data'!O1051</f>
        <v>0</v>
      </c>
      <c r="N1051">
        <f>'Raw Data'!P1051</f>
        <v>0</v>
      </c>
      <c r="O1051">
        <f>'Raw Data'!Q1051</f>
        <v>0</v>
      </c>
      <c r="P1051">
        <f>'Raw Data'!R1051</f>
        <v>0</v>
      </c>
      <c r="Q1051">
        <f>'Raw Data'!S1051</f>
        <v>0</v>
      </c>
      <c r="R1051">
        <f>'Raw Data'!T1051</f>
        <v>0</v>
      </c>
      <c r="S1051">
        <f>IFERROR(O1051,0)+IFERROR(R1051,0)</f>
        <v>0</v>
      </c>
      <c r="T1051">
        <f>IF(A1051="","",YEAR(A1051))</f>
        <v>0</v>
      </c>
    </row>
    <row r="1052" spans="1:20">
      <c r="A1052">
        <f>'Raw Data'!B1052</f>
        <v>0</v>
      </c>
      <c r="B1052">
        <f>'Raw Data'!A1052</f>
        <v>0</v>
      </c>
      <c r="C1052">
        <f>'Raw Data'!C1052</f>
        <v>0</v>
      </c>
      <c r="D1052">
        <f>'Raw Data'!D1052</f>
        <v>0</v>
      </c>
      <c r="E1052">
        <f>IFERROR(VLOOKUP(D1052,'Lookup Tables'!$A:$B,2,FALSE),"Unknown")</f>
        <v>0</v>
      </c>
      <c r="F1052">
        <f>'Raw Data'!E1052</f>
        <v>0</v>
      </c>
      <c r="G1052">
        <f>IFERROR(VLOOKUP(D1052,'Lookup Tables'!$A:$C,3,FALSE),IF(ISNUMBER(SEARCH("STEEL",F1052)),"Steel","Others"))</f>
        <v>0</v>
      </c>
      <c r="H1052">
        <f>IF(ISNUMBER(SEARCH("scrubber",F1052)) , "Scrubber", IF(ISNUMBER(SEARCH("container",F1052)),"Container", IF(ISNUMBER(SEARCH("basket",F1052)),"Basket", IF(ISNUMBER(SEARCH("lunch",F1052)),"Lunch Box", IF(ISNUMBER(SEARCH("cutlery",F1052)),"Cutlery","Other")))))</f>
        <v>0</v>
      </c>
      <c r="I1052">
        <f>IF('Raw Data'!G1052&lt;&gt;'','Raw Data'!G1052,IFERROR(MID(F1052,SEARCH("MODEL",F1052)+6,20),""))</f>
        <v>0</v>
      </c>
      <c r="J1052">
        <f>'Raw Data'!H1052</f>
        <v>0</v>
      </c>
      <c r="K1052">
        <f>'Raw Data'!I1052</f>
        <v>0</v>
      </c>
      <c r="L1052">
        <f>IF('Raw Data'!N1052&lt;&gt;0,'Raw Data'!N1052,IFERROR(VALUE(MID(F1052,SEARCH("QTY",F1052)+4,IFERROR(FIND(" ",F1052,SEARCH("QTY",F1052)+4)-(SEARCH("QTY",F1052)+4),3))),""))</f>
        <v>0</v>
      </c>
      <c r="M1052">
        <f>'Raw Data'!O1052</f>
        <v>0</v>
      </c>
      <c r="N1052">
        <f>'Raw Data'!P1052</f>
        <v>0</v>
      </c>
      <c r="O1052">
        <f>'Raw Data'!Q1052</f>
        <v>0</v>
      </c>
      <c r="P1052">
        <f>'Raw Data'!R1052</f>
        <v>0</v>
      </c>
      <c r="Q1052">
        <f>'Raw Data'!S1052</f>
        <v>0</v>
      </c>
      <c r="R1052">
        <f>'Raw Data'!T1052</f>
        <v>0</v>
      </c>
      <c r="S1052">
        <f>IFERROR(O1052,0)+IFERROR(R1052,0)</f>
        <v>0</v>
      </c>
      <c r="T1052">
        <f>IF(A1052="","",YEAR(A1052))</f>
        <v>0</v>
      </c>
    </row>
    <row r="1053" spans="1:20">
      <c r="A1053">
        <f>'Raw Data'!B1053</f>
        <v>0</v>
      </c>
      <c r="B1053">
        <f>'Raw Data'!A1053</f>
        <v>0</v>
      </c>
      <c r="C1053">
        <f>'Raw Data'!C1053</f>
        <v>0</v>
      </c>
      <c r="D1053">
        <f>'Raw Data'!D1053</f>
        <v>0</v>
      </c>
      <c r="E1053">
        <f>IFERROR(VLOOKUP(D1053,'Lookup Tables'!$A:$B,2,FALSE),"Unknown")</f>
        <v>0</v>
      </c>
      <c r="F1053">
        <f>'Raw Data'!E1053</f>
        <v>0</v>
      </c>
      <c r="G1053">
        <f>IFERROR(VLOOKUP(D1053,'Lookup Tables'!$A:$C,3,FALSE),IF(ISNUMBER(SEARCH("STEEL",F1053)),"Steel","Others"))</f>
        <v>0</v>
      </c>
      <c r="H1053">
        <f>IF(ISNUMBER(SEARCH("scrubber",F1053)) , "Scrubber", IF(ISNUMBER(SEARCH("container",F1053)),"Container", IF(ISNUMBER(SEARCH("basket",F1053)),"Basket", IF(ISNUMBER(SEARCH("lunch",F1053)),"Lunch Box", IF(ISNUMBER(SEARCH("cutlery",F1053)),"Cutlery","Other")))))</f>
        <v>0</v>
      </c>
      <c r="I1053">
        <f>IF('Raw Data'!G1053&lt;&gt;'','Raw Data'!G1053,IFERROR(MID(F1053,SEARCH("MODEL",F1053)+6,20),""))</f>
        <v>0</v>
      </c>
      <c r="J1053">
        <f>'Raw Data'!H1053</f>
        <v>0</v>
      </c>
      <c r="K1053">
        <f>'Raw Data'!I1053</f>
        <v>0</v>
      </c>
      <c r="L1053">
        <f>IF('Raw Data'!N1053&lt;&gt;0,'Raw Data'!N1053,IFERROR(VALUE(MID(F1053,SEARCH("QTY",F1053)+4,IFERROR(FIND(" ",F1053,SEARCH("QTY",F1053)+4)-(SEARCH("QTY",F1053)+4),3))),""))</f>
        <v>0</v>
      </c>
      <c r="M1053">
        <f>'Raw Data'!O1053</f>
        <v>0</v>
      </c>
      <c r="N1053">
        <f>'Raw Data'!P1053</f>
        <v>0</v>
      </c>
      <c r="O1053">
        <f>'Raw Data'!Q1053</f>
        <v>0</v>
      </c>
      <c r="P1053">
        <f>'Raw Data'!R1053</f>
        <v>0</v>
      </c>
      <c r="Q1053">
        <f>'Raw Data'!S1053</f>
        <v>0</v>
      </c>
      <c r="R1053">
        <f>'Raw Data'!T1053</f>
        <v>0</v>
      </c>
      <c r="S1053">
        <f>IFERROR(O1053,0)+IFERROR(R1053,0)</f>
        <v>0</v>
      </c>
      <c r="T1053">
        <f>IF(A1053="","",YEAR(A1053))</f>
        <v>0</v>
      </c>
    </row>
    <row r="1054" spans="1:20">
      <c r="A1054">
        <f>'Raw Data'!B1054</f>
        <v>0</v>
      </c>
      <c r="B1054">
        <f>'Raw Data'!A1054</f>
        <v>0</v>
      </c>
      <c r="C1054">
        <f>'Raw Data'!C1054</f>
        <v>0</v>
      </c>
      <c r="D1054">
        <f>'Raw Data'!D1054</f>
        <v>0</v>
      </c>
      <c r="E1054">
        <f>IFERROR(VLOOKUP(D1054,'Lookup Tables'!$A:$B,2,FALSE),"Unknown")</f>
        <v>0</v>
      </c>
      <c r="F1054">
        <f>'Raw Data'!E1054</f>
        <v>0</v>
      </c>
      <c r="G1054">
        <f>IFERROR(VLOOKUP(D1054,'Lookup Tables'!$A:$C,3,FALSE),IF(ISNUMBER(SEARCH("STEEL",F1054)),"Steel","Others"))</f>
        <v>0</v>
      </c>
      <c r="H1054">
        <f>IF(ISNUMBER(SEARCH("scrubber",F1054)) , "Scrubber", IF(ISNUMBER(SEARCH("container",F1054)),"Container", IF(ISNUMBER(SEARCH("basket",F1054)),"Basket", IF(ISNUMBER(SEARCH("lunch",F1054)),"Lunch Box", IF(ISNUMBER(SEARCH("cutlery",F1054)),"Cutlery","Other")))))</f>
        <v>0</v>
      </c>
      <c r="I1054">
        <f>IF('Raw Data'!G1054&lt;&gt;'','Raw Data'!G1054,IFERROR(MID(F1054,SEARCH("MODEL",F1054)+6,20),""))</f>
        <v>0</v>
      </c>
      <c r="J1054">
        <f>'Raw Data'!H1054</f>
        <v>0</v>
      </c>
      <c r="K1054">
        <f>'Raw Data'!I1054</f>
        <v>0</v>
      </c>
      <c r="L1054">
        <f>IF('Raw Data'!N1054&lt;&gt;0,'Raw Data'!N1054,IFERROR(VALUE(MID(F1054,SEARCH("QTY",F1054)+4,IFERROR(FIND(" ",F1054,SEARCH("QTY",F1054)+4)-(SEARCH("QTY",F1054)+4),3))),""))</f>
        <v>0</v>
      </c>
      <c r="M1054">
        <f>'Raw Data'!O1054</f>
        <v>0</v>
      </c>
      <c r="N1054">
        <f>'Raw Data'!P1054</f>
        <v>0</v>
      </c>
      <c r="O1054">
        <f>'Raw Data'!Q1054</f>
        <v>0</v>
      </c>
      <c r="P1054">
        <f>'Raw Data'!R1054</f>
        <v>0</v>
      </c>
      <c r="Q1054">
        <f>'Raw Data'!S1054</f>
        <v>0</v>
      </c>
      <c r="R1054">
        <f>'Raw Data'!T1054</f>
        <v>0</v>
      </c>
      <c r="S1054">
        <f>IFERROR(O1054,0)+IFERROR(R1054,0)</f>
        <v>0</v>
      </c>
      <c r="T1054">
        <f>IF(A1054="","",YEAR(A1054))</f>
        <v>0</v>
      </c>
    </row>
    <row r="1055" spans="1:20">
      <c r="A1055">
        <f>'Raw Data'!B1055</f>
        <v>0</v>
      </c>
      <c r="B1055">
        <f>'Raw Data'!A1055</f>
        <v>0</v>
      </c>
      <c r="C1055">
        <f>'Raw Data'!C1055</f>
        <v>0</v>
      </c>
      <c r="D1055">
        <f>'Raw Data'!D1055</f>
        <v>0</v>
      </c>
      <c r="E1055">
        <f>IFERROR(VLOOKUP(D1055,'Lookup Tables'!$A:$B,2,FALSE),"Unknown")</f>
        <v>0</v>
      </c>
      <c r="F1055">
        <f>'Raw Data'!E1055</f>
        <v>0</v>
      </c>
      <c r="G1055">
        <f>IFERROR(VLOOKUP(D1055,'Lookup Tables'!$A:$C,3,FALSE),IF(ISNUMBER(SEARCH("STEEL",F1055)),"Steel","Others"))</f>
        <v>0</v>
      </c>
      <c r="H1055">
        <f>IF(ISNUMBER(SEARCH("scrubber",F1055)) , "Scrubber", IF(ISNUMBER(SEARCH("container",F1055)),"Container", IF(ISNUMBER(SEARCH("basket",F1055)),"Basket", IF(ISNUMBER(SEARCH("lunch",F1055)),"Lunch Box", IF(ISNUMBER(SEARCH("cutlery",F1055)),"Cutlery","Other")))))</f>
        <v>0</v>
      </c>
      <c r="I1055">
        <f>IF('Raw Data'!G1055&lt;&gt;'','Raw Data'!G1055,IFERROR(MID(F1055,SEARCH("MODEL",F1055)+6,20),""))</f>
        <v>0</v>
      </c>
      <c r="J1055">
        <f>'Raw Data'!H1055</f>
        <v>0</v>
      </c>
      <c r="K1055">
        <f>'Raw Data'!I1055</f>
        <v>0</v>
      </c>
      <c r="L1055">
        <f>IF('Raw Data'!N1055&lt;&gt;0,'Raw Data'!N1055,IFERROR(VALUE(MID(F1055,SEARCH("QTY",F1055)+4,IFERROR(FIND(" ",F1055,SEARCH("QTY",F1055)+4)-(SEARCH("QTY",F1055)+4),3))),""))</f>
        <v>0</v>
      </c>
      <c r="M1055">
        <f>'Raw Data'!O1055</f>
        <v>0</v>
      </c>
      <c r="N1055">
        <f>'Raw Data'!P1055</f>
        <v>0</v>
      </c>
      <c r="O1055">
        <f>'Raw Data'!Q1055</f>
        <v>0</v>
      </c>
      <c r="P1055">
        <f>'Raw Data'!R1055</f>
        <v>0</v>
      </c>
      <c r="Q1055">
        <f>'Raw Data'!S1055</f>
        <v>0</v>
      </c>
      <c r="R1055">
        <f>'Raw Data'!T1055</f>
        <v>0</v>
      </c>
      <c r="S1055">
        <f>IFERROR(O1055,0)+IFERROR(R1055,0)</f>
        <v>0</v>
      </c>
      <c r="T1055">
        <f>IF(A1055="","",YEAR(A1055))</f>
        <v>0</v>
      </c>
    </row>
    <row r="1056" spans="1:20">
      <c r="A1056">
        <f>'Raw Data'!B1056</f>
        <v>0</v>
      </c>
      <c r="B1056">
        <f>'Raw Data'!A1056</f>
        <v>0</v>
      </c>
      <c r="C1056">
        <f>'Raw Data'!C1056</f>
        <v>0</v>
      </c>
      <c r="D1056">
        <f>'Raw Data'!D1056</f>
        <v>0</v>
      </c>
      <c r="E1056">
        <f>IFERROR(VLOOKUP(D1056,'Lookup Tables'!$A:$B,2,FALSE),"Unknown")</f>
        <v>0</v>
      </c>
      <c r="F1056">
        <f>'Raw Data'!E1056</f>
        <v>0</v>
      </c>
      <c r="G1056">
        <f>IFERROR(VLOOKUP(D1056,'Lookup Tables'!$A:$C,3,FALSE),IF(ISNUMBER(SEARCH("STEEL",F1056)),"Steel","Others"))</f>
        <v>0</v>
      </c>
      <c r="H1056">
        <f>IF(ISNUMBER(SEARCH("scrubber",F1056)) , "Scrubber", IF(ISNUMBER(SEARCH("container",F1056)),"Container", IF(ISNUMBER(SEARCH("basket",F1056)),"Basket", IF(ISNUMBER(SEARCH("lunch",F1056)),"Lunch Box", IF(ISNUMBER(SEARCH("cutlery",F1056)),"Cutlery","Other")))))</f>
        <v>0</v>
      </c>
      <c r="I1056">
        <f>IF('Raw Data'!G1056&lt;&gt;'','Raw Data'!G1056,IFERROR(MID(F1056,SEARCH("MODEL",F1056)+6,20),""))</f>
        <v>0</v>
      </c>
      <c r="J1056">
        <f>'Raw Data'!H1056</f>
        <v>0</v>
      </c>
      <c r="K1056">
        <f>'Raw Data'!I1056</f>
        <v>0</v>
      </c>
      <c r="L1056">
        <f>IF('Raw Data'!N1056&lt;&gt;0,'Raw Data'!N1056,IFERROR(VALUE(MID(F1056,SEARCH("QTY",F1056)+4,IFERROR(FIND(" ",F1056,SEARCH("QTY",F1056)+4)-(SEARCH("QTY",F1056)+4),3))),""))</f>
        <v>0</v>
      </c>
      <c r="M1056">
        <f>'Raw Data'!O1056</f>
        <v>0</v>
      </c>
      <c r="N1056">
        <f>'Raw Data'!P1056</f>
        <v>0</v>
      </c>
      <c r="O1056">
        <f>'Raw Data'!Q1056</f>
        <v>0</v>
      </c>
      <c r="P1056">
        <f>'Raw Data'!R1056</f>
        <v>0</v>
      </c>
      <c r="Q1056">
        <f>'Raw Data'!S1056</f>
        <v>0</v>
      </c>
      <c r="R1056">
        <f>'Raw Data'!T1056</f>
        <v>0</v>
      </c>
      <c r="S1056">
        <f>IFERROR(O1056,0)+IFERROR(R1056,0)</f>
        <v>0</v>
      </c>
      <c r="T1056">
        <f>IF(A1056="","",YEAR(A1056))</f>
        <v>0</v>
      </c>
    </row>
    <row r="1057" spans="1:20">
      <c r="A1057">
        <f>'Raw Data'!B1057</f>
        <v>0</v>
      </c>
      <c r="B1057">
        <f>'Raw Data'!A1057</f>
        <v>0</v>
      </c>
      <c r="C1057">
        <f>'Raw Data'!C1057</f>
        <v>0</v>
      </c>
      <c r="D1057">
        <f>'Raw Data'!D1057</f>
        <v>0</v>
      </c>
      <c r="E1057">
        <f>IFERROR(VLOOKUP(D1057,'Lookup Tables'!$A:$B,2,FALSE),"Unknown")</f>
        <v>0</v>
      </c>
      <c r="F1057">
        <f>'Raw Data'!E1057</f>
        <v>0</v>
      </c>
      <c r="G1057">
        <f>IFERROR(VLOOKUP(D1057,'Lookup Tables'!$A:$C,3,FALSE),IF(ISNUMBER(SEARCH("STEEL",F1057)),"Steel","Others"))</f>
        <v>0</v>
      </c>
      <c r="H1057">
        <f>IF(ISNUMBER(SEARCH("scrubber",F1057)) , "Scrubber", IF(ISNUMBER(SEARCH("container",F1057)),"Container", IF(ISNUMBER(SEARCH("basket",F1057)),"Basket", IF(ISNUMBER(SEARCH("lunch",F1057)),"Lunch Box", IF(ISNUMBER(SEARCH("cutlery",F1057)),"Cutlery","Other")))))</f>
        <v>0</v>
      </c>
      <c r="I1057">
        <f>IF('Raw Data'!G1057&lt;&gt;'','Raw Data'!G1057,IFERROR(MID(F1057,SEARCH("MODEL",F1057)+6,20),""))</f>
        <v>0</v>
      </c>
      <c r="J1057">
        <f>'Raw Data'!H1057</f>
        <v>0</v>
      </c>
      <c r="K1057">
        <f>'Raw Data'!I1057</f>
        <v>0</v>
      </c>
      <c r="L1057">
        <f>IF('Raw Data'!N1057&lt;&gt;0,'Raw Data'!N1057,IFERROR(VALUE(MID(F1057,SEARCH("QTY",F1057)+4,IFERROR(FIND(" ",F1057,SEARCH("QTY",F1057)+4)-(SEARCH("QTY",F1057)+4),3))),""))</f>
        <v>0</v>
      </c>
      <c r="M1057">
        <f>'Raw Data'!O1057</f>
        <v>0</v>
      </c>
      <c r="N1057">
        <f>'Raw Data'!P1057</f>
        <v>0</v>
      </c>
      <c r="O1057">
        <f>'Raw Data'!Q1057</f>
        <v>0</v>
      </c>
      <c r="P1057">
        <f>'Raw Data'!R1057</f>
        <v>0</v>
      </c>
      <c r="Q1057">
        <f>'Raw Data'!S1057</f>
        <v>0</v>
      </c>
      <c r="R1057">
        <f>'Raw Data'!T1057</f>
        <v>0</v>
      </c>
      <c r="S1057">
        <f>IFERROR(O1057,0)+IFERROR(R1057,0)</f>
        <v>0</v>
      </c>
      <c r="T1057">
        <f>IF(A1057="","",YEAR(A1057))</f>
        <v>0</v>
      </c>
    </row>
    <row r="1058" spans="1:20">
      <c r="A1058">
        <f>'Raw Data'!B1058</f>
        <v>0</v>
      </c>
      <c r="B1058">
        <f>'Raw Data'!A1058</f>
        <v>0</v>
      </c>
      <c r="C1058">
        <f>'Raw Data'!C1058</f>
        <v>0</v>
      </c>
      <c r="D1058">
        <f>'Raw Data'!D1058</f>
        <v>0</v>
      </c>
      <c r="E1058">
        <f>IFERROR(VLOOKUP(D1058,'Lookup Tables'!$A:$B,2,FALSE),"Unknown")</f>
        <v>0</v>
      </c>
      <c r="F1058">
        <f>'Raw Data'!E1058</f>
        <v>0</v>
      </c>
      <c r="G1058">
        <f>IFERROR(VLOOKUP(D1058,'Lookup Tables'!$A:$C,3,FALSE),IF(ISNUMBER(SEARCH("STEEL",F1058)),"Steel","Others"))</f>
        <v>0</v>
      </c>
      <c r="H1058">
        <f>IF(ISNUMBER(SEARCH("scrubber",F1058)) , "Scrubber", IF(ISNUMBER(SEARCH("container",F1058)),"Container", IF(ISNUMBER(SEARCH("basket",F1058)),"Basket", IF(ISNUMBER(SEARCH("lunch",F1058)),"Lunch Box", IF(ISNUMBER(SEARCH("cutlery",F1058)),"Cutlery","Other")))))</f>
        <v>0</v>
      </c>
      <c r="I1058">
        <f>IF('Raw Data'!G1058&lt;&gt;'','Raw Data'!G1058,IFERROR(MID(F1058,SEARCH("MODEL",F1058)+6,20),""))</f>
        <v>0</v>
      </c>
      <c r="J1058">
        <f>'Raw Data'!H1058</f>
        <v>0</v>
      </c>
      <c r="K1058">
        <f>'Raw Data'!I1058</f>
        <v>0</v>
      </c>
      <c r="L1058">
        <f>IF('Raw Data'!N1058&lt;&gt;0,'Raw Data'!N1058,IFERROR(VALUE(MID(F1058,SEARCH("QTY",F1058)+4,IFERROR(FIND(" ",F1058,SEARCH("QTY",F1058)+4)-(SEARCH("QTY",F1058)+4),3))),""))</f>
        <v>0</v>
      </c>
      <c r="M1058">
        <f>'Raw Data'!O1058</f>
        <v>0</v>
      </c>
      <c r="N1058">
        <f>'Raw Data'!P1058</f>
        <v>0</v>
      </c>
      <c r="O1058">
        <f>'Raw Data'!Q1058</f>
        <v>0</v>
      </c>
      <c r="P1058">
        <f>'Raw Data'!R1058</f>
        <v>0</v>
      </c>
      <c r="Q1058">
        <f>'Raw Data'!S1058</f>
        <v>0</v>
      </c>
      <c r="R1058">
        <f>'Raw Data'!T1058</f>
        <v>0</v>
      </c>
      <c r="S1058">
        <f>IFERROR(O1058,0)+IFERROR(R1058,0)</f>
        <v>0</v>
      </c>
      <c r="T1058">
        <f>IF(A1058="","",YEAR(A1058))</f>
        <v>0</v>
      </c>
    </row>
    <row r="1059" spans="1:20">
      <c r="A1059">
        <f>'Raw Data'!B1059</f>
        <v>0</v>
      </c>
      <c r="B1059">
        <f>'Raw Data'!A1059</f>
        <v>0</v>
      </c>
      <c r="C1059">
        <f>'Raw Data'!C1059</f>
        <v>0</v>
      </c>
      <c r="D1059">
        <f>'Raw Data'!D1059</f>
        <v>0</v>
      </c>
      <c r="E1059">
        <f>IFERROR(VLOOKUP(D1059,'Lookup Tables'!$A:$B,2,FALSE),"Unknown")</f>
        <v>0</v>
      </c>
      <c r="F1059">
        <f>'Raw Data'!E1059</f>
        <v>0</v>
      </c>
      <c r="G1059">
        <f>IFERROR(VLOOKUP(D1059,'Lookup Tables'!$A:$C,3,FALSE),IF(ISNUMBER(SEARCH("STEEL",F1059)),"Steel","Others"))</f>
        <v>0</v>
      </c>
      <c r="H1059">
        <f>IF(ISNUMBER(SEARCH("scrubber",F1059)) , "Scrubber", IF(ISNUMBER(SEARCH("container",F1059)),"Container", IF(ISNUMBER(SEARCH("basket",F1059)),"Basket", IF(ISNUMBER(SEARCH("lunch",F1059)),"Lunch Box", IF(ISNUMBER(SEARCH("cutlery",F1059)),"Cutlery","Other")))))</f>
        <v>0</v>
      </c>
      <c r="I1059">
        <f>IF('Raw Data'!G1059&lt;&gt;'','Raw Data'!G1059,IFERROR(MID(F1059,SEARCH("MODEL",F1059)+6,20),""))</f>
        <v>0</v>
      </c>
      <c r="J1059">
        <f>'Raw Data'!H1059</f>
        <v>0</v>
      </c>
      <c r="K1059">
        <f>'Raw Data'!I1059</f>
        <v>0</v>
      </c>
      <c r="L1059">
        <f>IF('Raw Data'!N1059&lt;&gt;0,'Raw Data'!N1059,IFERROR(VALUE(MID(F1059,SEARCH("QTY",F1059)+4,IFERROR(FIND(" ",F1059,SEARCH("QTY",F1059)+4)-(SEARCH("QTY",F1059)+4),3))),""))</f>
        <v>0</v>
      </c>
      <c r="M1059">
        <f>'Raw Data'!O1059</f>
        <v>0</v>
      </c>
      <c r="N1059">
        <f>'Raw Data'!P1059</f>
        <v>0</v>
      </c>
      <c r="O1059">
        <f>'Raw Data'!Q1059</f>
        <v>0</v>
      </c>
      <c r="P1059">
        <f>'Raw Data'!R1059</f>
        <v>0</v>
      </c>
      <c r="Q1059">
        <f>'Raw Data'!S1059</f>
        <v>0</v>
      </c>
      <c r="R1059">
        <f>'Raw Data'!T1059</f>
        <v>0</v>
      </c>
      <c r="S1059">
        <f>IFERROR(O1059,0)+IFERROR(R1059,0)</f>
        <v>0</v>
      </c>
      <c r="T1059">
        <f>IF(A1059="","",YEAR(A1059))</f>
        <v>0</v>
      </c>
    </row>
    <row r="1060" spans="1:20">
      <c r="A1060">
        <f>'Raw Data'!B1060</f>
        <v>0</v>
      </c>
      <c r="B1060">
        <f>'Raw Data'!A1060</f>
        <v>0</v>
      </c>
      <c r="C1060">
        <f>'Raw Data'!C1060</f>
        <v>0</v>
      </c>
      <c r="D1060">
        <f>'Raw Data'!D1060</f>
        <v>0</v>
      </c>
      <c r="E1060">
        <f>IFERROR(VLOOKUP(D1060,'Lookup Tables'!$A:$B,2,FALSE),"Unknown")</f>
        <v>0</v>
      </c>
      <c r="F1060">
        <f>'Raw Data'!E1060</f>
        <v>0</v>
      </c>
      <c r="G1060">
        <f>IFERROR(VLOOKUP(D1060,'Lookup Tables'!$A:$C,3,FALSE),IF(ISNUMBER(SEARCH("STEEL",F1060)),"Steel","Others"))</f>
        <v>0</v>
      </c>
      <c r="H1060">
        <f>IF(ISNUMBER(SEARCH("scrubber",F1060)) , "Scrubber", IF(ISNUMBER(SEARCH("container",F1060)),"Container", IF(ISNUMBER(SEARCH("basket",F1060)),"Basket", IF(ISNUMBER(SEARCH("lunch",F1060)),"Lunch Box", IF(ISNUMBER(SEARCH("cutlery",F1060)),"Cutlery","Other")))))</f>
        <v>0</v>
      </c>
      <c r="I1060">
        <f>IF('Raw Data'!G1060&lt;&gt;'','Raw Data'!G1060,IFERROR(MID(F1060,SEARCH("MODEL",F1060)+6,20),""))</f>
        <v>0</v>
      </c>
      <c r="J1060">
        <f>'Raw Data'!H1060</f>
        <v>0</v>
      </c>
      <c r="K1060">
        <f>'Raw Data'!I1060</f>
        <v>0</v>
      </c>
      <c r="L1060">
        <f>IF('Raw Data'!N1060&lt;&gt;0,'Raw Data'!N1060,IFERROR(VALUE(MID(F1060,SEARCH("QTY",F1060)+4,IFERROR(FIND(" ",F1060,SEARCH("QTY",F1060)+4)-(SEARCH("QTY",F1060)+4),3))),""))</f>
        <v>0</v>
      </c>
      <c r="M1060">
        <f>'Raw Data'!O1060</f>
        <v>0</v>
      </c>
      <c r="N1060">
        <f>'Raw Data'!P1060</f>
        <v>0</v>
      </c>
      <c r="O1060">
        <f>'Raw Data'!Q1060</f>
        <v>0</v>
      </c>
      <c r="P1060">
        <f>'Raw Data'!R1060</f>
        <v>0</v>
      </c>
      <c r="Q1060">
        <f>'Raw Data'!S1060</f>
        <v>0</v>
      </c>
      <c r="R1060">
        <f>'Raw Data'!T1060</f>
        <v>0</v>
      </c>
      <c r="S1060">
        <f>IFERROR(O1060,0)+IFERROR(R1060,0)</f>
        <v>0</v>
      </c>
      <c r="T1060">
        <f>IF(A1060="","",YEAR(A1060))</f>
        <v>0</v>
      </c>
    </row>
    <row r="1061" spans="1:20">
      <c r="A1061">
        <f>'Raw Data'!B1061</f>
        <v>0</v>
      </c>
      <c r="B1061">
        <f>'Raw Data'!A1061</f>
        <v>0</v>
      </c>
      <c r="C1061">
        <f>'Raw Data'!C1061</f>
        <v>0</v>
      </c>
      <c r="D1061">
        <f>'Raw Data'!D1061</f>
        <v>0</v>
      </c>
      <c r="E1061">
        <f>IFERROR(VLOOKUP(D1061,'Lookup Tables'!$A:$B,2,FALSE),"Unknown")</f>
        <v>0</v>
      </c>
      <c r="F1061">
        <f>'Raw Data'!E1061</f>
        <v>0</v>
      </c>
      <c r="G1061">
        <f>IFERROR(VLOOKUP(D1061,'Lookup Tables'!$A:$C,3,FALSE),IF(ISNUMBER(SEARCH("STEEL",F1061)),"Steel","Others"))</f>
        <v>0</v>
      </c>
      <c r="H1061">
        <f>IF(ISNUMBER(SEARCH("scrubber",F1061)) , "Scrubber", IF(ISNUMBER(SEARCH("container",F1061)),"Container", IF(ISNUMBER(SEARCH("basket",F1061)),"Basket", IF(ISNUMBER(SEARCH("lunch",F1061)),"Lunch Box", IF(ISNUMBER(SEARCH("cutlery",F1061)),"Cutlery","Other")))))</f>
        <v>0</v>
      </c>
      <c r="I1061">
        <f>IF('Raw Data'!G1061&lt;&gt;'','Raw Data'!G1061,IFERROR(MID(F1061,SEARCH("MODEL",F1061)+6,20),""))</f>
        <v>0</v>
      </c>
      <c r="J1061">
        <f>'Raw Data'!H1061</f>
        <v>0</v>
      </c>
      <c r="K1061">
        <f>'Raw Data'!I1061</f>
        <v>0</v>
      </c>
      <c r="L1061">
        <f>IF('Raw Data'!N1061&lt;&gt;0,'Raw Data'!N1061,IFERROR(VALUE(MID(F1061,SEARCH("QTY",F1061)+4,IFERROR(FIND(" ",F1061,SEARCH("QTY",F1061)+4)-(SEARCH("QTY",F1061)+4),3))),""))</f>
        <v>0</v>
      </c>
      <c r="M1061">
        <f>'Raw Data'!O1061</f>
        <v>0</v>
      </c>
      <c r="N1061">
        <f>'Raw Data'!P1061</f>
        <v>0</v>
      </c>
      <c r="O1061">
        <f>'Raw Data'!Q1061</f>
        <v>0</v>
      </c>
      <c r="P1061">
        <f>'Raw Data'!R1061</f>
        <v>0</v>
      </c>
      <c r="Q1061">
        <f>'Raw Data'!S1061</f>
        <v>0</v>
      </c>
      <c r="R1061">
        <f>'Raw Data'!T1061</f>
        <v>0</v>
      </c>
      <c r="S1061">
        <f>IFERROR(O1061,0)+IFERROR(R1061,0)</f>
        <v>0</v>
      </c>
      <c r="T1061">
        <f>IF(A1061="","",YEAR(A1061))</f>
        <v>0</v>
      </c>
    </row>
    <row r="1062" spans="1:20">
      <c r="A1062">
        <f>'Raw Data'!B1062</f>
        <v>0</v>
      </c>
      <c r="B1062">
        <f>'Raw Data'!A1062</f>
        <v>0</v>
      </c>
      <c r="C1062">
        <f>'Raw Data'!C1062</f>
        <v>0</v>
      </c>
      <c r="D1062">
        <f>'Raw Data'!D1062</f>
        <v>0</v>
      </c>
      <c r="E1062">
        <f>IFERROR(VLOOKUP(D1062,'Lookup Tables'!$A:$B,2,FALSE),"Unknown")</f>
        <v>0</v>
      </c>
      <c r="F1062">
        <f>'Raw Data'!E1062</f>
        <v>0</v>
      </c>
      <c r="G1062">
        <f>IFERROR(VLOOKUP(D1062,'Lookup Tables'!$A:$C,3,FALSE),IF(ISNUMBER(SEARCH("STEEL",F1062)),"Steel","Others"))</f>
        <v>0</v>
      </c>
      <c r="H1062">
        <f>IF(ISNUMBER(SEARCH("scrubber",F1062)) , "Scrubber", IF(ISNUMBER(SEARCH("container",F1062)),"Container", IF(ISNUMBER(SEARCH("basket",F1062)),"Basket", IF(ISNUMBER(SEARCH("lunch",F1062)),"Lunch Box", IF(ISNUMBER(SEARCH("cutlery",F1062)),"Cutlery","Other")))))</f>
        <v>0</v>
      </c>
      <c r="I1062">
        <f>IF('Raw Data'!G1062&lt;&gt;'','Raw Data'!G1062,IFERROR(MID(F1062,SEARCH("MODEL",F1062)+6,20),""))</f>
        <v>0</v>
      </c>
      <c r="J1062">
        <f>'Raw Data'!H1062</f>
        <v>0</v>
      </c>
      <c r="K1062">
        <f>'Raw Data'!I1062</f>
        <v>0</v>
      </c>
      <c r="L1062">
        <f>IF('Raw Data'!N1062&lt;&gt;0,'Raw Data'!N1062,IFERROR(VALUE(MID(F1062,SEARCH("QTY",F1062)+4,IFERROR(FIND(" ",F1062,SEARCH("QTY",F1062)+4)-(SEARCH("QTY",F1062)+4),3))),""))</f>
        <v>0</v>
      </c>
      <c r="M1062">
        <f>'Raw Data'!O1062</f>
        <v>0</v>
      </c>
      <c r="N1062">
        <f>'Raw Data'!P1062</f>
        <v>0</v>
      </c>
      <c r="O1062">
        <f>'Raw Data'!Q1062</f>
        <v>0</v>
      </c>
      <c r="P1062">
        <f>'Raw Data'!R1062</f>
        <v>0</v>
      </c>
      <c r="Q1062">
        <f>'Raw Data'!S1062</f>
        <v>0</v>
      </c>
      <c r="R1062">
        <f>'Raw Data'!T1062</f>
        <v>0</v>
      </c>
      <c r="S1062">
        <f>IFERROR(O1062,0)+IFERROR(R1062,0)</f>
        <v>0</v>
      </c>
      <c r="T1062">
        <f>IF(A1062="","",YEAR(A1062))</f>
        <v>0</v>
      </c>
    </row>
    <row r="1063" spans="1:20">
      <c r="A1063">
        <f>'Raw Data'!B1063</f>
        <v>0</v>
      </c>
      <c r="B1063">
        <f>'Raw Data'!A1063</f>
        <v>0</v>
      </c>
      <c r="C1063">
        <f>'Raw Data'!C1063</f>
        <v>0</v>
      </c>
      <c r="D1063">
        <f>'Raw Data'!D1063</f>
        <v>0</v>
      </c>
      <c r="E1063">
        <f>IFERROR(VLOOKUP(D1063,'Lookup Tables'!$A:$B,2,FALSE),"Unknown")</f>
        <v>0</v>
      </c>
      <c r="F1063">
        <f>'Raw Data'!E1063</f>
        <v>0</v>
      </c>
      <c r="G1063">
        <f>IFERROR(VLOOKUP(D1063,'Lookup Tables'!$A:$C,3,FALSE),IF(ISNUMBER(SEARCH("STEEL",F1063)),"Steel","Others"))</f>
        <v>0</v>
      </c>
      <c r="H1063">
        <f>IF(ISNUMBER(SEARCH("scrubber",F1063)) , "Scrubber", IF(ISNUMBER(SEARCH("container",F1063)),"Container", IF(ISNUMBER(SEARCH("basket",F1063)),"Basket", IF(ISNUMBER(SEARCH("lunch",F1063)),"Lunch Box", IF(ISNUMBER(SEARCH("cutlery",F1063)),"Cutlery","Other")))))</f>
        <v>0</v>
      </c>
      <c r="I1063">
        <f>IF('Raw Data'!G1063&lt;&gt;'','Raw Data'!G1063,IFERROR(MID(F1063,SEARCH("MODEL",F1063)+6,20),""))</f>
        <v>0</v>
      </c>
      <c r="J1063">
        <f>'Raw Data'!H1063</f>
        <v>0</v>
      </c>
      <c r="K1063">
        <f>'Raw Data'!I1063</f>
        <v>0</v>
      </c>
      <c r="L1063">
        <f>IF('Raw Data'!N1063&lt;&gt;0,'Raw Data'!N1063,IFERROR(VALUE(MID(F1063,SEARCH("QTY",F1063)+4,IFERROR(FIND(" ",F1063,SEARCH("QTY",F1063)+4)-(SEARCH("QTY",F1063)+4),3))),""))</f>
        <v>0</v>
      </c>
      <c r="M1063">
        <f>'Raw Data'!O1063</f>
        <v>0</v>
      </c>
      <c r="N1063">
        <f>'Raw Data'!P1063</f>
        <v>0</v>
      </c>
      <c r="O1063">
        <f>'Raw Data'!Q1063</f>
        <v>0</v>
      </c>
      <c r="P1063">
        <f>'Raw Data'!R1063</f>
        <v>0</v>
      </c>
      <c r="Q1063">
        <f>'Raw Data'!S1063</f>
        <v>0</v>
      </c>
      <c r="R1063">
        <f>'Raw Data'!T1063</f>
        <v>0</v>
      </c>
      <c r="S1063">
        <f>IFERROR(O1063,0)+IFERROR(R1063,0)</f>
        <v>0</v>
      </c>
      <c r="T1063">
        <f>IF(A1063="","",YEAR(A1063))</f>
        <v>0</v>
      </c>
    </row>
    <row r="1064" spans="1:20">
      <c r="A1064">
        <f>'Raw Data'!B1064</f>
        <v>0</v>
      </c>
      <c r="B1064">
        <f>'Raw Data'!A1064</f>
        <v>0</v>
      </c>
      <c r="C1064">
        <f>'Raw Data'!C1064</f>
        <v>0</v>
      </c>
      <c r="D1064">
        <f>'Raw Data'!D1064</f>
        <v>0</v>
      </c>
      <c r="E1064">
        <f>IFERROR(VLOOKUP(D1064,'Lookup Tables'!$A:$B,2,FALSE),"Unknown")</f>
        <v>0</v>
      </c>
      <c r="F1064">
        <f>'Raw Data'!E1064</f>
        <v>0</v>
      </c>
      <c r="G1064">
        <f>IFERROR(VLOOKUP(D1064,'Lookup Tables'!$A:$C,3,FALSE),IF(ISNUMBER(SEARCH("STEEL",F1064)),"Steel","Others"))</f>
        <v>0</v>
      </c>
      <c r="H1064">
        <f>IF(ISNUMBER(SEARCH("scrubber",F1064)) , "Scrubber", IF(ISNUMBER(SEARCH("container",F1064)),"Container", IF(ISNUMBER(SEARCH("basket",F1064)),"Basket", IF(ISNUMBER(SEARCH("lunch",F1064)),"Lunch Box", IF(ISNUMBER(SEARCH("cutlery",F1064)),"Cutlery","Other")))))</f>
        <v>0</v>
      </c>
      <c r="I1064">
        <f>IF('Raw Data'!G1064&lt;&gt;'','Raw Data'!G1064,IFERROR(MID(F1064,SEARCH("MODEL",F1064)+6,20),""))</f>
        <v>0</v>
      </c>
      <c r="J1064">
        <f>'Raw Data'!H1064</f>
        <v>0</v>
      </c>
      <c r="K1064">
        <f>'Raw Data'!I1064</f>
        <v>0</v>
      </c>
      <c r="L1064">
        <f>IF('Raw Data'!N1064&lt;&gt;0,'Raw Data'!N1064,IFERROR(VALUE(MID(F1064,SEARCH("QTY",F1064)+4,IFERROR(FIND(" ",F1064,SEARCH("QTY",F1064)+4)-(SEARCH("QTY",F1064)+4),3))),""))</f>
        <v>0</v>
      </c>
      <c r="M1064">
        <f>'Raw Data'!O1064</f>
        <v>0</v>
      </c>
      <c r="N1064">
        <f>'Raw Data'!P1064</f>
        <v>0</v>
      </c>
      <c r="O1064">
        <f>'Raw Data'!Q1064</f>
        <v>0</v>
      </c>
      <c r="P1064">
        <f>'Raw Data'!R1064</f>
        <v>0</v>
      </c>
      <c r="Q1064">
        <f>'Raw Data'!S1064</f>
        <v>0</v>
      </c>
      <c r="R1064">
        <f>'Raw Data'!T1064</f>
        <v>0</v>
      </c>
      <c r="S1064">
        <f>IFERROR(O1064,0)+IFERROR(R1064,0)</f>
        <v>0</v>
      </c>
      <c r="T1064">
        <f>IF(A1064="","",YEAR(A1064))</f>
        <v>0</v>
      </c>
    </row>
    <row r="1065" spans="1:20">
      <c r="A1065">
        <f>'Raw Data'!B1065</f>
        <v>0</v>
      </c>
      <c r="B1065">
        <f>'Raw Data'!A1065</f>
        <v>0</v>
      </c>
      <c r="C1065">
        <f>'Raw Data'!C1065</f>
        <v>0</v>
      </c>
      <c r="D1065">
        <f>'Raw Data'!D1065</f>
        <v>0</v>
      </c>
      <c r="E1065">
        <f>IFERROR(VLOOKUP(D1065,'Lookup Tables'!$A:$B,2,FALSE),"Unknown")</f>
        <v>0</v>
      </c>
      <c r="F1065">
        <f>'Raw Data'!E1065</f>
        <v>0</v>
      </c>
      <c r="G1065">
        <f>IFERROR(VLOOKUP(D1065,'Lookup Tables'!$A:$C,3,FALSE),IF(ISNUMBER(SEARCH("STEEL",F1065)),"Steel","Others"))</f>
        <v>0</v>
      </c>
      <c r="H1065">
        <f>IF(ISNUMBER(SEARCH("scrubber",F1065)) , "Scrubber", IF(ISNUMBER(SEARCH("container",F1065)),"Container", IF(ISNUMBER(SEARCH("basket",F1065)),"Basket", IF(ISNUMBER(SEARCH("lunch",F1065)),"Lunch Box", IF(ISNUMBER(SEARCH("cutlery",F1065)),"Cutlery","Other")))))</f>
        <v>0</v>
      </c>
      <c r="I1065">
        <f>IF('Raw Data'!G1065&lt;&gt;'','Raw Data'!G1065,IFERROR(MID(F1065,SEARCH("MODEL",F1065)+6,20),""))</f>
        <v>0</v>
      </c>
      <c r="J1065">
        <f>'Raw Data'!H1065</f>
        <v>0</v>
      </c>
      <c r="K1065">
        <f>'Raw Data'!I1065</f>
        <v>0</v>
      </c>
      <c r="L1065">
        <f>IF('Raw Data'!N1065&lt;&gt;0,'Raw Data'!N1065,IFERROR(VALUE(MID(F1065,SEARCH("QTY",F1065)+4,IFERROR(FIND(" ",F1065,SEARCH("QTY",F1065)+4)-(SEARCH("QTY",F1065)+4),3))),""))</f>
        <v>0</v>
      </c>
      <c r="M1065">
        <f>'Raw Data'!O1065</f>
        <v>0</v>
      </c>
      <c r="N1065">
        <f>'Raw Data'!P1065</f>
        <v>0</v>
      </c>
      <c r="O1065">
        <f>'Raw Data'!Q1065</f>
        <v>0</v>
      </c>
      <c r="P1065">
        <f>'Raw Data'!R1065</f>
        <v>0</v>
      </c>
      <c r="Q1065">
        <f>'Raw Data'!S1065</f>
        <v>0</v>
      </c>
      <c r="R1065">
        <f>'Raw Data'!T1065</f>
        <v>0</v>
      </c>
      <c r="S1065">
        <f>IFERROR(O1065,0)+IFERROR(R1065,0)</f>
        <v>0</v>
      </c>
      <c r="T1065">
        <f>IF(A1065="","",YEAR(A1065))</f>
        <v>0</v>
      </c>
    </row>
    <row r="1066" spans="1:20">
      <c r="A1066">
        <f>'Raw Data'!B1066</f>
        <v>0</v>
      </c>
      <c r="B1066">
        <f>'Raw Data'!A1066</f>
        <v>0</v>
      </c>
      <c r="C1066">
        <f>'Raw Data'!C1066</f>
        <v>0</v>
      </c>
      <c r="D1066">
        <f>'Raw Data'!D1066</f>
        <v>0</v>
      </c>
      <c r="E1066">
        <f>IFERROR(VLOOKUP(D1066,'Lookup Tables'!$A:$B,2,FALSE),"Unknown")</f>
        <v>0</v>
      </c>
      <c r="F1066">
        <f>'Raw Data'!E1066</f>
        <v>0</v>
      </c>
      <c r="G1066">
        <f>IFERROR(VLOOKUP(D1066,'Lookup Tables'!$A:$C,3,FALSE),IF(ISNUMBER(SEARCH("STEEL",F1066)),"Steel","Others"))</f>
        <v>0</v>
      </c>
      <c r="H1066">
        <f>IF(ISNUMBER(SEARCH("scrubber",F1066)) , "Scrubber", IF(ISNUMBER(SEARCH("container",F1066)),"Container", IF(ISNUMBER(SEARCH("basket",F1066)),"Basket", IF(ISNUMBER(SEARCH("lunch",F1066)),"Lunch Box", IF(ISNUMBER(SEARCH("cutlery",F1066)),"Cutlery","Other")))))</f>
        <v>0</v>
      </c>
      <c r="I1066">
        <f>IF('Raw Data'!G1066&lt;&gt;'','Raw Data'!G1066,IFERROR(MID(F1066,SEARCH("MODEL",F1066)+6,20),""))</f>
        <v>0</v>
      </c>
      <c r="J1066">
        <f>'Raw Data'!H1066</f>
        <v>0</v>
      </c>
      <c r="K1066">
        <f>'Raw Data'!I1066</f>
        <v>0</v>
      </c>
      <c r="L1066">
        <f>IF('Raw Data'!N1066&lt;&gt;0,'Raw Data'!N1066,IFERROR(VALUE(MID(F1066,SEARCH("QTY",F1066)+4,IFERROR(FIND(" ",F1066,SEARCH("QTY",F1066)+4)-(SEARCH("QTY",F1066)+4),3))),""))</f>
        <v>0</v>
      </c>
      <c r="M1066">
        <f>'Raw Data'!O1066</f>
        <v>0</v>
      </c>
      <c r="N1066">
        <f>'Raw Data'!P1066</f>
        <v>0</v>
      </c>
      <c r="O1066">
        <f>'Raw Data'!Q1066</f>
        <v>0</v>
      </c>
      <c r="P1066">
        <f>'Raw Data'!R1066</f>
        <v>0</v>
      </c>
      <c r="Q1066">
        <f>'Raw Data'!S1066</f>
        <v>0</v>
      </c>
      <c r="R1066">
        <f>'Raw Data'!T1066</f>
        <v>0</v>
      </c>
      <c r="S1066">
        <f>IFERROR(O1066,0)+IFERROR(R1066,0)</f>
        <v>0</v>
      </c>
      <c r="T1066">
        <f>IF(A1066="","",YEAR(A1066))</f>
        <v>0</v>
      </c>
    </row>
    <row r="1067" spans="1:20">
      <c r="A1067">
        <f>'Raw Data'!B1067</f>
        <v>0</v>
      </c>
      <c r="B1067">
        <f>'Raw Data'!A1067</f>
        <v>0</v>
      </c>
      <c r="C1067">
        <f>'Raw Data'!C1067</f>
        <v>0</v>
      </c>
      <c r="D1067">
        <f>'Raw Data'!D1067</f>
        <v>0</v>
      </c>
      <c r="E1067">
        <f>IFERROR(VLOOKUP(D1067,'Lookup Tables'!$A:$B,2,FALSE),"Unknown")</f>
        <v>0</v>
      </c>
      <c r="F1067">
        <f>'Raw Data'!E1067</f>
        <v>0</v>
      </c>
      <c r="G1067">
        <f>IFERROR(VLOOKUP(D1067,'Lookup Tables'!$A:$C,3,FALSE),IF(ISNUMBER(SEARCH("STEEL",F1067)),"Steel","Others"))</f>
        <v>0</v>
      </c>
      <c r="H1067">
        <f>IF(ISNUMBER(SEARCH("scrubber",F1067)) , "Scrubber", IF(ISNUMBER(SEARCH("container",F1067)),"Container", IF(ISNUMBER(SEARCH("basket",F1067)),"Basket", IF(ISNUMBER(SEARCH("lunch",F1067)),"Lunch Box", IF(ISNUMBER(SEARCH("cutlery",F1067)),"Cutlery","Other")))))</f>
        <v>0</v>
      </c>
      <c r="I1067">
        <f>IF('Raw Data'!G1067&lt;&gt;'','Raw Data'!G1067,IFERROR(MID(F1067,SEARCH("MODEL",F1067)+6,20),""))</f>
        <v>0</v>
      </c>
      <c r="J1067">
        <f>'Raw Data'!H1067</f>
        <v>0</v>
      </c>
      <c r="K1067">
        <f>'Raw Data'!I1067</f>
        <v>0</v>
      </c>
      <c r="L1067">
        <f>IF('Raw Data'!N1067&lt;&gt;0,'Raw Data'!N1067,IFERROR(VALUE(MID(F1067,SEARCH("QTY",F1067)+4,IFERROR(FIND(" ",F1067,SEARCH("QTY",F1067)+4)-(SEARCH("QTY",F1067)+4),3))),""))</f>
        <v>0</v>
      </c>
      <c r="M1067">
        <f>'Raw Data'!O1067</f>
        <v>0</v>
      </c>
      <c r="N1067">
        <f>'Raw Data'!P1067</f>
        <v>0</v>
      </c>
      <c r="O1067">
        <f>'Raw Data'!Q1067</f>
        <v>0</v>
      </c>
      <c r="P1067">
        <f>'Raw Data'!R1067</f>
        <v>0</v>
      </c>
      <c r="Q1067">
        <f>'Raw Data'!S1067</f>
        <v>0</v>
      </c>
      <c r="R1067">
        <f>'Raw Data'!T1067</f>
        <v>0</v>
      </c>
      <c r="S1067">
        <f>IFERROR(O1067,0)+IFERROR(R1067,0)</f>
        <v>0</v>
      </c>
      <c r="T1067">
        <f>IF(A1067="","",YEAR(A1067))</f>
        <v>0</v>
      </c>
    </row>
    <row r="1068" spans="1:20">
      <c r="A1068">
        <f>'Raw Data'!B1068</f>
        <v>0</v>
      </c>
      <c r="B1068">
        <f>'Raw Data'!A1068</f>
        <v>0</v>
      </c>
      <c r="C1068">
        <f>'Raw Data'!C1068</f>
        <v>0</v>
      </c>
      <c r="D1068">
        <f>'Raw Data'!D1068</f>
        <v>0</v>
      </c>
      <c r="E1068">
        <f>IFERROR(VLOOKUP(D1068,'Lookup Tables'!$A:$B,2,FALSE),"Unknown")</f>
        <v>0</v>
      </c>
      <c r="F1068">
        <f>'Raw Data'!E1068</f>
        <v>0</v>
      </c>
      <c r="G1068">
        <f>IFERROR(VLOOKUP(D1068,'Lookup Tables'!$A:$C,3,FALSE),IF(ISNUMBER(SEARCH("STEEL",F1068)),"Steel","Others"))</f>
        <v>0</v>
      </c>
      <c r="H1068">
        <f>IF(ISNUMBER(SEARCH("scrubber",F1068)) , "Scrubber", IF(ISNUMBER(SEARCH("container",F1068)),"Container", IF(ISNUMBER(SEARCH("basket",F1068)),"Basket", IF(ISNUMBER(SEARCH("lunch",F1068)),"Lunch Box", IF(ISNUMBER(SEARCH("cutlery",F1068)),"Cutlery","Other")))))</f>
        <v>0</v>
      </c>
      <c r="I1068">
        <f>IF('Raw Data'!G1068&lt;&gt;'','Raw Data'!G1068,IFERROR(MID(F1068,SEARCH("MODEL",F1068)+6,20),""))</f>
        <v>0</v>
      </c>
      <c r="J1068">
        <f>'Raw Data'!H1068</f>
        <v>0</v>
      </c>
      <c r="K1068">
        <f>'Raw Data'!I1068</f>
        <v>0</v>
      </c>
      <c r="L1068">
        <f>IF('Raw Data'!N1068&lt;&gt;0,'Raw Data'!N1068,IFERROR(VALUE(MID(F1068,SEARCH("QTY",F1068)+4,IFERROR(FIND(" ",F1068,SEARCH("QTY",F1068)+4)-(SEARCH("QTY",F1068)+4),3))),""))</f>
        <v>0</v>
      </c>
      <c r="M1068">
        <f>'Raw Data'!O1068</f>
        <v>0</v>
      </c>
      <c r="N1068">
        <f>'Raw Data'!P1068</f>
        <v>0</v>
      </c>
      <c r="O1068">
        <f>'Raw Data'!Q1068</f>
        <v>0</v>
      </c>
      <c r="P1068">
        <f>'Raw Data'!R1068</f>
        <v>0</v>
      </c>
      <c r="Q1068">
        <f>'Raw Data'!S1068</f>
        <v>0</v>
      </c>
      <c r="R1068">
        <f>'Raw Data'!T1068</f>
        <v>0</v>
      </c>
      <c r="S1068">
        <f>IFERROR(O1068,0)+IFERROR(R1068,0)</f>
        <v>0</v>
      </c>
      <c r="T1068">
        <f>IF(A1068="","",YEAR(A1068))</f>
        <v>0</v>
      </c>
    </row>
    <row r="1069" spans="1:20">
      <c r="A1069">
        <f>'Raw Data'!B1069</f>
        <v>0</v>
      </c>
      <c r="B1069">
        <f>'Raw Data'!A1069</f>
        <v>0</v>
      </c>
      <c r="C1069">
        <f>'Raw Data'!C1069</f>
        <v>0</v>
      </c>
      <c r="D1069">
        <f>'Raw Data'!D1069</f>
        <v>0</v>
      </c>
      <c r="E1069">
        <f>IFERROR(VLOOKUP(D1069,'Lookup Tables'!$A:$B,2,FALSE),"Unknown")</f>
        <v>0</v>
      </c>
      <c r="F1069">
        <f>'Raw Data'!E1069</f>
        <v>0</v>
      </c>
      <c r="G1069">
        <f>IFERROR(VLOOKUP(D1069,'Lookup Tables'!$A:$C,3,FALSE),IF(ISNUMBER(SEARCH("STEEL",F1069)),"Steel","Others"))</f>
        <v>0</v>
      </c>
      <c r="H1069">
        <f>IF(ISNUMBER(SEARCH("scrubber",F1069)) , "Scrubber", IF(ISNUMBER(SEARCH("container",F1069)),"Container", IF(ISNUMBER(SEARCH("basket",F1069)),"Basket", IF(ISNUMBER(SEARCH("lunch",F1069)),"Lunch Box", IF(ISNUMBER(SEARCH("cutlery",F1069)),"Cutlery","Other")))))</f>
        <v>0</v>
      </c>
      <c r="I1069">
        <f>IF('Raw Data'!G1069&lt;&gt;'','Raw Data'!G1069,IFERROR(MID(F1069,SEARCH("MODEL",F1069)+6,20),""))</f>
        <v>0</v>
      </c>
      <c r="J1069">
        <f>'Raw Data'!H1069</f>
        <v>0</v>
      </c>
      <c r="K1069">
        <f>'Raw Data'!I1069</f>
        <v>0</v>
      </c>
      <c r="L1069">
        <f>IF('Raw Data'!N1069&lt;&gt;0,'Raw Data'!N1069,IFERROR(VALUE(MID(F1069,SEARCH("QTY",F1069)+4,IFERROR(FIND(" ",F1069,SEARCH("QTY",F1069)+4)-(SEARCH("QTY",F1069)+4),3))),""))</f>
        <v>0</v>
      </c>
      <c r="M1069">
        <f>'Raw Data'!O1069</f>
        <v>0</v>
      </c>
      <c r="N1069">
        <f>'Raw Data'!P1069</f>
        <v>0</v>
      </c>
      <c r="O1069">
        <f>'Raw Data'!Q1069</f>
        <v>0</v>
      </c>
      <c r="P1069">
        <f>'Raw Data'!R1069</f>
        <v>0</v>
      </c>
      <c r="Q1069">
        <f>'Raw Data'!S1069</f>
        <v>0</v>
      </c>
      <c r="R1069">
        <f>'Raw Data'!T1069</f>
        <v>0</v>
      </c>
      <c r="S1069">
        <f>IFERROR(O1069,0)+IFERROR(R1069,0)</f>
        <v>0</v>
      </c>
      <c r="T1069">
        <f>IF(A1069="","",YEAR(A1069))</f>
        <v>0</v>
      </c>
    </row>
    <row r="1070" spans="1:20">
      <c r="A1070">
        <f>'Raw Data'!B1070</f>
        <v>0</v>
      </c>
      <c r="B1070">
        <f>'Raw Data'!A1070</f>
        <v>0</v>
      </c>
      <c r="C1070">
        <f>'Raw Data'!C1070</f>
        <v>0</v>
      </c>
      <c r="D1070">
        <f>'Raw Data'!D1070</f>
        <v>0</v>
      </c>
      <c r="E1070">
        <f>IFERROR(VLOOKUP(D1070,'Lookup Tables'!$A:$B,2,FALSE),"Unknown")</f>
        <v>0</v>
      </c>
      <c r="F1070">
        <f>'Raw Data'!E1070</f>
        <v>0</v>
      </c>
      <c r="G1070">
        <f>IFERROR(VLOOKUP(D1070,'Lookup Tables'!$A:$C,3,FALSE),IF(ISNUMBER(SEARCH("STEEL",F1070)),"Steel","Others"))</f>
        <v>0</v>
      </c>
      <c r="H1070">
        <f>IF(ISNUMBER(SEARCH("scrubber",F1070)) , "Scrubber", IF(ISNUMBER(SEARCH("container",F1070)),"Container", IF(ISNUMBER(SEARCH("basket",F1070)),"Basket", IF(ISNUMBER(SEARCH("lunch",F1070)),"Lunch Box", IF(ISNUMBER(SEARCH("cutlery",F1070)),"Cutlery","Other")))))</f>
        <v>0</v>
      </c>
      <c r="I1070">
        <f>IF('Raw Data'!G1070&lt;&gt;'','Raw Data'!G1070,IFERROR(MID(F1070,SEARCH("MODEL",F1070)+6,20),""))</f>
        <v>0</v>
      </c>
      <c r="J1070">
        <f>'Raw Data'!H1070</f>
        <v>0</v>
      </c>
      <c r="K1070">
        <f>'Raw Data'!I1070</f>
        <v>0</v>
      </c>
      <c r="L1070">
        <f>IF('Raw Data'!N1070&lt;&gt;0,'Raw Data'!N1070,IFERROR(VALUE(MID(F1070,SEARCH("QTY",F1070)+4,IFERROR(FIND(" ",F1070,SEARCH("QTY",F1070)+4)-(SEARCH("QTY",F1070)+4),3))),""))</f>
        <v>0</v>
      </c>
      <c r="M1070">
        <f>'Raw Data'!O1070</f>
        <v>0</v>
      </c>
      <c r="N1070">
        <f>'Raw Data'!P1070</f>
        <v>0</v>
      </c>
      <c r="O1070">
        <f>'Raw Data'!Q1070</f>
        <v>0</v>
      </c>
      <c r="P1070">
        <f>'Raw Data'!R1070</f>
        <v>0</v>
      </c>
      <c r="Q1070">
        <f>'Raw Data'!S1070</f>
        <v>0</v>
      </c>
      <c r="R1070">
        <f>'Raw Data'!T1070</f>
        <v>0</v>
      </c>
      <c r="S1070">
        <f>IFERROR(O1070,0)+IFERROR(R1070,0)</f>
        <v>0</v>
      </c>
      <c r="T1070">
        <f>IF(A1070="","",YEAR(A1070))</f>
        <v>0</v>
      </c>
    </row>
    <row r="1071" spans="1:20">
      <c r="A1071">
        <f>'Raw Data'!B1071</f>
        <v>0</v>
      </c>
      <c r="B1071">
        <f>'Raw Data'!A1071</f>
        <v>0</v>
      </c>
      <c r="C1071">
        <f>'Raw Data'!C1071</f>
        <v>0</v>
      </c>
      <c r="D1071">
        <f>'Raw Data'!D1071</f>
        <v>0</v>
      </c>
      <c r="E1071">
        <f>IFERROR(VLOOKUP(D1071,'Lookup Tables'!$A:$B,2,FALSE),"Unknown")</f>
        <v>0</v>
      </c>
      <c r="F1071">
        <f>'Raw Data'!E1071</f>
        <v>0</v>
      </c>
      <c r="G1071">
        <f>IFERROR(VLOOKUP(D1071,'Lookup Tables'!$A:$C,3,FALSE),IF(ISNUMBER(SEARCH("STEEL",F1071)),"Steel","Others"))</f>
        <v>0</v>
      </c>
      <c r="H1071">
        <f>IF(ISNUMBER(SEARCH("scrubber",F1071)) , "Scrubber", IF(ISNUMBER(SEARCH("container",F1071)),"Container", IF(ISNUMBER(SEARCH("basket",F1071)),"Basket", IF(ISNUMBER(SEARCH("lunch",F1071)),"Lunch Box", IF(ISNUMBER(SEARCH("cutlery",F1071)),"Cutlery","Other")))))</f>
        <v>0</v>
      </c>
      <c r="I1071">
        <f>IF('Raw Data'!G1071&lt;&gt;'','Raw Data'!G1071,IFERROR(MID(F1071,SEARCH("MODEL",F1071)+6,20),""))</f>
        <v>0</v>
      </c>
      <c r="J1071">
        <f>'Raw Data'!H1071</f>
        <v>0</v>
      </c>
      <c r="K1071">
        <f>'Raw Data'!I1071</f>
        <v>0</v>
      </c>
      <c r="L1071">
        <f>IF('Raw Data'!N1071&lt;&gt;0,'Raw Data'!N1071,IFERROR(VALUE(MID(F1071,SEARCH("QTY",F1071)+4,IFERROR(FIND(" ",F1071,SEARCH("QTY",F1071)+4)-(SEARCH("QTY",F1071)+4),3))),""))</f>
        <v>0</v>
      </c>
      <c r="M1071">
        <f>'Raw Data'!O1071</f>
        <v>0</v>
      </c>
      <c r="N1071">
        <f>'Raw Data'!P1071</f>
        <v>0</v>
      </c>
      <c r="O1071">
        <f>'Raw Data'!Q1071</f>
        <v>0</v>
      </c>
      <c r="P1071">
        <f>'Raw Data'!R1071</f>
        <v>0</v>
      </c>
      <c r="Q1071">
        <f>'Raw Data'!S1071</f>
        <v>0</v>
      </c>
      <c r="R1071">
        <f>'Raw Data'!T1071</f>
        <v>0</v>
      </c>
      <c r="S1071">
        <f>IFERROR(O1071,0)+IFERROR(R1071,0)</f>
        <v>0</v>
      </c>
      <c r="T1071">
        <f>IF(A1071="","",YEAR(A1071))</f>
        <v>0</v>
      </c>
    </row>
    <row r="1072" spans="1:20">
      <c r="A1072">
        <f>'Raw Data'!B1072</f>
        <v>0</v>
      </c>
      <c r="B1072">
        <f>'Raw Data'!A1072</f>
        <v>0</v>
      </c>
      <c r="C1072">
        <f>'Raw Data'!C1072</f>
        <v>0</v>
      </c>
      <c r="D1072">
        <f>'Raw Data'!D1072</f>
        <v>0</v>
      </c>
      <c r="E1072">
        <f>IFERROR(VLOOKUP(D1072,'Lookup Tables'!$A:$B,2,FALSE),"Unknown")</f>
        <v>0</v>
      </c>
      <c r="F1072">
        <f>'Raw Data'!E1072</f>
        <v>0</v>
      </c>
      <c r="G1072">
        <f>IFERROR(VLOOKUP(D1072,'Lookup Tables'!$A:$C,3,FALSE),IF(ISNUMBER(SEARCH("STEEL",F1072)),"Steel","Others"))</f>
        <v>0</v>
      </c>
      <c r="H1072">
        <f>IF(ISNUMBER(SEARCH("scrubber",F1072)) , "Scrubber", IF(ISNUMBER(SEARCH("container",F1072)),"Container", IF(ISNUMBER(SEARCH("basket",F1072)),"Basket", IF(ISNUMBER(SEARCH("lunch",F1072)),"Lunch Box", IF(ISNUMBER(SEARCH("cutlery",F1072)),"Cutlery","Other")))))</f>
        <v>0</v>
      </c>
      <c r="I1072">
        <f>IF('Raw Data'!G1072&lt;&gt;'','Raw Data'!G1072,IFERROR(MID(F1072,SEARCH("MODEL",F1072)+6,20),""))</f>
        <v>0</v>
      </c>
      <c r="J1072">
        <f>'Raw Data'!H1072</f>
        <v>0</v>
      </c>
      <c r="K1072">
        <f>'Raw Data'!I1072</f>
        <v>0</v>
      </c>
      <c r="L1072">
        <f>IF('Raw Data'!N1072&lt;&gt;0,'Raw Data'!N1072,IFERROR(VALUE(MID(F1072,SEARCH("QTY",F1072)+4,IFERROR(FIND(" ",F1072,SEARCH("QTY",F1072)+4)-(SEARCH("QTY",F1072)+4),3))),""))</f>
        <v>0</v>
      </c>
      <c r="M1072">
        <f>'Raw Data'!O1072</f>
        <v>0</v>
      </c>
      <c r="N1072">
        <f>'Raw Data'!P1072</f>
        <v>0</v>
      </c>
      <c r="O1072">
        <f>'Raw Data'!Q1072</f>
        <v>0</v>
      </c>
      <c r="P1072">
        <f>'Raw Data'!R1072</f>
        <v>0</v>
      </c>
      <c r="Q1072">
        <f>'Raw Data'!S1072</f>
        <v>0</v>
      </c>
      <c r="R1072">
        <f>'Raw Data'!T1072</f>
        <v>0</v>
      </c>
      <c r="S1072">
        <f>IFERROR(O1072,0)+IFERROR(R1072,0)</f>
        <v>0</v>
      </c>
      <c r="T1072">
        <f>IF(A1072="","",YEAR(A1072))</f>
        <v>0</v>
      </c>
    </row>
    <row r="1073" spans="1:20">
      <c r="A1073">
        <f>'Raw Data'!B1073</f>
        <v>0</v>
      </c>
      <c r="B1073">
        <f>'Raw Data'!A1073</f>
        <v>0</v>
      </c>
      <c r="C1073">
        <f>'Raw Data'!C1073</f>
        <v>0</v>
      </c>
      <c r="D1073">
        <f>'Raw Data'!D1073</f>
        <v>0</v>
      </c>
      <c r="E1073">
        <f>IFERROR(VLOOKUP(D1073,'Lookup Tables'!$A:$B,2,FALSE),"Unknown")</f>
        <v>0</v>
      </c>
      <c r="F1073">
        <f>'Raw Data'!E1073</f>
        <v>0</v>
      </c>
      <c r="G1073">
        <f>IFERROR(VLOOKUP(D1073,'Lookup Tables'!$A:$C,3,FALSE),IF(ISNUMBER(SEARCH("STEEL",F1073)),"Steel","Others"))</f>
        <v>0</v>
      </c>
      <c r="H1073">
        <f>IF(ISNUMBER(SEARCH("scrubber",F1073)) , "Scrubber", IF(ISNUMBER(SEARCH("container",F1073)),"Container", IF(ISNUMBER(SEARCH("basket",F1073)),"Basket", IF(ISNUMBER(SEARCH("lunch",F1073)),"Lunch Box", IF(ISNUMBER(SEARCH("cutlery",F1073)),"Cutlery","Other")))))</f>
        <v>0</v>
      </c>
      <c r="I1073">
        <f>IF('Raw Data'!G1073&lt;&gt;'','Raw Data'!G1073,IFERROR(MID(F1073,SEARCH("MODEL",F1073)+6,20),""))</f>
        <v>0</v>
      </c>
      <c r="J1073">
        <f>'Raw Data'!H1073</f>
        <v>0</v>
      </c>
      <c r="K1073">
        <f>'Raw Data'!I1073</f>
        <v>0</v>
      </c>
      <c r="L1073">
        <f>IF('Raw Data'!N1073&lt;&gt;0,'Raw Data'!N1073,IFERROR(VALUE(MID(F1073,SEARCH("QTY",F1073)+4,IFERROR(FIND(" ",F1073,SEARCH("QTY",F1073)+4)-(SEARCH("QTY",F1073)+4),3))),""))</f>
        <v>0</v>
      </c>
      <c r="M1073">
        <f>'Raw Data'!O1073</f>
        <v>0</v>
      </c>
      <c r="N1073">
        <f>'Raw Data'!P1073</f>
        <v>0</v>
      </c>
      <c r="O1073">
        <f>'Raw Data'!Q1073</f>
        <v>0</v>
      </c>
      <c r="P1073">
        <f>'Raw Data'!R1073</f>
        <v>0</v>
      </c>
      <c r="Q1073">
        <f>'Raw Data'!S1073</f>
        <v>0</v>
      </c>
      <c r="R1073">
        <f>'Raw Data'!T1073</f>
        <v>0</v>
      </c>
      <c r="S1073">
        <f>IFERROR(O1073,0)+IFERROR(R1073,0)</f>
        <v>0</v>
      </c>
      <c r="T1073">
        <f>IF(A1073="","",YEAR(A1073))</f>
        <v>0</v>
      </c>
    </row>
    <row r="1074" spans="1:20">
      <c r="A1074">
        <f>'Raw Data'!B1074</f>
        <v>0</v>
      </c>
      <c r="B1074">
        <f>'Raw Data'!A1074</f>
        <v>0</v>
      </c>
      <c r="C1074">
        <f>'Raw Data'!C1074</f>
        <v>0</v>
      </c>
      <c r="D1074">
        <f>'Raw Data'!D1074</f>
        <v>0</v>
      </c>
      <c r="E1074">
        <f>IFERROR(VLOOKUP(D1074,'Lookup Tables'!$A:$B,2,FALSE),"Unknown")</f>
        <v>0</v>
      </c>
      <c r="F1074">
        <f>'Raw Data'!E1074</f>
        <v>0</v>
      </c>
      <c r="G1074">
        <f>IFERROR(VLOOKUP(D1074,'Lookup Tables'!$A:$C,3,FALSE),IF(ISNUMBER(SEARCH("STEEL",F1074)),"Steel","Others"))</f>
        <v>0</v>
      </c>
      <c r="H1074">
        <f>IF(ISNUMBER(SEARCH("scrubber",F1074)) , "Scrubber", IF(ISNUMBER(SEARCH("container",F1074)),"Container", IF(ISNUMBER(SEARCH("basket",F1074)),"Basket", IF(ISNUMBER(SEARCH("lunch",F1074)),"Lunch Box", IF(ISNUMBER(SEARCH("cutlery",F1074)),"Cutlery","Other")))))</f>
        <v>0</v>
      </c>
      <c r="I1074">
        <f>IF('Raw Data'!G1074&lt;&gt;'','Raw Data'!G1074,IFERROR(MID(F1074,SEARCH("MODEL",F1074)+6,20),""))</f>
        <v>0</v>
      </c>
      <c r="J1074">
        <f>'Raw Data'!H1074</f>
        <v>0</v>
      </c>
      <c r="K1074">
        <f>'Raw Data'!I1074</f>
        <v>0</v>
      </c>
      <c r="L1074">
        <f>IF('Raw Data'!N1074&lt;&gt;0,'Raw Data'!N1074,IFERROR(VALUE(MID(F1074,SEARCH("QTY",F1074)+4,IFERROR(FIND(" ",F1074,SEARCH("QTY",F1074)+4)-(SEARCH("QTY",F1074)+4),3))),""))</f>
        <v>0</v>
      </c>
      <c r="M1074">
        <f>'Raw Data'!O1074</f>
        <v>0</v>
      </c>
      <c r="N1074">
        <f>'Raw Data'!P1074</f>
        <v>0</v>
      </c>
      <c r="O1074">
        <f>'Raw Data'!Q1074</f>
        <v>0</v>
      </c>
      <c r="P1074">
        <f>'Raw Data'!R1074</f>
        <v>0</v>
      </c>
      <c r="Q1074">
        <f>'Raw Data'!S1074</f>
        <v>0</v>
      </c>
      <c r="R1074">
        <f>'Raw Data'!T1074</f>
        <v>0</v>
      </c>
      <c r="S1074">
        <f>IFERROR(O1074,0)+IFERROR(R1074,0)</f>
        <v>0</v>
      </c>
      <c r="T1074">
        <f>IF(A1074="","",YEAR(A1074))</f>
        <v>0</v>
      </c>
    </row>
    <row r="1075" spans="1:20">
      <c r="A1075">
        <f>'Raw Data'!B1075</f>
        <v>0</v>
      </c>
      <c r="B1075">
        <f>'Raw Data'!A1075</f>
        <v>0</v>
      </c>
      <c r="C1075">
        <f>'Raw Data'!C1075</f>
        <v>0</v>
      </c>
      <c r="D1075">
        <f>'Raw Data'!D1075</f>
        <v>0</v>
      </c>
      <c r="E1075">
        <f>IFERROR(VLOOKUP(D1075,'Lookup Tables'!$A:$B,2,FALSE),"Unknown")</f>
        <v>0</v>
      </c>
      <c r="F1075">
        <f>'Raw Data'!E1075</f>
        <v>0</v>
      </c>
      <c r="G1075">
        <f>IFERROR(VLOOKUP(D1075,'Lookup Tables'!$A:$C,3,FALSE),IF(ISNUMBER(SEARCH("STEEL",F1075)),"Steel","Others"))</f>
        <v>0</v>
      </c>
      <c r="H1075">
        <f>IF(ISNUMBER(SEARCH("scrubber",F1075)) , "Scrubber", IF(ISNUMBER(SEARCH("container",F1075)),"Container", IF(ISNUMBER(SEARCH("basket",F1075)),"Basket", IF(ISNUMBER(SEARCH("lunch",F1075)),"Lunch Box", IF(ISNUMBER(SEARCH("cutlery",F1075)),"Cutlery","Other")))))</f>
        <v>0</v>
      </c>
      <c r="I1075">
        <f>IF('Raw Data'!G1075&lt;&gt;'','Raw Data'!G1075,IFERROR(MID(F1075,SEARCH("MODEL",F1075)+6,20),""))</f>
        <v>0</v>
      </c>
      <c r="J1075">
        <f>'Raw Data'!H1075</f>
        <v>0</v>
      </c>
      <c r="K1075">
        <f>'Raw Data'!I1075</f>
        <v>0</v>
      </c>
      <c r="L1075">
        <f>IF('Raw Data'!N1075&lt;&gt;0,'Raw Data'!N1075,IFERROR(VALUE(MID(F1075,SEARCH("QTY",F1075)+4,IFERROR(FIND(" ",F1075,SEARCH("QTY",F1075)+4)-(SEARCH("QTY",F1075)+4),3))),""))</f>
        <v>0</v>
      </c>
      <c r="M1075">
        <f>'Raw Data'!O1075</f>
        <v>0</v>
      </c>
      <c r="N1075">
        <f>'Raw Data'!P1075</f>
        <v>0</v>
      </c>
      <c r="O1075">
        <f>'Raw Data'!Q1075</f>
        <v>0</v>
      </c>
      <c r="P1075">
        <f>'Raw Data'!R1075</f>
        <v>0</v>
      </c>
      <c r="Q1075">
        <f>'Raw Data'!S1075</f>
        <v>0</v>
      </c>
      <c r="R1075">
        <f>'Raw Data'!T1075</f>
        <v>0</v>
      </c>
      <c r="S1075">
        <f>IFERROR(O1075,0)+IFERROR(R1075,0)</f>
        <v>0</v>
      </c>
      <c r="T1075">
        <f>IF(A1075="","",YEAR(A1075))</f>
        <v>0</v>
      </c>
    </row>
    <row r="1076" spans="1:20">
      <c r="A1076">
        <f>'Raw Data'!B1076</f>
        <v>0</v>
      </c>
      <c r="B1076">
        <f>'Raw Data'!A1076</f>
        <v>0</v>
      </c>
      <c r="C1076">
        <f>'Raw Data'!C1076</f>
        <v>0</v>
      </c>
      <c r="D1076">
        <f>'Raw Data'!D1076</f>
        <v>0</v>
      </c>
      <c r="E1076">
        <f>IFERROR(VLOOKUP(D1076,'Lookup Tables'!$A:$B,2,FALSE),"Unknown")</f>
        <v>0</v>
      </c>
      <c r="F1076">
        <f>'Raw Data'!E1076</f>
        <v>0</v>
      </c>
      <c r="G1076">
        <f>IFERROR(VLOOKUP(D1076,'Lookup Tables'!$A:$C,3,FALSE),IF(ISNUMBER(SEARCH("STEEL",F1076)),"Steel","Others"))</f>
        <v>0</v>
      </c>
      <c r="H1076">
        <f>IF(ISNUMBER(SEARCH("scrubber",F1076)) , "Scrubber", IF(ISNUMBER(SEARCH("container",F1076)),"Container", IF(ISNUMBER(SEARCH("basket",F1076)),"Basket", IF(ISNUMBER(SEARCH("lunch",F1076)),"Lunch Box", IF(ISNUMBER(SEARCH("cutlery",F1076)),"Cutlery","Other")))))</f>
        <v>0</v>
      </c>
      <c r="I1076">
        <f>IF('Raw Data'!G1076&lt;&gt;'','Raw Data'!G1076,IFERROR(MID(F1076,SEARCH("MODEL",F1076)+6,20),""))</f>
        <v>0</v>
      </c>
      <c r="J1076">
        <f>'Raw Data'!H1076</f>
        <v>0</v>
      </c>
      <c r="K1076">
        <f>'Raw Data'!I1076</f>
        <v>0</v>
      </c>
      <c r="L1076">
        <f>IF('Raw Data'!N1076&lt;&gt;0,'Raw Data'!N1076,IFERROR(VALUE(MID(F1076,SEARCH("QTY",F1076)+4,IFERROR(FIND(" ",F1076,SEARCH("QTY",F1076)+4)-(SEARCH("QTY",F1076)+4),3))),""))</f>
        <v>0</v>
      </c>
      <c r="M1076">
        <f>'Raw Data'!O1076</f>
        <v>0</v>
      </c>
      <c r="N1076">
        <f>'Raw Data'!P1076</f>
        <v>0</v>
      </c>
      <c r="O1076">
        <f>'Raw Data'!Q1076</f>
        <v>0</v>
      </c>
      <c r="P1076">
        <f>'Raw Data'!R1076</f>
        <v>0</v>
      </c>
      <c r="Q1076">
        <f>'Raw Data'!S1076</f>
        <v>0</v>
      </c>
      <c r="R1076">
        <f>'Raw Data'!T1076</f>
        <v>0</v>
      </c>
      <c r="S1076">
        <f>IFERROR(O1076,0)+IFERROR(R1076,0)</f>
        <v>0</v>
      </c>
      <c r="T1076">
        <f>IF(A1076="","",YEAR(A1076))</f>
        <v>0</v>
      </c>
    </row>
    <row r="1077" spans="1:20">
      <c r="A1077">
        <f>'Raw Data'!B1077</f>
        <v>0</v>
      </c>
      <c r="B1077">
        <f>'Raw Data'!A1077</f>
        <v>0</v>
      </c>
      <c r="C1077">
        <f>'Raw Data'!C1077</f>
        <v>0</v>
      </c>
      <c r="D1077">
        <f>'Raw Data'!D1077</f>
        <v>0</v>
      </c>
      <c r="E1077">
        <f>IFERROR(VLOOKUP(D1077,'Lookup Tables'!$A:$B,2,FALSE),"Unknown")</f>
        <v>0</v>
      </c>
      <c r="F1077">
        <f>'Raw Data'!E1077</f>
        <v>0</v>
      </c>
      <c r="G1077">
        <f>IFERROR(VLOOKUP(D1077,'Lookup Tables'!$A:$C,3,FALSE),IF(ISNUMBER(SEARCH("STEEL",F1077)),"Steel","Others"))</f>
        <v>0</v>
      </c>
      <c r="H1077">
        <f>IF(ISNUMBER(SEARCH("scrubber",F1077)) , "Scrubber", IF(ISNUMBER(SEARCH("container",F1077)),"Container", IF(ISNUMBER(SEARCH("basket",F1077)),"Basket", IF(ISNUMBER(SEARCH("lunch",F1077)),"Lunch Box", IF(ISNUMBER(SEARCH("cutlery",F1077)),"Cutlery","Other")))))</f>
        <v>0</v>
      </c>
      <c r="I1077">
        <f>IF('Raw Data'!G1077&lt;&gt;'','Raw Data'!G1077,IFERROR(MID(F1077,SEARCH("MODEL",F1077)+6,20),""))</f>
        <v>0</v>
      </c>
      <c r="J1077">
        <f>'Raw Data'!H1077</f>
        <v>0</v>
      </c>
      <c r="K1077">
        <f>'Raw Data'!I1077</f>
        <v>0</v>
      </c>
      <c r="L1077">
        <f>IF('Raw Data'!N1077&lt;&gt;0,'Raw Data'!N1077,IFERROR(VALUE(MID(F1077,SEARCH("QTY",F1077)+4,IFERROR(FIND(" ",F1077,SEARCH("QTY",F1077)+4)-(SEARCH("QTY",F1077)+4),3))),""))</f>
        <v>0</v>
      </c>
      <c r="M1077">
        <f>'Raw Data'!O1077</f>
        <v>0</v>
      </c>
      <c r="N1077">
        <f>'Raw Data'!P1077</f>
        <v>0</v>
      </c>
      <c r="O1077">
        <f>'Raw Data'!Q1077</f>
        <v>0</v>
      </c>
      <c r="P1077">
        <f>'Raw Data'!R1077</f>
        <v>0</v>
      </c>
      <c r="Q1077">
        <f>'Raw Data'!S1077</f>
        <v>0</v>
      </c>
      <c r="R1077">
        <f>'Raw Data'!T1077</f>
        <v>0</v>
      </c>
      <c r="S1077">
        <f>IFERROR(O1077,0)+IFERROR(R1077,0)</f>
        <v>0</v>
      </c>
      <c r="T1077">
        <f>IF(A1077="","",YEAR(A1077))</f>
        <v>0</v>
      </c>
    </row>
    <row r="1078" spans="1:20">
      <c r="A1078">
        <f>'Raw Data'!B1078</f>
        <v>0</v>
      </c>
      <c r="B1078">
        <f>'Raw Data'!A1078</f>
        <v>0</v>
      </c>
      <c r="C1078">
        <f>'Raw Data'!C1078</f>
        <v>0</v>
      </c>
      <c r="D1078">
        <f>'Raw Data'!D1078</f>
        <v>0</v>
      </c>
      <c r="E1078">
        <f>IFERROR(VLOOKUP(D1078,'Lookup Tables'!$A:$B,2,FALSE),"Unknown")</f>
        <v>0</v>
      </c>
      <c r="F1078">
        <f>'Raw Data'!E1078</f>
        <v>0</v>
      </c>
      <c r="G1078">
        <f>IFERROR(VLOOKUP(D1078,'Lookup Tables'!$A:$C,3,FALSE),IF(ISNUMBER(SEARCH("STEEL",F1078)),"Steel","Others"))</f>
        <v>0</v>
      </c>
      <c r="H1078">
        <f>IF(ISNUMBER(SEARCH("scrubber",F1078)) , "Scrubber", IF(ISNUMBER(SEARCH("container",F1078)),"Container", IF(ISNUMBER(SEARCH("basket",F1078)),"Basket", IF(ISNUMBER(SEARCH("lunch",F1078)),"Lunch Box", IF(ISNUMBER(SEARCH("cutlery",F1078)),"Cutlery","Other")))))</f>
        <v>0</v>
      </c>
      <c r="I1078">
        <f>IF('Raw Data'!G1078&lt;&gt;'','Raw Data'!G1078,IFERROR(MID(F1078,SEARCH("MODEL",F1078)+6,20),""))</f>
        <v>0</v>
      </c>
      <c r="J1078">
        <f>'Raw Data'!H1078</f>
        <v>0</v>
      </c>
      <c r="K1078">
        <f>'Raw Data'!I1078</f>
        <v>0</v>
      </c>
      <c r="L1078">
        <f>IF('Raw Data'!N1078&lt;&gt;0,'Raw Data'!N1078,IFERROR(VALUE(MID(F1078,SEARCH("QTY",F1078)+4,IFERROR(FIND(" ",F1078,SEARCH("QTY",F1078)+4)-(SEARCH("QTY",F1078)+4),3))),""))</f>
        <v>0</v>
      </c>
      <c r="M1078">
        <f>'Raw Data'!O1078</f>
        <v>0</v>
      </c>
      <c r="N1078">
        <f>'Raw Data'!P1078</f>
        <v>0</v>
      </c>
      <c r="O1078">
        <f>'Raw Data'!Q1078</f>
        <v>0</v>
      </c>
      <c r="P1078">
        <f>'Raw Data'!R1078</f>
        <v>0</v>
      </c>
      <c r="Q1078">
        <f>'Raw Data'!S1078</f>
        <v>0</v>
      </c>
      <c r="R1078">
        <f>'Raw Data'!T1078</f>
        <v>0</v>
      </c>
      <c r="S1078">
        <f>IFERROR(O1078,0)+IFERROR(R1078,0)</f>
        <v>0</v>
      </c>
      <c r="T1078">
        <f>IF(A1078="","",YEAR(A1078))</f>
        <v>0</v>
      </c>
    </row>
    <row r="1079" spans="1:20">
      <c r="A1079">
        <f>'Raw Data'!B1079</f>
        <v>0</v>
      </c>
      <c r="B1079">
        <f>'Raw Data'!A1079</f>
        <v>0</v>
      </c>
      <c r="C1079">
        <f>'Raw Data'!C1079</f>
        <v>0</v>
      </c>
      <c r="D1079">
        <f>'Raw Data'!D1079</f>
        <v>0</v>
      </c>
      <c r="E1079">
        <f>IFERROR(VLOOKUP(D1079,'Lookup Tables'!$A:$B,2,FALSE),"Unknown")</f>
        <v>0</v>
      </c>
      <c r="F1079">
        <f>'Raw Data'!E1079</f>
        <v>0</v>
      </c>
      <c r="G1079">
        <f>IFERROR(VLOOKUP(D1079,'Lookup Tables'!$A:$C,3,FALSE),IF(ISNUMBER(SEARCH("STEEL",F1079)),"Steel","Others"))</f>
        <v>0</v>
      </c>
      <c r="H1079">
        <f>IF(ISNUMBER(SEARCH("scrubber",F1079)) , "Scrubber", IF(ISNUMBER(SEARCH("container",F1079)),"Container", IF(ISNUMBER(SEARCH("basket",F1079)),"Basket", IF(ISNUMBER(SEARCH("lunch",F1079)),"Lunch Box", IF(ISNUMBER(SEARCH("cutlery",F1079)),"Cutlery","Other")))))</f>
        <v>0</v>
      </c>
      <c r="I1079">
        <f>IF('Raw Data'!G1079&lt;&gt;'','Raw Data'!G1079,IFERROR(MID(F1079,SEARCH("MODEL",F1079)+6,20),""))</f>
        <v>0</v>
      </c>
      <c r="J1079">
        <f>'Raw Data'!H1079</f>
        <v>0</v>
      </c>
      <c r="K1079">
        <f>'Raw Data'!I1079</f>
        <v>0</v>
      </c>
      <c r="L1079">
        <f>IF('Raw Data'!N1079&lt;&gt;0,'Raw Data'!N1079,IFERROR(VALUE(MID(F1079,SEARCH("QTY",F1079)+4,IFERROR(FIND(" ",F1079,SEARCH("QTY",F1079)+4)-(SEARCH("QTY",F1079)+4),3))),""))</f>
        <v>0</v>
      </c>
      <c r="M1079">
        <f>'Raw Data'!O1079</f>
        <v>0</v>
      </c>
      <c r="N1079">
        <f>'Raw Data'!P1079</f>
        <v>0</v>
      </c>
      <c r="O1079">
        <f>'Raw Data'!Q1079</f>
        <v>0</v>
      </c>
      <c r="P1079">
        <f>'Raw Data'!R1079</f>
        <v>0</v>
      </c>
      <c r="Q1079">
        <f>'Raw Data'!S1079</f>
        <v>0</v>
      </c>
      <c r="R1079">
        <f>'Raw Data'!T1079</f>
        <v>0</v>
      </c>
      <c r="S1079">
        <f>IFERROR(O1079,0)+IFERROR(R1079,0)</f>
        <v>0</v>
      </c>
      <c r="T1079">
        <f>IF(A1079="","",YEAR(A1079))</f>
        <v>0</v>
      </c>
    </row>
    <row r="1080" spans="1:20">
      <c r="A1080">
        <f>'Raw Data'!B1080</f>
        <v>0</v>
      </c>
      <c r="B1080">
        <f>'Raw Data'!A1080</f>
        <v>0</v>
      </c>
      <c r="C1080">
        <f>'Raw Data'!C1080</f>
        <v>0</v>
      </c>
      <c r="D1080">
        <f>'Raw Data'!D1080</f>
        <v>0</v>
      </c>
      <c r="E1080">
        <f>IFERROR(VLOOKUP(D1080,'Lookup Tables'!$A:$B,2,FALSE),"Unknown")</f>
        <v>0</v>
      </c>
      <c r="F1080">
        <f>'Raw Data'!E1080</f>
        <v>0</v>
      </c>
      <c r="G1080">
        <f>IFERROR(VLOOKUP(D1080,'Lookup Tables'!$A:$C,3,FALSE),IF(ISNUMBER(SEARCH("STEEL",F1080)),"Steel","Others"))</f>
        <v>0</v>
      </c>
      <c r="H1080">
        <f>IF(ISNUMBER(SEARCH("scrubber",F1080)) , "Scrubber", IF(ISNUMBER(SEARCH("container",F1080)),"Container", IF(ISNUMBER(SEARCH("basket",F1080)),"Basket", IF(ISNUMBER(SEARCH("lunch",F1080)),"Lunch Box", IF(ISNUMBER(SEARCH("cutlery",F1080)),"Cutlery","Other")))))</f>
        <v>0</v>
      </c>
      <c r="I1080">
        <f>IF('Raw Data'!G1080&lt;&gt;'','Raw Data'!G1080,IFERROR(MID(F1080,SEARCH("MODEL",F1080)+6,20),""))</f>
        <v>0</v>
      </c>
      <c r="J1080">
        <f>'Raw Data'!H1080</f>
        <v>0</v>
      </c>
      <c r="K1080">
        <f>'Raw Data'!I1080</f>
        <v>0</v>
      </c>
      <c r="L1080">
        <f>IF('Raw Data'!N1080&lt;&gt;0,'Raw Data'!N1080,IFERROR(VALUE(MID(F1080,SEARCH("QTY",F1080)+4,IFERROR(FIND(" ",F1080,SEARCH("QTY",F1080)+4)-(SEARCH("QTY",F1080)+4),3))),""))</f>
        <v>0</v>
      </c>
      <c r="M1080">
        <f>'Raw Data'!O1080</f>
        <v>0</v>
      </c>
      <c r="N1080">
        <f>'Raw Data'!P1080</f>
        <v>0</v>
      </c>
      <c r="O1080">
        <f>'Raw Data'!Q1080</f>
        <v>0</v>
      </c>
      <c r="P1080">
        <f>'Raw Data'!R1080</f>
        <v>0</v>
      </c>
      <c r="Q1080">
        <f>'Raw Data'!S1080</f>
        <v>0</v>
      </c>
      <c r="R1080">
        <f>'Raw Data'!T1080</f>
        <v>0</v>
      </c>
      <c r="S1080">
        <f>IFERROR(O1080,0)+IFERROR(R1080,0)</f>
        <v>0</v>
      </c>
      <c r="T1080">
        <f>IF(A1080="","",YEAR(A1080))</f>
        <v>0</v>
      </c>
    </row>
    <row r="1081" spans="1:20">
      <c r="A1081">
        <f>'Raw Data'!B1081</f>
        <v>0</v>
      </c>
      <c r="B1081">
        <f>'Raw Data'!A1081</f>
        <v>0</v>
      </c>
      <c r="C1081">
        <f>'Raw Data'!C1081</f>
        <v>0</v>
      </c>
      <c r="D1081">
        <f>'Raw Data'!D1081</f>
        <v>0</v>
      </c>
      <c r="E1081">
        <f>IFERROR(VLOOKUP(D1081,'Lookup Tables'!$A:$B,2,FALSE),"Unknown")</f>
        <v>0</v>
      </c>
      <c r="F1081">
        <f>'Raw Data'!E1081</f>
        <v>0</v>
      </c>
      <c r="G1081">
        <f>IFERROR(VLOOKUP(D1081,'Lookup Tables'!$A:$C,3,FALSE),IF(ISNUMBER(SEARCH("STEEL",F1081)),"Steel","Others"))</f>
        <v>0</v>
      </c>
      <c r="H1081">
        <f>IF(ISNUMBER(SEARCH("scrubber",F1081)) , "Scrubber", IF(ISNUMBER(SEARCH("container",F1081)),"Container", IF(ISNUMBER(SEARCH("basket",F1081)),"Basket", IF(ISNUMBER(SEARCH("lunch",F1081)),"Lunch Box", IF(ISNUMBER(SEARCH("cutlery",F1081)),"Cutlery","Other")))))</f>
        <v>0</v>
      </c>
      <c r="I1081">
        <f>IF('Raw Data'!G1081&lt;&gt;'','Raw Data'!G1081,IFERROR(MID(F1081,SEARCH("MODEL",F1081)+6,20),""))</f>
        <v>0</v>
      </c>
      <c r="J1081">
        <f>'Raw Data'!H1081</f>
        <v>0</v>
      </c>
      <c r="K1081">
        <f>'Raw Data'!I1081</f>
        <v>0</v>
      </c>
      <c r="L1081">
        <f>IF('Raw Data'!N1081&lt;&gt;0,'Raw Data'!N1081,IFERROR(VALUE(MID(F1081,SEARCH("QTY",F1081)+4,IFERROR(FIND(" ",F1081,SEARCH("QTY",F1081)+4)-(SEARCH("QTY",F1081)+4),3))),""))</f>
        <v>0</v>
      </c>
      <c r="M1081">
        <f>'Raw Data'!O1081</f>
        <v>0</v>
      </c>
      <c r="N1081">
        <f>'Raw Data'!P1081</f>
        <v>0</v>
      </c>
      <c r="O1081">
        <f>'Raw Data'!Q1081</f>
        <v>0</v>
      </c>
      <c r="P1081">
        <f>'Raw Data'!R1081</f>
        <v>0</v>
      </c>
      <c r="Q1081">
        <f>'Raw Data'!S1081</f>
        <v>0</v>
      </c>
      <c r="R1081">
        <f>'Raw Data'!T1081</f>
        <v>0</v>
      </c>
      <c r="S1081">
        <f>IFERROR(O1081,0)+IFERROR(R1081,0)</f>
        <v>0</v>
      </c>
      <c r="T1081">
        <f>IF(A1081="","",YEAR(A1081))</f>
        <v>0</v>
      </c>
    </row>
    <row r="1082" spans="1:20">
      <c r="A1082">
        <f>'Raw Data'!B1082</f>
        <v>0</v>
      </c>
      <c r="B1082">
        <f>'Raw Data'!A1082</f>
        <v>0</v>
      </c>
      <c r="C1082">
        <f>'Raw Data'!C1082</f>
        <v>0</v>
      </c>
      <c r="D1082">
        <f>'Raw Data'!D1082</f>
        <v>0</v>
      </c>
      <c r="E1082">
        <f>IFERROR(VLOOKUP(D1082,'Lookup Tables'!$A:$B,2,FALSE),"Unknown")</f>
        <v>0</v>
      </c>
      <c r="F1082">
        <f>'Raw Data'!E1082</f>
        <v>0</v>
      </c>
      <c r="G1082">
        <f>IFERROR(VLOOKUP(D1082,'Lookup Tables'!$A:$C,3,FALSE),IF(ISNUMBER(SEARCH("STEEL",F1082)),"Steel","Others"))</f>
        <v>0</v>
      </c>
      <c r="H1082">
        <f>IF(ISNUMBER(SEARCH("scrubber",F1082)) , "Scrubber", IF(ISNUMBER(SEARCH("container",F1082)),"Container", IF(ISNUMBER(SEARCH("basket",F1082)),"Basket", IF(ISNUMBER(SEARCH("lunch",F1082)),"Lunch Box", IF(ISNUMBER(SEARCH("cutlery",F1082)),"Cutlery","Other")))))</f>
        <v>0</v>
      </c>
      <c r="I1082">
        <f>IF('Raw Data'!G1082&lt;&gt;'','Raw Data'!G1082,IFERROR(MID(F1082,SEARCH("MODEL",F1082)+6,20),""))</f>
        <v>0</v>
      </c>
      <c r="J1082">
        <f>'Raw Data'!H1082</f>
        <v>0</v>
      </c>
      <c r="K1082">
        <f>'Raw Data'!I1082</f>
        <v>0</v>
      </c>
      <c r="L1082">
        <f>IF('Raw Data'!N1082&lt;&gt;0,'Raw Data'!N1082,IFERROR(VALUE(MID(F1082,SEARCH("QTY",F1082)+4,IFERROR(FIND(" ",F1082,SEARCH("QTY",F1082)+4)-(SEARCH("QTY",F1082)+4),3))),""))</f>
        <v>0</v>
      </c>
      <c r="M1082">
        <f>'Raw Data'!O1082</f>
        <v>0</v>
      </c>
      <c r="N1082">
        <f>'Raw Data'!P1082</f>
        <v>0</v>
      </c>
      <c r="O1082">
        <f>'Raw Data'!Q1082</f>
        <v>0</v>
      </c>
      <c r="P1082">
        <f>'Raw Data'!R1082</f>
        <v>0</v>
      </c>
      <c r="Q1082">
        <f>'Raw Data'!S1082</f>
        <v>0</v>
      </c>
      <c r="R1082">
        <f>'Raw Data'!T1082</f>
        <v>0</v>
      </c>
      <c r="S1082">
        <f>IFERROR(O1082,0)+IFERROR(R1082,0)</f>
        <v>0</v>
      </c>
      <c r="T1082">
        <f>IF(A1082="","",YEAR(A1082))</f>
        <v>0</v>
      </c>
    </row>
    <row r="1083" spans="1:20">
      <c r="A1083">
        <f>'Raw Data'!B1083</f>
        <v>0</v>
      </c>
      <c r="B1083">
        <f>'Raw Data'!A1083</f>
        <v>0</v>
      </c>
      <c r="C1083">
        <f>'Raw Data'!C1083</f>
        <v>0</v>
      </c>
      <c r="D1083">
        <f>'Raw Data'!D1083</f>
        <v>0</v>
      </c>
      <c r="E1083">
        <f>IFERROR(VLOOKUP(D1083,'Lookup Tables'!$A:$B,2,FALSE),"Unknown")</f>
        <v>0</v>
      </c>
      <c r="F1083">
        <f>'Raw Data'!E1083</f>
        <v>0</v>
      </c>
      <c r="G1083">
        <f>IFERROR(VLOOKUP(D1083,'Lookup Tables'!$A:$C,3,FALSE),IF(ISNUMBER(SEARCH("STEEL",F1083)),"Steel","Others"))</f>
        <v>0</v>
      </c>
      <c r="H1083">
        <f>IF(ISNUMBER(SEARCH("scrubber",F1083)) , "Scrubber", IF(ISNUMBER(SEARCH("container",F1083)),"Container", IF(ISNUMBER(SEARCH("basket",F1083)),"Basket", IF(ISNUMBER(SEARCH("lunch",F1083)),"Lunch Box", IF(ISNUMBER(SEARCH("cutlery",F1083)),"Cutlery","Other")))))</f>
        <v>0</v>
      </c>
      <c r="I1083">
        <f>IF('Raw Data'!G1083&lt;&gt;'','Raw Data'!G1083,IFERROR(MID(F1083,SEARCH("MODEL",F1083)+6,20),""))</f>
        <v>0</v>
      </c>
      <c r="J1083">
        <f>'Raw Data'!H1083</f>
        <v>0</v>
      </c>
      <c r="K1083">
        <f>'Raw Data'!I1083</f>
        <v>0</v>
      </c>
      <c r="L1083">
        <f>IF('Raw Data'!N1083&lt;&gt;0,'Raw Data'!N1083,IFERROR(VALUE(MID(F1083,SEARCH("QTY",F1083)+4,IFERROR(FIND(" ",F1083,SEARCH("QTY",F1083)+4)-(SEARCH("QTY",F1083)+4),3))),""))</f>
        <v>0</v>
      </c>
      <c r="M1083">
        <f>'Raw Data'!O1083</f>
        <v>0</v>
      </c>
      <c r="N1083">
        <f>'Raw Data'!P1083</f>
        <v>0</v>
      </c>
      <c r="O1083">
        <f>'Raw Data'!Q1083</f>
        <v>0</v>
      </c>
      <c r="P1083">
        <f>'Raw Data'!R1083</f>
        <v>0</v>
      </c>
      <c r="Q1083">
        <f>'Raw Data'!S1083</f>
        <v>0</v>
      </c>
      <c r="R1083">
        <f>'Raw Data'!T1083</f>
        <v>0</v>
      </c>
      <c r="S1083">
        <f>IFERROR(O1083,0)+IFERROR(R1083,0)</f>
        <v>0</v>
      </c>
      <c r="T1083">
        <f>IF(A1083="","",YEAR(A1083))</f>
        <v>0</v>
      </c>
    </row>
    <row r="1084" spans="1:20">
      <c r="A1084">
        <f>'Raw Data'!B1084</f>
        <v>0</v>
      </c>
      <c r="B1084">
        <f>'Raw Data'!A1084</f>
        <v>0</v>
      </c>
      <c r="C1084">
        <f>'Raw Data'!C1084</f>
        <v>0</v>
      </c>
      <c r="D1084">
        <f>'Raw Data'!D1084</f>
        <v>0</v>
      </c>
      <c r="E1084">
        <f>IFERROR(VLOOKUP(D1084,'Lookup Tables'!$A:$B,2,FALSE),"Unknown")</f>
        <v>0</v>
      </c>
      <c r="F1084">
        <f>'Raw Data'!E1084</f>
        <v>0</v>
      </c>
      <c r="G1084">
        <f>IFERROR(VLOOKUP(D1084,'Lookup Tables'!$A:$C,3,FALSE),IF(ISNUMBER(SEARCH("STEEL",F1084)),"Steel","Others"))</f>
        <v>0</v>
      </c>
      <c r="H1084">
        <f>IF(ISNUMBER(SEARCH("scrubber",F1084)) , "Scrubber", IF(ISNUMBER(SEARCH("container",F1084)),"Container", IF(ISNUMBER(SEARCH("basket",F1084)),"Basket", IF(ISNUMBER(SEARCH("lunch",F1084)),"Lunch Box", IF(ISNUMBER(SEARCH("cutlery",F1084)),"Cutlery","Other")))))</f>
        <v>0</v>
      </c>
      <c r="I1084">
        <f>IF('Raw Data'!G1084&lt;&gt;'','Raw Data'!G1084,IFERROR(MID(F1084,SEARCH("MODEL",F1084)+6,20),""))</f>
        <v>0</v>
      </c>
      <c r="J1084">
        <f>'Raw Data'!H1084</f>
        <v>0</v>
      </c>
      <c r="K1084">
        <f>'Raw Data'!I1084</f>
        <v>0</v>
      </c>
      <c r="L1084">
        <f>IF('Raw Data'!N1084&lt;&gt;0,'Raw Data'!N1084,IFERROR(VALUE(MID(F1084,SEARCH("QTY",F1084)+4,IFERROR(FIND(" ",F1084,SEARCH("QTY",F1084)+4)-(SEARCH("QTY",F1084)+4),3))),""))</f>
        <v>0</v>
      </c>
      <c r="M1084">
        <f>'Raw Data'!O1084</f>
        <v>0</v>
      </c>
      <c r="N1084">
        <f>'Raw Data'!P1084</f>
        <v>0</v>
      </c>
      <c r="O1084">
        <f>'Raw Data'!Q1084</f>
        <v>0</v>
      </c>
      <c r="P1084">
        <f>'Raw Data'!R1084</f>
        <v>0</v>
      </c>
      <c r="Q1084">
        <f>'Raw Data'!S1084</f>
        <v>0</v>
      </c>
      <c r="R1084">
        <f>'Raw Data'!T1084</f>
        <v>0</v>
      </c>
      <c r="S1084">
        <f>IFERROR(O1084,0)+IFERROR(R1084,0)</f>
        <v>0</v>
      </c>
      <c r="T1084">
        <f>IF(A1084="","",YEAR(A1084))</f>
        <v>0</v>
      </c>
    </row>
    <row r="1085" spans="1:20">
      <c r="A1085">
        <f>'Raw Data'!B1085</f>
        <v>0</v>
      </c>
      <c r="B1085">
        <f>'Raw Data'!A1085</f>
        <v>0</v>
      </c>
      <c r="C1085">
        <f>'Raw Data'!C1085</f>
        <v>0</v>
      </c>
      <c r="D1085">
        <f>'Raw Data'!D1085</f>
        <v>0</v>
      </c>
      <c r="E1085">
        <f>IFERROR(VLOOKUP(D1085,'Lookup Tables'!$A:$B,2,FALSE),"Unknown")</f>
        <v>0</v>
      </c>
      <c r="F1085">
        <f>'Raw Data'!E1085</f>
        <v>0</v>
      </c>
      <c r="G1085">
        <f>IFERROR(VLOOKUP(D1085,'Lookup Tables'!$A:$C,3,FALSE),IF(ISNUMBER(SEARCH("STEEL",F1085)),"Steel","Others"))</f>
        <v>0</v>
      </c>
      <c r="H1085">
        <f>IF(ISNUMBER(SEARCH("scrubber",F1085)) , "Scrubber", IF(ISNUMBER(SEARCH("container",F1085)),"Container", IF(ISNUMBER(SEARCH("basket",F1085)),"Basket", IF(ISNUMBER(SEARCH("lunch",F1085)),"Lunch Box", IF(ISNUMBER(SEARCH("cutlery",F1085)),"Cutlery","Other")))))</f>
        <v>0</v>
      </c>
      <c r="I1085">
        <f>IF('Raw Data'!G1085&lt;&gt;'','Raw Data'!G1085,IFERROR(MID(F1085,SEARCH("MODEL",F1085)+6,20),""))</f>
        <v>0</v>
      </c>
      <c r="J1085">
        <f>'Raw Data'!H1085</f>
        <v>0</v>
      </c>
      <c r="K1085">
        <f>'Raw Data'!I1085</f>
        <v>0</v>
      </c>
      <c r="L1085">
        <f>IF('Raw Data'!N1085&lt;&gt;0,'Raw Data'!N1085,IFERROR(VALUE(MID(F1085,SEARCH("QTY",F1085)+4,IFERROR(FIND(" ",F1085,SEARCH("QTY",F1085)+4)-(SEARCH("QTY",F1085)+4),3))),""))</f>
        <v>0</v>
      </c>
      <c r="M1085">
        <f>'Raw Data'!O1085</f>
        <v>0</v>
      </c>
      <c r="N1085">
        <f>'Raw Data'!P1085</f>
        <v>0</v>
      </c>
      <c r="O1085">
        <f>'Raw Data'!Q1085</f>
        <v>0</v>
      </c>
      <c r="P1085">
        <f>'Raw Data'!R1085</f>
        <v>0</v>
      </c>
      <c r="Q1085">
        <f>'Raw Data'!S1085</f>
        <v>0</v>
      </c>
      <c r="R1085">
        <f>'Raw Data'!T1085</f>
        <v>0</v>
      </c>
      <c r="S1085">
        <f>IFERROR(O1085,0)+IFERROR(R1085,0)</f>
        <v>0</v>
      </c>
      <c r="T1085">
        <f>IF(A1085="","",YEAR(A1085))</f>
        <v>0</v>
      </c>
    </row>
    <row r="1086" spans="1:20">
      <c r="A1086">
        <f>'Raw Data'!B1086</f>
        <v>0</v>
      </c>
      <c r="B1086">
        <f>'Raw Data'!A1086</f>
        <v>0</v>
      </c>
      <c r="C1086">
        <f>'Raw Data'!C1086</f>
        <v>0</v>
      </c>
      <c r="D1086">
        <f>'Raw Data'!D1086</f>
        <v>0</v>
      </c>
      <c r="E1086">
        <f>IFERROR(VLOOKUP(D1086,'Lookup Tables'!$A:$B,2,FALSE),"Unknown")</f>
        <v>0</v>
      </c>
      <c r="F1086">
        <f>'Raw Data'!E1086</f>
        <v>0</v>
      </c>
      <c r="G1086">
        <f>IFERROR(VLOOKUP(D1086,'Lookup Tables'!$A:$C,3,FALSE),IF(ISNUMBER(SEARCH("STEEL",F1086)),"Steel","Others"))</f>
        <v>0</v>
      </c>
      <c r="H1086">
        <f>IF(ISNUMBER(SEARCH("scrubber",F1086)) , "Scrubber", IF(ISNUMBER(SEARCH("container",F1086)),"Container", IF(ISNUMBER(SEARCH("basket",F1086)),"Basket", IF(ISNUMBER(SEARCH("lunch",F1086)),"Lunch Box", IF(ISNUMBER(SEARCH("cutlery",F1086)),"Cutlery","Other")))))</f>
        <v>0</v>
      </c>
      <c r="I1086">
        <f>IF('Raw Data'!G1086&lt;&gt;'','Raw Data'!G1086,IFERROR(MID(F1086,SEARCH("MODEL",F1086)+6,20),""))</f>
        <v>0</v>
      </c>
      <c r="J1086">
        <f>'Raw Data'!H1086</f>
        <v>0</v>
      </c>
      <c r="K1086">
        <f>'Raw Data'!I1086</f>
        <v>0</v>
      </c>
      <c r="L1086">
        <f>IF('Raw Data'!N1086&lt;&gt;0,'Raw Data'!N1086,IFERROR(VALUE(MID(F1086,SEARCH("QTY",F1086)+4,IFERROR(FIND(" ",F1086,SEARCH("QTY",F1086)+4)-(SEARCH("QTY",F1086)+4),3))),""))</f>
        <v>0</v>
      </c>
      <c r="M1086">
        <f>'Raw Data'!O1086</f>
        <v>0</v>
      </c>
      <c r="N1086">
        <f>'Raw Data'!P1086</f>
        <v>0</v>
      </c>
      <c r="O1086">
        <f>'Raw Data'!Q1086</f>
        <v>0</v>
      </c>
      <c r="P1086">
        <f>'Raw Data'!R1086</f>
        <v>0</v>
      </c>
      <c r="Q1086">
        <f>'Raw Data'!S1086</f>
        <v>0</v>
      </c>
      <c r="R1086">
        <f>'Raw Data'!T1086</f>
        <v>0</v>
      </c>
      <c r="S1086">
        <f>IFERROR(O1086,0)+IFERROR(R1086,0)</f>
        <v>0</v>
      </c>
      <c r="T1086">
        <f>IF(A1086="","",YEAR(A1086))</f>
        <v>0</v>
      </c>
    </row>
    <row r="1087" spans="1:20">
      <c r="A1087">
        <f>'Raw Data'!B1087</f>
        <v>0</v>
      </c>
      <c r="B1087">
        <f>'Raw Data'!A1087</f>
        <v>0</v>
      </c>
      <c r="C1087">
        <f>'Raw Data'!C1087</f>
        <v>0</v>
      </c>
      <c r="D1087">
        <f>'Raw Data'!D1087</f>
        <v>0</v>
      </c>
      <c r="E1087">
        <f>IFERROR(VLOOKUP(D1087,'Lookup Tables'!$A:$B,2,FALSE),"Unknown")</f>
        <v>0</v>
      </c>
      <c r="F1087">
        <f>'Raw Data'!E1087</f>
        <v>0</v>
      </c>
      <c r="G1087">
        <f>IFERROR(VLOOKUP(D1087,'Lookup Tables'!$A:$C,3,FALSE),IF(ISNUMBER(SEARCH("STEEL",F1087)),"Steel","Others"))</f>
        <v>0</v>
      </c>
      <c r="H1087">
        <f>IF(ISNUMBER(SEARCH("scrubber",F1087)) , "Scrubber", IF(ISNUMBER(SEARCH("container",F1087)),"Container", IF(ISNUMBER(SEARCH("basket",F1087)),"Basket", IF(ISNUMBER(SEARCH("lunch",F1087)),"Lunch Box", IF(ISNUMBER(SEARCH("cutlery",F1087)),"Cutlery","Other")))))</f>
        <v>0</v>
      </c>
      <c r="I1087">
        <f>IF('Raw Data'!G1087&lt;&gt;'','Raw Data'!G1087,IFERROR(MID(F1087,SEARCH("MODEL",F1087)+6,20),""))</f>
        <v>0</v>
      </c>
      <c r="J1087">
        <f>'Raw Data'!H1087</f>
        <v>0</v>
      </c>
      <c r="K1087">
        <f>'Raw Data'!I1087</f>
        <v>0</v>
      </c>
      <c r="L1087">
        <f>IF('Raw Data'!N1087&lt;&gt;0,'Raw Data'!N1087,IFERROR(VALUE(MID(F1087,SEARCH("QTY",F1087)+4,IFERROR(FIND(" ",F1087,SEARCH("QTY",F1087)+4)-(SEARCH("QTY",F1087)+4),3))),""))</f>
        <v>0</v>
      </c>
      <c r="M1087">
        <f>'Raw Data'!O1087</f>
        <v>0</v>
      </c>
      <c r="N1087">
        <f>'Raw Data'!P1087</f>
        <v>0</v>
      </c>
      <c r="O1087">
        <f>'Raw Data'!Q1087</f>
        <v>0</v>
      </c>
      <c r="P1087">
        <f>'Raw Data'!R1087</f>
        <v>0</v>
      </c>
      <c r="Q1087">
        <f>'Raw Data'!S1087</f>
        <v>0</v>
      </c>
      <c r="R1087">
        <f>'Raw Data'!T1087</f>
        <v>0</v>
      </c>
      <c r="S1087">
        <f>IFERROR(O1087,0)+IFERROR(R1087,0)</f>
        <v>0</v>
      </c>
      <c r="T1087">
        <f>IF(A1087="","",YEAR(A1087))</f>
        <v>0</v>
      </c>
    </row>
    <row r="1088" spans="1:20">
      <c r="A1088">
        <f>'Raw Data'!B1088</f>
        <v>0</v>
      </c>
      <c r="B1088">
        <f>'Raw Data'!A1088</f>
        <v>0</v>
      </c>
      <c r="C1088">
        <f>'Raw Data'!C1088</f>
        <v>0</v>
      </c>
      <c r="D1088">
        <f>'Raw Data'!D1088</f>
        <v>0</v>
      </c>
      <c r="E1088">
        <f>IFERROR(VLOOKUP(D1088,'Lookup Tables'!$A:$B,2,FALSE),"Unknown")</f>
        <v>0</v>
      </c>
      <c r="F1088">
        <f>'Raw Data'!E1088</f>
        <v>0</v>
      </c>
      <c r="G1088">
        <f>IFERROR(VLOOKUP(D1088,'Lookup Tables'!$A:$C,3,FALSE),IF(ISNUMBER(SEARCH("STEEL",F1088)),"Steel","Others"))</f>
        <v>0</v>
      </c>
      <c r="H1088">
        <f>IF(ISNUMBER(SEARCH("scrubber",F1088)) , "Scrubber", IF(ISNUMBER(SEARCH("container",F1088)),"Container", IF(ISNUMBER(SEARCH("basket",F1088)),"Basket", IF(ISNUMBER(SEARCH("lunch",F1088)),"Lunch Box", IF(ISNUMBER(SEARCH("cutlery",F1088)),"Cutlery","Other")))))</f>
        <v>0</v>
      </c>
      <c r="I1088">
        <f>IF('Raw Data'!G1088&lt;&gt;'','Raw Data'!G1088,IFERROR(MID(F1088,SEARCH("MODEL",F1088)+6,20),""))</f>
        <v>0</v>
      </c>
      <c r="J1088">
        <f>'Raw Data'!H1088</f>
        <v>0</v>
      </c>
      <c r="K1088">
        <f>'Raw Data'!I1088</f>
        <v>0</v>
      </c>
      <c r="L1088">
        <f>IF('Raw Data'!N1088&lt;&gt;0,'Raw Data'!N1088,IFERROR(VALUE(MID(F1088,SEARCH("QTY",F1088)+4,IFERROR(FIND(" ",F1088,SEARCH("QTY",F1088)+4)-(SEARCH("QTY",F1088)+4),3))),""))</f>
        <v>0</v>
      </c>
      <c r="M1088">
        <f>'Raw Data'!O1088</f>
        <v>0</v>
      </c>
      <c r="N1088">
        <f>'Raw Data'!P1088</f>
        <v>0</v>
      </c>
      <c r="O1088">
        <f>'Raw Data'!Q1088</f>
        <v>0</v>
      </c>
      <c r="P1088">
        <f>'Raw Data'!R1088</f>
        <v>0</v>
      </c>
      <c r="Q1088">
        <f>'Raw Data'!S1088</f>
        <v>0</v>
      </c>
      <c r="R1088">
        <f>'Raw Data'!T1088</f>
        <v>0</v>
      </c>
      <c r="S1088">
        <f>IFERROR(O1088,0)+IFERROR(R1088,0)</f>
        <v>0</v>
      </c>
      <c r="T1088">
        <f>IF(A1088="","",YEAR(A1088))</f>
        <v>0</v>
      </c>
    </row>
    <row r="1089" spans="1:20">
      <c r="A1089">
        <f>'Raw Data'!B1089</f>
        <v>0</v>
      </c>
      <c r="B1089">
        <f>'Raw Data'!A1089</f>
        <v>0</v>
      </c>
      <c r="C1089">
        <f>'Raw Data'!C1089</f>
        <v>0</v>
      </c>
      <c r="D1089">
        <f>'Raw Data'!D1089</f>
        <v>0</v>
      </c>
      <c r="E1089">
        <f>IFERROR(VLOOKUP(D1089,'Lookup Tables'!$A:$B,2,FALSE),"Unknown")</f>
        <v>0</v>
      </c>
      <c r="F1089">
        <f>'Raw Data'!E1089</f>
        <v>0</v>
      </c>
      <c r="G1089">
        <f>IFERROR(VLOOKUP(D1089,'Lookup Tables'!$A:$C,3,FALSE),IF(ISNUMBER(SEARCH("STEEL",F1089)),"Steel","Others"))</f>
        <v>0</v>
      </c>
      <c r="H1089">
        <f>IF(ISNUMBER(SEARCH("scrubber",F1089)) , "Scrubber", IF(ISNUMBER(SEARCH("container",F1089)),"Container", IF(ISNUMBER(SEARCH("basket",F1089)),"Basket", IF(ISNUMBER(SEARCH("lunch",F1089)),"Lunch Box", IF(ISNUMBER(SEARCH("cutlery",F1089)),"Cutlery","Other")))))</f>
        <v>0</v>
      </c>
      <c r="I1089">
        <f>IF('Raw Data'!G1089&lt;&gt;'','Raw Data'!G1089,IFERROR(MID(F1089,SEARCH("MODEL",F1089)+6,20),""))</f>
        <v>0</v>
      </c>
      <c r="J1089">
        <f>'Raw Data'!H1089</f>
        <v>0</v>
      </c>
      <c r="K1089">
        <f>'Raw Data'!I1089</f>
        <v>0</v>
      </c>
      <c r="L1089">
        <f>IF('Raw Data'!N1089&lt;&gt;0,'Raw Data'!N1089,IFERROR(VALUE(MID(F1089,SEARCH("QTY",F1089)+4,IFERROR(FIND(" ",F1089,SEARCH("QTY",F1089)+4)-(SEARCH("QTY",F1089)+4),3))),""))</f>
        <v>0</v>
      </c>
      <c r="M1089">
        <f>'Raw Data'!O1089</f>
        <v>0</v>
      </c>
      <c r="N1089">
        <f>'Raw Data'!P1089</f>
        <v>0</v>
      </c>
      <c r="O1089">
        <f>'Raw Data'!Q1089</f>
        <v>0</v>
      </c>
      <c r="P1089">
        <f>'Raw Data'!R1089</f>
        <v>0</v>
      </c>
      <c r="Q1089">
        <f>'Raw Data'!S1089</f>
        <v>0</v>
      </c>
      <c r="R1089">
        <f>'Raw Data'!T1089</f>
        <v>0</v>
      </c>
      <c r="S1089">
        <f>IFERROR(O1089,0)+IFERROR(R1089,0)</f>
        <v>0</v>
      </c>
      <c r="T1089">
        <f>IF(A1089="","",YEAR(A1089))</f>
        <v>0</v>
      </c>
    </row>
    <row r="1090" spans="1:20">
      <c r="A1090">
        <f>'Raw Data'!B1090</f>
        <v>0</v>
      </c>
      <c r="B1090">
        <f>'Raw Data'!A1090</f>
        <v>0</v>
      </c>
      <c r="C1090">
        <f>'Raw Data'!C1090</f>
        <v>0</v>
      </c>
      <c r="D1090">
        <f>'Raw Data'!D1090</f>
        <v>0</v>
      </c>
      <c r="E1090">
        <f>IFERROR(VLOOKUP(D1090,'Lookup Tables'!$A:$B,2,FALSE),"Unknown")</f>
        <v>0</v>
      </c>
      <c r="F1090">
        <f>'Raw Data'!E1090</f>
        <v>0</v>
      </c>
      <c r="G1090">
        <f>IFERROR(VLOOKUP(D1090,'Lookup Tables'!$A:$C,3,FALSE),IF(ISNUMBER(SEARCH("STEEL",F1090)),"Steel","Others"))</f>
        <v>0</v>
      </c>
      <c r="H1090">
        <f>IF(ISNUMBER(SEARCH("scrubber",F1090)) , "Scrubber", IF(ISNUMBER(SEARCH("container",F1090)),"Container", IF(ISNUMBER(SEARCH("basket",F1090)),"Basket", IF(ISNUMBER(SEARCH("lunch",F1090)),"Lunch Box", IF(ISNUMBER(SEARCH("cutlery",F1090)),"Cutlery","Other")))))</f>
        <v>0</v>
      </c>
      <c r="I1090">
        <f>IF('Raw Data'!G1090&lt;&gt;'','Raw Data'!G1090,IFERROR(MID(F1090,SEARCH("MODEL",F1090)+6,20),""))</f>
        <v>0</v>
      </c>
      <c r="J1090">
        <f>'Raw Data'!H1090</f>
        <v>0</v>
      </c>
      <c r="K1090">
        <f>'Raw Data'!I1090</f>
        <v>0</v>
      </c>
      <c r="L1090">
        <f>IF('Raw Data'!N1090&lt;&gt;0,'Raw Data'!N1090,IFERROR(VALUE(MID(F1090,SEARCH("QTY",F1090)+4,IFERROR(FIND(" ",F1090,SEARCH("QTY",F1090)+4)-(SEARCH("QTY",F1090)+4),3))),""))</f>
        <v>0</v>
      </c>
      <c r="M1090">
        <f>'Raw Data'!O1090</f>
        <v>0</v>
      </c>
      <c r="N1090">
        <f>'Raw Data'!P1090</f>
        <v>0</v>
      </c>
      <c r="O1090">
        <f>'Raw Data'!Q1090</f>
        <v>0</v>
      </c>
      <c r="P1090">
        <f>'Raw Data'!R1090</f>
        <v>0</v>
      </c>
      <c r="Q1090">
        <f>'Raw Data'!S1090</f>
        <v>0</v>
      </c>
      <c r="R1090">
        <f>'Raw Data'!T1090</f>
        <v>0</v>
      </c>
      <c r="S1090">
        <f>IFERROR(O1090,0)+IFERROR(R1090,0)</f>
        <v>0</v>
      </c>
      <c r="T1090">
        <f>IF(A1090="","",YEAR(A1090))</f>
        <v>0</v>
      </c>
    </row>
    <row r="1091" spans="1:20">
      <c r="A1091">
        <f>'Raw Data'!B1091</f>
        <v>0</v>
      </c>
      <c r="B1091">
        <f>'Raw Data'!A1091</f>
        <v>0</v>
      </c>
      <c r="C1091">
        <f>'Raw Data'!C1091</f>
        <v>0</v>
      </c>
      <c r="D1091">
        <f>'Raw Data'!D1091</f>
        <v>0</v>
      </c>
      <c r="E1091">
        <f>IFERROR(VLOOKUP(D1091,'Lookup Tables'!$A:$B,2,FALSE),"Unknown")</f>
        <v>0</v>
      </c>
      <c r="F1091">
        <f>'Raw Data'!E1091</f>
        <v>0</v>
      </c>
      <c r="G1091">
        <f>IFERROR(VLOOKUP(D1091,'Lookup Tables'!$A:$C,3,FALSE),IF(ISNUMBER(SEARCH("STEEL",F1091)),"Steel","Others"))</f>
        <v>0</v>
      </c>
      <c r="H1091">
        <f>IF(ISNUMBER(SEARCH("scrubber",F1091)) , "Scrubber", IF(ISNUMBER(SEARCH("container",F1091)),"Container", IF(ISNUMBER(SEARCH("basket",F1091)),"Basket", IF(ISNUMBER(SEARCH("lunch",F1091)),"Lunch Box", IF(ISNUMBER(SEARCH("cutlery",F1091)),"Cutlery","Other")))))</f>
        <v>0</v>
      </c>
      <c r="I1091">
        <f>IF('Raw Data'!G1091&lt;&gt;'','Raw Data'!G1091,IFERROR(MID(F1091,SEARCH("MODEL",F1091)+6,20),""))</f>
        <v>0</v>
      </c>
      <c r="J1091">
        <f>'Raw Data'!H1091</f>
        <v>0</v>
      </c>
      <c r="K1091">
        <f>'Raw Data'!I1091</f>
        <v>0</v>
      </c>
      <c r="L1091">
        <f>IF('Raw Data'!N1091&lt;&gt;0,'Raw Data'!N1091,IFERROR(VALUE(MID(F1091,SEARCH("QTY",F1091)+4,IFERROR(FIND(" ",F1091,SEARCH("QTY",F1091)+4)-(SEARCH("QTY",F1091)+4),3))),""))</f>
        <v>0</v>
      </c>
      <c r="M1091">
        <f>'Raw Data'!O1091</f>
        <v>0</v>
      </c>
      <c r="N1091">
        <f>'Raw Data'!P1091</f>
        <v>0</v>
      </c>
      <c r="O1091">
        <f>'Raw Data'!Q1091</f>
        <v>0</v>
      </c>
      <c r="P1091">
        <f>'Raw Data'!R1091</f>
        <v>0</v>
      </c>
      <c r="Q1091">
        <f>'Raw Data'!S1091</f>
        <v>0</v>
      </c>
      <c r="R1091">
        <f>'Raw Data'!T1091</f>
        <v>0</v>
      </c>
      <c r="S1091">
        <f>IFERROR(O1091,0)+IFERROR(R1091,0)</f>
        <v>0</v>
      </c>
      <c r="T1091">
        <f>IF(A1091="","",YEAR(A1091))</f>
        <v>0</v>
      </c>
    </row>
    <row r="1092" spans="1:20">
      <c r="A1092">
        <f>'Raw Data'!B1092</f>
        <v>0</v>
      </c>
      <c r="B1092">
        <f>'Raw Data'!A1092</f>
        <v>0</v>
      </c>
      <c r="C1092">
        <f>'Raw Data'!C1092</f>
        <v>0</v>
      </c>
      <c r="D1092">
        <f>'Raw Data'!D1092</f>
        <v>0</v>
      </c>
      <c r="E1092">
        <f>IFERROR(VLOOKUP(D1092,'Lookup Tables'!$A:$B,2,FALSE),"Unknown")</f>
        <v>0</v>
      </c>
      <c r="F1092">
        <f>'Raw Data'!E1092</f>
        <v>0</v>
      </c>
      <c r="G1092">
        <f>IFERROR(VLOOKUP(D1092,'Lookup Tables'!$A:$C,3,FALSE),IF(ISNUMBER(SEARCH("STEEL",F1092)),"Steel","Others"))</f>
        <v>0</v>
      </c>
      <c r="H1092">
        <f>IF(ISNUMBER(SEARCH("scrubber",F1092)) , "Scrubber", IF(ISNUMBER(SEARCH("container",F1092)),"Container", IF(ISNUMBER(SEARCH("basket",F1092)),"Basket", IF(ISNUMBER(SEARCH("lunch",F1092)),"Lunch Box", IF(ISNUMBER(SEARCH("cutlery",F1092)),"Cutlery","Other")))))</f>
        <v>0</v>
      </c>
      <c r="I1092">
        <f>IF('Raw Data'!G1092&lt;&gt;'','Raw Data'!G1092,IFERROR(MID(F1092,SEARCH("MODEL",F1092)+6,20),""))</f>
        <v>0</v>
      </c>
      <c r="J1092">
        <f>'Raw Data'!H1092</f>
        <v>0</v>
      </c>
      <c r="K1092">
        <f>'Raw Data'!I1092</f>
        <v>0</v>
      </c>
      <c r="L1092">
        <f>IF('Raw Data'!N1092&lt;&gt;0,'Raw Data'!N1092,IFERROR(VALUE(MID(F1092,SEARCH("QTY",F1092)+4,IFERROR(FIND(" ",F1092,SEARCH("QTY",F1092)+4)-(SEARCH("QTY",F1092)+4),3))),""))</f>
        <v>0</v>
      </c>
      <c r="M1092">
        <f>'Raw Data'!O1092</f>
        <v>0</v>
      </c>
      <c r="N1092">
        <f>'Raw Data'!P1092</f>
        <v>0</v>
      </c>
      <c r="O1092">
        <f>'Raw Data'!Q1092</f>
        <v>0</v>
      </c>
      <c r="P1092">
        <f>'Raw Data'!R1092</f>
        <v>0</v>
      </c>
      <c r="Q1092">
        <f>'Raw Data'!S1092</f>
        <v>0</v>
      </c>
      <c r="R1092">
        <f>'Raw Data'!T1092</f>
        <v>0</v>
      </c>
      <c r="S1092">
        <f>IFERROR(O1092,0)+IFERROR(R1092,0)</f>
        <v>0</v>
      </c>
      <c r="T1092">
        <f>IF(A1092="","",YEAR(A1092))</f>
        <v>0</v>
      </c>
    </row>
    <row r="1093" spans="1:20">
      <c r="A1093">
        <f>'Raw Data'!B1093</f>
        <v>0</v>
      </c>
      <c r="B1093">
        <f>'Raw Data'!A1093</f>
        <v>0</v>
      </c>
      <c r="C1093">
        <f>'Raw Data'!C1093</f>
        <v>0</v>
      </c>
      <c r="D1093">
        <f>'Raw Data'!D1093</f>
        <v>0</v>
      </c>
      <c r="E1093">
        <f>IFERROR(VLOOKUP(D1093,'Lookup Tables'!$A:$B,2,FALSE),"Unknown")</f>
        <v>0</v>
      </c>
      <c r="F1093">
        <f>'Raw Data'!E1093</f>
        <v>0</v>
      </c>
      <c r="G1093">
        <f>IFERROR(VLOOKUP(D1093,'Lookup Tables'!$A:$C,3,FALSE),IF(ISNUMBER(SEARCH("STEEL",F1093)),"Steel","Others"))</f>
        <v>0</v>
      </c>
      <c r="H1093">
        <f>IF(ISNUMBER(SEARCH("scrubber",F1093)) , "Scrubber", IF(ISNUMBER(SEARCH("container",F1093)),"Container", IF(ISNUMBER(SEARCH("basket",F1093)),"Basket", IF(ISNUMBER(SEARCH("lunch",F1093)),"Lunch Box", IF(ISNUMBER(SEARCH("cutlery",F1093)),"Cutlery","Other")))))</f>
        <v>0</v>
      </c>
      <c r="I1093">
        <f>IF('Raw Data'!G1093&lt;&gt;'','Raw Data'!G1093,IFERROR(MID(F1093,SEARCH("MODEL",F1093)+6,20),""))</f>
        <v>0</v>
      </c>
      <c r="J1093">
        <f>'Raw Data'!H1093</f>
        <v>0</v>
      </c>
      <c r="K1093">
        <f>'Raw Data'!I1093</f>
        <v>0</v>
      </c>
      <c r="L1093">
        <f>IF('Raw Data'!N1093&lt;&gt;0,'Raw Data'!N1093,IFERROR(VALUE(MID(F1093,SEARCH("QTY",F1093)+4,IFERROR(FIND(" ",F1093,SEARCH("QTY",F1093)+4)-(SEARCH("QTY",F1093)+4),3))),""))</f>
        <v>0</v>
      </c>
      <c r="M1093">
        <f>'Raw Data'!O1093</f>
        <v>0</v>
      </c>
      <c r="N1093">
        <f>'Raw Data'!P1093</f>
        <v>0</v>
      </c>
      <c r="O1093">
        <f>'Raw Data'!Q1093</f>
        <v>0</v>
      </c>
      <c r="P1093">
        <f>'Raw Data'!R1093</f>
        <v>0</v>
      </c>
      <c r="Q1093">
        <f>'Raw Data'!S1093</f>
        <v>0</v>
      </c>
      <c r="R1093">
        <f>'Raw Data'!T1093</f>
        <v>0</v>
      </c>
      <c r="S1093">
        <f>IFERROR(O1093,0)+IFERROR(R1093,0)</f>
        <v>0</v>
      </c>
      <c r="T1093">
        <f>IF(A1093="","",YEAR(A1093))</f>
        <v>0</v>
      </c>
    </row>
    <row r="1094" spans="1:20">
      <c r="A1094">
        <f>'Raw Data'!B1094</f>
        <v>0</v>
      </c>
      <c r="B1094">
        <f>'Raw Data'!A1094</f>
        <v>0</v>
      </c>
      <c r="C1094">
        <f>'Raw Data'!C1094</f>
        <v>0</v>
      </c>
      <c r="D1094">
        <f>'Raw Data'!D1094</f>
        <v>0</v>
      </c>
      <c r="E1094">
        <f>IFERROR(VLOOKUP(D1094,'Lookup Tables'!$A:$B,2,FALSE),"Unknown")</f>
        <v>0</v>
      </c>
      <c r="F1094">
        <f>'Raw Data'!E1094</f>
        <v>0</v>
      </c>
      <c r="G1094">
        <f>IFERROR(VLOOKUP(D1094,'Lookup Tables'!$A:$C,3,FALSE),IF(ISNUMBER(SEARCH("STEEL",F1094)),"Steel","Others"))</f>
        <v>0</v>
      </c>
      <c r="H1094">
        <f>IF(ISNUMBER(SEARCH("scrubber",F1094)) , "Scrubber", IF(ISNUMBER(SEARCH("container",F1094)),"Container", IF(ISNUMBER(SEARCH("basket",F1094)),"Basket", IF(ISNUMBER(SEARCH("lunch",F1094)),"Lunch Box", IF(ISNUMBER(SEARCH("cutlery",F1094)),"Cutlery","Other")))))</f>
        <v>0</v>
      </c>
      <c r="I1094">
        <f>IF('Raw Data'!G1094&lt;&gt;'','Raw Data'!G1094,IFERROR(MID(F1094,SEARCH("MODEL",F1094)+6,20),""))</f>
        <v>0</v>
      </c>
      <c r="J1094">
        <f>'Raw Data'!H1094</f>
        <v>0</v>
      </c>
      <c r="K1094">
        <f>'Raw Data'!I1094</f>
        <v>0</v>
      </c>
      <c r="L1094">
        <f>IF('Raw Data'!N1094&lt;&gt;0,'Raw Data'!N1094,IFERROR(VALUE(MID(F1094,SEARCH("QTY",F1094)+4,IFERROR(FIND(" ",F1094,SEARCH("QTY",F1094)+4)-(SEARCH("QTY",F1094)+4),3))),""))</f>
        <v>0</v>
      </c>
      <c r="M1094">
        <f>'Raw Data'!O1094</f>
        <v>0</v>
      </c>
      <c r="N1094">
        <f>'Raw Data'!P1094</f>
        <v>0</v>
      </c>
      <c r="O1094">
        <f>'Raw Data'!Q1094</f>
        <v>0</v>
      </c>
      <c r="P1094">
        <f>'Raw Data'!R1094</f>
        <v>0</v>
      </c>
      <c r="Q1094">
        <f>'Raw Data'!S1094</f>
        <v>0</v>
      </c>
      <c r="R1094">
        <f>'Raw Data'!T1094</f>
        <v>0</v>
      </c>
      <c r="S1094">
        <f>IFERROR(O1094,0)+IFERROR(R1094,0)</f>
        <v>0</v>
      </c>
      <c r="T1094">
        <f>IF(A1094="","",YEAR(A1094))</f>
        <v>0</v>
      </c>
    </row>
    <row r="1095" spans="1:20">
      <c r="A1095">
        <f>'Raw Data'!B1095</f>
        <v>0</v>
      </c>
      <c r="B1095">
        <f>'Raw Data'!A1095</f>
        <v>0</v>
      </c>
      <c r="C1095">
        <f>'Raw Data'!C1095</f>
        <v>0</v>
      </c>
      <c r="D1095">
        <f>'Raw Data'!D1095</f>
        <v>0</v>
      </c>
      <c r="E1095">
        <f>IFERROR(VLOOKUP(D1095,'Lookup Tables'!$A:$B,2,FALSE),"Unknown")</f>
        <v>0</v>
      </c>
      <c r="F1095">
        <f>'Raw Data'!E1095</f>
        <v>0</v>
      </c>
      <c r="G1095">
        <f>IFERROR(VLOOKUP(D1095,'Lookup Tables'!$A:$C,3,FALSE),IF(ISNUMBER(SEARCH("STEEL",F1095)),"Steel","Others"))</f>
        <v>0</v>
      </c>
      <c r="H1095">
        <f>IF(ISNUMBER(SEARCH("scrubber",F1095)) , "Scrubber", IF(ISNUMBER(SEARCH("container",F1095)),"Container", IF(ISNUMBER(SEARCH("basket",F1095)),"Basket", IF(ISNUMBER(SEARCH("lunch",F1095)),"Lunch Box", IF(ISNUMBER(SEARCH("cutlery",F1095)),"Cutlery","Other")))))</f>
        <v>0</v>
      </c>
      <c r="I1095">
        <f>IF('Raw Data'!G1095&lt;&gt;'','Raw Data'!G1095,IFERROR(MID(F1095,SEARCH("MODEL",F1095)+6,20),""))</f>
        <v>0</v>
      </c>
      <c r="J1095">
        <f>'Raw Data'!H1095</f>
        <v>0</v>
      </c>
      <c r="K1095">
        <f>'Raw Data'!I1095</f>
        <v>0</v>
      </c>
      <c r="L1095">
        <f>IF('Raw Data'!N1095&lt;&gt;0,'Raw Data'!N1095,IFERROR(VALUE(MID(F1095,SEARCH("QTY",F1095)+4,IFERROR(FIND(" ",F1095,SEARCH("QTY",F1095)+4)-(SEARCH("QTY",F1095)+4),3))),""))</f>
        <v>0</v>
      </c>
      <c r="M1095">
        <f>'Raw Data'!O1095</f>
        <v>0</v>
      </c>
      <c r="N1095">
        <f>'Raw Data'!P1095</f>
        <v>0</v>
      </c>
      <c r="O1095">
        <f>'Raw Data'!Q1095</f>
        <v>0</v>
      </c>
      <c r="P1095">
        <f>'Raw Data'!R1095</f>
        <v>0</v>
      </c>
      <c r="Q1095">
        <f>'Raw Data'!S1095</f>
        <v>0</v>
      </c>
      <c r="R1095">
        <f>'Raw Data'!T1095</f>
        <v>0</v>
      </c>
      <c r="S1095">
        <f>IFERROR(O1095,0)+IFERROR(R1095,0)</f>
        <v>0</v>
      </c>
      <c r="T1095">
        <f>IF(A1095="","",YEAR(A1095))</f>
        <v>0</v>
      </c>
    </row>
    <row r="1096" spans="1:20">
      <c r="A1096">
        <f>'Raw Data'!B1096</f>
        <v>0</v>
      </c>
      <c r="B1096">
        <f>'Raw Data'!A1096</f>
        <v>0</v>
      </c>
      <c r="C1096">
        <f>'Raw Data'!C1096</f>
        <v>0</v>
      </c>
      <c r="D1096">
        <f>'Raw Data'!D1096</f>
        <v>0</v>
      </c>
      <c r="E1096">
        <f>IFERROR(VLOOKUP(D1096,'Lookup Tables'!$A:$B,2,FALSE),"Unknown")</f>
        <v>0</v>
      </c>
      <c r="F1096">
        <f>'Raw Data'!E1096</f>
        <v>0</v>
      </c>
      <c r="G1096">
        <f>IFERROR(VLOOKUP(D1096,'Lookup Tables'!$A:$C,3,FALSE),IF(ISNUMBER(SEARCH("STEEL",F1096)),"Steel","Others"))</f>
        <v>0</v>
      </c>
      <c r="H1096">
        <f>IF(ISNUMBER(SEARCH("scrubber",F1096)) , "Scrubber", IF(ISNUMBER(SEARCH("container",F1096)),"Container", IF(ISNUMBER(SEARCH("basket",F1096)),"Basket", IF(ISNUMBER(SEARCH("lunch",F1096)),"Lunch Box", IF(ISNUMBER(SEARCH("cutlery",F1096)),"Cutlery","Other")))))</f>
        <v>0</v>
      </c>
      <c r="I1096">
        <f>IF('Raw Data'!G1096&lt;&gt;'','Raw Data'!G1096,IFERROR(MID(F1096,SEARCH("MODEL",F1096)+6,20),""))</f>
        <v>0</v>
      </c>
      <c r="J1096">
        <f>'Raw Data'!H1096</f>
        <v>0</v>
      </c>
      <c r="K1096">
        <f>'Raw Data'!I1096</f>
        <v>0</v>
      </c>
      <c r="L1096">
        <f>IF('Raw Data'!N1096&lt;&gt;0,'Raw Data'!N1096,IFERROR(VALUE(MID(F1096,SEARCH("QTY",F1096)+4,IFERROR(FIND(" ",F1096,SEARCH("QTY",F1096)+4)-(SEARCH("QTY",F1096)+4),3))),""))</f>
        <v>0</v>
      </c>
      <c r="M1096">
        <f>'Raw Data'!O1096</f>
        <v>0</v>
      </c>
      <c r="N1096">
        <f>'Raw Data'!P1096</f>
        <v>0</v>
      </c>
      <c r="O1096">
        <f>'Raw Data'!Q1096</f>
        <v>0</v>
      </c>
      <c r="P1096">
        <f>'Raw Data'!R1096</f>
        <v>0</v>
      </c>
      <c r="Q1096">
        <f>'Raw Data'!S1096</f>
        <v>0</v>
      </c>
      <c r="R1096">
        <f>'Raw Data'!T1096</f>
        <v>0</v>
      </c>
      <c r="S1096">
        <f>IFERROR(O1096,0)+IFERROR(R1096,0)</f>
        <v>0</v>
      </c>
      <c r="T1096">
        <f>IF(A1096="","",YEAR(A1096))</f>
        <v>0</v>
      </c>
    </row>
    <row r="1097" spans="1:20">
      <c r="A1097">
        <f>'Raw Data'!B1097</f>
        <v>0</v>
      </c>
      <c r="B1097">
        <f>'Raw Data'!A1097</f>
        <v>0</v>
      </c>
      <c r="C1097">
        <f>'Raw Data'!C1097</f>
        <v>0</v>
      </c>
      <c r="D1097">
        <f>'Raw Data'!D1097</f>
        <v>0</v>
      </c>
      <c r="E1097">
        <f>IFERROR(VLOOKUP(D1097,'Lookup Tables'!$A:$B,2,FALSE),"Unknown")</f>
        <v>0</v>
      </c>
      <c r="F1097">
        <f>'Raw Data'!E1097</f>
        <v>0</v>
      </c>
      <c r="G1097">
        <f>IFERROR(VLOOKUP(D1097,'Lookup Tables'!$A:$C,3,FALSE),IF(ISNUMBER(SEARCH("STEEL",F1097)),"Steel","Others"))</f>
        <v>0</v>
      </c>
      <c r="H1097">
        <f>IF(ISNUMBER(SEARCH("scrubber",F1097)) , "Scrubber", IF(ISNUMBER(SEARCH("container",F1097)),"Container", IF(ISNUMBER(SEARCH("basket",F1097)),"Basket", IF(ISNUMBER(SEARCH("lunch",F1097)),"Lunch Box", IF(ISNUMBER(SEARCH("cutlery",F1097)),"Cutlery","Other")))))</f>
        <v>0</v>
      </c>
      <c r="I1097">
        <f>IF('Raw Data'!G1097&lt;&gt;'','Raw Data'!G1097,IFERROR(MID(F1097,SEARCH("MODEL",F1097)+6,20),""))</f>
        <v>0</v>
      </c>
      <c r="J1097">
        <f>'Raw Data'!H1097</f>
        <v>0</v>
      </c>
      <c r="K1097">
        <f>'Raw Data'!I1097</f>
        <v>0</v>
      </c>
      <c r="L1097">
        <f>IF('Raw Data'!N1097&lt;&gt;0,'Raw Data'!N1097,IFERROR(VALUE(MID(F1097,SEARCH("QTY",F1097)+4,IFERROR(FIND(" ",F1097,SEARCH("QTY",F1097)+4)-(SEARCH("QTY",F1097)+4),3))),""))</f>
        <v>0</v>
      </c>
      <c r="M1097">
        <f>'Raw Data'!O1097</f>
        <v>0</v>
      </c>
      <c r="N1097">
        <f>'Raw Data'!P1097</f>
        <v>0</v>
      </c>
      <c r="O1097">
        <f>'Raw Data'!Q1097</f>
        <v>0</v>
      </c>
      <c r="P1097">
        <f>'Raw Data'!R1097</f>
        <v>0</v>
      </c>
      <c r="Q1097">
        <f>'Raw Data'!S1097</f>
        <v>0</v>
      </c>
      <c r="R1097">
        <f>'Raw Data'!T1097</f>
        <v>0</v>
      </c>
      <c r="S1097">
        <f>IFERROR(O1097,0)+IFERROR(R1097,0)</f>
        <v>0</v>
      </c>
      <c r="T1097">
        <f>IF(A1097="","",YEAR(A1097))</f>
        <v>0</v>
      </c>
    </row>
    <row r="1098" spans="1:20">
      <c r="A1098">
        <f>'Raw Data'!B1098</f>
        <v>0</v>
      </c>
      <c r="B1098">
        <f>'Raw Data'!A1098</f>
        <v>0</v>
      </c>
      <c r="C1098">
        <f>'Raw Data'!C1098</f>
        <v>0</v>
      </c>
      <c r="D1098">
        <f>'Raw Data'!D1098</f>
        <v>0</v>
      </c>
      <c r="E1098">
        <f>IFERROR(VLOOKUP(D1098,'Lookup Tables'!$A:$B,2,FALSE),"Unknown")</f>
        <v>0</v>
      </c>
      <c r="F1098">
        <f>'Raw Data'!E1098</f>
        <v>0</v>
      </c>
      <c r="G1098">
        <f>IFERROR(VLOOKUP(D1098,'Lookup Tables'!$A:$C,3,FALSE),IF(ISNUMBER(SEARCH("STEEL",F1098)),"Steel","Others"))</f>
        <v>0</v>
      </c>
      <c r="H1098">
        <f>IF(ISNUMBER(SEARCH("scrubber",F1098)) , "Scrubber", IF(ISNUMBER(SEARCH("container",F1098)),"Container", IF(ISNUMBER(SEARCH("basket",F1098)),"Basket", IF(ISNUMBER(SEARCH("lunch",F1098)),"Lunch Box", IF(ISNUMBER(SEARCH("cutlery",F1098)),"Cutlery","Other")))))</f>
        <v>0</v>
      </c>
      <c r="I1098">
        <f>IF('Raw Data'!G1098&lt;&gt;'','Raw Data'!G1098,IFERROR(MID(F1098,SEARCH("MODEL",F1098)+6,20),""))</f>
        <v>0</v>
      </c>
      <c r="J1098">
        <f>'Raw Data'!H1098</f>
        <v>0</v>
      </c>
      <c r="K1098">
        <f>'Raw Data'!I1098</f>
        <v>0</v>
      </c>
      <c r="L1098">
        <f>IF('Raw Data'!N1098&lt;&gt;0,'Raw Data'!N1098,IFERROR(VALUE(MID(F1098,SEARCH("QTY",F1098)+4,IFERROR(FIND(" ",F1098,SEARCH("QTY",F1098)+4)-(SEARCH("QTY",F1098)+4),3))),""))</f>
        <v>0</v>
      </c>
      <c r="M1098">
        <f>'Raw Data'!O1098</f>
        <v>0</v>
      </c>
      <c r="N1098">
        <f>'Raw Data'!P1098</f>
        <v>0</v>
      </c>
      <c r="O1098">
        <f>'Raw Data'!Q1098</f>
        <v>0</v>
      </c>
      <c r="P1098">
        <f>'Raw Data'!R1098</f>
        <v>0</v>
      </c>
      <c r="Q1098">
        <f>'Raw Data'!S1098</f>
        <v>0</v>
      </c>
      <c r="R1098">
        <f>'Raw Data'!T1098</f>
        <v>0</v>
      </c>
      <c r="S1098">
        <f>IFERROR(O1098,0)+IFERROR(R1098,0)</f>
        <v>0</v>
      </c>
      <c r="T1098">
        <f>IF(A1098="","",YEAR(A1098))</f>
        <v>0</v>
      </c>
    </row>
    <row r="1099" spans="1:20">
      <c r="A1099">
        <f>'Raw Data'!B1099</f>
        <v>0</v>
      </c>
      <c r="B1099">
        <f>'Raw Data'!A1099</f>
        <v>0</v>
      </c>
      <c r="C1099">
        <f>'Raw Data'!C1099</f>
        <v>0</v>
      </c>
      <c r="D1099">
        <f>'Raw Data'!D1099</f>
        <v>0</v>
      </c>
      <c r="E1099">
        <f>IFERROR(VLOOKUP(D1099,'Lookup Tables'!$A:$B,2,FALSE),"Unknown")</f>
        <v>0</v>
      </c>
      <c r="F1099">
        <f>'Raw Data'!E1099</f>
        <v>0</v>
      </c>
      <c r="G1099">
        <f>IFERROR(VLOOKUP(D1099,'Lookup Tables'!$A:$C,3,FALSE),IF(ISNUMBER(SEARCH("STEEL",F1099)),"Steel","Others"))</f>
        <v>0</v>
      </c>
      <c r="H1099">
        <f>IF(ISNUMBER(SEARCH("scrubber",F1099)) , "Scrubber", IF(ISNUMBER(SEARCH("container",F1099)),"Container", IF(ISNUMBER(SEARCH("basket",F1099)),"Basket", IF(ISNUMBER(SEARCH("lunch",F1099)),"Lunch Box", IF(ISNUMBER(SEARCH("cutlery",F1099)),"Cutlery","Other")))))</f>
        <v>0</v>
      </c>
      <c r="I1099">
        <f>IF('Raw Data'!G1099&lt;&gt;'','Raw Data'!G1099,IFERROR(MID(F1099,SEARCH("MODEL",F1099)+6,20),""))</f>
        <v>0</v>
      </c>
      <c r="J1099">
        <f>'Raw Data'!H1099</f>
        <v>0</v>
      </c>
      <c r="K1099">
        <f>'Raw Data'!I1099</f>
        <v>0</v>
      </c>
      <c r="L1099">
        <f>IF('Raw Data'!N1099&lt;&gt;0,'Raw Data'!N1099,IFERROR(VALUE(MID(F1099,SEARCH("QTY",F1099)+4,IFERROR(FIND(" ",F1099,SEARCH("QTY",F1099)+4)-(SEARCH("QTY",F1099)+4),3))),""))</f>
        <v>0</v>
      </c>
      <c r="M1099">
        <f>'Raw Data'!O1099</f>
        <v>0</v>
      </c>
      <c r="N1099">
        <f>'Raw Data'!P1099</f>
        <v>0</v>
      </c>
      <c r="O1099">
        <f>'Raw Data'!Q1099</f>
        <v>0</v>
      </c>
      <c r="P1099">
        <f>'Raw Data'!R1099</f>
        <v>0</v>
      </c>
      <c r="Q1099">
        <f>'Raw Data'!S1099</f>
        <v>0</v>
      </c>
      <c r="R1099">
        <f>'Raw Data'!T1099</f>
        <v>0</v>
      </c>
      <c r="S1099">
        <f>IFERROR(O1099,0)+IFERROR(R1099,0)</f>
        <v>0</v>
      </c>
      <c r="T1099">
        <f>IF(A1099="","",YEAR(A1099))</f>
        <v>0</v>
      </c>
    </row>
    <row r="1100" spans="1:20">
      <c r="A1100">
        <f>'Raw Data'!B1100</f>
        <v>0</v>
      </c>
      <c r="B1100">
        <f>'Raw Data'!A1100</f>
        <v>0</v>
      </c>
      <c r="C1100">
        <f>'Raw Data'!C1100</f>
        <v>0</v>
      </c>
      <c r="D1100">
        <f>'Raw Data'!D1100</f>
        <v>0</v>
      </c>
      <c r="E1100">
        <f>IFERROR(VLOOKUP(D1100,'Lookup Tables'!$A:$B,2,FALSE),"Unknown")</f>
        <v>0</v>
      </c>
      <c r="F1100">
        <f>'Raw Data'!E1100</f>
        <v>0</v>
      </c>
      <c r="G1100">
        <f>IFERROR(VLOOKUP(D1100,'Lookup Tables'!$A:$C,3,FALSE),IF(ISNUMBER(SEARCH("STEEL",F1100)),"Steel","Others"))</f>
        <v>0</v>
      </c>
      <c r="H1100">
        <f>IF(ISNUMBER(SEARCH("scrubber",F1100)) , "Scrubber", IF(ISNUMBER(SEARCH("container",F1100)),"Container", IF(ISNUMBER(SEARCH("basket",F1100)),"Basket", IF(ISNUMBER(SEARCH("lunch",F1100)),"Lunch Box", IF(ISNUMBER(SEARCH("cutlery",F1100)),"Cutlery","Other")))))</f>
        <v>0</v>
      </c>
      <c r="I1100">
        <f>IF('Raw Data'!G1100&lt;&gt;'','Raw Data'!G1100,IFERROR(MID(F1100,SEARCH("MODEL",F1100)+6,20),""))</f>
        <v>0</v>
      </c>
      <c r="J1100">
        <f>'Raw Data'!H1100</f>
        <v>0</v>
      </c>
      <c r="K1100">
        <f>'Raw Data'!I1100</f>
        <v>0</v>
      </c>
      <c r="L1100">
        <f>IF('Raw Data'!N1100&lt;&gt;0,'Raw Data'!N1100,IFERROR(VALUE(MID(F1100,SEARCH("QTY",F1100)+4,IFERROR(FIND(" ",F1100,SEARCH("QTY",F1100)+4)-(SEARCH("QTY",F1100)+4),3))),""))</f>
        <v>0</v>
      </c>
      <c r="M1100">
        <f>'Raw Data'!O1100</f>
        <v>0</v>
      </c>
      <c r="N1100">
        <f>'Raw Data'!P1100</f>
        <v>0</v>
      </c>
      <c r="O1100">
        <f>'Raw Data'!Q1100</f>
        <v>0</v>
      </c>
      <c r="P1100">
        <f>'Raw Data'!R1100</f>
        <v>0</v>
      </c>
      <c r="Q1100">
        <f>'Raw Data'!S1100</f>
        <v>0</v>
      </c>
      <c r="R1100">
        <f>'Raw Data'!T1100</f>
        <v>0</v>
      </c>
      <c r="S1100">
        <f>IFERROR(O1100,0)+IFERROR(R1100,0)</f>
        <v>0</v>
      </c>
      <c r="T1100">
        <f>IF(A1100="","",YEAR(A1100))</f>
        <v>0</v>
      </c>
    </row>
    <row r="1101" spans="1:20">
      <c r="A1101">
        <f>'Raw Data'!B1101</f>
        <v>0</v>
      </c>
      <c r="B1101">
        <f>'Raw Data'!A1101</f>
        <v>0</v>
      </c>
      <c r="C1101">
        <f>'Raw Data'!C1101</f>
        <v>0</v>
      </c>
      <c r="D1101">
        <f>'Raw Data'!D1101</f>
        <v>0</v>
      </c>
      <c r="E1101">
        <f>IFERROR(VLOOKUP(D1101,'Lookup Tables'!$A:$B,2,FALSE),"Unknown")</f>
        <v>0</v>
      </c>
      <c r="F1101">
        <f>'Raw Data'!E1101</f>
        <v>0</v>
      </c>
      <c r="G1101">
        <f>IFERROR(VLOOKUP(D1101,'Lookup Tables'!$A:$C,3,FALSE),IF(ISNUMBER(SEARCH("STEEL",F1101)),"Steel","Others"))</f>
        <v>0</v>
      </c>
      <c r="H1101">
        <f>IF(ISNUMBER(SEARCH("scrubber",F1101)) , "Scrubber", IF(ISNUMBER(SEARCH("container",F1101)),"Container", IF(ISNUMBER(SEARCH("basket",F1101)),"Basket", IF(ISNUMBER(SEARCH("lunch",F1101)),"Lunch Box", IF(ISNUMBER(SEARCH("cutlery",F1101)),"Cutlery","Other")))))</f>
        <v>0</v>
      </c>
      <c r="I1101">
        <f>IF('Raw Data'!G1101&lt;&gt;'','Raw Data'!G1101,IFERROR(MID(F1101,SEARCH("MODEL",F1101)+6,20),""))</f>
        <v>0</v>
      </c>
      <c r="J1101">
        <f>'Raw Data'!H1101</f>
        <v>0</v>
      </c>
      <c r="K1101">
        <f>'Raw Data'!I1101</f>
        <v>0</v>
      </c>
      <c r="L1101">
        <f>IF('Raw Data'!N1101&lt;&gt;0,'Raw Data'!N1101,IFERROR(VALUE(MID(F1101,SEARCH("QTY",F1101)+4,IFERROR(FIND(" ",F1101,SEARCH("QTY",F1101)+4)-(SEARCH("QTY",F1101)+4),3))),""))</f>
        <v>0</v>
      </c>
      <c r="M1101">
        <f>'Raw Data'!O1101</f>
        <v>0</v>
      </c>
      <c r="N1101">
        <f>'Raw Data'!P1101</f>
        <v>0</v>
      </c>
      <c r="O1101">
        <f>'Raw Data'!Q1101</f>
        <v>0</v>
      </c>
      <c r="P1101">
        <f>'Raw Data'!R1101</f>
        <v>0</v>
      </c>
      <c r="Q1101">
        <f>'Raw Data'!S1101</f>
        <v>0</v>
      </c>
      <c r="R1101">
        <f>'Raw Data'!T1101</f>
        <v>0</v>
      </c>
      <c r="S1101">
        <f>IFERROR(O1101,0)+IFERROR(R1101,0)</f>
        <v>0</v>
      </c>
      <c r="T1101">
        <f>IF(A1101="","",YEAR(A1101))</f>
        <v>0</v>
      </c>
    </row>
    <row r="1102" spans="1:20">
      <c r="A1102">
        <f>'Raw Data'!B1102</f>
        <v>0</v>
      </c>
      <c r="B1102">
        <f>'Raw Data'!A1102</f>
        <v>0</v>
      </c>
      <c r="C1102">
        <f>'Raw Data'!C1102</f>
        <v>0</v>
      </c>
      <c r="D1102">
        <f>'Raw Data'!D1102</f>
        <v>0</v>
      </c>
      <c r="E1102">
        <f>IFERROR(VLOOKUP(D1102,'Lookup Tables'!$A:$B,2,FALSE),"Unknown")</f>
        <v>0</v>
      </c>
      <c r="F1102">
        <f>'Raw Data'!E1102</f>
        <v>0</v>
      </c>
      <c r="G1102">
        <f>IFERROR(VLOOKUP(D1102,'Lookup Tables'!$A:$C,3,FALSE),IF(ISNUMBER(SEARCH("STEEL",F1102)),"Steel","Others"))</f>
        <v>0</v>
      </c>
      <c r="H1102">
        <f>IF(ISNUMBER(SEARCH("scrubber",F1102)) , "Scrubber", IF(ISNUMBER(SEARCH("container",F1102)),"Container", IF(ISNUMBER(SEARCH("basket",F1102)),"Basket", IF(ISNUMBER(SEARCH("lunch",F1102)),"Lunch Box", IF(ISNUMBER(SEARCH("cutlery",F1102)),"Cutlery","Other")))))</f>
        <v>0</v>
      </c>
      <c r="I1102">
        <f>IF('Raw Data'!G1102&lt;&gt;'','Raw Data'!G1102,IFERROR(MID(F1102,SEARCH("MODEL",F1102)+6,20),""))</f>
        <v>0</v>
      </c>
      <c r="J1102">
        <f>'Raw Data'!H1102</f>
        <v>0</v>
      </c>
      <c r="K1102">
        <f>'Raw Data'!I1102</f>
        <v>0</v>
      </c>
      <c r="L1102">
        <f>IF('Raw Data'!N1102&lt;&gt;0,'Raw Data'!N1102,IFERROR(VALUE(MID(F1102,SEARCH("QTY",F1102)+4,IFERROR(FIND(" ",F1102,SEARCH("QTY",F1102)+4)-(SEARCH("QTY",F1102)+4),3))),""))</f>
        <v>0</v>
      </c>
      <c r="M1102">
        <f>'Raw Data'!O1102</f>
        <v>0</v>
      </c>
      <c r="N1102">
        <f>'Raw Data'!P1102</f>
        <v>0</v>
      </c>
      <c r="O1102">
        <f>'Raw Data'!Q1102</f>
        <v>0</v>
      </c>
      <c r="P1102">
        <f>'Raw Data'!R1102</f>
        <v>0</v>
      </c>
      <c r="Q1102">
        <f>'Raw Data'!S1102</f>
        <v>0</v>
      </c>
      <c r="R1102">
        <f>'Raw Data'!T1102</f>
        <v>0</v>
      </c>
      <c r="S1102">
        <f>IFERROR(O1102,0)+IFERROR(R1102,0)</f>
        <v>0</v>
      </c>
      <c r="T1102">
        <f>IF(A1102="","",YEAR(A1102))</f>
        <v>0</v>
      </c>
    </row>
    <row r="1103" spans="1:20">
      <c r="A1103">
        <f>'Raw Data'!B1103</f>
        <v>0</v>
      </c>
      <c r="B1103">
        <f>'Raw Data'!A1103</f>
        <v>0</v>
      </c>
      <c r="C1103">
        <f>'Raw Data'!C1103</f>
        <v>0</v>
      </c>
      <c r="D1103">
        <f>'Raw Data'!D1103</f>
        <v>0</v>
      </c>
      <c r="E1103">
        <f>IFERROR(VLOOKUP(D1103,'Lookup Tables'!$A:$B,2,FALSE),"Unknown")</f>
        <v>0</v>
      </c>
      <c r="F1103">
        <f>'Raw Data'!E1103</f>
        <v>0</v>
      </c>
      <c r="G1103">
        <f>IFERROR(VLOOKUP(D1103,'Lookup Tables'!$A:$C,3,FALSE),IF(ISNUMBER(SEARCH("STEEL",F1103)),"Steel","Others"))</f>
        <v>0</v>
      </c>
      <c r="H1103">
        <f>IF(ISNUMBER(SEARCH("scrubber",F1103)) , "Scrubber", IF(ISNUMBER(SEARCH("container",F1103)),"Container", IF(ISNUMBER(SEARCH("basket",F1103)),"Basket", IF(ISNUMBER(SEARCH("lunch",F1103)),"Lunch Box", IF(ISNUMBER(SEARCH("cutlery",F1103)),"Cutlery","Other")))))</f>
        <v>0</v>
      </c>
      <c r="I1103">
        <f>IF('Raw Data'!G1103&lt;&gt;'','Raw Data'!G1103,IFERROR(MID(F1103,SEARCH("MODEL",F1103)+6,20),""))</f>
        <v>0</v>
      </c>
      <c r="J1103">
        <f>'Raw Data'!H1103</f>
        <v>0</v>
      </c>
      <c r="K1103">
        <f>'Raw Data'!I1103</f>
        <v>0</v>
      </c>
      <c r="L1103">
        <f>IF('Raw Data'!N1103&lt;&gt;0,'Raw Data'!N1103,IFERROR(VALUE(MID(F1103,SEARCH("QTY",F1103)+4,IFERROR(FIND(" ",F1103,SEARCH("QTY",F1103)+4)-(SEARCH("QTY",F1103)+4),3))),""))</f>
        <v>0</v>
      </c>
      <c r="M1103">
        <f>'Raw Data'!O1103</f>
        <v>0</v>
      </c>
      <c r="N1103">
        <f>'Raw Data'!P1103</f>
        <v>0</v>
      </c>
      <c r="O1103">
        <f>'Raw Data'!Q1103</f>
        <v>0</v>
      </c>
      <c r="P1103">
        <f>'Raw Data'!R1103</f>
        <v>0</v>
      </c>
      <c r="Q1103">
        <f>'Raw Data'!S1103</f>
        <v>0</v>
      </c>
      <c r="R1103">
        <f>'Raw Data'!T1103</f>
        <v>0</v>
      </c>
      <c r="S1103">
        <f>IFERROR(O1103,0)+IFERROR(R1103,0)</f>
        <v>0</v>
      </c>
      <c r="T1103">
        <f>IF(A1103="","",YEAR(A1103))</f>
        <v>0</v>
      </c>
    </row>
    <row r="1104" spans="1:20">
      <c r="A1104">
        <f>'Raw Data'!B1104</f>
        <v>0</v>
      </c>
      <c r="B1104">
        <f>'Raw Data'!A1104</f>
        <v>0</v>
      </c>
      <c r="C1104">
        <f>'Raw Data'!C1104</f>
        <v>0</v>
      </c>
      <c r="D1104">
        <f>'Raw Data'!D1104</f>
        <v>0</v>
      </c>
      <c r="E1104">
        <f>IFERROR(VLOOKUP(D1104,'Lookup Tables'!$A:$B,2,FALSE),"Unknown")</f>
        <v>0</v>
      </c>
      <c r="F1104">
        <f>'Raw Data'!E1104</f>
        <v>0</v>
      </c>
      <c r="G1104">
        <f>IFERROR(VLOOKUP(D1104,'Lookup Tables'!$A:$C,3,FALSE),IF(ISNUMBER(SEARCH("STEEL",F1104)),"Steel","Others"))</f>
        <v>0</v>
      </c>
      <c r="H1104">
        <f>IF(ISNUMBER(SEARCH("scrubber",F1104)) , "Scrubber", IF(ISNUMBER(SEARCH("container",F1104)),"Container", IF(ISNUMBER(SEARCH("basket",F1104)),"Basket", IF(ISNUMBER(SEARCH("lunch",F1104)),"Lunch Box", IF(ISNUMBER(SEARCH("cutlery",F1104)),"Cutlery","Other")))))</f>
        <v>0</v>
      </c>
      <c r="I1104">
        <f>IF('Raw Data'!G1104&lt;&gt;'','Raw Data'!G1104,IFERROR(MID(F1104,SEARCH("MODEL",F1104)+6,20),""))</f>
        <v>0</v>
      </c>
      <c r="J1104">
        <f>'Raw Data'!H1104</f>
        <v>0</v>
      </c>
      <c r="K1104">
        <f>'Raw Data'!I1104</f>
        <v>0</v>
      </c>
      <c r="L1104">
        <f>IF('Raw Data'!N1104&lt;&gt;0,'Raw Data'!N1104,IFERROR(VALUE(MID(F1104,SEARCH("QTY",F1104)+4,IFERROR(FIND(" ",F1104,SEARCH("QTY",F1104)+4)-(SEARCH("QTY",F1104)+4),3))),""))</f>
        <v>0</v>
      </c>
      <c r="M1104">
        <f>'Raw Data'!O1104</f>
        <v>0</v>
      </c>
      <c r="N1104">
        <f>'Raw Data'!P1104</f>
        <v>0</v>
      </c>
      <c r="O1104">
        <f>'Raw Data'!Q1104</f>
        <v>0</v>
      </c>
      <c r="P1104">
        <f>'Raw Data'!R1104</f>
        <v>0</v>
      </c>
      <c r="Q1104">
        <f>'Raw Data'!S1104</f>
        <v>0</v>
      </c>
      <c r="R1104">
        <f>'Raw Data'!T1104</f>
        <v>0</v>
      </c>
      <c r="S1104">
        <f>IFERROR(O1104,0)+IFERROR(R1104,0)</f>
        <v>0</v>
      </c>
      <c r="T1104">
        <f>IF(A1104="","",YEAR(A1104))</f>
        <v>0</v>
      </c>
    </row>
    <row r="1105" spans="1:20">
      <c r="A1105">
        <f>'Raw Data'!B1105</f>
        <v>0</v>
      </c>
      <c r="B1105">
        <f>'Raw Data'!A1105</f>
        <v>0</v>
      </c>
      <c r="C1105">
        <f>'Raw Data'!C1105</f>
        <v>0</v>
      </c>
      <c r="D1105">
        <f>'Raw Data'!D1105</f>
        <v>0</v>
      </c>
      <c r="E1105">
        <f>IFERROR(VLOOKUP(D1105,'Lookup Tables'!$A:$B,2,FALSE),"Unknown")</f>
        <v>0</v>
      </c>
      <c r="F1105">
        <f>'Raw Data'!E1105</f>
        <v>0</v>
      </c>
      <c r="G1105">
        <f>IFERROR(VLOOKUP(D1105,'Lookup Tables'!$A:$C,3,FALSE),IF(ISNUMBER(SEARCH("STEEL",F1105)),"Steel","Others"))</f>
        <v>0</v>
      </c>
      <c r="H1105">
        <f>IF(ISNUMBER(SEARCH("scrubber",F1105)) , "Scrubber", IF(ISNUMBER(SEARCH("container",F1105)),"Container", IF(ISNUMBER(SEARCH("basket",F1105)),"Basket", IF(ISNUMBER(SEARCH("lunch",F1105)),"Lunch Box", IF(ISNUMBER(SEARCH("cutlery",F1105)),"Cutlery","Other")))))</f>
        <v>0</v>
      </c>
      <c r="I1105">
        <f>IF('Raw Data'!G1105&lt;&gt;'','Raw Data'!G1105,IFERROR(MID(F1105,SEARCH("MODEL",F1105)+6,20),""))</f>
        <v>0</v>
      </c>
      <c r="J1105">
        <f>'Raw Data'!H1105</f>
        <v>0</v>
      </c>
      <c r="K1105">
        <f>'Raw Data'!I1105</f>
        <v>0</v>
      </c>
      <c r="L1105">
        <f>IF('Raw Data'!N1105&lt;&gt;0,'Raw Data'!N1105,IFERROR(VALUE(MID(F1105,SEARCH("QTY",F1105)+4,IFERROR(FIND(" ",F1105,SEARCH("QTY",F1105)+4)-(SEARCH("QTY",F1105)+4),3))),""))</f>
        <v>0</v>
      </c>
      <c r="M1105">
        <f>'Raw Data'!O1105</f>
        <v>0</v>
      </c>
      <c r="N1105">
        <f>'Raw Data'!P1105</f>
        <v>0</v>
      </c>
      <c r="O1105">
        <f>'Raw Data'!Q1105</f>
        <v>0</v>
      </c>
      <c r="P1105">
        <f>'Raw Data'!R1105</f>
        <v>0</v>
      </c>
      <c r="Q1105">
        <f>'Raw Data'!S1105</f>
        <v>0</v>
      </c>
      <c r="R1105">
        <f>'Raw Data'!T1105</f>
        <v>0</v>
      </c>
      <c r="S1105">
        <f>IFERROR(O1105,0)+IFERROR(R1105,0)</f>
        <v>0</v>
      </c>
      <c r="T1105">
        <f>IF(A1105="","",YEAR(A1105))</f>
        <v>0</v>
      </c>
    </row>
    <row r="1106" spans="1:20">
      <c r="A1106">
        <f>'Raw Data'!B1106</f>
        <v>0</v>
      </c>
      <c r="B1106">
        <f>'Raw Data'!A1106</f>
        <v>0</v>
      </c>
      <c r="C1106">
        <f>'Raw Data'!C1106</f>
        <v>0</v>
      </c>
      <c r="D1106">
        <f>'Raw Data'!D1106</f>
        <v>0</v>
      </c>
      <c r="E1106">
        <f>IFERROR(VLOOKUP(D1106,'Lookup Tables'!$A:$B,2,FALSE),"Unknown")</f>
        <v>0</v>
      </c>
      <c r="F1106">
        <f>'Raw Data'!E1106</f>
        <v>0</v>
      </c>
      <c r="G1106">
        <f>IFERROR(VLOOKUP(D1106,'Lookup Tables'!$A:$C,3,FALSE),IF(ISNUMBER(SEARCH("STEEL",F1106)),"Steel","Others"))</f>
        <v>0</v>
      </c>
      <c r="H1106">
        <f>IF(ISNUMBER(SEARCH("scrubber",F1106)) , "Scrubber", IF(ISNUMBER(SEARCH("container",F1106)),"Container", IF(ISNUMBER(SEARCH("basket",F1106)),"Basket", IF(ISNUMBER(SEARCH("lunch",F1106)),"Lunch Box", IF(ISNUMBER(SEARCH("cutlery",F1106)),"Cutlery","Other")))))</f>
        <v>0</v>
      </c>
      <c r="I1106">
        <f>IF('Raw Data'!G1106&lt;&gt;'','Raw Data'!G1106,IFERROR(MID(F1106,SEARCH("MODEL",F1106)+6,20),""))</f>
        <v>0</v>
      </c>
      <c r="J1106">
        <f>'Raw Data'!H1106</f>
        <v>0</v>
      </c>
      <c r="K1106">
        <f>'Raw Data'!I1106</f>
        <v>0</v>
      </c>
      <c r="L1106">
        <f>IF('Raw Data'!N1106&lt;&gt;0,'Raw Data'!N1106,IFERROR(VALUE(MID(F1106,SEARCH("QTY",F1106)+4,IFERROR(FIND(" ",F1106,SEARCH("QTY",F1106)+4)-(SEARCH("QTY",F1106)+4),3))),""))</f>
        <v>0</v>
      </c>
      <c r="M1106">
        <f>'Raw Data'!O1106</f>
        <v>0</v>
      </c>
      <c r="N1106">
        <f>'Raw Data'!P1106</f>
        <v>0</v>
      </c>
      <c r="O1106">
        <f>'Raw Data'!Q1106</f>
        <v>0</v>
      </c>
      <c r="P1106">
        <f>'Raw Data'!R1106</f>
        <v>0</v>
      </c>
      <c r="Q1106">
        <f>'Raw Data'!S1106</f>
        <v>0</v>
      </c>
      <c r="R1106">
        <f>'Raw Data'!T1106</f>
        <v>0</v>
      </c>
      <c r="S1106">
        <f>IFERROR(O1106,0)+IFERROR(R1106,0)</f>
        <v>0</v>
      </c>
      <c r="T1106">
        <f>IF(A1106="","",YEAR(A1106))</f>
        <v>0</v>
      </c>
    </row>
    <row r="1107" spans="1:20">
      <c r="A1107">
        <f>'Raw Data'!B1107</f>
        <v>0</v>
      </c>
      <c r="B1107">
        <f>'Raw Data'!A1107</f>
        <v>0</v>
      </c>
      <c r="C1107">
        <f>'Raw Data'!C1107</f>
        <v>0</v>
      </c>
      <c r="D1107">
        <f>'Raw Data'!D1107</f>
        <v>0</v>
      </c>
      <c r="E1107">
        <f>IFERROR(VLOOKUP(D1107,'Lookup Tables'!$A:$B,2,FALSE),"Unknown")</f>
        <v>0</v>
      </c>
      <c r="F1107">
        <f>'Raw Data'!E1107</f>
        <v>0</v>
      </c>
      <c r="G1107">
        <f>IFERROR(VLOOKUP(D1107,'Lookup Tables'!$A:$C,3,FALSE),IF(ISNUMBER(SEARCH("STEEL",F1107)),"Steel","Others"))</f>
        <v>0</v>
      </c>
      <c r="H1107">
        <f>IF(ISNUMBER(SEARCH("scrubber",F1107)) , "Scrubber", IF(ISNUMBER(SEARCH("container",F1107)),"Container", IF(ISNUMBER(SEARCH("basket",F1107)),"Basket", IF(ISNUMBER(SEARCH("lunch",F1107)),"Lunch Box", IF(ISNUMBER(SEARCH("cutlery",F1107)),"Cutlery","Other")))))</f>
        <v>0</v>
      </c>
      <c r="I1107">
        <f>IF('Raw Data'!G1107&lt;&gt;'','Raw Data'!G1107,IFERROR(MID(F1107,SEARCH("MODEL",F1107)+6,20),""))</f>
        <v>0</v>
      </c>
      <c r="J1107">
        <f>'Raw Data'!H1107</f>
        <v>0</v>
      </c>
      <c r="K1107">
        <f>'Raw Data'!I1107</f>
        <v>0</v>
      </c>
      <c r="L1107">
        <f>IF('Raw Data'!N1107&lt;&gt;0,'Raw Data'!N1107,IFERROR(VALUE(MID(F1107,SEARCH("QTY",F1107)+4,IFERROR(FIND(" ",F1107,SEARCH("QTY",F1107)+4)-(SEARCH("QTY",F1107)+4),3))),""))</f>
        <v>0</v>
      </c>
      <c r="M1107">
        <f>'Raw Data'!O1107</f>
        <v>0</v>
      </c>
      <c r="N1107">
        <f>'Raw Data'!P1107</f>
        <v>0</v>
      </c>
      <c r="O1107">
        <f>'Raw Data'!Q1107</f>
        <v>0</v>
      </c>
      <c r="P1107">
        <f>'Raw Data'!R1107</f>
        <v>0</v>
      </c>
      <c r="Q1107">
        <f>'Raw Data'!S1107</f>
        <v>0</v>
      </c>
      <c r="R1107">
        <f>'Raw Data'!T1107</f>
        <v>0</v>
      </c>
      <c r="S1107">
        <f>IFERROR(O1107,0)+IFERROR(R1107,0)</f>
        <v>0</v>
      </c>
      <c r="T1107">
        <f>IF(A1107="","",YEAR(A1107))</f>
        <v>0</v>
      </c>
    </row>
    <row r="1108" spans="1:20">
      <c r="A1108">
        <f>'Raw Data'!B1108</f>
        <v>0</v>
      </c>
      <c r="B1108">
        <f>'Raw Data'!A1108</f>
        <v>0</v>
      </c>
      <c r="C1108">
        <f>'Raw Data'!C1108</f>
        <v>0</v>
      </c>
      <c r="D1108">
        <f>'Raw Data'!D1108</f>
        <v>0</v>
      </c>
      <c r="E1108">
        <f>IFERROR(VLOOKUP(D1108,'Lookup Tables'!$A:$B,2,FALSE),"Unknown")</f>
        <v>0</v>
      </c>
      <c r="F1108">
        <f>'Raw Data'!E1108</f>
        <v>0</v>
      </c>
      <c r="G1108">
        <f>IFERROR(VLOOKUP(D1108,'Lookup Tables'!$A:$C,3,FALSE),IF(ISNUMBER(SEARCH("STEEL",F1108)),"Steel","Others"))</f>
        <v>0</v>
      </c>
      <c r="H1108">
        <f>IF(ISNUMBER(SEARCH("scrubber",F1108)) , "Scrubber", IF(ISNUMBER(SEARCH("container",F1108)),"Container", IF(ISNUMBER(SEARCH("basket",F1108)),"Basket", IF(ISNUMBER(SEARCH("lunch",F1108)),"Lunch Box", IF(ISNUMBER(SEARCH("cutlery",F1108)),"Cutlery","Other")))))</f>
        <v>0</v>
      </c>
      <c r="I1108">
        <f>IF('Raw Data'!G1108&lt;&gt;'','Raw Data'!G1108,IFERROR(MID(F1108,SEARCH("MODEL",F1108)+6,20),""))</f>
        <v>0</v>
      </c>
      <c r="J1108">
        <f>'Raw Data'!H1108</f>
        <v>0</v>
      </c>
      <c r="K1108">
        <f>'Raw Data'!I1108</f>
        <v>0</v>
      </c>
      <c r="L1108">
        <f>IF('Raw Data'!N1108&lt;&gt;0,'Raw Data'!N1108,IFERROR(VALUE(MID(F1108,SEARCH("QTY",F1108)+4,IFERROR(FIND(" ",F1108,SEARCH("QTY",F1108)+4)-(SEARCH("QTY",F1108)+4),3))),""))</f>
        <v>0</v>
      </c>
      <c r="M1108">
        <f>'Raw Data'!O1108</f>
        <v>0</v>
      </c>
      <c r="N1108">
        <f>'Raw Data'!P1108</f>
        <v>0</v>
      </c>
      <c r="O1108">
        <f>'Raw Data'!Q1108</f>
        <v>0</v>
      </c>
      <c r="P1108">
        <f>'Raw Data'!R1108</f>
        <v>0</v>
      </c>
      <c r="Q1108">
        <f>'Raw Data'!S1108</f>
        <v>0</v>
      </c>
      <c r="R1108">
        <f>'Raw Data'!T1108</f>
        <v>0</v>
      </c>
      <c r="S1108">
        <f>IFERROR(O1108,0)+IFERROR(R1108,0)</f>
        <v>0</v>
      </c>
      <c r="T1108">
        <f>IF(A1108="","",YEAR(A1108))</f>
        <v>0</v>
      </c>
    </row>
    <row r="1109" spans="1:20">
      <c r="A1109">
        <f>'Raw Data'!B1109</f>
        <v>0</v>
      </c>
      <c r="B1109">
        <f>'Raw Data'!A1109</f>
        <v>0</v>
      </c>
      <c r="C1109">
        <f>'Raw Data'!C1109</f>
        <v>0</v>
      </c>
      <c r="D1109">
        <f>'Raw Data'!D1109</f>
        <v>0</v>
      </c>
      <c r="E1109">
        <f>IFERROR(VLOOKUP(D1109,'Lookup Tables'!$A:$B,2,FALSE),"Unknown")</f>
        <v>0</v>
      </c>
      <c r="F1109">
        <f>'Raw Data'!E1109</f>
        <v>0</v>
      </c>
      <c r="G1109">
        <f>IFERROR(VLOOKUP(D1109,'Lookup Tables'!$A:$C,3,FALSE),IF(ISNUMBER(SEARCH("STEEL",F1109)),"Steel","Others"))</f>
        <v>0</v>
      </c>
      <c r="H1109">
        <f>IF(ISNUMBER(SEARCH("scrubber",F1109)) , "Scrubber", IF(ISNUMBER(SEARCH("container",F1109)),"Container", IF(ISNUMBER(SEARCH("basket",F1109)),"Basket", IF(ISNUMBER(SEARCH("lunch",F1109)),"Lunch Box", IF(ISNUMBER(SEARCH("cutlery",F1109)),"Cutlery","Other")))))</f>
        <v>0</v>
      </c>
      <c r="I1109">
        <f>IF('Raw Data'!G1109&lt;&gt;'','Raw Data'!G1109,IFERROR(MID(F1109,SEARCH("MODEL",F1109)+6,20),""))</f>
        <v>0</v>
      </c>
      <c r="J1109">
        <f>'Raw Data'!H1109</f>
        <v>0</v>
      </c>
      <c r="K1109">
        <f>'Raw Data'!I1109</f>
        <v>0</v>
      </c>
      <c r="L1109">
        <f>IF('Raw Data'!N1109&lt;&gt;0,'Raw Data'!N1109,IFERROR(VALUE(MID(F1109,SEARCH("QTY",F1109)+4,IFERROR(FIND(" ",F1109,SEARCH("QTY",F1109)+4)-(SEARCH("QTY",F1109)+4),3))),""))</f>
        <v>0</v>
      </c>
      <c r="M1109">
        <f>'Raw Data'!O1109</f>
        <v>0</v>
      </c>
      <c r="N1109">
        <f>'Raw Data'!P1109</f>
        <v>0</v>
      </c>
      <c r="O1109">
        <f>'Raw Data'!Q1109</f>
        <v>0</v>
      </c>
      <c r="P1109">
        <f>'Raw Data'!R1109</f>
        <v>0</v>
      </c>
      <c r="Q1109">
        <f>'Raw Data'!S1109</f>
        <v>0</v>
      </c>
      <c r="R1109">
        <f>'Raw Data'!T1109</f>
        <v>0</v>
      </c>
      <c r="S1109">
        <f>IFERROR(O1109,0)+IFERROR(R1109,0)</f>
        <v>0</v>
      </c>
      <c r="T1109">
        <f>IF(A1109="","",YEAR(A1109))</f>
        <v>0</v>
      </c>
    </row>
    <row r="1110" spans="1:20">
      <c r="A1110">
        <f>'Raw Data'!B1110</f>
        <v>0</v>
      </c>
      <c r="B1110">
        <f>'Raw Data'!A1110</f>
        <v>0</v>
      </c>
      <c r="C1110">
        <f>'Raw Data'!C1110</f>
        <v>0</v>
      </c>
      <c r="D1110">
        <f>'Raw Data'!D1110</f>
        <v>0</v>
      </c>
      <c r="E1110">
        <f>IFERROR(VLOOKUP(D1110,'Lookup Tables'!$A:$B,2,FALSE),"Unknown")</f>
        <v>0</v>
      </c>
      <c r="F1110">
        <f>'Raw Data'!E1110</f>
        <v>0</v>
      </c>
      <c r="G1110">
        <f>IFERROR(VLOOKUP(D1110,'Lookup Tables'!$A:$C,3,FALSE),IF(ISNUMBER(SEARCH("STEEL",F1110)),"Steel","Others"))</f>
        <v>0</v>
      </c>
      <c r="H1110">
        <f>IF(ISNUMBER(SEARCH("scrubber",F1110)) , "Scrubber", IF(ISNUMBER(SEARCH("container",F1110)),"Container", IF(ISNUMBER(SEARCH("basket",F1110)),"Basket", IF(ISNUMBER(SEARCH("lunch",F1110)),"Lunch Box", IF(ISNUMBER(SEARCH("cutlery",F1110)),"Cutlery","Other")))))</f>
        <v>0</v>
      </c>
      <c r="I1110">
        <f>IF('Raw Data'!G1110&lt;&gt;'','Raw Data'!G1110,IFERROR(MID(F1110,SEARCH("MODEL",F1110)+6,20),""))</f>
        <v>0</v>
      </c>
      <c r="J1110">
        <f>'Raw Data'!H1110</f>
        <v>0</v>
      </c>
      <c r="K1110">
        <f>'Raw Data'!I1110</f>
        <v>0</v>
      </c>
      <c r="L1110">
        <f>IF('Raw Data'!N1110&lt;&gt;0,'Raw Data'!N1110,IFERROR(VALUE(MID(F1110,SEARCH("QTY",F1110)+4,IFERROR(FIND(" ",F1110,SEARCH("QTY",F1110)+4)-(SEARCH("QTY",F1110)+4),3))),""))</f>
        <v>0</v>
      </c>
      <c r="M1110">
        <f>'Raw Data'!O1110</f>
        <v>0</v>
      </c>
      <c r="N1110">
        <f>'Raw Data'!P1110</f>
        <v>0</v>
      </c>
      <c r="O1110">
        <f>'Raw Data'!Q1110</f>
        <v>0</v>
      </c>
      <c r="P1110">
        <f>'Raw Data'!R1110</f>
        <v>0</v>
      </c>
      <c r="Q1110">
        <f>'Raw Data'!S1110</f>
        <v>0</v>
      </c>
      <c r="R1110">
        <f>'Raw Data'!T1110</f>
        <v>0</v>
      </c>
      <c r="S1110">
        <f>IFERROR(O1110,0)+IFERROR(R1110,0)</f>
        <v>0</v>
      </c>
      <c r="T1110">
        <f>IF(A1110="","",YEAR(A1110))</f>
        <v>0</v>
      </c>
    </row>
    <row r="1111" spans="1:20">
      <c r="A1111">
        <f>'Raw Data'!B1111</f>
        <v>0</v>
      </c>
      <c r="B1111">
        <f>'Raw Data'!A1111</f>
        <v>0</v>
      </c>
      <c r="C1111">
        <f>'Raw Data'!C1111</f>
        <v>0</v>
      </c>
      <c r="D1111">
        <f>'Raw Data'!D1111</f>
        <v>0</v>
      </c>
      <c r="E1111">
        <f>IFERROR(VLOOKUP(D1111,'Lookup Tables'!$A:$B,2,FALSE),"Unknown")</f>
        <v>0</v>
      </c>
      <c r="F1111">
        <f>'Raw Data'!E1111</f>
        <v>0</v>
      </c>
      <c r="G1111">
        <f>IFERROR(VLOOKUP(D1111,'Lookup Tables'!$A:$C,3,FALSE),IF(ISNUMBER(SEARCH("STEEL",F1111)),"Steel","Others"))</f>
        <v>0</v>
      </c>
      <c r="H1111">
        <f>IF(ISNUMBER(SEARCH("scrubber",F1111)) , "Scrubber", IF(ISNUMBER(SEARCH("container",F1111)),"Container", IF(ISNUMBER(SEARCH("basket",F1111)),"Basket", IF(ISNUMBER(SEARCH("lunch",F1111)),"Lunch Box", IF(ISNUMBER(SEARCH("cutlery",F1111)),"Cutlery","Other")))))</f>
        <v>0</v>
      </c>
      <c r="I1111">
        <f>IF('Raw Data'!G1111&lt;&gt;'','Raw Data'!G1111,IFERROR(MID(F1111,SEARCH("MODEL",F1111)+6,20),""))</f>
        <v>0</v>
      </c>
      <c r="J1111">
        <f>'Raw Data'!H1111</f>
        <v>0</v>
      </c>
      <c r="K1111">
        <f>'Raw Data'!I1111</f>
        <v>0</v>
      </c>
      <c r="L1111">
        <f>IF('Raw Data'!N1111&lt;&gt;0,'Raw Data'!N1111,IFERROR(VALUE(MID(F1111,SEARCH("QTY",F1111)+4,IFERROR(FIND(" ",F1111,SEARCH("QTY",F1111)+4)-(SEARCH("QTY",F1111)+4),3))),""))</f>
        <v>0</v>
      </c>
      <c r="M1111">
        <f>'Raw Data'!O1111</f>
        <v>0</v>
      </c>
      <c r="N1111">
        <f>'Raw Data'!P1111</f>
        <v>0</v>
      </c>
      <c r="O1111">
        <f>'Raw Data'!Q1111</f>
        <v>0</v>
      </c>
      <c r="P1111">
        <f>'Raw Data'!R1111</f>
        <v>0</v>
      </c>
      <c r="Q1111">
        <f>'Raw Data'!S1111</f>
        <v>0</v>
      </c>
      <c r="R1111">
        <f>'Raw Data'!T1111</f>
        <v>0</v>
      </c>
      <c r="S1111">
        <f>IFERROR(O1111,0)+IFERROR(R1111,0)</f>
        <v>0</v>
      </c>
      <c r="T1111">
        <f>IF(A1111="","",YEAR(A1111))</f>
        <v>0</v>
      </c>
    </row>
    <row r="1112" spans="1:20">
      <c r="A1112">
        <f>'Raw Data'!B1112</f>
        <v>0</v>
      </c>
      <c r="B1112">
        <f>'Raw Data'!A1112</f>
        <v>0</v>
      </c>
      <c r="C1112">
        <f>'Raw Data'!C1112</f>
        <v>0</v>
      </c>
      <c r="D1112">
        <f>'Raw Data'!D1112</f>
        <v>0</v>
      </c>
      <c r="E1112">
        <f>IFERROR(VLOOKUP(D1112,'Lookup Tables'!$A:$B,2,FALSE),"Unknown")</f>
        <v>0</v>
      </c>
      <c r="F1112">
        <f>'Raw Data'!E1112</f>
        <v>0</v>
      </c>
      <c r="G1112">
        <f>IFERROR(VLOOKUP(D1112,'Lookup Tables'!$A:$C,3,FALSE),IF(ISNUMBER(SEARCH("STEEL",F1112)),"Steel","Others"))</f>
        <v>0</v>
      </c>
      <c r="H1112">
        <f>IF(ISNUMBER(SEARCH("scrubber",F1112)) , "Scrubber", IF(ISNUMBER(SEARCH("container",F1112)),"Container", IF(ISNUMBER(SEARCH("basket",F1112)),"Basket", IF(ISNUMBER(SEARCH("lunch",F1112)),"Lunch Box", IF(ISNUMBER(SEARCH("cutlery",F1112)),"Cutlery","Other")))))</f>
        <v>0</v>
      </c>
      <c r="I1112">
        <f>IF('Raw Data'!G1112&lt;&gt;'','Raw Data'!G1112,IFERROR(MID(F1112,SEARCH("MODEL",F1112)+6,20),""))</f>
        <v>0</v>
      </c>
      <c r="J1112">
        <f>'Raw Data'!H1112</f>
        <v>0</v>
      </c>
      <c r="K1112">
        <f>'Raw Data'!I1112</f>
        <v>0</v>
      </c>
      <c r="L1112">
        <f>IF('Raw Data'!N1112&lt;&gt;0,'Raw Data'!N1112,IFERROR(VALUE(MID(F1112,SEARCH("QTY",F1112)+4,IFERROR(FIND(" ",F1112,SEARCH("QTY",F1112)+4)-(SEARCH("QTY",F1112)+4),3))),""))</f>
        <v>0</v>
      </c>
      <c r="M1112">
        <f>'Raw Data'!O1112</f>
        <v>0</v>
      </c>
      <c r="N1112">
        <f>'Raw Data'!P1112</f>
        <v>0</v>
      </c>
      <c r="O1112">
        <f>'Raw Data'!Q1112</f>
        <v>0</v>
      </c>
      <c r="P1112">
        <f>'Raw Data'!R1112</f>
        <v>0</v>
      </c>
      <c r="Q1112">
        <f>'Raw Data'!S1112</f>
        <v>0</v>
      </c>
      <c r="R1112">
        <f>'Raw Data'!T1112</f>
        <v>0</v>
      </c>
      <c r="S1112">
        <f>IFERROR(O1112,0)+IFERROR(R1112,0)</f>
        <v>0</v>
      </c>
      <c r="T1112">
        <f>IF(A1112="","",YEAR(A1112))</f>
        <v>0</v>
      </c>
    </row>
    <row r="1113" spans="1:20">
      <c r="A1113">
        <f>'Raw Data'!B1113</f>
        <v>0</v>
      </c>
      <c r="B1113">
        <f>'Raw Data'!A1113</f>
        <v>0</v>
      </c>
      <c r="C1113">
        <f>'Raw Data'!C1113</f>
        <v>0</v>
      </c>
      <c r="D1113">
        <f>'Raw Data'!D1113</f>
        <v>0</v>
      </c>
      <c r="E1113">
        <f>IFERROR(VLOOKUP(D1113,'Lookup Tables'!$A:$B,2,FALSE),"Unknown")</f>
        <v>0</v>
      </c>
      <c r="F1113">
        <f>'Raw Data'!E1113</f>
        <v>0</v>
      </c>
      <c r="G1113">
        <f>IFERROR(VLOOKUP(D1113,'Lookup Tables'!$A:$C,3,FALSE),IF(ISNUMBER(SEARCH("STEEL",F1113)),"Steel","Others"))</f>
        <v>0</v>
      </c>
      <c r="H1113">
        <f>IF(ISNUMBER(SEARCH("scrubber",F1113)) , "Scrubber", IF(ISNUMBER(SEARCH("container",F1113)),"Container", IF(ISNUMBER(SEARCH("basket",F1113)),"Basket", IF(ISNUMBER(SEARCH("lunch",F1113)),"Lunch Box", IF(ISNUMBER(SEARCH("cutlery",F1113)),"Cutlery","Other")))))</f>
        <v>0</v>
      </c>
      <c r="I1113">
        <f>IF('Raw Data'!G1113&lt;&gt;'','Raw Data'!G1113,IFERROR(MID(F1113,SEARCH("MODEL",F1113)+6,20),""))</f>
        <v>0</v>
      </c>
      <c r="J1113">
        <f>'Raw Data'!H1113</f>
        <v>0</v>
      </c>
      <c r="K1113">
        <f>'Raw Data'!I1113</f>
        <v>0</v>
      </c>
      <c r="L1113">
        <f>IF('Raw Data'!N1113&lt;&gt;0,'Raw Data'!N1113,IFERROR(VALUE(MID(F1113,SEARCH("QTY",F1113)+4,IFERROR(FIND(" ",F1113,SEARCH("QTY",F1113)+4)-(SEARCH("QTY",F1113)+4),3))),""))</f>
        <v>0</v>
      </c>
      <c r="M1113">
        <f>'Raw Data'!O1113</f>
        <v>0</v>
      </c>
      <c r="N1113">
        <f>'Raw Data'!P1113</f>
        <v>0</v>
      </c>
      <c r="O1113">
        <f>'Raw Data'!Q1113</f>
        <v>0</v>
      </c>
      <c r="P1113">
        <f>'Raw Data'!R1113</f>
        <v>0</v>
      </c>
      <c r="Q1113">
        <f>'Raw Data'!S1113</f>
        <v>0</v>
      </c>
      <c r="R1113">
        <f>'Raw Data'!T1113</f>
        <v>0</v>
      </c>
      <c r="S1113">
        <f>IFERROR(O1113,0)+IFERROR(R1113,0)</f>
        <v>0</v>
      </c>
      <c r="T1113">
        <f>IF(A1113="","",YEAR(A1113))</f>
        <v>0</v>
      </c>
    </row>
    <row r="1114" spans="1:20">
      <c r="A1114">
        <f>'Raw Data'!B1114</f>
        <v>0</v>
      </c>
      <c r="B1114">
        <f>'Raw Data'!A1114</f>
        <v>0</v>
      </c>
      <c r="C1114">
        <f>'Raw Data'!C1114</f>
        <v>0</v>
      </c>
      <c r="D1114">
        <f>'Raw Data'!D1114</f>
        <v>0</v>
      </c>
      <c r="E1114">
        <f>IFERROR(VLOOKUP(D1114,'Lookup Tables'!$A:$B,2,FALSE),"Unknown")</f>
        <v>0</v>
      </c>
      <c r="F1114">
        <f>'Raw Data'!E1114</f>
        <v>0</v>
      </c>
      <c r="G1114">
        <f>IFERROR(VLOOKUP(D1114,'Lookup Tables'!$A:$C,3,FALSE),IF(ISNUMBER(SEARCH("STEEL",F1114)),"Steel","Others"))</f>
        <v>0</v>
      </c>
      <c r="H1114">
        <f>IF(ISNUMBER(SEARCH("scrubber",F1114)) , "Scrubber", IF(ISNUMBER(SEARCH("container",F1114)),"Container", IF(ISNUMBER(SEARCH("basket",F1114)),"Basket", IF(ISNUMBER(SEARCH("lunch",F1114)),"Lunch Box", IF(ISNUMBER(SEARCH("cutlery",F1114)),"Cutlery","Other")))))</f>
        <v>0</v>
      </c>
      <c r="I1114">
        <f>IF('Raw Data'!G1114&lt;&gt;'','Raw Data'!G1114,IFERROR(MID(F1114,SEARCH("MODEL",F1114)+6,20),""))</f>
        <v>0</v>
      </c>
      <c r="J1114">
        <f>'Raw Data'!H1114</f>
        <v>0</v>
      </c>
      <c r="K1114">
        <f>'Raw Data'!I1114</f>
        <v>0</v>
      </c>
      <c r="L1114">
        <f>IF('Raw Data'!N1114&lt;&gt;0,'Raw Data'!N1114,IFERROR(VALUE(MID(F1114,SEARCH("QTY",F1114)+4,IFERROR(FIND(" ",F1114,SEARCH("QTY",F1114)+4)-(SEARCH("QTY",F1114)+4),3))),""))</f>
        <v>0</v>
      </c>
      <c r="M1114">
        <f>'Raw Data'!O1114</f>
        <v>0</v>
      </c>
      <c r="N1114">
        <f>'Raw Data'!P1114</f>
        <v>0</v>
      </c>
      <c r="O1114">
        <f>'Raw Data'!Q1114</f>
        <v>0</v>
      </c>
      <c r="P1114">
        <f>'Raw Data'!R1114</f>
        <v>0</v>
      </c>
      <c r="Q1114">
        <f>'Raw Data'!S1114</f>
        <v>0</v>
      </c>
      <c r="R1114">
        <f>'Raw Data'!T1114</f>
        <v>0</v>
      </c>
      <c r="S1114">
        <f>IFERROR(O1114,0)+IFERROR(R1114,0)</f>
        <v>0</v>
      </c>
      <c r="T1114">
        <f>IF(A1114="","",YEAR(A1114))</f>
        <v>0</v>
      </c>
    </row>
    <row r="1115" spans="1:20">
      <c r="A1115">
        <f>'Raw Data'!B1115</f>
        <v>0</v>
      </c>
      <c r="B1115">
        <f>'Raw Data'!A1115</f>
        <v>0</v>
      </c>
      <c r="C1115">
        <f>'Raw Data'!C1115</f>
        <v>0</v>
      </c>
      <c r="D1115">
        <f>'Raw Data'!D1115</f>
        <v>0</v>
      </c>
      <c r="E1115">
        <f>IFERROR(VLOOKUP(D1115,'Lookup Tables'!$A:$B,2,FALSE),"Unknown")</f>
        <v>0</v>
      </c>
      <c r="F1115">
        <f>'Raw Data'!E1115</f>
        <v>0</v>
      </c>
      <c r="G1115">
        <f>IFERROR(VLOOKUP(D1115,'Lookup Tables'!$A:$C,3,FALSE),IF(ISNUMBER(SEARCH("STEEL",F1115)),"Steel","Others"))</f>
        <v>0</v>
      </c>
      <c r="H1115">
        <f>IF(ISNUMBER(SEARCH("scrubber",F1115)) , "Scrubber", IF(ISNUMBER(SEARCH("container",F1115)),"Container", IF(ISNUMBER(SEARCH("basket",F1115)),"Basket", IF(ISNUMBER(SEARCH("lunch",F1115)),"Lunch Box", IF(ISNUMBER(SEARCH("cutlery",F1115)),"Cutlery","Other")))))</f>
        <v>0</v>
      </c>
      <c r="I1115">
        <f>IF('Raw Data'!G1115&lt;&gt;'','Raw Data'!G1115,IFERROR(MID(F1115,SEARCH("MODEL",F1115)+6,20),""))</f>
        <v>0</v>
      </c>
      <c r="J1115">
        <f>'Raw Data'!H1115</f>
        <v>0</v>
      </c>
      <c r="K1115">
        <f>'Raw Data'!I1115</f>
        <v>0</v>
      </c>
      <c r="L1115">
        <f>IF('Raw Data'!N1115&lt;&gt;0,'Raw Data'!N1115,IFERROR(VALUE(MID(F1115,SEARCH("QTY",F1115)+4,IFERROR(FIND(" ",F1115,SEARCH("QTY",F1115)+4)-(SEARCH("QTY",F1115)+4),3))),""))</f>
        <v>0</v>
      </c>
      <c r="M1115">
        <f>'Raw Data'!O1115</f>
        <v>0</v>
      </c>
      <c r="N1115">
        <f>'Raw Data'!P1115</f>
        <v>0</v>
      </c>
      <c r="O1115">
        <f>'Raw Data'!Q1115</f>
        <v>0</v>
      </c>
      <c r="P1115">
        <f>'Raw Data'!R1115</f>
        <v>0</v>
      </c>
      <c r="Q1115">
        <f>'Raw Data'!S1115</f>
        <v>0</v>
      </c>
      <c r="R1115">
        <f>'Raw Data'!T1115</f>
        <v>0</v>
      </c>
      <c r="S1115">
        <f>IFERROR(O1115,0)+IFERROR(R1115,0)</f>
        <v>0</v>
      </c>
      <c r="T1115">
        <f>IF(A1115="","",YEAR(A1115))</f>
        <v>0</v>
      </c>
    </row>
    <row r="1116" spans="1:20">
      <c r="A1116">
        <f>'Raw Data'!B1116</f>
        <v>0</v>
      </c>
      <c r="B1116">
        <f>'Raw Data'!A1116</f>
        <v>0</v>
      </c>
      <c r="C1116">
        <f>'Raw Data'!C1116</f>
        <v>0</v>
      </c>
      <c r="D1116">
        <f>'Raw Data'!D1116</f>
        <v>0</v>
      </c>
      <c r="E1116">
        <f>IFERROR(VLOOKUP(D1116,'Lookup Tables'!$A:$B,2,FALSE),"Unknown")</f>
        <v>0</v>
      </c>
      <c r="F1116">
        <f>'Raw Data'!E1116</f>
        <v>0</v>
      </c>
      <c r="G1116">
        <f>IFERROR(VLOOKUP(D1116,'Lookup Tables'!$A:$C,3,FALSE),IF(ISNUMBER(SEARCH("STEEL",F1116)),"Steel","Others"))</f>
        <v>0</v>
      </c>
      <c r="H1116">
        <f>IF(ISNUMBER(SEARCH("scrubber",F1116)) , "Scrubber", IF(ISNUMBER(SEARCH("container",F1116)),"Container", IF(ISNUMBER(SEARCH("basket",F1116)),"Basket", IF(ISNUMBER(SEARCH("lunch",F1116)),"Lunch Box", IF(ISNUMBER(SEARCH("cutlery",F1116)),"Cutlery","Other")))))</f>
        <v>0</v>
      </c>
      <c r="I1116">
        <f>IF('Raw Data'!G1116&lt;&gt;'','Raw Data'!G1116,IFERROR(MID(F1116,SEARCH("MODEL",F1116)+6,20),""))</f>
        <v>0</v>
      </c>
      <c r="J1116">
        <f>'Raw Data'!H1116</f>
        <v>0</v>
      </c>
      <c r="K1116">
        <f>'Raw Data'!I1116</f>
        <v>0</v>
      </c>
      <c r="L1116">
        <f>IF('Raw Data'!N1116&lt;&gt;0,'Raw Data'!N1116,IFERROR(VALUE(MID(F1116,SEARCH("QTY",F1116)+4,IFERROR(FIND(" ",F1116,SEARCH("QTY",F1116)+4)-(SEARCH("QTY",F1116)+4),3))),""))</f>
        <v>0</v>
      </c>
      <c r="M1116">
        <f>'Raw Data'!O1116</f>
        <v>0</v>
      </c>
      <c r="N1116">
        <f>'Raw Data'!P1116</f>
        <v>0</v>
      </c>
      <c r="O1116">
        <f>'Raw Data'!Q1116</f>
        <v>0</v>
      </c>
      <c r="P1116">
        <f>'Raw Data'!R1116</f>
        <v>0</v>
      </c>
      <c r="Q1116">
        <f>'Raw Data'!S1116</f>
        <v>0</v>
      </c>
      <c r="R1116">
        <f>'Raw Data'!T1116</f>
        <v>0</v>
      </c>
      <c r="S1116">
        <f>IFERROR(O1116,0)+IFERROR(R1116,0)</f>
        <v>0</v>
      </c>
      <c r="T1116">
        <f>IF(A1116="","",YEAR(A1116))</f>
        <v>0</v>
      </c>
    </row>
    <row r="1117" spans="1:20">
      <c r="A1117">
        <f>'Raw Data'!B1117</f>
        <v>0</v>
      </c>
      <c r="B1117">
        <f>'Raw Data'!A1117</f>
        <v>0</v>
      </c>
      <c r="C1117">
        <f>'Raw Data'!C1117</f>
        <v>0</v>
      </c>
      <c r="D1117">
        <f>'Raw Data'!D1117</f>
        <v>0</v>
      </c>
      <c r="E1117">
        <f>IFERROR(VLOOKUP(D1117,'Lookup Tables'!$A:$B,2,FALSE),"Unknown")</f>
        <v>0</v>
      </c>
      <c r="F1117">
        <f>'Raw Data'!E1117</f>
        <v>0</v>
      </c>
      <c r="G1117">
        <f>IFERROR(VLOOKUP(D1117,'Lookup Tables'!$A:$C,3,FALSE),IF(ISNUMBER(SEARCH("STEEL",F1117)),"Steel","Others"))</f>
        <v>0</v>
      </c>
      <c r="H1117">
        <f>IF(ISNUMBER(SEARCH("scrubber",F1117)) , "Scrubber", IF(ISNUMBER(SEARCH("container",F1117)),"Container", IF(ISNUMBER(SEARCH("basket",F1117)),"Basket", IF(ISNUMBER(SEARCH("lunch",F1117)),"Lunch Box", IF(ISNUMBER(SEARCH("cutlery",F1117)),"Cutlery","Other")))))</f>
        <v>0</v>
      </c>
      <c r="I1117">
        <f>IF('Raw Data'!G1117&lt;&gt;'','Raw Data'!G1117,IFERROR(MID(F1117,SEARCH("MODEL",F1117)+6,20),""))</f>
        <v>0</v>
      </c>
      <c r="J1117">
        <f>'Raw Data'!H1117</f>
        <v>0</v>
      </c>
      <c r="K1117">
        <f>'Raw Data'!I1117</f>
        <v>0</v>
      </c>
      <c r="L1117">
        <f>IF('Raw Data'!N1117&lt;&gt;0,'Raw Data'!N1117,IFERROR(VALUE(MID(F1117,SEARCH("QTY",F1117)+4,IFERROR(FIND(" ",F1117,SEARCH("QTY",F1117)+4)-(SEARCH("QTY",F1117)+4),3))),""))</f>
        <v>0</v>
      </c>
      <c r="M1117">
        <f>'Raw Data'!O1117</f>
        <v>0</v>
      </c>
      <c r="N1117">
        <f>'Raw Data'!P1117</f>
        <v>0</v>
      </c>
      <c r="O1117">
        <f>'Raw Data'!Q1117</f>
        <v>0</v>
      </c>
      <c r="P1117">
        <f>'Raw Data'!R1117</f>
        <v>0</v>
      </c>
      <c r="Q1117">
        <f>'Raw Data'!S1117</f>
        <v>0</v>
      </c>
      <c r="R1117">
        <f>'Raw Data'!T1117</f>
        <v>0</v>
      </c>
      <c r="S1117">
        <f>IFERROR(O1117,0)+IFERROR(R1117,0)</f>
        <v>0</v>
      </c>
      <c r="T1117">
        <f>IF(A1117="","",YEAR(A1117))</f>
        <v>0</v>
      </c>
    </row>
    <row r="1118" spans="1:20">
      <c r="A1118">
        <f>'Raw Data'!B1118</f>
        <v>0</v>
      </c>
      <c r="B1118">
        <f>'Raw Data'!A1118</f>
        <v>0</v>
      </c>
      <c r="C1118">
        <f>'Raw Data'!C1118</f>
        <v>0</v>
      </c>
      <c r="D1118">
        <f>'Raw Data'!D1118</f>
        <v>0</v>
      </c>
      <c r="E1118">
        <f>IFERROR(VLOOKUP(D1118,'Lookup Tables'!$A:$B,2,FALSE),"Unknown")</f>
        <v>0</v>
      </c>
      <c r="F1118">
        <f>'Raw Data'!E1118</f>
        <v>0</v>
      </c>
      <c r="G1118">
        <f>IFERROR(VLOOKUP(D1118,'Lookup Tables'!$A:$C,3,FALSE),IF(ISNUMBER(SEARCH("STEEL",F1118)),"Steel","Others"))</f>
        <v>0</v>
      </c>
      <c r="H1118">
        <f>IF(ISNUMBER(SEARCH("scrubber",F1118)) , "Scrubber", IF(ISNUMBER(SEARCH("container",F1118)),"Container", IF(ISNUMBER(SEARCH("basket",F1118)),"Basket", IF(ISNUMBER(SEARCH("lunch",F1118)),"Lunch Box", IF(ISNUMBER(SEARCH("cutlery",F1118)),"Cutlery","Other")))))</f>
        <v>0</v>
      </c>
      <c r="I1118">
        <f>IF('Raw Data'!G1118&lt;&gt;'','Raw Data'!G1118,IFERROR(MID(F1118,SEARCH("MODEL",F1118)+6,20),""))</f>
        <v>0</v>
      </c>
      <c r="J1118">
        <f>'Raw Data'!H1118</f>
        <v>0</v>
      </c>
      <c r="K1118">
        <f>'Raw Data'!I1118</f>
        <v>0</v>
      </c>
      <c r="L1118">
        <f>IF('Raw Data'!N1118&lt;&gt;0,'Raw Data'!N1118,IFERROR(VALUE(MID(F1118,SEARCH("QTY",F1118)+4,IFERROR(FIND(" ",F1118,SEARCH("QTY",F1118)+4)-(SEARCH("QTY",F1118)+4),3))),""))</f>
        <v>0</v>
      </c>
      <c r="M1118">
        <f>'Raw Data'!O1118</f>
        <v>0</v>
      </c>
      <c r="N1118">
        <f>'Raw Data'!P1118</f>
        <v>0</v>
      </c>
      <c r="O1118">
        <f>'Raw Data'!Q1118</f>
        <v>0</v>
      </c>
      <c r="P1118">
        <f>'Raw Data'!R1118</f>
        <v>0</v>
      </c>
      <c r="Q1118">
        <f>'Raw Data'!S1118</f>
        <v>0</v>
      </c>
      <c r="R1118">
        <f>'Raw Data'!T1118</f>
        <v>0</v>
      </c>
      <c r="S1118">
        <f>IFERROR(O1118,0)+IFERROR(R1118,0)</f>
        <v>0</v>
      </c>
      <c r="T1118">
        <f>IF(A1118="","",YEAR(A1118))</f>
        <v>0</v>
      </c>
    </row>
    <row r="1119" spans="1:20">
      <c r="A1119">
        <f>'Raw Data'!B1119</f>
        <v>0</v>
      </c>
      <c r="B1119">
        <f>'Raw Data'!A1119</f>
        <v>0</v>
      </c>
      <c r="C1119">
        <f>'Raw Data'!C1119</f>
        <v>0</v>
      </c>
      <c r="D1119">
        <f>'Raw Data'!D1119</f>
        <v>0</v>
      </c>
      <c r="E1119">
        <f>IFERROR(VLOOKUP(D1119,'Lookup Tables'!$A:$B,2,FALSE),"Unknown")</f>
        <v>0</v>
      </c>
      <c r="F1119">
        <f>'Raw Data'!E1119</f>
        <v>0</v>
      </c>
      <c r="G1119">
        <f>IFERROR(VLOOKUP(D1119,'Lookup Tables'!$A:$C,3,FALSE),IF(ISNUMBER(SEARCH("STEEL",F1119)),"Steel","Others"))</f>
        <v>0</v>
      </c>
      <c r="H1119">
        <f>IF(ISNUMBER(SEARCH("scrubber",F1119)) , "Scrubber", IF(ISNUMBER(SEARCH("container",F1119)),"Container", IF(ISNUMBER(SEARCH("basket",F1119)),"Basket", IF(ISNUMBER(SEARCH("lunch",F1119)),"Lunch Box", IF(ISNUMBER(SEARCH("cutlery",F1119)),"Cutlery","Other")))))</f>
        <v>0</v>
      </c>
      <c r="I1119">
        <f>IF('Raw Data'!G1119&lt;&gt;'','Raw Data'!G1119,IFERROR(MID(F1119,SEARCH("MODEL",F1119)+6,20),""))</f>
        <v>0</v>
      </c>
      <c r="J1119">
        <f>'Raw Data'!H1119</f>
        <v>0</v>
      </c>
      <c r="K1119">
        <f>'Raw Data'!I1119</f>
        <v>0</v>
      </c>
      <c r="L1119">
        <f>IF('Raw Data'!N1119&lt;&gt;0,'Raw Data'!N1119,IFERROR(VALUE(MID(F1119,SEARCH("QTY",F1119)+4,IFERROR(FIND(" ",F1119,SEARCH("QTY",F1119)+4)-(SEARCH("QTY",F1119)+4),3))),""))</f>
        <v>0</v>
      </c>
      <c r="M1119">
        <f>'Raw Data'!O1119</f>
        <v>0</v>
      </c>
      <c r="N1119">
        <f>'Raw Data'!P1119</f>
        <v>0</v>
      </c>
      <c r="O1119">
        <f>'Raw Data'!Q1119</f>
        <v>0</v>
      </c>
      <c r="P1119">
        <f>'Raw Data'!R1119</f>
        <v>0</v>
      </c>
      <c r="Q1119">
        <f>'Raw Data'!S1119</f>
        <v>0</v>
      </c>
      <c r="R1119">
        <f>'Raw Data'!T1119</f>
        <v>0</v>
      </c>
      <c r="S1119">
        <f>IFERROR(O1119,0)+IFERROR(R1119,0)</f>
        <v>0</v>
      </c>
      <c r="T1119">
        <f>IF(A1119="","",YEAR(A1119))</f>
        <v>0</v>
      </c>
    </row>
    <row r="1120" spans="1:20">
      <c r="A1120">
        <f>'Raw Data'!B1120</f>
        <v>0</v>
      </c>
      <c r="B1120">
        <f>'Raw Data'!A1120</f>
        <v>0</v>
      </c>
      <c r="C1120">
        <f>'Raw Data'!C1120</f>
        <v>0</v>
      </c>
      <c r="D1120">
        <f>'Raw Data'!D1120</f>
        <v>0</v>
      </c>
      <c r="E1120">
        <f>IFERROR(VLOOKUP(D1120,'Lookup Tables'!$A:$B,2,FALSE),"Unknown")</f>
        <v>0</v>
      </c>
      <c r="F1120">
        <f>'Raw Data'!E1120</f>
        <v>0</v>
      </c>
      <c r="G1120">
        <f>IFERROR(VLOOKUP(D1120,'Lookup Tables'!$A:$C,3,FALSE),IF(ISNUMBER(SEARCH("STEEL",F1120)),"Steel","Others"))</f>
        <v>0</v>
      </c>
      <c r="H1120">
        <f>IF(ISNUMBER(SEARCH("scrubber",F1120)) , "Scrubber", IF(ISNUMBER(SEARCH("container",F1120)),"Container", IF(ISNUMBER(SEARCH("basket",F1120)),"Basket", IF(ISNUMBER(SEARCH("lunch",F1120)),"Lunch Box", IF(ISNUMBER(SEARCH("cutlery",F1120)),"Cutlery","Other")))))</f>
        <v>0</v>
      </c>
      <c r="I1120">
        <f>IF('Raw Data'!G1120&lt;&gt;'','Raw Data'!G1120,IFERROR(MID(F1120,SEARCH("MODEL",F1120)+6,20),""))</f>
        <v>0</v>
      </c>
      <c r="J1120">
        <f>'Raw Data'!H1120</f>
        <v>0</v>
      </c>
      <c r="K1120">
        <f>'Raw Data'!I1120</f>
        <v>0</v>
      </c>
      <c r="L1120">
        <f>IF('Raw Data'!N1120&lt;&gt;0,'Raw Data'!N1120,IFERROR(VALUE(MID(F1120,SEARCH("QTY",F1120)+4,IFERROR(FIND(" ",F1120,SEARCH("QTY",F1120)+4)-(SEARCH("QTY",F1120)+4),3))),""))</f>
        <v>0</v>
      </c>
      <c r="M1120">
        <f>'Raw Data'!O1120</f>
        <v>0</v>
      </c>
      <c r="N1120">
        <f>'Raw Data'!P1120</f>
        <v>0</v>
      </c>
      <c r="O1120">
        <f>'Raw Data'!Q1120</f>
        <v>0</v>
      </c>
      <c r="P1120">
        <f>'Raw Data'!R1120</f>
        <v>0</v>
      </c>
      <c r="Q1120">
        <f>'Raw Data'!S1120</f>
        <v>0</v>
      </c>
      <c r="R1120">
        <f>'Raw Data'!T1120</f>
        <v>0</v>
      </c>
      <c r="S1120">
        <f>IFERROR(O1120,0)+IFERROR(R1120,0)</f>
        <v>0</v>
      </c>
      <c r="T1120">
        <f>IF(A1120="","",YEAR(A1120))</f>
        <v>0</v>
      </c>
    </row>
    <row r="1121" spans="1:20">
      <c r="A1121">
        <f>'Raw Data'!B1121</f>
        <v>0</v>
      </c>
      <c r="B1121">
        <f>'Raw Data'!A1121</f>
        <v>0</v>
      </c>
      <c r="C1121">
        <f>'Raw Data'!C1121</f>
        <v>0</v>
      </c>
      <c r="D1121">
        <f>'Raw Data'!D1121</f>
        <v>0</v>
      </c>
      <c r="E1121">
        <f>IFERROR(VLOOKUP(D1121,'Lookup Tables'!$A:$B,2,FALSE),"Unknown")</f>
        <v>0</v>
      </c>
      <c r="F1121">
        <f>'Raw Data'!E1121</f>
        <v>0</v>
      </c>
      <c r="G1121">
        <f>IFERROR(VLOOKUP(D1121,'Lookup Tables'!$A:$C,3,FALSE),IF(ISNUMBER(SEARCH("STEEL",F1121)),"Steel","Others"))</f>
        <v>0</v>
      </c>
      <c r="H1121">
        <f>IF(ISNUMBER(SEARCH("scrubber",F1121)) , "Scrubber", IF(ISNUMBER(SEARCH("container",F1121)),"Container", IF(ISNUMBER(SEARCH("basket",F1121)),"Basket", IF(ISNUMBER(SEARCH("lunch",F1121)),"Lunch Box", IF(ISNUMBER(SEARCH("cutlery",F1121)),"Cutlery","Other")))))</f>
        <v>0</v>
      </c>
      <c r="I1121">
        <f>IF('Raw Data'!G1121&lt;&gt;'','Raw Data'!G1121,IFERROR(MID(F1121,SEARCH("MODEL",F1121)+6,20),""))</f>
        <v>0</v>
      </c>
      <c r="J1121">
        <f>'Raw Data'!H1121</f>
        <v>0</v>
      </c>
      <c r="K1121">
        <f>'Raw Data'!I1121</f>
        <v>0</v>
      </c>
      <c r="L1121">
        <f>IF('Raw Data'!N1121&lt;&gt;0,'Raw Data'!N1121,IFERROR(VALUE(MID(F1121,SEARCH("QTY",F1121)+4,IFERROR(FIND(" ",F1121,SEARCH("QTY",F1121)+4)-(SEARCH("QTY",F1121)+4),3))),""))</f>
        <v>0</v>
      </c>
      <c r="M1121">
        <f>'Raw Data'!O1121</f>
        <v>0</v>
      </c>
      <c r="N1121">
        <f>'Raw Data'!P1121</f>
        <v>0</v>
      </c>
      <c r="O1121">
        <f>'Raw Data'!Q1121</f>
        <v>0</v>
      </c>
      <c r="P1121">
        <f>'Raw Data'!R1121</f>
        <v>0</v>
      </c>
      <c r="Q1121">
        <f>'Raw Data'!S1121</f>
        <v>0</v>
      </c>
      <c r="R1121">
        <f>'Raw Data'!T1121</f>
        <v>0</v>
      </c>
      <c r="S1121">
        <f>IFERROR(O1121,0)+IFERROR(R1121,0)</f>
        <v>0</v>
      </c>
      <c r="T1121">
        <f>IF(A1121="","",YEAR(A1121))</f>
        <v>0</v>
      </c>
    </row>
    <row r="1122" spans="1:20">
      <c r="A1122">
        <f>'Raw Data'!B1122</f>
        <v>0</v>
      </c>
      <c r="B1122">
        <f>'Raw Data'!A1122</f>
        <v>0</v>
      </c>
      <c r="C1122">
        <f>'Raw Data'!C1122</f>
        <v>0</v>
      </c>
      <c r="D1122">
        <f>'Raw Data'!D1122</f>
        <v>0</v>
      </c>
      <c r="E1122">
        <f>IFERROR(VLOOKUP(D1122,'Lookup Tables'!$A:$B,2,FALSE),"Unknown")</f>
        <v>0</v>
      </c>
      <c r="F1122">
        <f>'Raw Data'!E1122</f>
        <v>0</v>
      </c>
      <c r="G1122">
        <f>IFERROR(VLOOKUP(D1122,'Lookup Tables'!$A:$C,3,FALSE),IF(ISNUMBER(SEARCH("STEEL",F1122)),"Steel","Others"))</f>
        <v>0</v>
      </c>
      <c r="H1122">
        <f>IF(ISNUMBER(SEARCH("scrubber",F1122)) , "Scrubber", IF(ISNUMBER(SEARCH("container",F1122)),"Container", IF(ISNUMBER(SEARCH("basket",F1122)),"Basket", IF(ISNUMBER(SEARCH("lunch",F1122)),"Lunch Box", IF(ISNUMBER(SEARCH("cutlery",F1122)),"Cutlery","Other")))))</f>
        <v>0</v>
      </c>
      <c r="I1122">
        <f>IF('Raw Data'!G1122&lt;&gt;'','Raw Data'!G1122,IFERROR(MID(F1122,SEARCH("MODEL",F1122)+6,20),""))</f>
        <v>0</v>
      </c>
      <c r="J1122">
        <f>'Raw Data'!H1122</f>
        <v>0</v>
      </c>
      <c r="K1122">
        <f>'Raw Data'!I1122</f>
        <v>0</v>
      </c>
      <c r="L1122">
        <f>IF('Raw Data'!N1122&lt;&gt;0,'Raw Data'!N1122,IFERROR(VALUE(MID(F1122,SEARCH("QTY",F1122)+4,IFERROR(FIND(" ",F1122,SEARCH("QTY",F1122)+4)-(SEARCH("QTY",F1122)+4),3))),""))</f>
        <v>0</v>
      </c>
      <c r="M1122">
        <f>'Raw Data'!O1122</f>
        <v>0</v>
      </c>
      <c r="N1122">
        <f>'Raw Data'!P1122</f>
        <v>0</v>
      </c>
      <c r="O1122">
        <f>'Raw Data'!Q1122</f>
        <v>0</v>
      </c>
      <c r="P1122">
        <f>'Raw Data'!R1122</f>
        <v>0</v>
      </c>
      <c r="Q1122">
        <f>'Raw Data'!S1122</f>
        <v>0</v>
      </c>
      <c r="R1122">
        <f>'Raw Data'!T1122</f>
        <v>0</v>
      </c>
      <c r="S1122">
        <f>IFERROR(O1122,0)+IFERROR(R1122,0)</f>
        <v>0</v>
      </c>
      <c r="T1122">
        <f>IF(A1122="","",YEAR(A1122))</f>
        <v>0</v>
      </c>
    </row>
    <row r="1123" spans="1:20">
      <c r="A1123">
        <f>'Raw Data'!B1123</f>
        <v>0</v>
      </c>
      <c r="B1123">
        <f>'Raw Data'!A1123</f>
        <v>0</v>
      </c>
      <c r="C1123">
        <f>'Raw Data'!C1123</f>
        <v>0</v>
      </c>
      <c r="D1123">
        <f>'Raw Data'!D1123</f>
        <v>0</v>
      </c>
      <c r="E1123">
        <f>IFERROR(VLOOKUP(D1123,'Lookup Tables'!$A:$B,2,FALSE),"Unknown")</f>
        <v>0</v>
      </c>
      <c r="F1123">
        <f>'Raw Data'!E1123</f>
        <v>0</v>
      </c>
      <c r="G1123">
        <f>IFERROR(VLOOKUP(D1123,'Lookup Tables'!$A:$C,3,FALSE),IF(ISNUMBER(SEARCH("STEEL",F1123)),"Steel","Others"))</f>
        <v>0</v>
      </c>
      <c r="H1123">
        <f>IF(ISNUMBER(SEARCH("scrubber",F1123)) , "Scrubber", IF(ISNUMBER(SEARCH("container",F1123)),"Container", IF(ISNUMBER(SEARCH("basket",F1123)),"Basket", IF(ISNUMBER(SEARCH("lunch",F1123)),"Lunch Box", IF(ISNUMBER(SEARCH("cutlery",F1123)),"Cutlery","Other")))))</f>
        <v>0</v>
      </c>
      <c r="I1123">
        <f>IF('Raw Data'!G1123&lt;&gt;'','Raw Data'!G1123,IFERROR(MID(F1123,SEARCH("MODEL",F1123)+6,20),""))</f>
        <v>0</v>
      </c>
      <c r="J1123">
        <f>'Raw Data'!H1123</f>
        <v>0</v>
      </c>
      <c r="K1123">
        <f>'Raw Data'!I1123</f>
        <v>0</v>
      </c>
      <c r="L1123">
        <f>IF('Raw Data'!N1123&lt;&gt;0,'Raw Data'!N1123,IFERROR(VALUE(MID(F1123,SEARCH("QTY",F1123)+4,IFERROR(FIND(" ",F1123,SEARCH("QTY",F1123)+4)-(SEARCH("QTY",F1123)+4),3))),""))</f>
        <v>0</v>
      </c>
      <c r="M1123">
        <f>'Raw Data'!O1123</f>
        <v>0</v>
      </c>
      <c r="N1123">
        <f>'Raw Data'!P1123</f>
        <v>0</v>
      </c>
      <c r="O1123">
        <f>'Raw Data'!Q1123</f>
        <v>0</v>
      </c>
      <c r="P1123">
        <f>'Raw Data'!R1123</f>
        <v>0</v>
      </c>
      <c r="Q1123">
        <f>'Raw Data'!S1123</f>
        <v>0</v>
      </c>
      <c r="R1123">
        <f>'Raw Data'!T1123</f>
        <v>0</v>
      </c>
      <c r="S1123">
        <f>IFERROR(O1123,0)+IFERROR(R1123,0)</f>
        <v>0</v>
      </c>
      <c r="T1123">
        <f>IF(A1123="","",YEAR(A1123))</f>
        <v>0</v>
      </c>
    </row>
    <row r="1124" spans="1:20">
      <c r="A1124">
        <f>'Raw Data'!B1124</f>
        <v>0</v>
      </c>
      <c r="B1124">
        <f>'Raw Data'!A1124</f>
        <v>0</v>
      </c>
      <c r="C1124">
        <f>'Raw Data'!C1124</f>
        <v>0</v>
      </c>
      <c r="D1124">
        <f>'Raw Data'!D1124</f>
        <v>0</v>
      </c>
      <c r="E1124">
        <f>IFERROR(VLOOKUP(D1124,'Lookup Tables'!$A:$B,2,FALSE),"Unknown")</f>
        <v>0</v>
      </c>
      <c r="F1124">
        <f>'Raw Data'!E1124</f>
        <v>0</v>
      </c>
      <c r="G1124">
        <f>IFERROR(VLOOKUP(D1124,'Lookup Tables'!$A:$C,3,FALSE),IF(ISNUMBER(SEARCH("STEEL",F1124)),"Steel","Others"))</f>
        <v>0</v>
      </c>
      <c r="H1124">
        <f>IF(ISNUMBER(SEARCH("scrubber",F1124)) , "Scrubber", IF(ISNUMBER(SEARCH("container",F1124)),"Container", IF(ISNUMBER(SEARCH("basket",F1124)),"Basket", IF(ISNUMBER(SEARCH("lunch",F1124)),"Lunch Box", IF(ISNUMBER(SEARCH("cutlery",F1124)),"Cutlery","Other")))))</f>
        <v>0</v>
      </c>
      <c r="I1124">
        <f>IF('Raw Data'!G1124&lt;&gt;'','Raw Data'!G1124,IFERROR(MID(F1124,SEARCH("MODEL",F1124)+6,20),""))</f>
        <v>0</v>
      </c>
      <c r="J1124">
        <f>'Raw Data'!H1124</f>
        <v>0</v>
      </c>
      <c r="K1124">
        <f>'Raw Data'!I1124</f>
        <v>0</v>
      </c>
      <c r="L1124">
        <f>IF('Raw Data'!N1124&lt;&gt;0,'Raw Data'!N1124,IFERROR(VALUE(MID(F1124,SEARCH("QTY",F1124)+4,IFERROR(FIND(" ",F1124,SEARCH("QTY",F1124)+4)-(SEARCH("QTY",F1124)+4),3))),""))</f>
        <v>0</v>
      </c>
      <c r="M1124">
        <f>'Raw Data'!O1124</f>
        <v>0</v>
      </c>
      <c r="N1124">
        <f>'Raw Data'!P1124</f>
        <v>0</v>
      </c>
      <c r="O1124">
        <f>'Raw Data'!Q1124</f>
        <v>0</v>
      </c>
      <c r="P1124">
        <f>'Raw Data'!R1124</f>
        <v>0</v>
      </c>
      <c r="Q1124">
        <f>'Raw Data'!S1124</f>
        <v>0</v>
      </c>
      <c r="R1124">
        <f>'Raw Data'!T1124</f>
        <v>0</v>
      </c>
      <c r="S1124">
        <f>IFERROR(O1124,0)+IFERROR(R1124,0)</f>
        <v>0</v>
      </c>
      <c r="T1124">
        <f>IF(A1124="","",YEAR(A1124))</f>
        <v>0</v>
      </c>
    </row>
    <row r="1125" spans="1:20">
      <c r="A1125">
        <f>'Raw Data'!B1125</f>
        <v>0</v>
      </c>
      <c r="B1125">
        <f>'Raw Data'!A1125</f>
        <v>0</v>
      </c>
      <c r="C1125">
        <f>'Raw Data'!C1125</f>
        <v>0</v>
      </c>
      <c r="D1125">
        <f>'Raw Data'!D1125</f>
        <v>0</v>
      </c>
      <c r="E1125">
        <f>IFERROR(VLOOKUP(D1125,'Lookup Tables'!$A:$B,2,FALSE),"Unknown")</f>
        <v>0</v>
      </c>
      <c r="F1125">
        <f>'Raw Data'!E1125</f>
        <v>0</v>
      </c>
      <c r="G1125">
        <f>IFERROR(VLOOKUP(D1125,'Lookup Tables'!$A:$C,3,FALSE),IF(ISNUMBER(SEARCH("STEEL",F1125)),"Steel","Others"))</f>
        <v>0</v>
      </c>
      <c r="H1125">
        <f>IF(ISNUMBER(SEARCH("scrubber",F1125)) , "Scrubber", IF(ISNUMBER(SEARCH("container",F1125)),"Container", IF(ISNUMBER(SEARCH("basket",F1125)),"Basket", IF(ISNUMBER(SEARCH("lunch",F1125)),"Lunch Box", IF(ISNUMBER(SEARCH("cutlery",F1125)),"Cutlery","Other")))))</f>
        <v>0</v>
      </c>
      <c r="I1125">
        <f>IF('Raw Data'!G1125&lt;&gt;'','Raw Data'!G1125,IFERROR(MID(F1125,SEARCH("MODEL",F1125)+6,20),""))</f>
        <v>0</v>
      </c>
      <c r="J1125">
        <f>'Raw Data'!H1125</f>
        <v>0</v>
      </c>
      <c r="K1125">
        <f>'Raw Data'!I1125</f>
        <v>0</v>
      </c>
      <c r="L1125">
        <f>IF('Raw Data'!N1125&lt;&gt;0,'Raw Data'!N1125,IFERROR(VALUE(MID(F1125,SEARCH("QTY",F1125)+4,IFERROR(FIND(" ",F1125,SEARCH("QTY",F1125)+4)-(SEARCH("QTY",F1125)+4),3))),""))</f>
        <v>0</v>
      </c>
      <c r="M1125">
        <f>'Raw Data'!O1125</f>
        <v>0</v>
      </c>
      <c r="N1125">
        <f>'Raw Data'!P1125</f>
        <v>0</v>
      </c>
      <c r="O1125">
        <f>'Raw Data'!Q1125</f>
        <v>0</v>
      </c>
      <c r="P1125">
        <f>'Raw Data'!R1125</f>
        <v>0</v>
      </c>
      <c r="Q1125">
        <f>'Raw Data'!S1125</f>
        <v>0</v>
      </c>
      <c r="R1125">
        <f>'Raw Data'!T1125</f>
        <v>0</v>
      </c>
      <c r="S1125">
        <f>IFERROR(O1125,0)+IFERROR(R1125,0)</f>
        <v>0</v>
      </c>
      <c r="T1125">
        <f>IF(A1125="","",YEAR(A1125))</f>
        <v>0</v>
      </c>
    </row>
    <row r="1126" spans="1:20">
      <c r="A1126">
        <f>'Raw Data'!B1126</f>
        <v>0</v>
      </c>
      <c r="B1126">
        <f>'Raw Data'!A1126</f>
        <v>0</v>
      </c>
      <c r="C1126">
        <f>'Raw Data'!C1126</f>
        <v>0</v>
      </c>
      <c r="D1126">
        <f>'Raw Data'!D1126</f>
        <v>0</v>
      </c>
      <c r="E1126">
        <f>IFERROR(VLOOKUP(D1126,'Lookup Tables'!$A:$B,2,FALSE),"Unknown")</f>
        <v>0</v>
      </c>
      <c r="F1126">
        <f>'Raw Data'!E1126</f>
        <v>0</v>
      </c>
      <c r="G1126">
        <f>IFERROR(VLOOKUP(D1126,'Lookup Tables'!$A:$C,3,FALSE),IF(ISNUMBER(SEARCH("STEEL",F1126)),"Steel","Others"))</f>
        <v>0</v>
      </c>
      <c r="H1126">
        <f>IF(ISNUMBER(SEARCH("scrubber",F1126)) , "Scrubber", IF(ISNUMBER(SEARCH("container",F1126)),"Container", IF(ISNUMBER(SEARCH("basket",F1126)),"Basket", IF(ISNUMBER(SEARCH("lunch",F1126)),"Lunch Box", IF(ISNUMBER(SEARCH("cutlery",F1126)),"Cutlery","Other")))))</f>
        <v>0</v>
      </c>
      <c r="I1126">
        <f>IF('Raw Data'!G1126&lt;&gt;'','Raw Data'!G1126,IFERROR(MID(F1126,SEARCH("MODEL",F1126)+6,20),""))</f>
        <v>0</v>
      </c>
      <c r="J1126">
        <f>'Raw Data'!H1126</f>
        <v>0</v>
      </c>
      <c r="K1126">
        <f>'Raw Data'!I1126</f>
        <v>0</v>
      </c>
      <c r="L1126">
        <f>IF('Raw Data'!N1126&lt;&gt;0,'Raw Data'!N1126,IFERROR(VALUE(MID(F1126,SEARCH("QTY",F1126)+4,IFERROR(FIND(" ",F1126,SEARCH("QTY",F1126)+4)-(SEARCH("QTY",F1126)+4),3))),""))</f>
        <v>0</v>
      </c>
      <c r="M1126">
        <f>'Raw Data'!O1126</f>
        <v>0</v>
      </c>
      <c r="N1126">
        <f>'Raw Data'!P1126</f>
        <v>0</v>
      </c>
      <c r="O1126">
        <f>'Raw Data'!Q1126</f>
        <v>0</v>
      </c>
      <c r="P1126">
        <f>'Raw Data'!R1126</f>
        <v>0</v>
      </c>
      <c r="Q1126">
        <f>'Raw Data'!S1126</f>
        <v>0</v>
      </c>
      <c r="R1126">
        <f>'Raw Data'!T1126</f>
        <v>0</v>
      </c>
      <c r="S1126">
        <f>IFERROR(O1126,0)+IFERROR(R1126,0)</f>
        <v>0</v>
      </c>
      <c r="T1126">
        <f>IF(A1126="","",YEAR(A1126))</f>
        <v>0</v>
      </c>
    </row>
    <row r="1127" spans="1:20">
      <c r="A1127">
        <f>'Raw Data'!B1127</f>
        <v>0</v>
      </c>
      <c r="B1127">
        <f>'Raw Data'!A1127</f>
        <v>0</v>
      </c>
      <c r="C1127">
        <f>'Raw Data'!C1127</f>
        <v>0</v>
      </c>
      <c r="D1127">
        <f>'Raw Data'!D1127</f>
        <v>0</v>
      </c>
      <c r="E1127">
        <f>IFERROR(VLOOKUP(D1127,'Lookup Tables'!$A:$B,2,FALSE),"Unknown")</f>
        <v>0</v>
      </c>
      <c r="F1127">
        <f>'Raw Data'!E1127</f>
        <v>0</v>
      </c>
      <c r="G1127">
        <f>IFERROR(VLOOKUP(D1127,'Lookup Tables'!$A:$C,3,FALSE),IF(ISNUMBER(SEARCH("STEEL",F1127)),"Steel","Others"))</f>
        <v>0</v>
      </c>
      <c r="H1127">
        <f>IF(ISNUMBER(SEARCH("scrubber",F1127)) , "Scrubber", IF(ISNUMBER(SEARCH("container",F1127)),"Container", IF(ISNUMBER(SEARCH("basket",F1127)),"Basket", IF(ISNUMBER(SEARCH("lunch",F1127)),"Lunch Box", IF(ISNUMBER(SEARCH("cutlery",F1127)),"Cutlery","Other")))))</f>
        <v>0</v>
      </c>
      <c r="I1127">
        <f>IF('Raw Data'!G1127&lt;&gt;'','Raw Data'!G1127,IFERROR(MID(F1127,SEARCH("MODEL",F1127)+6,20),""))</f>
        <v>0</v>
      </c>
      <c r="J1127">
        <f>'Raw Data'!H1127</f>
        <v>0</v>
      </c>
      <c r="K1127">
        <f>'Raw Data'!I1127</f>
        <v>0</v>
      </c>
      <c r="L1127">
        <f>IF('Raw Data'!N1127&lt;&gt;0,'Raw Data'!N1127,IFERROR(VALUE(MID(F1127,SEARCH("QTY",F1127)+4,IFERROR(FIND(" ",F1127,SEARCH("QTY",F1127)+4)-(SEARCH("QTY",F1127)+4),3))),""))</f>
        <v>0</v>
      </c>
      <c r="M1127">
        <f>'Raw Data'!O1127</f>
        <v>0</v>
      </c>
      <c r="N1127">
        <f>'Raw Data'!P1127</f>
        <v>0</v>
      </c>
      <c r="O1127">
        <f>'Raw Data'!Q1127</f>
        <v>0</v>
      </c>
      <c r="P1127">
        <f>'Raw Data'!R1127</f>
        <v>0</v>
      </c>
      <c r="Q1127">
        <f>'Raw Data'!S1127</f>
        <v>0</v>
      </c>
      <c r="R1127">
        <f>'Raw Data'!T1127</f>
        <v>0</v>
      </c>
      <c r="S1127">
        <f>IFERROR(O1127,0)+IFERROR(R1127,0)</f>
        <v>0</v>
      </c>
      <c r="T1127">
        <f>IF(A1127="","",YEAR(A1127))</f>
        <v>0</v>
      </c>
    </row>
    <row r="1128" spans="1:20">
      <c r="A1128">
        <f>'Raw Data'!B1128</f>
        <v>0</v>
      </c>
      <c r="B1128">
        <f>'Raw Data'!A1128</f>
        <v>0</v>
      </c>
      <c r="C1128">
        <f>'Raw Data'!C1128</f>
        <v>0</v>
      </c>
      <c r="D1128">
        <f>'Raw Data'!D1128</f>
        <v>0</v>
      </c>
      <c r="E1128">
        <f>IFERROR(VLOOKUP(D1128,'Lookup Tables'!$A:$B,2,FALSE),"Unknown")</f>
        <v>0</v>
      </c>
      <c r="F1128">
        <f>'Raw Data'!E1128</f>
        <v>0</v>
      </c>
      <c r="G1128">
        <f>IFERROR(VLOOKUP(D1128,'Lookup Tables'!$A:$C,3,FALSE),IF(ISNUMBER(SEARCH("STEEL",F1128)),"Steel","Others"))</f>
        <v>0</v>
      </c>
      <c r="H1128">
        <f>IF(ISNUMBER(SEARCH("scrubber",F1128)) , "Scrubber", IF(ISNUMBER(SEARCH("container",F1128)),"Container", IF(ISNUMBER(SEARCH("basket",F1128)),"Basket", IF(ISNUMBER(SEARCH("lunch",F1128)),"Lunch Box", IF(ISNUMBER(SEARCH("cutlery",F1128)),"Cutlery","Other")))))</f>
        <v>0</v>
      </c>
      <c r="I1128">
        <f>IF('Raw Data'!G1128&lt;&gt;'','Raw Data'!G1128,IFERROR(MID(F1128,SEARCH("MODEL",F1128)+6,20),""))</f>
        <v>0</v>
      </c>
      <c r="J1128">
        <f>'Raw Data'!H1128</f>
        <v>0</v>
      </c>
      <c r="K1128">
        <f>'Raw Data'!I1128</f>
        <v>0</v>
      </c>
      <c r="L1128">
        <f>IF('Raw Data'!N1128&lt;&gt;0,'Raw Data'!N1128,IFERROR(VALUE(MID(F1128,SEARCH("QTY",F1128)+4,IFERROR(FIND(" ",F1128,SEARCH("QTY",F1128)+4)-(SEARCH("QTY",F1128)+4),3))),""))</f>
        <v>0</v>
      </c>
      <c r="M1128">
        <f>'Raw Data'!O1128</f>
        <v>0</v>
      </c>
      <c r="N1128">
        <f>'Raw Data'!P1128</f>
        <v>0</v>
      </c>
      <c r="O1128">
        <f>'Raw Data'!Q1128</f>
        <v>0</v>
      </c>
      <c r="P1128">
        <f>'Raw Data'!R1128</f>
        <v>0</v>
      </c>
      <c r="Q1128">
        <f>'Raw Data'!S1128</f>
        <v>0</v>
      </c>
      <c r="R1128">
        <f>'Raw Data'!T1128</f>
        <v>0</v>
      </c>
      <c r="S1128">
        <f>IFERROR(O1128,0)+IFERROR(R1128,0)</f>
        <v>0</v>
      </c>
      <c r="T1128">
        <f>IF(A1128="","",YEAR(A1128))</f>
        <v>0</v>
      </c>
    </row>
    <row r="1129" spans="1:20">
      <c r="A1129">
        <f>'Raw Data'!B1129</f>
        <v>0</v>
      </c>
      <c r="B1129">
        <f>'Raw Data'!A1129</f>
        <v>0</v>
      </c>
      <c r="C1129">
        <f>'Raw Data'!C1129</f>
        <v>0</v>
      </c>
      <c r="D1129">
        <f>'Raw Data'!D1129</f>
        <v>0</v>
      </c>
      <c r="E1129">
        <f>IFERROR(VLOOKUP(D1129,'Lookup Tables'!$A:$B,2,FALSE),"Unknown")</f>
        <v>0</v>
      </c>
      <c r="F1129">
        <f>'Raw Data'!E1129</f>
        <v>0</v>
      </c>
      <c r="G1129">
        <f>IFERROR(VLOOKUP(D1129,'Lookup Tables'!$A:$C,3,FALSE),IF(ISNUMBER(SEARCH("STEEL",F1129)),"Steel","Others"))</f>
        <v>0</v>
      </c>
      <c r="H1129">
        <f>IF(ISNUMBER(SEARCH("scrubber",F1129)) , "Scrubber", IF(ISNUMBER(SEARCH("container",F1129)),"Container", IF(ISNUMBER(SEARCH("basket",F1129)),"Basket", IF(ISNUMBER(SEARCH("lunch",F1129)),"Lunch Box", IF(ISNUMBER(SEARCH("cutlery",F1129)),"Cutlery","Other")))))</f>
        <v>0</v>
      </c>
      <c r="I1129">
        <f>IF('Raw Data'!G1129&lt;&gt;'','Raw Data'!G1129,IFERROR(MID(F1129,SEARCH("MODEL",F1129)+6,20),""))</f>
        <v>0</v>
      </c>
      <c r="J1129">
        <f>'Raw Data'!H1129</f>
        <v>0</v>
      </c>
      <c r="K1129">
        <f>'Raw Data'!I1129</f>
        <v>0</v>
      </c>
      <c r="L1129">
        <f>IF('Raw Data'!N1129&lt;&gt;0,'Raw Data'!N1129,IFERROR(VALUE(MID(F1129,SEARCH("QTY",F1129)+4,IFERROR(FIND(" ",F1129,SEARCH("QTY",F1129)+4)-(SEARCH("QTY",F1129)+4),3))),""))</f>
        <v>0</v>
      </c>
      <c r="M1129">
        <f>'Raw Data'!O1129</f>
        <v>0</v>
      </c>
      <c r="N1129">
        <f>'Raw Data'!P1129</f>
        <v>0</v>
      </c>
      <c r="O1129">
        <f>'Raw Data'!Q1129</f>
        <v>0</v>
      </c>
      <c r="P1129">
        <f>'Raw Data'!R1129</f>
        <v>0</v>
      </c>
      <c r="Q1129">
        <f>'Raw Data'!S1129</f>
        <v>0</v>
      </c>
      <c r="R1129">
        <f>'Raw Data'!T1129</f>
        <v>0</v>
      </c>
      <c r="S1129">
        <f>IFERROR(O1129,0)+IFERROR(R1129,0)</f>
        <v>0</v>
      </c>
      <c r="T1129">
        <f>IF(A1129="","",YEAR(A1129))</f>
        <v>0</v>
      </c>
    </row>
    <row r="1130" spans="1:20">
      <c r="A1130">
        <f>'Raw Data'!B1130</f>
        <v>0</v>
      </c>
      <c r="B1130">
        <f>'Raw Data'!A1130</f>
        <v>0</v>
      </c>
      <c r="C1130">
        <f>'Raw Data'!C1130</f>
        <v>0</v>
      </c>
      <c r="D1130">
        <f>'Raw Data'!D1130</f>
        <v>0</v>
      </c>
      <c r="E1130">
        <f>IFERROR(VLOOKUP(D1130,'Lookup Tables'!$A:$B,2,FALSE),"Unknown")</f>
        <v>0</v>
      </c>
      <c r="F1130">
        <f>'Raw Data'!E1130</f>
        <v>0</v>
      </c>
      <c r="G1130">
        <f>IFERROR(VLOOKUP(D1130,'Lookup Tables'!$A:$C,3,FALSE),IF(ISNUMBER(SEARCH("STEEL",F1130)),"Steel","Others"))</f>
        <v>0</v>
      </c>
      <c r="H1130">
        <f>IF(ISNUMBER(SEARCH("scrubber",F1130)) , "Scrubber", IF(ISNUMBER(SEARCH("container",F1130)),"Container", IF(ISNUMBER(SEARCH("basket",F1130)),"Basket", IF(ISNUMBER(SEARCH("lunch",F1130)),"Lunch Box", IF(ISNUMBER(SEARCH("cutlery",F1130)),"Cutlery","Other")))))</f>
        <v>0</v>
      </c>
      <c r="I1130">
        <f>IF('Raw Data'!G1130&lt;&gt;'','Raw Data'!G1130,IFERROR(MID(F1130,SEARCH("MODEL",F1130)+6,20),""))</f>
        <v>0</v>
      </c>
      <c r="J1130">
        <f>'Raw Data'!H1130</f>
        <v>0</v>
      </c>
      <c r="K1130">
        <f>'Raw Data'!I1130</f>
        <v>0</v>
      </c>
      <c r="L1130">
        <f>IF('Raw Data'!N1130&lt;&gt;0,'Raw Data'!N1130,IFERROR(VALUE(MID(F1130,SEARCH("QTY",F1130)+4,IFERROR(FIND(" ",F1130,SEARCH("QTY",F1130)+4)-(SEARCH("QTY",F1130)+4),3))),""))</f>
        <v>0</v>
      </c>
      <c r="M1130">
        <f>'Raw Data'!O1130</f>
        <v>0</v>
      </c>
      <c r="N1130">
        <f>'Raw Data'!P1130</f>
        <v>0</v>
      </c>
      <c r="O1130">
        <f>'Raw Data'!Q1130</f>
        <v>0</v>
      </c>
      <c r="P1130">
        <f>'Raw Data'!R1130</f>
        <v>0</v>
      </c>
      <c r="Q1130">
        <f>'Raw Data'!S1130</f>
        <v>0</v>
      </c>
      <c r="R1130">
        <f>'Raw Data'!T1130</f>
        <v>0</v>
      </c>
      <c r="S1130">
        <f>IFERROR(O1130,0)+IFERROR(R1130,0)</f>
        <v>0</v>
      </c>
      <c r="T1130">
        <f>IF(A1130="","",YEAR(A1130))</f>
        <v>0</v>
      </c>
    </row>
    <row r="1131" spans="1:20">
      <c r="A1131">
        <f>'Raw Data'!B1131</f>
        <v>0</v>
      </c>
      <c r="B1131">
        <f>'Raw Data'!A1131</f>
        <v>0</v>
      </c>
      <c r="C1131">
        <f>'Raw Data'!C1131</f>
        <v>0</v>
      </c>
      <c r="D1131">
        <f>'Raw Data'!D1131</f>
        <v>0</v>
      </c>
      <c r="E1131">
        <f>IFERROR(VLOOKUP(D1131,'Lookup Tables'!$A:$B,2,FALSE),"Unknown")</f>
        <v>0</v>
      </c>
      <c r="F1131">
        <f>'Raw Data'!E1131</f>
        <v>0</v>
      </c>
      <c r="G1131">
        <f>IFERROR(VLOOKUP(D1131,'Lookup Tables'!$A:$C,3,FALSE),IF(ISNUMBER(SEARCH("STEEL",F1131)),"Steel","Others"))</f>
        <v>0</v>
      </c>
      <c r="H1131">
        <f>IF(ISNUMBER(SEARCH("scrubber",F1131)) , "Scrubber", IF(ISNUMBER(SEARCH("container",F1131)),"Container", IF(ISNUMBER(SEARCH("basket",F1131)),"Basket", IF(ISNUMBER(SEARCH("lunch",F1131)),"Lunch Box", IF(ISNUMBER(SEARCH("cutlery",F1131)),"Cutlery","Other")))))</f>
        <v>0</v>
      </c>
      <c r="I1131">
        <f>IF('Raw Data'!G1131&lt;&gt;'','Raw Data'!G1131,IFERROR(MID(F1131,SEARCH("MODEL",F1131)+6,20),""))</f>
        <v>0</v>
      </c>
      <c r="J1131">
        <f>'Raw Data'!H1131</f>
        <v>0</v>
      </c>
      <c r="K1131">
        <f>'Raw Data'!I1131</f>
        <v>0</v>
      </c>
      <c r="L1131">
        <f>IF('Raw Data'!N1131&lt;&gt;0,'Raw Data'!N1131,IFERROR(VALUE(MID(F1131,SEARCH("QTY",F1131)+4,IFERROR(FIND(" ",F1131,SEARCH("QTY",F1131)+4)-(SEARCH("QTY",F1131)+4),3))),""))</f>
        <v>0</v>
      </c>
      <c r="M1131">
        <f>'Raw Data'!O1131</f>
        <v>0</v>
      </c>
      <c r="N1131">
        <f>'Raw Data'!P1131</f>
        <v>0</v>
      </c>
      <c r="O1131">
        <f>'Raw Data'!Q1131</f>
        <v>0</v>
      </c>
      <c r="P1131">
        <f>'Raw Data'!R1131</f>
        <v>0</v>
      </c>
      <c r="Q1131">
        <f>'Raw Data'!S1131</f>
        <v>0</v>
      </c>
      <c r="R1131">
        <f>'Raw Data'!T1131</f>
        <v>0</v>
      </c>
      <c r="S1131">
        <f>IFERROR(O1131,0)+IFERROR(R1131,0)</f>
        <v>0</v>
      </c>
      <c r="T1131">
        <f>IF(A1131="","",YEAR(A1131))</f>
        <v>0</v>
      </c>
    </row>
    <row r="1132" spans="1:20">
      <c r="A1132">
        <f>'Raw Data'!B1132</f>
        <v>0</v>
      </c>
      <c r="B1132">
        <f>'Raw Data'!A1132</f>
        <v>0</v>
      </c>
      <c r="C1132">
        <f>'Raw Data'!C1132</f>
        <v>0</v>
      </c>
      <c r="D1132">
        <f>'Raw Data'!D1132</f>
        <v>0</v>
      </c>
      <c r="E1132">
        <f>IFERROR(VLOOKUP(D1132,'Lookup Tables'!$A:$B,2,FALSE),"Unknown")</f>
        <v>0</v>
      </c>
      <c r="F1132">
        <f>'Raw Data'!E1132</f>
        <v>0</v>
      </c>
      <c r="G1132">
        <f>IFERROR(VLOOKUP(D1132,'Lookup Tables'!$A:$C,3,FALSE),IF(ISNUMBER(SEARCH("STEEL",F1132)),"Steel","Others"))</f>
        <v>0</v>
      </c>
      <c r="H1132">
        <f>IF(ISNUMBER(SEARCH("scrubber",F1132)) , "Scrubber", IF(ISNUMBER(SEARCH("container",F1132)),"Container", IF(ISNUMBER(SEARCH("basket",F1132)),"Basket", IF(ISNUMBER(SEARCH("lunch",F1132)),"Lunch Box", IF(ISNUMBER(SEARCH("cutlery",F1132)),"Cutlery","Other")))))</f>
        <v>0</v>
      </c>
      <c r="I1132">
        <f>IF('Raw Data'!G1132&lt;&gt;'','Raw Data'!G1132,IFERROR(MID(F1132,SEARCH("MODEL",F1132)+6,20),""))</f>
        <v>0</v>
      </c>
      <c r="J1132">
        <f>'Raw Data'!H1132</f>
        <v>0</v>
      </c>
      <c r="K1132">
        <f>'Raw Data'!I1132</f>
        <v>0</v>
      </c>
      <c r="L1132">
        <f>IF('Raw Data'!N1132&lt;&gt;0,'Raw Data'!N1132,IFERROR(VALUE(MID(F1132,SEARCH("QTY",F1132)+4,IFERROR(FIND(" ",F1132,SEARCH("QTY",F1132)+4)-(SEARCH("QTY",F1132)+4),3))),""))</f>
        <v>0</v>
      </c>
      <c r="M1132">
        <f>'Raw Data'!O1132</f>
        <v>0</v>
      </c>
      <c r="N1132">
        <f>'Raw Data'!P1132</f>
        <v>0</v>
      </c>
      <c r="O1132">
        <f>'Raw Data'!Q1132</f>
        <v>0</v>
      </c>
      <c r="P1132">
        <f>'Raw Data'!R1132</f>
        <v>0</v>
      </c>
      <c r="Q1132">
        <f>'Raw Data'!S1132</f>
        <v>0</v>
      </c>
      <c r="R1132">
        <f>'Raw Data'!T1132</f>
        <v>0</v>
      </c>
      <c r="S1132">
        <f>IFERROR(O1132,0)+IFERROR(R1132,0)</f>
        <v>0</v>
      </c>
      <c r="T1132">
        <f>IF(A1132="","",YEAR(A1132))</f>
        <v>0</v>
      </c>
    </row>
    <row r="1133" spans="1:20">
      <c r="A1133">
        <f>'Raw Data'!B1133</f>
        <v>0</v>
      </c>
      <c r="B1133">
        <f>'Raw Data'!A1133</f>
        <v>0</v>
      </c>
      <c r="C1133">
        <f>'Raw Data'!C1133</f>
        <v>0</v>
      </c>
      <c r="D1133">
        <f>'Raw Data'!D1133</f>
        <v>0</v>
      </c>
      <c r="E1133">
        <f>IFERROR(VLOOKUP(D1133,'Lookup Tables'!$A:$B,2,FALSE),"Unknown")</f>
        <v>0</v>
      </c>
      <c r="F1133">
        <f>'Raw Data'!E1133</f>
        <v>0</v>
      </c>
      <c r="G1133">
        <f>IFERROR(VLOOKUP(D1133,'Lookup Tables'!$A:$C,3,FALSE),IF(ISNUMBER(SEARCH("STEEL",F1133)),"Steel","Others"))</f>
        <v>0</v>
      </c>
      <c r="H1133">
        <f>IF(ISNUMBER(SEARCH("scrubber",F1133)) , "Scrubber", IF(ISNUMBER(SEARCH("container",F1133)),"Container", IF(ISNUMBER(SEARCH("basket",F1133)),"Basket", IF(ISNUMBER(SEARCH("lunch",F1133)),"Lunch Box", IF(ISNUMBER(SEARCH("cutlery",F1133)),"Cutlery","Other")))))</f>
        <v>0</v>
      </c>
      <c r="I1133">
        <f>IF('Raw Data'!G1133&lt;&gt;'','Raw Data'!G1133,IFERROR(MID(F1133,SEARCH("MODEL",F1133)+6,20),""))</f>
        <v>0</v>
      </c>
      <c r="J1133">
        <f>'Raw Data'!H1133</f>
        <v>0</v>
      </c>
      <c r="K1133">
        <f>'Raw Data'!I1133</f>
        <v>0</v>
      </c>
      <c r="L1133">
        <f>IF('Raw Data'!N1133&lt;&gt;0,'Raw Data'!N1133,IFERROR(VALUE(MID(F1133,SEARCH("QTY",F1133)+4,IFERROR(FIND(" ",F1133,SEARCH("QTY",F1133)+4)-(SEARCH("QTY",F1133)+4),3))),""))</f>
        <v>0</v>
      </c>
      <c r="M1133">
        <f>'Raw Data'!O1133</f>
        <v>0</v>
      </c>
      <c r="N1133">
        <f>'Raw Data'!P1133</f>
        <v>0</v>
      </c>
      <c r="O1133">
        <f>'Raw Data'!Q1133</f>
        <v>0</v>
      </c>
      <c r="P1133">
        <f>'Raw Data'!R1133</f>
        <v>0</v>
      </c>
      <c r="Q1133">
        <f>'Raw Data'!S1133</f>
        <v>0</v>
      </c>
      <c r="R1133">
        <f>'Raw Data'!T1133</f>
        <v>0</v>
      </c>
      <c r="S1133">
        <f>IFERROR(O1133,0)+IFERROR(R1133,0)</f>
        <v>0</v>
      </c>
      <c r="T1133">
        <f>IF(A1133="","",YEAR(A1133))</f>
        <v>0</v>
      </c>
    </row>
    <row r="1134" spans="1:20">
      <c r="A1134">
        <f>'Raw Data'!B1134</f>
        <v>0</v>
      </c>
      <c r="B1134">
        <f>'Raw Data'!A1134</f>
        <v>0</v>
      </c>
      <c r="C1134">
        <f>'Raw Data'!C1134</f>
        <v>0</v>
      </c>
      <c r="D1134">
        <f>'Raw Data'!D1134</f>
        <v>0</v>
      </c>
      <c r="E1134">
        <f>IFERROR(VLOOKUP(D1134,'Lookup Tables'!$A:$B,2,FALSE),"Unknown")</f>
        <v>0</v>
      </c>
      <c r="F1134">
        <f>'Raw Data'!E1134</f>
        <v>0</v>
      </c>
      <c r="G1134">
        <f>IFERROR(VLOOKUP(D1134,'Lookup Tables'!$A:$C,3,FALSE),IF(ISNUMBER(SEARCH("STEEL",F1134)),"Steel","Others"))</f>
        <v>0</v>
      </c>
      <c r="H1134">
        <f>IF(ISNUMBER(SEARCH("scrubber",F1134)) , "Scrubber", IF(ISNUMBER(SEARCH("container",F1134)),"Container", IF(ISNUMBER(SEARCH("basket",F1134)),"Basket", IF(ISNUMBER(SEARCH("lunch",F1134)),"Lunch Box", IF(ISNUMBER(SEARCH("cutlery",F1134)),"Cutlery","Other")))))</f>
        <v>0</v>
      </c>
      <c r="I1134">
        <f>IF('Raw Data'!G1134&lt;&gt;'','Raw Data'!G1134,IFERROR(MID(F1134,SEARCH("MODEL",F1134)+6,20),""))</f>
        <v>0</v>
      </c>
      <c r="J1134">
        <f>'Raw Data'!H1134</f>
        <v>0</v>
      </c>
      <c r="K1134">
        <f>'Raw Data'!I1134</f>
        <v>0</v>
      </c>
      <c r="L1134">
        <f>IF('Raw Data'!N1134&lt;&gt;0,'Raw Data'!N1134,IFERROR(VALUE(MID(F1134,SEARCH("QTY",F1134)+4,IFERROR(FIND(" ",F1134,SEARCH("QTY",F1134)+4)-(SEARCH("QTY",F1134)+4),3))),""))</f>
        <v>0</v>
      </c>
      <c r="M1134">
        <f>'Raw Data'!O1134</f>
        <v>0</v>
      </c>
      <c r="N1134">
        <f>'Raw Data'!P1134</f>
        <v>0</v>
      </c>
      <c r="O1134">
        <f>'Raw Data'!Q1134</f>
        <v>0</v>
      </c>
      <c r="P1134">
        <f>'Raw Data'!R1134</f>
        <v>0</v>
      </c>
      <c r="Q1134">
        <f>'Raw Data'!S1134</f>
        <v>0</v>
      </c>
      <c r="R1134">
        <f>'Raw Data'!T1134</f>
        <v>0</v>
      </c>
      <c r="S1134">
        <f>IFERROR(O1134,0)+IFERROR(R1134,0)</f>
        <v>0</v>
      </c>
      <c r="T1134">
        <f>IF(A1134="","",YEAR(A1134))</f>
        <v>0</v>
      </c>
    </row>
    <row r="1135" spans="1:20">
      <c r="A1135">
        <f>'Raw Data'!B1135</f>
        <v>0</v>
      </c>
      <c r="B1135">
        <f>'Raw Data'!A1135</f>
        <v>0</v>
      </c>
      <c r="C1135">
        <f>'Raw Data'!C1135</f>
        <v>0</v>
      </c>
      <c r="D1135">
        <f>'Raw Data'!D1135</f>
        <v>0</v>
      </c>
      <c r="E1135">
        <f>IFERROR(VLOOKUP(D1135,'Lookup Tables'!$A:$B,2,FALSE),"Unknown")</f>
        <v>0</v>
      </c>
      <c r="F1135">
        <f>'Raw Data'!E1135</f>
        <v>0</v>
      </c>
      <c r="G1135">
        <f>IFERROR(VLOOKUP(D1135,'Lookup Tables'!$A:$C,3,FALSE),IF(ISNUMBER(SEARCH("STEEL",F1135)),"Steel","Others"))</f>
        <v>0</v>
      </c>
      <c r="H1135">
        <f>IF(ISNUMBER(SEARCH("scrubber",F1135)) , "Scrubber", IF(ISNUMBER(SEARCH("container",F1135)),"Container", IF(ISNUMBER(SEARCH("basket",F1135)),"Basket", IF(ISNUMBER(SEARCH("lunch",F1135)),"Lunch Box", IF(ISNUMBER(SEARCH("cutlery",F1135)),"Cutlery","Other")))))</f>
        <v>0</v>
      </c>
      <c r="I1135">
        <f>IF('Raw Data'!G1135&lt;&gt;'','Raw Data'!G1135,IFERROR(MID(F1135,SEARCH("MODEL",F1135)+6,20),""))</f>
        <v>0</v>
      </c>
      <c r="J1135">
        <f>'Raw Data'!H1135</f>
        <v>0</v>
      </c>
      <c r="K1135">
        <f>'Raw Data'!I1135</f>
        <v>0</v>
      </c>
      <c r="L1135">
        <f>IF('Raw Data'!N1135&lt;&gt;0,'Raw Data'!N1135,IFERROR(VALUE(MID(F1135,SEARCH("QTY",F1135)+4,IFERROR(FIND(" ",F1135,SEARCH("QTY",F1135)+4)-(SEARCH("QTY",F1135)+4),3))),""))</f>
        <v>0</v>
      </c>
      <c r="M1135">
        <f>'Raw Data'!O1135</f>
        <v>0</v>
      </c>
      <c r="N1135">
        <f>'Raw Data'!P1135</f>
        <v>0</v>
      </c>
      <c r="O1135">
        <f>'Raw Data'!Q1135</f>
        <v>0</v>
      </c>
      <c r="P1135">
        <f>'Raw Data'!R1135</f>
        <v>0</v>
      </c>
      <c r="Q1135">
        <f>'Raw Data'!S1135</f>
        <v>0</v>
      </c>
      <c r="R1135">
        <f>'Raw Data'!T1135</f>
        <v>0</v>
      </c>
      <c r="S1135">
        <f>IFERROR(O1135,0)+IFERROR(R1135,0)</f>
        <v>0</v>
      </c>
      <c r="T1135">
        <f>IF(A1135="","",YEAR(A1135))</f>
        <v>0</v>
      </c>
    </row>
    <row r="1136" spans="1:20">
      <c r="A1136">
        <f>'Raw Data'!B1136</f>
        <v>0</v>
      </c>
      <c r="B1136">
        <f>'Raw Data'!A1136</f>
        <v>0</v>
      </c>
      <c r="C1136">
        <f>'Raw Data'!C1136</f>
        <v>0</v>
      </c>
      <c r="D1136">
        <f>'Raw Data'!D1136</f>
        <v>0</v>
      </c>
      <c r="E1136">
        <f>IFERROR(VLOOKUP(D1136,'Lookup Tables'!$A:$B,2,FALSE),"Unknown")</f>
        <v>0</v>
      </c>
      <c r="F1136">
        <f>'Raw Data'!E1136</f>
        <v>0</v>
      </c>
      <c r="G1136">
        <f>IFERROR(VLOOKUP(D1136,'Lookup Tables'!$A:$C,3,FALSE),IF(ISNUMBER(SEARCH("STEEL",F1136)),"Steel","Others"))</f>
        <v>0</v>
      </c>
      <c r="H1136">
        <f>IF(ISNUMBER(SEARCH("scrubber",F1136)) , "Scrubber", IF(ISNUMBER(SEARCH("container",F1136)),"Container", IF(ISNUMBER(SEARCH("basket",F1136)),"Basket", IF(ISNUMBER(SEARCH("lunch",F1136)),"Lunch Box", IF(ISNUMBER(SEARCH("cutlery",F1136)),"Cutlery","Other")))))</f>
        <v>0</v>
      </c>
      <c r="I1136">
        <f>IF('Raw Data'!G1136&lt;&gt;'','Raw Data'!G1136,IFERROR(MID(F1136,SEARCH("MODEL",F1136)+6,20),""))</f>
        <v>0</v>
      </c>
      <c r="J1136">
        <f>'Raw Data'!H1136</f>
        <v>0</v>
      </c>
      <c r="K1136">
        <f>'Raw Data'!I1136</f>
        <v>0</v>
      </c>
      <c r="L1136">
        <f>IF('Raw Data'!N1136&lt;&gt;0,'Raw Data'!N1136,IFERROR(VALUE(MID(F1136,SEARCH("QTY",F1136)+4,IFERROR(FIND(" ",F1136,SEARCH("QTY",F1136)+4)-(SEARCH("QTY",F1136)+4),3))),""))</f>
        <v>0</v>
      </c>
      <c r="M1136">
        <f>'Raw Data'!O1136</f>
        <v>0</v>
      </c>
      <c r="N1136">
        <f>'Raw Data'!P1136</f>
        <v>0</v>
      </c>
      <c r="O1136">
        <f>'Raw Data'!Q1136</f>
        <v>0</v>
      </c>
      <c r="P1136">
        <f>'Raw Data'!R1136</f>
        <v>0</v>
      </c>
      <c r="Q1136">
        <f>'Raw Data'!S1136</f>
        <v>0</v>
      </c>
      <c r="R1136">
        <f>'Raw Data'!T1136</f>
        <v>0</v>
      </c>
      <c r="S1136">
        <f>IFERROR(O1136,0)+IFERROR(R1136,0)</f>
        <v>0</v>
      </c>
      <c r="T1136">
        <f>IF(A1136="","",YEAR(A1136))</f>
        <v>0</v>
      </c>
    </row>
    <row r="1137" spans="1:20">
      <c r="A1137">
        <f>'Raw Data'!B1137</f>
        <v>0</v>
      </c>
      <c r="B1137">
        <f>'Raw Data'!A1137</f>
        <v>0</v>
      </c>
      <c r="C1137">
        <f>'Raw Data'!C1137</f>
        <v>0</v>
      </c>
      <c r="D1137">
        <f>'Raw Data'!D1137</f>
        <v>0</v>
      </c>
      <c r="E1137">
        <f>IFERROR(VLOOKUP(D1137,'Lookup Tables'!$A:$B,2,FALSE),"Unknown")</f>
        <v>0</v>
      </c>
      <c r="F1137">
        <f>'Raw Data'!E1137</f>
        <v>0</v>
      </c>
      <c r="G1137">
        <f>IFERROR(VLOOKUP(D1137,'Lookup Tables'!$A:$C,3,FALSE),IF(ISNUMBER(SEARCH("STEEL",F1137)),"Steel","Others"))</f>
        <v>0</v>
      </c>
      <c r="H1137">
        <f>IF(ISNUMBER(SEARCH("scrubber",F1137)) , "Scrubber", IF(ISNUMBER(SEARCH("container",F1137)),"Container", IF(ISNUMBER(SEARCH("basket",F1137)),"Basket", IF(ISNUMBER(SEARCH("lunch",F1137)),"Lunch Box", IF(ISNUMBER(SEARCH("cutlery",F1137)),"Cutlery","Other")))))</f>
        <v>0</v>
      </c>
      <c r="I1137">
        <f>IF('Raw Data'!G1137&lt;&gt;'','Raw Data'!G1137,IFERROR(MID(F1137,SEARCH("MODEL",F1137)+6,20),""))</f>
        <v>0</v>
      </c>
      <c r="J1137">
        <f>'Raw Data'!H1137</f>
        <v>0</v>
      </c>
      <c r="K1137">
        <f>'Raw Data'!I1137</f>
        <v>0</v>
      </c>
      <c r="L1137">
        <f>IF('Raw Data'!N1137&lt;&gt;0,'Raw Data'!N1137,IFERROR(VALUE(MID(F1137,SEARCH("QTY",F1137)+4,IFERROR(FIND(" ",F1137,SEARCH("QTY",F1137)+4)-(SEARCH("QTY",F1137)+4),3))),""))</f>
        <v>0</v>
      </c>
      <c r="M1137">
        <f>'Raw Data'!O1137</f>
        <v>0</v>
      </c>
      <c r="N1137">
        <f>'Raw Data'!P1137</f>
        <v>0</v>
      </c>
      <c r="O1137">
        <f>'Raw Data'!Q1137</f>
        <v>0</v>
      </c>
      <c r="P1137">
        <f>'Raw Data'!R1137</f>
        <v>0</v>
      </c>
      <c r="Q1137">
        <f>'Raw Data'!S1137</f>
        <v>0</v>
      </c>
      <c r="R1137">
        <f>'Raw Data'!T1137</f>
        <v>0</v>
      </c>
      <c r="S1137">
        <f>IFERROR(O1137,0)+IFERROR(R1137,0)</f>
        <v>0</v>
      </c>
      <c r="T1137">
        <f>IF(A1137="","",YEAR(A1137))</f>
        <v>0</v>
      </c>
    </row>
    <row r="1138" spans="1:20">
      <c r="A1138">
        <f>'Raw Data'!B1138</f>
        <v>0</v>
      </c>
      <c r="B1138">
        <f>'Raw Data'!A1138</f>
        <v>0</v>
      </c>
      <c r="C1138">
        <f>'Raw Data'!C1138</f>
        <v>0</v>
      </c>
      <c r="D1138">
        <f>'Raw Data'!D1138</f>
        <v>0</v>
      </c>
      <c r="E1138">
        <f>IFERROR(VLOOKUP(D1138,'Lookup Tables'!$A:$B,2,FALSE),"Unknown")</f>
        <v>0</v>
      </c>
      <c r="F1138">
        <f>'Raw Data'!E1138</f>
        <v>0</v>
      </c>
      <c r="G1138">
        <f>IFERROR(VLOOKUP(D1138,'Lookup Tables'!$A:$C,3,FALSE),IF(ISNUMBER(SEARCH("STEEL",F1138)),"Steel","Others"))</f>
        <v>0</v>
      </c>
      <c r="H1138">
        <f>IF(ISNUMBER(SEARCH("scrubber",F1138)) , "Scrubber", IF(ISNUMBER(SEARCH("container",F1138)),"Container", IF(ISNUMBER(SEARCH("basket",F1138)),"Basket", IF(ISNUMBER(SEARCH("lunch",F1138)),"Lunch Box", IF(ISNUMBER(SEARCH("cutlery",F1138)),"Cutlery","Other")))))</f>
        <v>0</v>
      </c>
      <c r="I1138">
        <f>IF('Raw Data'!G1138&lt;&gt;'','Raw Data'!G1138,IFERROR(MID(F1138,SEARCH("MODEL",F1138)+6,20),""))</f>
        <v>0</v>
      </c>
      <c r="J1138">
        <f>'Raw Data'!H1138</f>
        <v>0</v>
      </c>
      <c r="K1138">
        <f>'Raw Data'!I1138</f>
        <v>0</v>
      </c>
      <c r="L1138">
        <f>IF('Raw Data'!N1138&lt;&gt;0,'Raw Data'!N1138,IFERROR(VALUE(MID(F1138,SEARCH("QTY",F1138)+4,IFERROR(FIND(" ",F1138,SEARCH("QTY",F1138)+4)-(SEARCH("QTY",F1138)+4),3))),""))</f>
        <v>0</v>
      </c>
      <c r="M1138">
        <f>'Raw Data'!O1138</f>
        <v>0</v>
      </c>
      <c r="N1138">
        <f>'Raw Data'!P1138</f>
        <v>0</v>
      </c>
      <c r="O1138">
        <f>'Raw Data'!Q1138</f>
        <v>0</v>
      </c>
      <c r="P1138">
        <f>'Raw Data'!R1138</f>
        <v>0</v>
      </c>
      <c r="Q1138">
        <f>'Raw Data'!S1138</f>
        <v>0</v>
      </c>
      <c r="R1138">
        <f>'Raw Data'!T1138</f>
        <v>0</v>
      </c>
      <c r="S1138">
        <f>IFERROR(O1138,0)+IFERROR(R1138,0)</f>
        <v>0</v>
      </c>
      <c r="T1138">
        <f>IF(A1138="","",YEAR(A1138))</f>
        <v>0</v>
      </c>
    </row>
    <row r="1139" spans="1:20">
      <c r="A1139">
        <f>'Raw Data'!B1139</f>
        <v>0</v>
      </c>
      <c r="B1139">
        <f>'Raw Data'!A1139</f>
        <v>0</v>
      </c>
      <c r="C1139">
        <f>'Raw Data'!C1139</f>
        <v>0</v>
      </c>
      <c r="D1139">
        <f>'Raw Data'!D1139</f>
        <v>0</v>
      </c>
      <c r="E1139">
        <f>IFERROR(VLOOKUP(D1139,'Lookup Tables'!$A:$B,2,FALSE),"Unknown")</f>
        <v>0</v>
      </c>
      <c r="F1139">
        <f>'Raw Data'!E1139</f>
        <v>0</v>
      </c>
      <c r="G1139">
        <f>IFERROR(VLOOKUP(D1139,'Lookup Tables'!$A:$C,3,FALSE),IF(ISNUMBER(SEARCH("STEEL",F1139)),"Steel","Others"))</f>
        <v>0</v>
      </c>
      <c r="H1139">
        <f>IF(ISNUMBER(SEARCH("scrubber",F1139)) , "Scrubber", IF(ISNUMBER(SEARCH("container",F1139)),"Container", IF(ISNUMBER(SEARCH("basket",F1139)),"Basket", IF(ISNUMBER(SEARCH("lunch",F1139)),"Lunch Box", IF(ISNUMBER(SEARCH("cutlery",F1139)),"Cutlery","Other")))))</f>
        <v>0</v>
      </c>
      <c r="I1139">
        <f>IF('Raw Data'!G1139&lt;&gt;'','Raw Data'!G1139,IFERROR(MID(F1139,SEARCH("MODEL",F1139)+6,20),""))</f>
        <v>0</v>
      </c>
      <c r="J1139">
        <f>'Raw Data'!H1139</f>
        <v>0</v>
      </c>
      <c r="K1139">
        <f>'Raw Data'!I1139</f>
        <v>0</v>
      </c>
      <c r="L1139">
        <f>IF('Raw Data'!N1139&lt;&gt;0,'Raw Data'!N1139,IFERROR(VALUE(MID(F1139,SEARCH("QTY",F1139)+4,IFERROR(FIND(" ",F1139,SEARCH("QTY",F1139)+4)-(SEARCH("QTY",F1139)+4),3))),""))</f>
        <v>0</v>
      </c>
      <c r="M1139">
        <f>'Raw Data'!O1139</f>
        <v>0</v>
      </c>
      <c r="N1139">
        <f>'Raw Data'!P1139</f>
        <v>0</v>
      </c>
      <c r="O1139">
        <f>'Raw Data'!Q1139</f>
        <v>0</v>
      </c>
      <c r="P1139">
        <f>'Raw Data'!R1139</f>
        <v>0</v>
      </c>
      <c r="Q1139">
        <f>'Raw Data'!S1139</f>
        <v>0</v>
      </c>
      <c r="R1139">
        <f>'Raw Data'!T1139</f>
        <v>0</v>
      </c>
      <c r="S1139">
        <f>IFERROR(O1139,0)+IFERROR(R1139,0)</f>
        <v>0</v>
      </c>
      <c r="T1139">
        <f>IF(A1139="","",YEAR(A1139))</f>
        <v>0</v>
      </c>
    </row>
    <row r="1140" spans="1:20">
      <c r="A1140">
        <f>'Raw Data'!B1140</f>
        <v>0</v>
      </c>
      <c r="B1140">
        <f>'Raw Data'!A1140</f>
        <v>0</v>
      </c>
      <c r="C1140">
        <f>'Raw Data'!C1140</f>
        <v>0</v>
      </c>
      <c r="D1140">
        <f>'Raw Data'!D1140</f>
        <v>0</v>
      </c>
      <c r="E1140">
        <f>IFERROR(VLOOKUP(D1140,'Lookup Tables'!$A:$B,2,FALSE),"Unknown")</f>
        <v>0</v>
      </c>
      <c r="F1140">
        <f>'Raw Data'!E1140</f>
        <v>0</v>
      </c>
      <c r="G1140">
        <f>IFERROR(VLOOKUP(D1140,'Lookup Tables'!$A:$C,3,FALSE),IF(ISNUMBER(SEARCH("STEEL",F1140)),"Steel","Others"))</f>
        <v>0</v>
      </c>
      <c r="H1140">
        <f>IF(ISNUMBER(SEARCH("scrubber",F1140)) , "Scrubber", IF(ISNUMBER(SEARCH("container",F1140)),"Container", IF(ISNUMBER(SEARCH("basket",F1140)),"Basket", IF(ISNUMBER(SEARCH("lunch",F1140)),"Lunch Box", IF(ISNUMBER(SEARCH("cutlery",F1140)),"Cutlery","Other")))))</f>
        <v>0</v>
      </c>
      <c r="I1140">
        <f>IF('Raw Data'!G1140&lt;&gt;'','Raw Data'!G1140,IFERROR(MID(F1140,SEARCH("MODEL",F1140)+6,20),""))</f>
        <v>0</v>
      </c>
      <c r="J1140">
        <f>'Raw Data'!H1140</f>
        <v>0</v>
      </c>
      <c r="K1140">
        <f>'Raw Data'!I1140</f>
        <v>0</v>
      </c>
      <c r="L1140">
        <f>IF('Raw Data'!N1140&lt;&gt;0,'Raw Data'!N1140,IFERROR(VALUE(MID(F1140,SEARCH("QTY",F1140)+4,IFERROR(FIND(" ",F1140,SEARCH("QTY",F1140)+4)-(SEARCH("QTY",F1140)+4),3))),""))</f>
        <v>0</v>
      </c>
      <c r="M1140">
        <f>'Raw Data'!O1140</f>
        <v>0</v>
      </c>
      <c r="N1140">
        <f>'Raw Data'!P1140</f>
        <v>0</v>
      </c>
      <c r="O1140">
        <f>'Raw Data'!Q1140</f>
        <v>0</v>
      </c>
      <c r="P1140">
        <f>'Raw Data'!R1140</f>
        <v>0</v>
      </c>
      <c r="Q1140">
        <f>'Raw Data'!S1140</f>
        <v>0</v>
      </c>
      <c r="R1140">
        <f>'Raw Data'!T1140</f>
        <v>0</v>
      </c>
      <c r="S1140">
        <f>IFERROR(O1140,0)+IFERROR(R1140,0)</f>
        <v>0</v>
      </c>
      <c r="T1140">
        <f>IF(A1140="","",YEAR(A1140))</f>
        <v>0</v>
      </c>
    </row>
    <row r="1141" spans="1:20">
      <c r="A1141">
        <f>'Raw Data'!B1141</f>
        <v>0</v>
      </c>
      <c r="B1141">
        <f>'Raw Data'!A1141</f>
        <v>0</v>
      </c>
      <c r="C1141">
        <f>'Raw Data'!C1141</f>
        <v>0</v>
      </c>
      <c r="D1141">
        <f>'Raw Data'!D1141</f>
        <v>0</v>
      </c>
      <c r="E1141">
        <f>IFERROR(VLOOKUP(D1141,'Lookup Tables'!$A:$B,2,FALSE),"Unknown")</f>
        <v>0</v>
      </c>
      <c r="F1141">
        <f>'Raw Data'!E1141</f>
        <v>0</v>
      </c>
      <c r="G1141">
        <f>IFERROR(VLOOKUP(D1141,'Lookup Tables'!$A:$C,3,FALSE),IF(ISNUMBER(SEARCH("STEEL",F1141)),"Steel","Others"))</f>
        <v>0</v>
      </c>
      <c r="H1141">
        <f>IF(ISNUMBER(SEARCH("scrubber",F1141)) , "Scrubber", IF(ISNUMBER(SEARCH("container",F1141)),"Container", IF(ISNUMBER(SEARCH("basket",F1141)),"Basket", IF(ISNUMBER(SEARCH("lunch",F1141)),"Lunch Box", IF(ISNUMBER(SEARCH("cutlery",F1141)),"Cutlery","Other")))))</f>
        <v>0</v>
      </c>
      <c r="I1141">
        <f>IF('Raw Data'!G1141&lt;&gt;'','Raw Data'!G1141,IFERROR(MID(F1141,SEARCH("MODEL",F1141)+6,20),""))</f>
        <v>0</v>
      </c>
      <c r="J1141">
        <f>'Raw Data'!H1141</f>
        <v>0</v>
      </c>
      <c r="K1141">
        <f>'Raw Data'!I1141</f>
        <v>0</v>
      </c>
      <c r="L1141">
        <f>IF('Raw Data'!N1141&lt;&gt;0,'Raw Data'!N1141,IFERROR(VALUE(MID(F1141,SEARCH("QTY",F1141)+4,IFERROR(FIND(" ",F1141,SEARCH("QTY",F1141)+4)-(SEARCH("QTY",F1141)+4),3))),""))</f>
        <v>0</v>
      </c>
      <c r="M1141">
        <f>'Raw Data'!O1141</f>
        <v>0</v>
      </c>
      <c r="N1141">
        <f>'Raw Data'!P1141</f>
        <v>0</v>
      </c>
      <c r="O1141">
        <f>'Raw Data'!Q1141</f>
        <v>0</v>
      </c>
      <c r="P1141">
        <f>'Raw Data'!R1141</f>
        <v>0</v>
      </c>
      <c r="Q1141">
        <f>'Raw Data'!S1141</f>
        <v>0</v>
      </c>
      <c r="R1141">
        <f>'Raw Data'!T1141</f>
        <v>0</v>
      </c>
      <c r="S1141">
        <f>IFERROR(O1141,0)+IFERROR(R1141,0)</f>
        <v>0</v>
      </c>
      <c r="T1141">
        <f>IF(A1141="","",YEAR(A1141))</f>
        <v>0</v>
      </c>
    </row>
    <row r="1142" spans="1:20">
      <c r="A1142">
        <f>'Raw Data'!B1142</f>
        <v>0</v>
      </c>
      <c r="B1142">
        <f>'Raw Data'!A1142</f>
        <v>0</v>
      </c>
      <c r="C1142">
        <f>'Raw Data'!C1142</f>
        <v>0</v>
      </c>
      <c r="D1142">
        <f>'Raw Data'!D1142</f>
        <v>0</v>
      </c>
      <c r="E1142">
        <f>IFERROR(VLOOKUP(D1142,'Lookup Tables'!$A:$B,2,FALSE),"Unknown")</f>
        <v>0</v>
      </c>
      <c r="F1142">
        <f>'Raw Data'!E1142</f>
        <v>0</v>
      </c>
      <c r="G1142">
        <f>IFERROR(VLOOKUP(D1142,'Lookup Tables'!$A:$C,3,FALSE),IF(ISNUMBER(SEARCH("STEEL",F1142)),"Steel","Others"))</f>
        <v>0</v>
      </c>
      <c r="H1142">
        <f>IF(ISNUMBER(SEARCH("scrubber",F1142)) , "Scrubber", IF(ISNUMBER(SEARCH("container",F1142)),"Container", IF(ISNUMBER(SEARCH("basket",F1142)),"Basket", IF(ISNUMBER(SEARCH("lunch",F1142)),"Lunch Box", IF(ISNUMBER(SEARCH("cutlery",F1142)),"Cutlery","Other")))))</f>
        <v>0</v>
      </c>
      <c r="I1142">
        <f>IF('Raw Data'!G1142&lt;&gt;'','Raw Data'!G1142,IFERROR(MID(F1142,SEARCH("MODEL",F1142)+6,20),""))</f>
        <v>0</v>
      </c>
      <c r="J1142">
        <f>'Raw Data'!H1142</f>
        <v>0</v>
      </c>
      <c r="K1142">
        <f>'Raw Data'!I1142</f>
        <v>0</v>
      </c>
      <c r="L1142">
        <f>IF('Raw Data'!N1142&lt;&gt;0,'Raw Data'!N1142,IFERROR(VALUE(MID(F1142,SEARCH("QTY",F1142)+4,IFERROR(FIND(" ",F1142,SEARCH("QTY",F1142)+4)-(SEARCH("QTY",F1142)+4),3))),""))</f>
        <v>0</v>
      </c>
      <c r="M1142">
        <f>'Raw Data'!O1142</f>
        <v>0</v>
      </c>
      <c r="N1142">
        <f>'Raw Data'!P1142</f>
        <v>0</v>
      </c>
      <c r="O1142">
        <f>'Raw Data'!Q1142</f>
        <v>0</v>
      </c>
      <c r="P1142">
        <f>'Raw Data'!R1142</f>
        <v>0</v>
      </c>
      <c r="Q1142">
        <f>'Raw Data'!S1142</f>
        <v>0</v>
      </c>
      <c r="R1142">
        <f>'Raw Data'!T1142</f>
        <v>0</v>
      </c>
      <c r="S1142">
        <f>IFERROR(O1142,0)+IFERROR(R1142,0)</f>
        <v>0</v>
      </c>
      <c r="T1142">
        <f>IF(A1142="","",YEAR(A1142))</f>
        <v>0</v>
      </c>
    </row>
    <row r="1143" spans="1:20">
      <c r="A1143">
        <f>'Raw Data'!B1143</f>
        <v>0</v>
      </c>
      <c r="B1143">
        <f>'Raw Data'!A1143</f>
        <v>0</v>
      </c>
      <c r="C1143">
        <f>'Raw Data'!C1143</f>
        <v>0</v>
      </c>
      <c r="D1143">
        <f>'Raw Data'!D1143</f>
        <v>0</v>
      </c>
      <c r="E1143">
        <f>IFERROR(VLOOKUP(D1143,'Lookup Tables'!$A:$B,2,FALSE),"Unknown")</f>
        <v>0</v>
      </c>
      <c r="F1143">
        <f>'Raw Data'!E1143</f>
        <v>0</v>
      </c>
      <c r="G1143">
        <f>IFERROR(VLOOKUP(D1143,'Lookup Tables'!$A:$C,3,FALSE),IF(ISNUMBER(SEARCH("STEEL",F1143)),"Steel","Others"))</f>
        <v>0</v>
      </c>
      <c r="H1143">
        <f>IF(ISNUMBER(SEARCH("scrubber",F1143)) , "Scrubber", IF(ISNUMBER(SEARCH("container",F1143)),"Container", IF(ISNUMBER(SEARCH("basket",F1143)),"Basket", IF(ISNUMBER(SEARCH("lunch",F1143)),"Lunch Box", IF(ISNUMBER(SEARCH("cutlery",F1143)),"Cutlery","Other")))))</f>
        <v>0</v>
      </c>
      <c r="I1143">
        <f>IF('Raw Data'!G1143&lt;&gt;'','Raw Data'!G1143,IFERROR(MID(F1143,SEARCH("MODEL",F1143)+6,20),""))</f>
        <v>0</v>
      </c>
      <c r="J1143">
        <f>'Raw Data'!H1143</f>
        <v>0</v>
      </c>
      <c r="K1143">
        <f>'Raw Data'!I1143</f>
        <v>0</v>
      </c>
      <c r="L1143">
        <f>IF('Raw Data'!N1143&lt;&gt;0,'Raw Data'!N1143,IFERROR(VALUE(MID(F1143,SEARCH("QTY",F1143)+4,IFERROR(FIND(" ",F1143,SEARCH("QTY",F1143)+4)-(SEARCH("QTY",F1143)+4),3))),""))</f>
        <v>0</v>
      </c>
      <c r="M1143">
        <f>'Raw Data'!O1143</f>
        <v>0</v>
      </c>
      <c r="N1143">
        <f>'Raw Data'!P1143</f>
        <v>0</v>
      </c>
      <c r="O1143">
        <f>'Raw Data'!Q1143</f>
        <v>0</v>
      </c>
      <c r="P1143">
        <f>'Raw Data'!R1143</f>
        <v>0</v>
      </c>
      <c r="Q1143">
        <f>'Raw Data'!S1143</f>
        <v>0</v>
      </c>
      <c r="R1143">
        <f>'Raw Data'!T1143</f>
        <v>0</v>
      </c>
      <c r="S1143">
        <f>IFERROR(O1143,0)+IFERROR(R1143,0)</f>
        <v>0</v>
      </c>
      <c r="T1143">
        <f>IF(A1143="","",YEAR(A1143))</f>
        <v>0</v>
      </c>
    </row>
    <row r="1144" spans="1:20">
      <c r="A1144">
        <f>'Raw Data'!B1144</f>
        <v>0</v>
      </c>
      <c r="B1144">
        <f>'Raw Data'!A1144</f>
        <v>0</v>
      </c>
      <c r="C1144">
        <f>'Raw Data'!C1144</f>
        <v>0</v>
      </c>
      <c r="D1144">
        <f>'Raw Data'!D1144</f>
        <v>0</v>
      </c>
      <c r="E1144">
        <f>IFERROR(VLOOKUP(D1144,'Lookup Tables'!$A:$B,2,FALSE),"Unknown")</f>
        <v>0</v>
      </c>
      <c r="F1144">
        <f>'Raw Data'!E1144</f>
        <v>0</v>
      </c>
      <c r="G1144">
        <f>IFERROR(VLOOKUP(D1144,'Lookup Tables'!$A:$C,3,FALSE),IF(ISNUMBER(SEARCH("STEEL",F1144)),"Steel","Others"))</f>
        <v>0</v>
      </c>
      <c r="H1144">
        <f>IF(ISNUMBER(SEARCH("scrubber",F1144)) , "Scrubber", IF(ISNUMBER(SEARCH("container",F1144)),"Container", IF(ISNUMBER(SEARCH("basket",F1144)),"Basket", IF(ISNUMBER(SEARCH("lunch",F1144)),"Lunch Box", IF(ISNUMBER(SEARCH("cutlery",F1144)),"Cutlery","Other")))))</f>
        <v>0</v>
      </c>
      <c r="I1144">
        <f>IF('Raw Data'!G1144&lt;&gt;'','Raw Data'!G1144,IFERROR(MID(F1144,SEARCH("MODEL",F1144)+6,20),""))</f>
        <v>0</v>
      </c>
      <c r="J1144">
        <f>'Raw Data'!H1144</f>
        <v>0</v>
      </c>
      <c r="K1144">
        <f>'Raw Data'!I1144</f>
        <v>0</v>
      </c>
      <c r="L1144">
        <f>IF('Raw Data'!N1144&lt;&gt;0,'Raw Data'!N1144,IFERROR(VALUE(MID(F1144,SEARCH("QTY",F1144)+4,IFERROR(FIND(" ",F1144,SEARCH("QTY",F1144)+4)-(SEARCH("QTY",F1144)+4),3))),""))</f>
        <v>0</v>
      </c>
      <c r="M1144">
        <f>'Raw Data'!O1144</f>
        <v>0</v>
      </c>
      <c r="N1144">
        <f>'Raw Data'!P1144</f>
        <v>0</v>
      </c>
      <c r="O1144">
        <f>'Raw Data'!Q1144</f>
        <v>0</v>
      </c>
      <c r="P1144">
        <f>'Raw Data'!R1144</f>
        <v>0</v>
      </c>
      <c r="Q1144">
        <f>'Raw Data'!S1144</f>
        <v>0</v>
      </c>
      <c r="R1144">
        <f>'Raw Data'!T1144</f>
        <v>0</v>
      </c>
      <c r="S1144">
        <f>IFERROR(O1144,0)+IFERROR(R1144,0)</f>
        <v>0</v>
      </c>
      <c r="T1144">
        <f>IF(A1144="","",YEAR(A1144))</f>
        <v>0</v>
      </c>
    </row>
    <row r="1145" spans="1:20">
      <c r="A1145">
        <f>'Raw Data'!B1145</f>
        <v>0</v>
      </c>
      <c r="B1145">
        <f>'Raw Data'!A1145</f>
        <v>0</v>
      </c>
      <c r="C1145">
        <f>'Raw Data'!C1145</f>
        <v>0</v>
      </c>
      <c r="D1145">
        <f>'Raw Data'!D1145</f>
        <v>0</v>
      </c>
      <c r="E1145">
        <f>IFERROR(VLOOKUP(D1145,'Lookup Tables'!$A:$B,2,FALSE),"Unknown")</f>
        <v>0</v>
      </c>
      <c r="F1145">
        <f>'Raw Data'!E1145</f>
        <v>0</v>
      </c>
      <c r="G1145">
        <f>IFERROR(VLOOKUP(D1145,'Lookup Tables'!$A:$C,3,FALSE),IF(ISNUMBER(SEARCH("STEEL",F1145)),"Steel","Others"))</f>
        <v>0</v>
      </c>
      <c r="H1145">
        <f>IF(ISNUMBER(SEARCH("scrubber",F1145)) , "Scrubber", IF(ISNUMBER(SEARCH("container",F1145)),"Container", IF(ISNUMBER(SEARCH("basket",F1145)),"Basket", IF(ISNUMBER(SEARCH("lunch",F1145)),"Lunch Box", IF(ISNUMBER(SEARCH("cutlery",F1145)),"Cutlery","Other")))))</f>
        <v>0</v>
      </c>
      <c r="I1145">
        <f>IF('Raw Data'!G1145&lt;&gt;'','Raw Data'!G1145,IFERROR(MID(F1145,SEARCH("MODEL",F1145)+6,20),""))</f>
        <v>0</v>
      </c>
      <c r="J1145">
        <f>'Raw Data'!H1145</f>
        <v>0</v>
      </c>
      <c r="K1145">
        <f>'Raw Data'!I1145</f>
        <v>0</v>
      </c>
      <c r="L1145">
        <f>IF('Raw Data'!N1145&lt;&gt;0,'Raw Data'!N1145,IFERROR(VALUE(MID(F1145,SEARCH("QTY",F1145)+4,IFERROR(FIND(" ",F1145,SEARCH("QTY",F1145)+4)-(SEARCH("QTY",F1145)+4),3))),""))</f>
        <v>0</v>
      </c>
      <c r="M1145">
        <f>'Raw Data'!O1145</f>
        <v>0</v>
      </c>
      <c r="N1145">
        <f>'Raw Data'!P1145</f>
        <v>0</v>
      </c>
      <c r="O1145">
        <f>'Raw Data'!Q1145</f>
        <v>0</v>
      </c>
      <c r="P1145">
        <f>'Raw Data'!R1145</f>
        <v>0</v>
      </c>
      <c r="Q1145">
        <f>'Raw Data'!S1145</f>
        <v>0</v>
      </c>
      <c r="R1145">
        <f>'Raw Data'!T1145</f>
        <v>0</v>
      </c>
      <c r="S1145">
        <f>IFERROR(O1145,0)+IFERROR(R1145,0)</f>
        <v>0</v>
      </c>
      <c r="T1145">
        <f>IF(A1145="","",YEAR(A1145))</f>
        <v>0</v>
      </c>
    </row>
    <row r="1146" spans="1:20">
      <c r="A1146">
        <f>'Raw Data'!B1146</f>
        <v>0</v>
      </c>
      <c r="B1146">
        <f>'Raw Data'!A1146</f>
        <v>0</v>
      </c>
      <c r="C1146">
        <f>'Raw Data'!C1146</f>
        <v>0</v>
      </c>
      <c r="D1146">
        <f>'Raw Data'!D1146</f>
        <v>0</v>
      </c>
      <c r="E1146">
        <f>IFERROR(VLOOKUP(D1146,'Lookup Tables'!$A:$B,2,FALSE),"Unknown")</f>
        <v>0</v>
      </c>
      <c r="F1146">
        <f>'Raw Data'!E1146</f>
        <v>0</v>
      </c>
      <c r="G1146">
        <f>IFERROR(VLOOKUP(D1146,'Lookup Tables'!$A:$C,3,FALSE),IF(ISNUMBER(SEARCH("STEEL",F1146)),"Steel","Others"))</f>
        <v>0</v>
      </c>
      <c r="H1146">
        <f>IF(ISNUMBER(SEARCH("scrubber",F1146)) , "Scrubber", IF(ISNUMBER(SEARCH("container",F1146)),"Container", IF(ISNUMBER(SEARCH("basket",F1146)),"Basket", IF(ISNUMBER(SEARCH("lunch",F1146)),"Lunch Box", IF(ISNUMBER(SEARCH("cutlery",F1146)),"Cutlery","Other")))))</f>
        <v>0</v>
      </c>
      <c r="I1146">
        <f>IF('Raw Data'!G1146&lt;&gt;'','Raw Data'!G1146,IFERROR(MID(F1146,SEARCH("MODEL",F1146)+6,20),""))</f>
        <v>0</v>
      </c>
      <c r="J1146">
        <f>'Raw Data'!H1146</f>
        <v>0</v>
      </c>
      <c r="K1146">
        <f>'Raw Data'!I1146</f>
        <v>0</v>
      </c>
      <c r="L1146">
        <f>IF('Raw Data'!N1146&lt;&gt;0,'Raw Data'!N1146,IFERROR(VALUE(MID(F1146,SEARCH("QTY",F1146)+4,IFERROR(FIND(" ",F1146,SEARCH("QTY",F1146)+4)-(SEARCH("QTY",F1146)+4),3))),""))</f>
        <v>0</v>
      </c>
      <c r="M1146">
        <f>'Raw Data'!O1146</f>
        <v>0</v>
      </c>
      <c r="N1146">
        <f>'Raw Data'!P1146</f>
        <v>0</v>
      </c>
      <c r="O1146">
        <f>'Raw Data'!Q1146</f>
        <v>0</v>
      </c>
      <c r="P1146">
        <f>'Raw Data'!R1146</f>
        <v>0</v>
      </c>
      <c r="Q1146">
        <f>'Raw Data'!S1146</f>
        <v>0</v>
      </c>
      <c r="R1146">
        <f>'Raw Data'!T1146</f>
        <v>0</v>
      </c>
      <c r="S1146">
        <f>IFERROR(O1146,0)+IFERROR(R1146,0)</f>
        <v>0</v>
      </c>
      <c r="T1146">
        <f>IF(A1146="","",YEAR(A1146))</f>
        <v>0</v>
      </c>
    </row>
    <row r="1147" spans="1:20">
      <c r="A1147">
        <f>'Raw Data'!B1147</f>
        <v>0</v>
      </c>
      <c r="B1147">
        <f>'Raw Data'!A1147</f>
        <v>0</v>
      </c>
      <c r="C1147">
        <f>'Raw Data'!C1147</f>
        <v>0</v>
      </c>
      <c r="D1147">
        <f>'Raw Data'!D1147</f>
        <v>0</v>
      </c>
      <c r="E1147">
        <f>IFERROR(VLOOKUP(D1147,'Lookup Tables'!$A:$B,2,FALSE),"Unknown")</f>
        <v>0</v>
      </c>
      <c r="F1147">
        <f>'Raw Data'!E1147</f>
        <v>0</v>
      </c>
      <c r="G1147">
        <f>IFERROR(VLOOKUP(D1147,'Lookup Tables'!$A:$C,3,FALSE),IF(ISNUMBER(SEARCH("STEEL",F1147)),"Steel","Others"))</f>
        <v>0</v>
      </c>
      <c r="H1147">
        <f>IF(ISNUMBER(SEARCH("scrubber",F1147)) , "Scrubber", IF(ISNUMBER(SEARCH("container",F1147)),"Container", IF(ISNUMBER(SEARCH("basket",F1147)),"Basket", IF(ISNUMBER(SEARCH("lunch",F1147)),"Lunch Box", IF(ISNUMBER(SEARCH("cutlery",F1147)),"Cutlery","Other")))))</f>
        <v>0</v>
      </c>
      <c r="I1147">
        <f>IF('Raw Data'!G1147&lt;&gt;'','Raw Data'!G1147,IFERROR(MID(F1147,SEARCH("MODEL",F1147)+6,20),""))</f>
        <v>0</v>
      </c>
      <c r="J1147">
        <f>'Raw Data'!H1147</f>
        <v>0</v>
      </c>
      <c r="K1147">
        <f>'Raw Data'!I1147</f>
        <v>0</v>
      </c>
      <c r="L1147">
        <f>IF('Raw Data'!N1147&lt;&gt;0,'Raw Data'!N1147,IFERROR(VALUE(MID(F1147,SEARCH("QTY",F1147)+4,IFERROR(FIND(" ",F1147,SEARCH("QTY",F1147)+4)-(SEARCH("QTY",F1147)+4),3))),""))</f>
        <v>0</v>
      </c>
      <c r="M1147">
        <f>'Raw Data'!O1147</f>
        <v>0</v>
      </c>
      <c r="N1147">
        <f>'Raw Data'!P1147</f>
        <v>0</v>
      </c>
      <c r="O1147">
        <f>'Raw Data'!Q1147</f>
        <v>0</v>
      </c>
      <c r="P1147">
        <f>'Raw Data'!R1147</f>
        <v>0</v>
      </c>
      <c r="Q1147">
        <f>'Raw Data'!S1147</f>
        <v>0</v>
      </c>
      <c r="R1147">
        <f>'Raw Data'!T1147</f>
        <v>0</v>
      </c>
      <c r="S1147">
        <f>IFERROR(O1147,0)+IFERROR(R1147,0)</f>
        <v>0</v>
      </c>
      <c r="T1147">
        <f>IF(A1147="","",YEAR(A1147))</f>
        <v>0</v>
      </c>
    </row>
    <row r="1148" spans="1:20">
      <c r="A1148">
        <f>'Raw Data'!B1148</f>
        <v>0</v>
      </c>
      <c r="B1148">
        <f>'Raw Data'!A1148</f>
        <v>0</v>
      </c>
      <c r="C1148">
        <f>'Raw Data'!C1148</f>
        <v>0</v>
      </c>
      <c r="D1148">
        <f>'Raw Data'!D1148</f>
        <v>0</v>
      </c>
      <c r="E1148">
        <f>IFERROR(VLOOKUP(D1148,'Lookup Tables'!$A:$B,2,FALSE),"Unknown")</f>
        <v>0</v>
      </c>
      <c r="F1148">
        <f>'Raw Data'!E1148</f>
        <v>0</v>
      </c>
      <c r="G1148">
        <f>IFERROR(VLOOKUP(D1148,'Lookup Tables'!$A:$C,3,FALSE),IF(ISNUMBER(SEARCH("STEEL",F1148)),"Steel","Others"))</f>
        <v>0</v>
      </c>
      <c r="H1148">
        <f>IF(ISNUMBER(SEARCH("scrubber",F1148)) , "Scrubber", IF(ISNUMBER(SEARCH("container",F1148)),"Container", IF(ISNUMBER(SEARCH("basket",F1148)),"Basket", IF(ISNUMBER(SEARCH("lunch",F1148)),"Lunch Box", IF(ISNUMBER(SEARCH("cutlery",F1148)),"Cutlery","Other")))))</f>
        <v>0</v>
      </c>
      <c r="I1148">
        <f>IF('Raw Data'!G1148&lt;&gt;'','Raw Data'!G1148,IFERROR(MID(F1148,SEARCH("MODEL",F1148)+6,20),""))</f>
        <v>0</v>
      </c>
      <c r="J1148">
        <f>'Raw Data'!H1148</f>
        <v>0</v>
      </c>
      <c r="K1148">
        <f>'Raw Data'!I1148</f>
        <v>0</v>
      </c>
      <c r="L1148">
        <f>IF('Raw Data'!N1148&lt;&gt;0,'Raw Data'!N1148,IFERROR(VALUE(MID(F1148,SEARCH("QTY",F1148)+4,IFERROR(FIND(" ",F1148,SEARCH("QTY",F1148)+4)-(SEARCH("QTY",F1148)+4),3))),""))</f>
        <v>0</v>
      </c>
      <c r="M1148">
        <f>'Raw Data'!O1148</f>
        <v>0</v>
      </c>
      <c r="N1148">
        <f>'Raw Data'!P1148</f>
        <v>0</v>
      </c>
      <c r="O1148">
        <f>'Raw Data'!Q1148</f>
        <v>0</v>
      </c>
      <c r="P1148">
        <f>'Raw Data'!R1148</f>
        <v>0</v>
      </c>
      <c r="Q1148">
        <f>'Raw Data'!S1148</f>
        <v>0</v>
      </c>
      <c r="R1148">
        <f>'Raw Data'!T1148</f>
        <v>0</v>
      </c>
      <c r="S1148">
        <f>IFERROR(O1148,0)+IFERROR(R1148,0)</f>
        <v>0</v>
      </c>
      <c r="T1148">
        <f>IF(A1148="","",YEAR(A1148))</f>
        <v>0</v>
      </c>
    </row>
    <row r="1149" spans="1:20">
      <c r="A1149">
        <f>'Raw Data'!B1149</f>
        <v>0</v>
      </c>
      <c r="B1149">
        <f>'Raw Data'!A1149</f>
        <v>0</v>
      </c>
      <c r="C1149">
        <f>'Raw Data'!C1149</f>
        <v>0</v>
      </c>
      <c r="D1149">
        <f>'Raw Data'!D1149</f>
        <v>0</v>
      </c>
      <c r="E1149">
        <f>IFERROR(VLOOKUP(D1149,'Lookup Tables'!$A:$B,2,FALSE),"Unknown")</f>
        <v>0</v>
      </c>
      <c r="F1149">
        <f>'Raw Data'!E1149</f>
        <v>0</v>
      </c>
      <c r="G1149">
        <f>IFERROR(VLOOKUP(D1149,'Lookup Tables'!$A:$C,3,FALSE),IF(ISNUMBER(SEARCH("STEEL",F1149)),"Steel","Others"))</f>
        <v>0</v>
      </c>
      <c r="H1149">
        <f>IF(ISNUMBER(SEARCH("scrubber",F1149)) , "Scrubber", IF(ISNUMBER(SEARCH("container",F1149)),"Container", IF(ISNUMBER(SEARCH("basket",F1149)),"Basket", IF(ISNUMBER(SEARCH("lunch",F1149)),"Lunch Box", IF(ISNUMBER(SEARCH("cutlery",F1149)),"Cutlery","Other")))))</f>
        <v>0</v>
      </c>
      <c r="I1149">
        <f>IF('Raw Data'!G1149&lt;&gt;'','Raw Data'!G1149,IFERROR(MID(F1149,SEARCH("MODEL",F1149)+6,20),""))</f>
        <v>0</v>
      </c>
      <c r="J1149">
        <f>'Raw Data'!H1149</f>
        <v>0</v>
      </c>
      <c r="K1149">
        <f>'Raw Data'!I1149</f>
        <v>0</v>
      </c>
      <c r="L1149">
        <f>IF('Raw Data'!N1149&lt;&gt;0,'Raw Data'!N1149,IFERROR(VALUE(MID(F1149,SEARCH("QTY",F1149)+4,IFERROR(FIND(" ",F1149,SEARCH("QTY",F1149)+4)-(SEARCH("QTY",F1149)+4),3))),""))</f>
        <v>0</v>
      </c>
      <c r="M1149">
        <f>'Raw Data'!O1149</f>
        <v>0</v>
      </c>
      <c r="N1149">
        <f>'Raw Data'!P1149</f>
        <v>0</v>
      </c>
      <c r="O1149">
        <f>'Raw Data'!Q1149</f>
        <v>0</v>
      </c>
      <c r="P1149">
        <f>'Raw Data'!R1149</f>
        <v>0</v>
      </c>
      <c r="Q1149">
        <f>'Raw Data'!S1149</f>
        <v>0</v>
      </c>
      <c r="R1149">
        <f>'Raw Data'!T1149</f>
        <v>0</v>
      </c>
      <c r="S1149">
        <f>IFERROR(O1149,0)+IFERROR(R1149,0)</f>
        <v>0</v>
      </c>
      <c r="T1149">
        <f>IF(A1149="","",YEAR(A1149))</f>
        <v>0</v>
      </c>
    </row>
    <row r="1150" spans="1:20">
      <c r="A1150">
        <f>'Raw Data'!B1150</f>
        <v>0</v>
      </c>
      <c r="B1150">
        <f>'Raw Data'!A1150</f>
        <v>0</v>
      </c>
      <c r="C1150">
        <f>'Raw Data'!C1150</f>
        <v>0</v>
      </c>
      <c r="D1150">
        <f>'Raw Data'!D1150</f>
        <v>0</v>
      </c>
      <c r="E1150">
        <f>IFERROR(VLOOKUP(D1150,'Lookup Tables'!$A:$B,2,FALSE),"Unknown")</f>
        <v>0</v>
      </c>
      <c r="F1150">
        <f>'Raw Data'!E1150</f>
        <v>0</v>
      </c>
      <c r="G1150">
        <f>IFERROR(VLOOKUP(D1150,'Lookup Tables'!$A:$C,3,FALSE),IF(ISNUMBER(SEARCH("STEEL",F1150)),"Steel","Others"))</f>
        <v>0</v>
      </c>
      <c r="H1150">
        <f>IF(ISNUMBER(SEARCH("scrubber",F1150)) , "Scrubber", IF(ISNUMBER(SEARCH("container",F1150)),"Container", IF(ISNUMBER(SEARCH("basket",F1150)),"Basket", IF(ISNUMBER(SEARCH("lunch",F1150)),"Lunch Box", IF(ISNUMBER(SEARCH("cutlery",F1150)),"Cutlery","Other")))))</f>
        <v>0</v>
      </c>
      <c r="I1150">
        <f>IF('Raw Data'!G1150&lt;&gt;'','Raw Data'!G1150,IFERROR(MID(F1150,SEARCH("MODEL",F1150)+6,20),""))</f>
        <v>0</v>
      </c>
      <c r="J1150">
        <f>'Raw Data'!H1150</f>
        <v>0</v>
      </c>
      <c r="K1150">
        <f>'Raw Data'!I1150</f>
        <v>0</v>
      </c>
      <c r="L1150">
        <f>IF('Raw Data'!N1150&lt;&gt;0,'Raw Data'!N1150,IFERROR(VALUE(MID(F1150,SEARCH("QTY",F1150)+4,IFERROR(FIND(" ",F1150,SEARCH("QTY",F1150)+4)-(SEARCH("QTY",F1150)+4),3))),""))</f>
        <v>0</v>
      </c>
      <c r="M1150">
        <f>'Raw Data'!O1150</f>
        <v>0</v>
      </c>
      <c r="N1150">
        <f>'Raw Data'!P1150</f>
        <v>0</v>
      </c>
      <c r="O1150">
        <f>'Raw Data'!Q1150</f>
        <v>0</v>
      </c>
      <c r="P1150">
        <f>'Raw Data'!R1150</f>
        <v>0</v>
      </c>
      <c r="Q1150">
        <f>'Raw Data'!S1150</f>
        <v>0</v>
      </c>
      <c r="R1150">
        <f>'Raw Data'!T1150</f>
        <v>0</v>
      </c>
      <c r="S1150">
        <f>IFERROR(O1150,0)+IFERROR(R1150,0)</f>
        <v>0</v>
      </c>
      <c r="T1150">
        <f>IF(A1150="","",YEAR(A1150))</f>
        <v>0</v>
      </c>
    </row>
    <row r="1151" spans="1:20">
      <c r="A1151">
        <f>'Raw Data'!B1151</f>
        <v>0</v>
      </c>
      <c r="B1151">
        <f>'Raw Data'!A1151</f>
        <v>0</v>
      </c>
      <c r="C1151">
        <f>'Raw Data'!C1151</f>
        <v>0</v>
      </c>
      <c r="D1151">
        <f>'Raw Data'!D1151</f>
        <v>0</v>
      </c>
      <c r="E1151">
        <f>IFERROR(VLOOKUP(D1151,'Lookup Tables'!$A:$B,2,FALSE),"Unknown")</f>
        <v>0</v>
      </c>
      <c r="F1151">
        <f>'Raw Data'!E1151</f>
        <v>0</v>
      </c>
      <c r="G1151">
        <f>IFERROR(VLOOKUP(D1151,'Lookup Tables'!$A:$C,3,FALSE),IF(ISNUMBER(SEARCH("STEEL",F1151)),"Steel","Others"))</f>
        <v>0</v>
      </c>
      <c r="H1151">
        <f>IF(ISNUMBER(SEARCH("scrubber",F1151)) , "Scrubber", IF(ISNUMBER(SEARCH("container",F1151)),"Container", IF(ISNUMBER(SEARCH("basket",F1151)),"Basket", IF(ISNUMBER(SEARCH("lunch",F1151)),"Lunch Box", IF(ISNUMBER(SEARCH("cutlery",F1151)),"Cutlery","Other")))))</f>
        <v>0</v>
      </c>
      <c r="I1151">
        <f>IF('Raw Data'!G1151&lt;&gt;'','Raw Data'!G1151,IFERROR(MID(F1151,SEARCH("MODEL",F1151)+6,20),""))</f>
        <v>0</v>
      </c>
      <c r="J1151">
        <f>'Raw Data'!H1151</f>
        <v>0</v>
      </c>
      <c r="K1151">
        <f>'Raw Data'!I1151</f>
        <v>0</v>
      </c>
      <c r="L1151">
        <f>IF('Raw Data'!N1151&lt;&gt;0,'Raw Data'!N1151,IFERROR(VALUE(MID(F1151,SEARCH("QTY",F1151)+4,IFERROR(FIND(" ",F1151,SEARCH("QTY",F1151)+4)-(SEARCH("QTY",F1151)+4),3))),""))</f>
        <v>0</v>
      </c>
      <c r="M1151">
        <f>'Raw Data'!O1151</f>
        <v>0</v>
      </c>
      <c r="N1151">
        <f>'Raw Data'!P1151</f>
        <v>0</v>
      </c>
      <c r="O1151">
        <f>'Raw Data'!Q1151</f>
        <v>0</v>
      </c>
      <c r="P1151">
        <f>'Raw Data'!R1151</f>
        <v>0</v>
      </c>
      <c r="Q1151">
        <f>'Raw Data'!S1151</f>
        <v>0</v>
      </c>
      <c r="R1151">
        <f>'Raw Data'!T1151</f>
        <v>0</v>
      </c>
      <c r="S1151">
        <f>IFERROR(O1151,0)+IFERROR(R1151,0)</f>
        <v>0</v>
      </c>
      <c r="T1151">
        <f>IF(A1151="","",YEAR(A1151))</f>
        <v>0</v>
      </c>
    </row>
    <row r="1152" spans="1:20">
      <c r="A1152">
        <f>'Raw Data'!B1152</f>
        <v>0</v>
      </c>
      <c r="B1152">
        <f>'Raw Data'!A1152</f>
        <v>0</v>
      </c>
      <c r="C1152">
        <f>'Raw Data'!C1152</f>
        <v>0</v>
      </c>
      <c r="D1152">
        <f>'Raw Data'!D1152</f>
        <v>0</v>
      </c>
      <c r="E1152">
        <f>IFERROR(VLOOKUP(D1152,'Lookup Tables'!$A:$B,2,FALSE),"Unknown")</f>
        <v>0</v>
      </c>
      <c r="F1152">
        <f>'Raw Data'!E1152</f>
        <v>0</v>
      </c>
      <c r="G1152">
        <f>IFERROR(VLOOKUP(D1152,'Lookup Tables'!$A:$C,3,FALSE),IF(ISNUMBER(SEARCH("STEEL",F1152)),"Steel","Others"))</f>
        <v>0</v>
      </c>
      <c r="H1152">
        <f>IF(ISNUMBER(SEARCH("scrubber",F1152)) , "Scrubber", IF(ISNUMBER(SEARCH("container",F1152)),"Container", IF(ISNUMBER(SEARCH("basket",F1152)),"Basket", IF(ISNUMBER(SEARCH("lunch",F1152)),"Lunch Box", IF(ISNUMBER(SEARCH("cutlery",F1152)),"Cutlery","Other")))))</f>
        <v>0</v>
      </c>
      <c r="I1152">
        <f>IF('Raw Data'!G1152&lt;&gt;'','Raw Data'!G1152,IFERROR(MID(F1152,SEARCH("MODEL",F1152)+6,20),""))</f>
        <v>0</v>
      </c>
      <c r="J1152">
        <f>'Raw Data'!H1152</f>
        <v>0</v>
      </c>
      <c r="K1152">
        <f>'Raw Data'!I1152</f>
        <v>0</v>
      </c>
      <c r="L1152">
        <f>IF('Raw Data'!N1152&lt;&gt;0,'Raw Data'!N1152,IFERROR(VALUE(MID(F1152,SEARCH("QTY",F1152)+4,IFERROR(FIND(" ",F1152,SEARCH("QTY",F1152)+4)-(SEARCH("QTY",F1152)+4),3))),""))</f>
        <v>0</v>
      </c>
      <c r="M1152">
        <f>'Raw Data'!O1152</f>
        <v>0</v>
      </c>
      <c r="N1152">
        <f>'Raw Data'!P1152</f>
        <v>0</v>
      </c>
      <c r="O1152">
        <f>'Raw Data'!Q1152</f>
        <v>0</v>
      </c>
      <c r="P1152">
        <f>'Raw Data'!R1152</f>
        <v>0</v>
      </c>
      <c r="Q1152">
        <f>'Raw Data'!S1152</f>
        <v>0</v>
      </c>
      <c r="R1152">
        <f>'Raw Data'!T1152</f>
        <v>0</v>
      </c>
      <c r="S1152">
        <f>IFERROR(O1152,0)+IFERROR(R1152,0)</f>
        <v>0</v>
      </c>
      <c r="T1152">
        <f>IF(A1152="","",YEAR(A1152))</f>
        <v>0</v>
      </c>
    </row>
    <row r="1153" spans="1:20">
      <c r="A1153">
        <f>'Raw Data'!B1153</f>
        <v>0</v>
      </c>
      <c r="B1153">
        <f>'Raw Data'!A1153</f>
        <v>0</v>
      </c>
      <c r="C1153">
        <f>'Raw Data'!C1153</f>
        <v>0</v>
      </c>
      <c r="D1153">
        <f>'Raw Data'!D1153</f>
        <v>0</v>
      </c>
      <c r="E1153">
        <f>IFERROR(VLOOKUP(D1153,'Lookup Tables'!$A:$B,2,FALSE),"Unknown")</f>
        <v>0</v>
      </c>
      <c r="F1153">
        <f>'Raw Data'!E1153</f>
        <v>0</v>
      </c>
      <c r="G1153">
        <f>IFERROR(VLOOKUP(D1153,'Lookup Tables'!$A:$C,3,FALSE),IF(ISNUMBER(SEARCH("STEEL",F1153)),"Steel","Others"))</f>
        <v>0</v>
      </c>
      <c r="H1153">
        <f>IF(ISNUMBER(SEARCH("scrubber",F1153)) , "Scrubber", IF(ISNUMBER(SEARCH("container",F1153)),"Container", IF(ISNUMBER(SEARCH("basket",F1153)),"Basket", IF(ISNUMBER(SEARCH("lunch",F1153)),"Lunch Box", IF(ISNUMBER(SEARCH("cutlery",F1153)),"Cutlery","Other")))))</f>
        <v>0</v>
      </c>
      <c r="I1153">
        <f>IF('Raw Data'!G1153&lt;&gt;'','Raw Data'!G1153,IFERROR(MID(F1153,SEARCH("MODEL",F1153)+6,20),""))</f>
        <v>0</v>
      </c>
      <c r="J1153">
        <f>'Raw Data'!H1153</f>
        <v>0</v>
      </c>
      <c r="K1153">
        <f>'Raw Data'!I1153</f>
        <v>0</v>
      </c>
      <c r="L1153">
        <f>IF('Raw Data'!N1153&lt;&gt;0,'Raw Data'!N1153,IFERROR(VALUE(MID(F1153,SEARCH("QTY",F1153)+4,IFERROR(FIND(" ",F1153,SEARCH("QTY",F1153)+4)-(SEARCH("QTY",F1153)+4),3))),""))</f>
        <v>0</v>
      </c>
      <c r="M1153">
        <f>'Raw Data'!O1153</f>
        <v>0</v>
      </c>
      <c r="N1153">
        <f>'Raw Data'!P1153</f>
        <v>0</v>
      </c>
      <c r="O1153">
        <f>'Raw Data'!Q1153</f>
        <v>0</v>
      </c>
      <c r="P1153">
        <f>'Raw Data'!R1153</f>
        <v>0</v>
      </c>
      <c r="Q1153">
        <f>'Raw Data'!S1153</f>
        <v>0</v>
      </c>
      <c r="R1153">
        <f>'Raw Data'!T1153</f>
        <v>0</v>
      </c>
      <c r="S1153">
        <f>IFERROR(O1153,0)+IFERROR(R1153,0)</f>
        <v>0</v>
      </c>
      <c r="T1153">
        <f>IF(A1153="","",YEAR(A1153))</f>
        <v>0</v>
      </c>
    </row>
    <row r="1154" spans="1:20">
      <c r="A1154">
        <f>'Raw Data'!B1154</f>
        <v>0</v>
      </c>
      <c r="B1154">
        <f>'Raw Data'!A1154</f>
        <v>0</v>
      </c>
      <c r="C1154">
        <f>'Raw Data'!C1154</f>
        <v>0</v>
      </c>
      <c r="D1154">
        <f>'Raw Data'!D1154</f>
        <v>0</v>
      </c>
      <c r="E1154">
        <f>IFERROR(VLOOKUP(D1154,'Lookup Tables'!$A:$B,2,FALSE),"Unknown")</f>
        <v>0</v>
      </c>
      <c r="F1154">
        <f>'Raw Data'!E1154</f>
        <v>0</v>
      </c>
      <c r="G1154">
        <f>IFERROR(VLOOKUP(D1154,'Lookup Tables'!$A:$C,3,FALSE),IF(ISNUMBER(SEARCH("STEEL",F1154)),"Steel","Others"))</f>
        <v>0</v>
      </c>
      <c r="H1154">
        <f>IF(ISNUMBER(SEARCH("scrubber",F1154)) , "Scrubber", IF(ISNUMBER(SEARCH("container",F1154)),"Container", IF(ISNUMBER(SEARCH("basket",F1154)),"Basket", IF(ISNUMBER(SEARCH("lunch",F1154)),"Lunch Box", IF(ISNUMBER(SEARCH("cutlery",F1154)),"Cutlery","Other")))))</f>
        <v>0</v>
      </c>
      <c r="I1154">
        <f>IF('Raw Data'!G1154&lt;&gt;'','Raw Data'!G1154,IFERROR(MID(F1154,SEARCH("MODEL",F1154)+6,20),""))</f>
        <v>0</v>
      </c>
      <c r="J1154">
        <f>'Raw Data'!H1154</f>
        <v>0</v>
      </c>
      <c r="K1154">
        <f>'Raw Data'!I1154</f>
        <v>0</v>
      </c>
      <c r="L1154">
        <f>IF('Raw Data'!N1154&lt;&gt;0,'Raw Data'!N1154,IFERROR(VALUE(MID(F1154,SEARCH("QTY",F1154)+4,IFERROR(FIND(" ",F1154,SEARCH("QTY",F1154)+4)-(SEARCH("QTY",F1154)+4),3))),""))</f>
        <v>0</v>
      </c>
      <c r="M1154">
        <f>'Raw Data'!O1154</f>
        <v>0</v>
      </c>
      <c r="N1154">
        <f>'Raw Data'!P1154</f>
        <v>0</v>
      </c>
      <c r="O1154">
        <f>'Raw Data'!Q1154</f>
        <v>0</v>
      </c>
      <c r="P1154">
        <f>'Raw Data'!R1154</f>
        <v>0</v>
      </c>
      <c r="Q1154">
        <f>'Raw Data'!S1154</f>
        <v>0</v>
      </c>
      <c r="R1154">
        <f>'Raw Data'!T1154</f>
        <v>0</v>
      </c>
      <c r="S1154">
        <f>IFERROR(O1154,0)+IFERROR(R1154,0)</f>
        <v>0</v>
      </c>
      <c r="T1154">
        <f>IF(A1154="","",YEAR(A1154))</f>
        <v>0</v>
      </c>
    </row>
    <row r="1155" spans="1:20">
      <c r="A1155">
        <f>'Raw Data'!B1155</f>
        <v>0</v>
      </c>
      <c r="B1155">
        <f>'Raw Data'!A1155</f>
        <v>0</v>
      </c>
      <c r="C1155">
        <f>'Raw Data'!C1155</f>
        <v>0</v>
      </c>
      <c r="D1155">
        <f>'Raw Data'!D1155</f>
        <v>0</v>
      </c>
      <c r="E1155">
        <f>IFERROR(VLOOKUP(D1155,'Lookup Tables'!$A:$B,2,FALSE),"Unknown")</f>
        <v>0</v>
      </c>
      <c r="F1155">
        <f>'Raw Data'!E1155</f>
        <v>0</v>
      </c>
      <c r="G1155">
        <f>IFERROR(VLOOKUP(D1155,'Lookup Tables'!$A:$C,3,FALSE),IF(ISNUMBER(SEARCH("STEEL",F1155)),"Steel","Others"))</f>
        <v>0</v>
      </c>
      <c r="H1155">
        <f>IF(ISNUMBER(SEARCH("scrubber",F1155)) , "Scrubber", IF(ISNUMBER(SEARCH("container",F1155)),"Container", IF(ISNUMBER(SEARCH("basket",F1155)),"Basket", IF(ISNUMBER(SEARCH("lunch",F1155)),"Lunch Box", IF(ISNUMBER(SEARCH("cutlery",F1155)),"Cutlery","Other")))))</f>
        <v>0</v>
      </c>
      <c r="I1155">
        <f>IF('Raw Data'!G1155&lt;&gt;'','Raw Data'!G1155,IFERROR(MID(F1155,SEARCH("MODEL",F1155)+6,20),""))</f>
        <v>0</v>
      </c>
      <c r="J1155">
        <f>'Raw Data'!H1155</f>
        <v>0</v>
      </c>
      <c r="K1155">
        <f>'Raw Data'!I1155</f>
        <v>0</v>
      </c>
      <c r="L1155">
        <f>IF('Raw Data'!N1155&lt;&gt;0,'Raw Data'!N1155,IFERROR(VALUE(MID(F1155,SEARCH("QTY",F1155)+4,IFERROR(FIND(" ",F1155,SEARCH("QTY",F1155)+4)-(SEARCH("QTY",F1155)+4),3))),""))</f>
        <v>0</v>
      </c>
      <c r="M1155">
        <f>'Raw Data'!O1155</f>
        <v>0</v>
      </c>
      <c r="N1155">
        <f>'Raw Data'!P1155</f>
        <v>0</v>
      </c>
      <c r="O1155">
        <f>'Raw Data'!Q1155</f>
        <v>0</v>
      </c>
      <c r="P1155">
        <f>'Raw Data'!R1155</f>
        <v>0</v>
      </c>
      <c r="Q1155">
        <f>'Raw Data'!S1155</f>
        <v>0</v>
      </c>
      <c r="R1155">
        <f>'Raw Data'!T1155</f>
        <v>0</v>
      </c>
      <c r="S1155">
        <f>IFERROR(O1155,0)+IFERROR(R1155,0)</f>
        <v>0</v>
      </c>
      <c r="T1155">
        <f>IF(A1155="","",YEAR(A1155))</f>
        <v>0</v>
      </c>
    </row>
    <row r="1156" spans="1:20">
      <c r="A1156">
        <f>'Raw Data'!B1156</f>
        <v>0</v>
      </c>
      <c r="B1156">
        <f>'Raw Data'!A1156</f>
        <v>0</v>
      </c>
      <c r="C1156">
        <f>'Raw Data'!C1156</f>
        <v>0</v>
      </c>
      <c r="D1156">
        <f>'Raw Data'!D1156</f>
        <v>0</v>
      </c>
      <c r="E1156">
        <f>IFERROR(VLOOKUP(D1156,'Lookup Tables'!$A:$B,2,FALSE),"Unknown")</f>
        <v>0</v>
      </c>
      <c r="F1156">
        <f>'Raw Data'!E1156</f>
        <v>0</v>
      </c>
      <c r="G1156">
        <f>IFERROR(VLOOKUP(D1156,'Lookup Tables'!$A:$C,3,FALSE),IF(ISNUMBER(SEARCH("STEEL",F1156)),"Steel","Others"))</f>
        <v>0</v>
      </c>
      <c r="H1156">
        <f>IF(ISNUMBER(SEARCH("scrubber",F1156)) , "Scrubber", IF(ISNUMBER(SEARCH("container",F1156)),"Container", IF(ISNUMBER(SEARCH("basket",F1156)),"Basket", IF(ISNUMBER(SEARCH("lunch",F1156)),"Lunch Box", IF(ISNUMBER(SEARCH("cutlery",F1156)),"Cutlery","Other")))))</f>
        <v>0</v>
      </c>
      <c r="I1156">
        <f>IF('Raw Data'!G1156&lt;&gt;'','Raw Data'!G1156,IFERROR(MID(F1156,SEARCH("MODEL",F1156)+6,20),""))</f>
        <v>0</v>
      </c>
      <c r="J1156">
        <f>'Raw Data'!H1156</f>
        <v>0</v>
      </c>
      <c r="K1156">
        <f>'Raw Data'!I1156</f>
        <v>0</v>
      </c>
      <c r="L1156">
        <f>IF('Raw Data'!N1156&lt;&gt;0,'Raw Data'!N1156,IFERROR(VALUE(MID(F1156,SEARCH("QTY",F1156)+4,IFERROR(FIND(" ",F1156,SEARCH("QTY",F1156)+4)-(SEARCH("QTY",F1156)+4),3))),""))</f>
        <v>0</v>
      </c>
      <c r="M1156">
        <f>'Raw Data'!O1156</f>
        <v>0</v>
      </c>
      <c r="N1156">
        <f>'Raw Data'!P1156</f>
        <v>0</v>
      </c>
      <c r="O1156">
        <f>'Raw Data'!Q1156</f>
        <v>0</v>
      </c>
      <c r="P1156">
        <f>'Raw Data'!R1156</f>
        <v>0</v>
      </c>
      <c r="Q1156">
        <f>'Raw Data'!S1156</f>
        <v>0</v>
      </c>
      <c r="R1156">
        <f>'Raw Data'!T1156</f>
        <v>0</v>
      </c>
      <c r="S1156">
        <f>IFERROR(O1156,0)+IFERROR(R1156,0)</f>
        <v>0</v>
      </c>
      <c r="T1156">
        <f>IF(A1156="","",YEAR(A1156))</f>
        <v>0</v>
      </c>
    </row>
    <row r="1157" spans="1:20">
      <c r="A1157">
        <f>'Raw Data'!B1157</f>
        <v>0</v>
      </c>
      <c r="B1157">
        <f>'Raw Data'!A1157</f>
        <v>0</v>
      </c>
      <c r="C1157">
        <f>'Raw Data'!C1157</f>
        <v>0</v>
      </c>
      <c r="D1157">
        <f>'Raw Data'!D1157</f>
        <v>0</v>
      </c>
      <c r="E1157">
        <f>IFERROR(VLOOKUP(D1157,'Lookup Tables'!$A:$B,2,FALSE),"Unknown")</f>
        <v>0</v>
      </c>
      <c r="F1157">
        <f>'Raw Data'!E1157</f>
        <v>0</v>
      </c>
      <c r="G1157">
        <f>IFERROR(VLOOKUP(D1157,'Lookup Tables'!$A:$C,3,FALSE),IF(ISNUMBER(SEARCH("STEEL",F1157)),"Steel","Others"))</f>
        <v>0</v>
      </c>
      <c r="H1157">
        <f>IF(ISNUMBER(SEARCH("scrubber",F1157)) , "Scrubber", IF(ISNUMBER(SEARCH("container",F1157)),"Container", IF(ISNUMBER(SEARCH("basket",F1157)),"Basket", IF(ISNUMBER(SEARCH("lunch",F1157)),"Lunch Box", IF(ISNUMBER(SEARCH("cutlery",F1157)),"Cutlery","Other")))))</f>
        <v>0</v>
      </c>
      <c r="I1157">
        <f>IF('Raw Data'!G1157&lt;&gt;'','Raw Data'!G1157,IFERROR(MID(F1157,SEARCH("MODEL",F1157)+6,20),""))</f>
        <v>0</v>
      </c>
      <c r="J1157">
        <f>'Raw Data'!H1157</f>
        <v>0</v>
      </c>
      <c r="K1157">
        <f>'Raw Data'!I1157</f>
        <v>0</v>
      </c>
      <c r="L1157">
        <f>IF('Raw Data'!N1157&lt;&gt;0,'Raw Data'!N1157,IFERROR(VALUE(MID(F1157,SEARCH("QTY",F1157)+4,IFERROR(FIND(" ",F1157,SEARCH("QTY",F1157)+4)-(SEARCH("QTY",F1157)+4),3))),""))</f>
        <v>0</v>
      </c>
      <c r="M1157">
        <f>'Raw Data'!O1157</f>
        <v>0</v>
      </c>
      <c r="N1157">
        <f>'Raw Data'!P1157</f>
        <v>0</v>
      </c>
      <c r="O1157">
        <f>'Raw Data'!Q1157</f>
        <v>0</v>
      </c>
      <c r="P1157">
        <f>'Raw Data'!R1157</f>
        <v>0</v>
      </c>
      <c r="Q1157">
        <f>'Raw Data'!S1157</f>
        <v>0</v>
      </c>
      <c r="R1157">
        <f>'Raw Data'!T1157</f>
        <v>0</v>
      </c>
      <c r="S1157">
        <f>IFERROR(O1157,0)+IFERROR(R1157,0)</f>
        <v>0</v>
      </c>
      <c r="T1157">
        <f>IF(A1157="","",YEAR(A1157))</f>
        <v>0</v>
      </c>
    </row>
    <row r="1158" spans="1:20">
      <c r="A1158">
        <f>'Raw Data'!B1158</f>
        <v>0</v>
      </c>
      <c r="B1158">
        <f>'Raw Data'!A1158</f>
        <v>0</v>
      </c>
      <c r="C1158">
        <f>'Raw Data'!C1158</f>
        <v>0</v>
      </c>
      <c r="D1158">
        <f>'Raw Data'!D1158</f>
        <v>0</v>
      </c>
      <c r="E1158">
        <f>IFERROR(VLOOKUP(D1158,'Lookup Tables'!$A:$B,2,FALSE),"Unknown")</f>
        <v>0</v>
      </c>
      <c r="F1158">
        <f>'Raw Data'!E1158</f>
        <v>0</v>
      </c>
      <c r="G1158">
        <f>IFERROR(VLOOKUP(D1158,'Lookup Tables'!$A:$C,3,FALSE),IF(ISNUMBER(SEARCH("STEEL",F1158)),"Steel","Others"))</f>
        <v>0</v>
      </c>
      <c r="H1158">
        <f>IF(ISNUMBER(SEARCH("scrubber",F1158)) , "Scrubber", IF(ISNUMBER(SEARCH("container",F1158)),"Container", IF(ISNUMBER(SEARCH("basket",F1158)),"Basket", IF(ISNUMBER(SEARCH("lunch",F1158)),"Lunch Box", IF(ISNUMBER(SEARCH("cutlery",F1158)),"Cutlery","Other")))))</f>
        <v>0</v>
      </c>
      <c r="I1158">
        <f>IF('Raw Data'!G1158&lt;&gt;'','Raw Data'!G1158,IFERROR(MID(F1158,SEARCH("MODEL",F1158)+6,20),""))</f>
        <v>0</v>
      </c>
      <c r="J1158">
        <f>'Raw Data'!H1158</f>
        <v>0</v>
      </c>
      <c r="K1158">
        <f>'Raw Data'!I1158</f>
        <v>0</v>
      </c>
      <c r="L1158">
        <f>IF('Raw Data'!N1158&lt;&gt;0,'Raw Data'!N1158,IFERROR(VALUE(MID(F1158,SEARCH("QTY",F1158)+4,IFERROR(FIND(" ",F1158,SEARCH("QTY",F1158)+4)-(SEARCH("QTY",F1158)+4),3))),""))</f>
        <v>0</v>
      </c>
      <c r="M1158">
        <f>'Raw Data'!O1158</f>
        <v>0</v>
      </c>
      <c r="N1158">
        <f>'Raw Data'!P1158</f>
        <v>0</v>
      </c>
      <c r="O1158">
        <f>'Raw Data'!Q1158</f>
        <v>0</v>
      </c>
      <c r="P1158">
        <f>'Raw Data'!R1158</f>
        <v>0</v>
      </c>
      <c r="Q1158">
        <f>'Raw Data'!S1158</f>
        <v>0</v>
      </c>
      <c r="R1158">
        <f>'Raw Data'!T1158</f>
        <v>0</v>
      </c>
      <c r="S1158">
        <f>IFERROR(O1158,0)+IFERROR(R1158,0)</f>
        <v>0</v>
      </c>
      <c r="T1158">
        <f>IF(A1158="","",YEAR(A1158))</f>
        <v>0</v>
      </c>
    </row>
    <row r="1159" spans="1:20">
      <c r="A1159">
        <f>'Raw Data'!B1159</f>
        <v>0</v>
      </c>
      <c r="B1159">
        <f>'Raw Data'!A1159</f>
        <v>0</v>
      </c>
      <c r="C1159">
        <f>'Raw Data'!C1159</f>
        <v>0</v>
      </c>
      <c r="D1159">
        <f>'Raw Data'!D1159</f>
        <v>0</v>
      </c>
      <c r="E1159">
        <f>IFERROR(VLOOKUP(D1159,'Lookup Tables'!$A:$B,2,FALSE),"Unknown")</f>
        <v>0</v>
      </c>
      <c r="F1159">
        <f>'Raw Data'!E1159</f>
        <v>0</v>
      </c>
      <c r="G1159">
        <f>IFERROR(VLOOKUP(D1159,'Lookup Tables'!$A:$C,3,FALSE),IF(ISNUMBER(SEARCH("STEEL",F1159)),"Steel","Others"))</f>
        <v>0</v>
      </c>
      <c r="H1159">
        <f>IF(ISNUMBER(SEARCH("scrubber",F1159)) , "Scrubber", IF(ISNUMBER(SEARCH("container",F1159)),"Container", IF(ISNUMBER(SEARCH("basket",F1159)),"Basket", IF(ISNUMBER(SEARCH("lunch",F1159)),"Lunch Box", IF(ISNUMBER(SEARCH("cutlery",F1159)),"Cutlery","Other")))))</f>
        <v>0</v>
      </c>
      <c r="I1159">
        <f>IF('Raw Data'!G1159&lt;&gt;'','Raw Data'!G1159,IFERROR(MID(F1159,SEARCH("MODEL",F1159)+6,20),""))</f>
        <v>0</v>
      </c>
      <c r="J1159">
        <f>'Raw Data'!H1159</f>
        <v>0</v>
      </c>
      <c r="K1159">
        <f>'Raw Data'!I1159</f>
        <v>0</v>
      </c>
      <c r="L1159">
        <f>IF('Raw Data'!N1159&lt;&gt;0,'Raw Data'!N1159,IFERROR(VALUE(MID(F1159,SEARCH("QTY",F1159)+4,IFERROR(FIND(" ",F1159,SEARCH("QTY",F1159)+4)-(SEARCH("QTY",F1159)+4),3))),""))</f>
        <v>0</v>
      </c>
      <c r="M1159">
        <f>'Raw Data'!O1159</f>
        <v>0</v>
      </c>
      <c r="N1159">
        <f>'Raw Data'!P1159</f>
        <v>0</v>
      </c>
      <c r="O1159">
        <f>'Raw Data'!Q1159</f>
        <v>0</v>
      </c>
      <c r="P1159">
        <f>'Raw Data'!R1159</f>
        <v>0</v>
      </c>
      <c r="Q1159">
        <f>'Raw Data'!S1159</f>
        <v>0</v>
      </c>
      <c r="R1159">
        <f>'Raw Data'!T1159</f>
        <v>0</v>
      </c>
      <c r="S1159">
        <f>IFERROR(O1159,0)+IFERROR(R1159,0)</f>
        <v>0</v>
      </c>
      <c r="T1159">
        <f>IF(A1159="","",YEAR(A1159))</f>
        <v>0</v>
      </c>
    </row>
    <row r="1160" spans="1:20">
      <c r="A1160">
        <f>'Raw Data'!B1160</f>
        <v>0</v>
      </c>
      <c r="B1160">
        <f>'Raw Data'!A1160</f>
        <v>0</v>
      </c>
      <c r="C1160">
        <f>'Raw Data'!C1160</f>
        <v>0</v>
      </c>
      <c r="D1160">
        <f>'Raw Data'!D1160</f>
        <v>0</v>
      </c>
      <c r="E1160">
        <f>IFERROR(VLOOKUP(D1160,'Lookup Tables'!$A:$B,2,FALSE),"Unknown")</f>
        <v>0</v>
      </c>
      <c r="F1160">
        <f>'Raw Data'!E1160</f>
        <v>0</v>
      </c>
      <c r="G1160">
        <f>IFERROR(VLOOKUP(D1160,'Lookup Tables'!$A:$C,3,FALSE),IF(ISNUMBER(SEARCH("STEEL",F1160)),"Steel","Others"))</f>
        <v>0</v>
      </c>
      <c r="H1160">
        <f>IF(ISNUMBER(SEARCH("scrubber",F1160)) , "Scrubber", IF(ISNUMBER(SEARCH("container",F1160)),"Container", IF(ISNUMBER(SEARCH("basket",F1160)),"Basket", IF(ISNUMBER(SEARCH("lunch",F1160)),"Lunch Box", IF(ISNUMBER(SEARCH("cutlery",F1160)),"Cutlery","Other")))))</f>
        <v>0</v>
      </c>
      <c r="I1160">
        <f>IF('Raw Data'!G1160&lt;&gt;'','Raw Data'!G1160,IFERROR(MID(F1160,SEARCH("MODEL",F1160)+6,20),""))</f>
        <v>0</v>
      </c>
      <c r="J1160">
        <f>'Raw Data'!H1160</f>
        <v>0</v>
      </c>
      <c r="K1160">
        <f>'Raw Data'!I1160</f>
        <v>0</v>
      </c>
      <c r="L1160">
        <f>IF('Raw Data'!N1160&lt;&gt;0,'Raw Data'!N1160,IFERROR(VALUE(MID(F1160,SEARCH("QTY",F1160)+4,IFERROR(FIND(" ",F1160,SEARCH("QTY",F1160)+4)-(SEARCH("QTY",F1160)+4),3))),""))</f>
        <v>0</v>
      </c>
      <c r="M1160">
        <f>'Raw Data'!O1160</f>
        <v>0</v>
      </c>
      <c r="N1160">
        <f>'Raw Data'!P1160</f>
        <v>0</v>
      </c>
      <c r="O1160">
        <f>'Raw Data'!Q1160</f>
        <v>0</v>
      </c>
      <c r="P1160">
        <f>'Raw Data'!R1160</f>
        <v>0</v>
      </c>
      <c r="Q1160">
        <f>'Raw Data'!S1160</f>
        <v>0</v>
      </c>
      <c r="R1160">
        <f>'Raw Data'!T1160</f>
        <v>0</v>
      </c>
      <c r="S1160">
        <f>IFERROR(O1160,0)+IFERROR(R1160,0)</f>
        <v>0</v>
      </c>
      <c r="T1160">
        <f>IF(A1160="","",YEAR(A1160))</f>
        <v>0</v>
      </c>
    </row>
    <row r="1161" spans="1:20">
      <c r="A1161">
        <f>'Raw Data'!B1161</f>
        <v>0</v>
      </c>
      <c r="B1161">
        <f>'Raw Data'!A1161</f>
        <v>0</v>
      </c>
      <c r="C1161">
        <f>'Raw Data'!C1161</f>
        <v>0</v>
      </c>
      <c r="D1161">
        <f>'Raw Data'!D1161</f>
        <v>0</v>
      </c>
      <c r="E1161">
        <f>IFERROR(VLOOKUP(D1161,'Lookup Tables'!$A:$B,2,FALSE),"Unknown")</f>
        <v>0</v>
      </c>
      <c r="F1161">
        <f>'Raw Data'!E1161</f>
        <v>0</v>
      </c>
      <c r="G1161">
        <f>IFERROR(VLOOKUP(D1161,'Lookup Tables'!$A:$C,3,FALSE),IF(ISNUMBER(SEARCH("STEEL",F1161)),"Steel","Others"))</f>
        <v>0</v>
      </c>
      <c r="H1161">
        <f>IF(ISNUMBER(SEARCH("scrubber",F1161)) , "Scrubber", IF(ISNUMBER(SEARCH("container",F1161)),"Container", IF(ISNUMBER(SEARCH("basket",F1161)),"Basket", IF(ISNUMBER(SEARCH("lunch",F1161)),"Lunch Box", IF(ISNUMBER(SEARCH("cutlery",F1161)),"Cutlery","Other")))))</f>
        <v>0</v>
      </c>
      <c r="I1161">
        <f>IF('Raw Data'!G1161&lt;&gt;'','Raw Data'!G1161,IFERROR(MID(F1161,SEARCH("MODEL",F1161)+6,20),""))</f>
        <v>0</v>
      </c>
      <c r="J1161">
        <f>'Raw Data'!H1161</f>
        <v>0</v>
      </c>
      <c r="K1161">
        <f>'Raw Data'!I1161</f>
        <v>0</v>
      </c>
      <c r="L1161">
        <f>IF('Raw Data'!N1161&lt;&gt;0,'Raw Data'!N1161,IFERROR(VALUE(MID(F1161,SEARCH("QTY",F1161)+4,IFERROR(FIND(" ",F1161,SEARCH("QTY",F1161)+4)-(SEARCH("QTY",F1161)+4),3))),""))</f>
        <v>0</v>
      </c>
      <c r="M1161">
        <f>'Raw Data'!O1161</f>
        <v>0</v>
      </c>
      <c r="N1161">
        <f>'Raw Data'!P1161</f>
        <v>0</v>
      </c>
      <c r="O1161">
        <f>'Raw Data'!Q1161</f>
        <v>0</v>
      </c>
      <c r="P1161">
        <f>'Raw Data'!R1161</f>
        <v>0</v>
      </c>
      <c r="Q1161">
        <f>'Raw Data'!S1161</f>
        <v>0</v>
      </c>
      <c r="R1161">
        <f>'Raw Data'!T1161</f>
        <v>0</v>
      </c>
      <c r="S1161">
        <f>IFERROR(O1161,0)+IFERROR(R1161,0)</f>
        <v>0</v>
      </c>
      <c r="T1161">
        <f>IF(A1161="","",YEAR(A1161))</f>
        <v>0</v>
      </c>
    </row>
    <row r="1162" spans="1:20">
      <c r="A1162">
        <f>'Raw Data'!B1162</f>
        <v>0</v>
      </c>
      <c r="B1162">
        <f>'Raw Data'!A1162</f>
        <v>0</v>
      </c>
      <c r="C1162">
        <f>'Raw Data'!C1162</f>
        <v>0</v>
      </c>
      <c r="D1162">
        <f>'Raw Data'!D1162</f>
        <v>0</v>
      </c>
      <c r="E1162">
        <f>IFERROR(VLOOKUP(D1162,'Lookup Tables'!$A:$B,2,FALSE),"Unknown")</f>
        <v>0</v>
      </c>
      <c r="F1162">
        <f>'Raw Data'!E1162</f>
        <v>0</v>
      </c>
      <c r="G1162">
        <f>IFERROR(VLOOKUP(D1162,'Lookup Tables'!$A:$C,3,FALSE),IF(ISNUMBER(SEARCH("STEEL",F1162)),"Steel","Others"))</f>
        <v>0</v>
      </c>
      <c r="H1162">
        <f>IF(ISNUMBER(SEARCH("scrubber",F1162)) , "Scrubber", IF(ISNUMBER(SEARCH("container",F1162)),"Container", IF(ISNUMBER(SEARCH("basket",F1162)),"Basket", IF(ISNUMBER(SEARCH("lunch",F1162)),"Lunch Box", IF(ISNUMBER(SEARCH("cutlery",F1162)),"Cutlery","Other")))))</f>
        <v>0</v>
      </c>
      <c r="I1162">
        <f>IF('Raw Data'!G1162&lt;&gt;'','Raw Data'!G1162,IFERROR(MID(F1162,SEARCH("MODEL",F1162)+6,20),""))</f>
        <v>0</v>
      </c>
      <c r="J1162">
        <f>'Raw Data'!H1162</f>
        <v>0</v>
      </c>
      <c r="K1162">
        <f>'Raw Data'!I1162</f>
        <v>0</v>
      </c>
      <c r="L1162">
        <f>IF('Raw Data'!N1162&lt;&gt;0,'Raw Data'!N1162,IFERROR(VALUE(MID(F1162,SEARCH("QTY",F1162)+4,IFERROR(FIND(" ",F1162,SEARCH("QTY",F1162)+4)-(SEARCH("QTY",F1162)+4),3))),""))</f>
        <v>0</v>
      </c>
      <c r="M1162">
        <f>'Raw Data'!O1162</f>
        <v>0</v>
      </c>
      <c r="N1162">
        <f>'Raw Data'!P1162</f>
        <v>0</v>
      </c>
      <c r="O1162">
        <f>'Raw Data'!Q1162</f>
        <v>0</v>
      </c>
      <c r="P1162">
        <f>'Raw Data'!R1162</f>
        <v>0</v>
      </c>
      <c r="Q1162">
        <f>'Raw Data'!S1162</f>
        <v>0</v>
      </c>
      <c r="R1162">
        <f>'Raw Data'!T1162</f>
        <v>0</v>
      </c>
      <c r="S1162">
        <f>IFERROR(O1162,0)+IFERROR(R1162,0)</f>
        <v>0</v>
      </c>
      <c r="T1162">
        <f>IF(A1162="","",YEAR(A1162))</f>
        <v>0</v>
      </c>
    </row>
    <row r="1163" spans="1:20">
      <c r="A1163">
        <f>'Raw Data'!B1163</f>
        <v>0</v>
      </c>
      <c r="B1163">
        <f>'Raw Data'!A1163</f>
        <v>0</v>
      </c>
      <c r="C1163">
        <f>'Raw Data'!C1163</f>
        <v>0</v>
      </c>
      <c r="D1163">
        <f>'Raw Data'!D1163</f>
        <v>0</v>
      </c>
      <c r="E1163">
        <f>IFERROR(VLOOKUP(D1163,'Lookup Tables'!$A:$B,2,FALSE),"Unknown")</f>
        <v>0</v>
      </c>
      <c r="F1163">
        <f>'Raw Data'!E1163</f>
        <v>0</v>
      </c>
      <c r="G1163">
        <f>IFERROR(VLOOKUP(D1163,'Lookup Tables'!$A:$C,3,FALSE),IF(ISNUMBER(SEARCH("STEEL",F1163)),"Steel","Others"))</f>
        <v>0</v>
      </c>
      <c r="H1163">
        <f>IF(ISNUMBER(SEARCH("scrubber",F1163)) , "Scrubber", IF(ISNUMBER(SEARCH("container",F1163)),"Container", IF(ISNUMBER(SEARCH("basket",F1163)),"Basket", IF(ISNUMBER(SEARCH("lunch",F1163)),"Lunch Box", IF(ISNUMBER(SEARCH("cutlery",F1163)),"Cutlery","Other")))))</f>
        <v>0</v>
      </c>
      <c r="I1163">
        <f>IF('Raw Data'!G1163&lt;&gt;'','Raw Data'!G1163,IFERROR(MID(F1163,SEARCH("MODEL",F1163)+6,20),""))</f>
        <v>0</v>
      </c>
      <c r="J1163">
        <f>'Raw Data'!H1163</f>
        <v>0</v>
      </c>
      <c r="K1163">
        <f>'Raw Data'!I1163</f>
        <v>0</v>
      </c>
      <c r="L1163">
        <f>IF('Raw Data'!N1163&lt;&gt;0,'Raw Data'!N1163,IFERROR(VALUE(MID(F1163,SEARCH("QTY",F1163)+4,IFERROR(FIND(" ",F1163,SEARCH("QTY",F1163)+4)-(SEARCH("QTY",F1163)+4),3))),""))</f>
        <v>0</v>
      </c>
      <c r="M1163">
        <f>'Raw Data'!O1163</f>
        <v>0</v>
      </c>
      <c r="N1163">
        <f>'Raw Data'!P1163</f>
        <v>0</v>
      </c>
      <c r="O1163">
        <f>'Raw Data'!Q1163</f>
        <v>0</v>
      </c>
      <c r="P1163">
        <f>'Raw Data'!R1163</f>
        <v>0</v>
      </c>
      <c r="Q1163">
        <f>'Raw Data'!S1163</f>
        <v>0</v>
      </c>
      <c r="R1163">
        <f>'Raw Data'!T1163</f>
        <v>0</v>
      </c>
      <c r="S1163">
        <f>IFERROR(O1163,0)+IFERROR(R1163,0)</f>
        <v>0</v>
      </c>
      <c r="T1163">
        <f>IF(A1163="","",YEAR(A1163))</f>
        <v>0</v>
      </c>
    </row>
    <row r="1164" spans="1:20">
      <c r="A1164">
        <f>'Raw Data'!B1164</f>
        <v>0</v>
      </c>
      <c r="B1164">
        <f>'Raw Data'!A1164</f>
        <v>0</v>
      </c>
      <c r="C1164">
        <f>'Raw Data'!C1164</f>
        <v>0</v>
      </c>
      <c r="D1164">
        <f>'Raw Data'!D1164</f>
        <v>0</v>
      </c>
      <c r="E1164">
        <f>IFERROR(VLOOKUP(D1164,'Lookup Tables'!$A:$B,2,FALSE),"Unknown")</f>
        <v>0</v>
      </c>
      <c r="F1164">
        <f>'Raw Data'!E1164</f>
        <v>0</v>
      </c>
      <c r="G1164">
        <f>IFERROR(VLOOKUP(D1164,'Lookup Tables'!$A:$C,3,FALSE),IF(ISNUMBER(SEARCH("STEEL",F1164)),"Steel","Others"))</f>
        <v>0</v>
      </c>
      <c r="H1164">
        <f>IF(ISNUMBER(SEARCH("scrubber",F1164)) , "Scrubber", IF(ISNUMBER(SEARCH("container",F1164)),"Container", IF(ISNUMBER(SEARCH("basket",F1164)),"Basket", IF(ISNUMBER(SEARCH("lunch",F1164)),"Lunch Box", IF(ISNUMBER(SEARCH("cutlery",F1164)),"Cutlery","Other")))))</f>
        <v>0</v>
      </c>
      <c r="I1164">
        <f>IF('Raw Data'!G1164&lt;&gt;'','Raw Data'!G1164,IFERROR(MID(F1164,SEARCH("MODEL",F1164)+6,20),""))</f>
        <v>0</v>
      </c>
      <c r="J1164">
        <f>'Raw Data'!H1164</f>
        <v>0</v>
      </c>
      <c r="K1164">
        <f>'Raw Data'!I1164</f>
        <v>0</v>
      </c>
      <c r="L1164">
        <f>IF('Raw Data'!N1164&lt;&gt;0,'Raw Data'!N1164,IFERROR(VALUE(MID(F1164,SEARCH("QTY",F1164)+4,IFERROR(FIND(" ",F1164,SEARCH("QTY",F1164)+4)-(SEARCH("QTY",F1164)+4),3))),""))</f>
        <v>0</v>
      </c>
      <c r="M1164">
        <f>'Raw Data'!O1164</f>
        <v>0</v>
      </c>
      <c r="N1164">
        <f>'Raw Data'!P1164</f>
        <v>0</v>
      </c>
      <c r="O1164">
        <f>'Raw Data'!Q1164</f>
        <v>0</v>
      </c>
      <c r="P1164">
        <f>'Raw Data'!R1164</f>
        <v>0</v>
      </c>
      <c r="Q1164">
        <f>'Raw Data'!S1164</f>
        <v>0</v>
      </c>
      <c r="R1164">
        <f>'Raw Data'!T1164</f>
        <v>0</v>
      </c>
      <c r="S1164">
        <f>IFERROR(O1164,0)+IFERROR(R1164,0)</f>
        <v>0</v>
      </c>
      <c r="T1164">
        <f>IF(A1164="","",YEAR(A1164))</f>
        <v>0</v>
      </c>
    </row>
    <row r="1165" spans="1:20">
      <c r="A1165">
        <f>'Raw Data'!B1165</f>
        <v>0</v>
      </c>
      <c r="B1165">
        <f>'Raw Data'!A1165</f>
        <v>0</v>
      </c>
      <c r="C1165">
        <f>'Raw Data'!C1165</f>
        <v>0</v>
      </c>
      <c r="D1165">
        <f>'Raw Data'!D1165</f>
        <v>0</v>
      </c>
      <c r="E1165">
        <f>IFERROR(VLOOKUP(D1165,'Lookup Tables'!$A:$B,2,FALSE),"Unknown")</f>
        <v>0</v>
      </c>
      <c r="F1165">
        <f>'Raw Data'!E1165</f>
        <v>0</v>
      </c>
      <c r="G1165">
        <f>IFERROR(VLOOKUP(D1165,'Lookup Tables'!$A:$C,3,FALSE),IF(ISNUMBER(SEARCH("STEEL",F1165)),"Steel","Others"))</f>
        <v>0</v>
      </c>
      <c r="H1165">
        <f>IF(ISNUMBER(SEARCH("scrubber",F1165)) , "Scrubber", IF(ISNUMBER(SEARCH("container",F1165)),"Container", IF(ISNUMBER(SEARCH("basket",F1165)),"Basket", IF(ISNUMBER(SEARCH("lunch",F1165)),"Lunch Box", IF(ISNUMBER(SEARCH("cutlery",F1165)),"Cutlery","Other")))))</f>
        <v>0</v>
      </c>
      <c r="I1165">
        <f>IF('Raw Data'!G1165&lt;&gt;'','Raw Data'!G1165,IFERROR(MID(F1165,SEARCH("MODEL",F1165)+6,20),""))</f>
        <v>0</v>
      </c>
      <c r="J1165">
        <f>'Raw Data'!H1165</f>
        <v>0</v>
      </c>
      <c r="K1165">
        <f>'Raw Data'!I1165</f>
        <v>0</v>
      </c>
      <c r="L1165">
        <f>IF('Raw Data'!N1165&lt;&gt;0,'Raw Data'!N1165,IFERROR(VALUE(MID(F1165,SEARCH("QTY",F1165)+4,IFERROR(FIND(" ",F1165,SEARCH("QTY",F1165)+4)-(SEARCH("QTY",F1165)+4),3))),""))</f>
        <v>0</v>
      </c>
      <c r="M1165">
        <f>'Raw Data'!O1165</f>
        <v>0</v>
      </c>
      <c r="N1165">
        <f>'Raw Data'!P1165</f>
        <v>0</v>
      </c>
      <c r="O1165">
        <f>'Raw Data'!Q1165</f>
        <v>0</v>
      </c>
      <c r="P1165">
        <f>'Raw Data'!R1165</f>
        <v>0</v>
      </c>
      <c r="Q1165">
        <f>'Raw Data'!S1165</f>
        <v>0</v>
      </c>
      <c r="R1165">
        <f>'Raw Data'!T1165</f>
        <v>0</v>
      </c>
      <c r="S1165">
        <f>IFERROR(O1165,0)+IFERROR(R1165,0)</f>
        <v>0</v>
      </c>
      <c r="T1165">
        <f>IF(A1165="","",YEAR(A1165))</f>
        <v>0</v>
      </c>
    </row>
    <row r="1166" spans="1:20">
      <c r="A1166">
        <f>'Raw Data'!B1166</f>
        <v>0</v>
      </c>
      <c r="B1166">
        <f>'Raw Data'!A1166</f>
        <v>0</v>
      </c>
      <c r="C1166">
        <f>'Raw Data'!C1166</f>
        <v>0</v>
      </c>
      <c r="D1166">
        <f>'Raw Data'!D1166</f>
        <v>0</v>
      </c>
      <c r="E1166">
        <f>IFERROR(VLOOKUP(D1166,'Lookup Tables'!$A:$B,2,FALSE),"Unknown")</f>
        <v>0</v>
      </c>
      <c r="F1166">
        <f>'Raw Data'!E1166</f>
        <v>0</v>
      </c>
      <c r="G1166">
        <f>IFERROR(VLOOKUP(D1166,'Lookup Tables'!$A:$C,3,FALSE),IF(ISNUMBER(SEARCH("STEEL",F1166)),"Steel","Others"))</f>
        <v>0</v>
      </c>
      <c r="H1166">
        <f>IF(ISNUMBER(SEARCH("scrubber",F1166)) , "Scrubber", IF(ISNUMBER(SEARCH("container",F1166)),"Container", IF(ISNUMBER(SEARCH("basket",F1166)),"Basket", IF(ISNUMBER(SEARCH("lunch",F1166)),"Lunch Box", IF(ISNUMBER(SEARCH("cutlery",F1166)),"Cutlery","Other")))))</f>
        <v>0</v>
      </c>
      <c r="I1166">
        <f>IF('Raw Data'!G1166&lt;&gt;'','Raw Data'!G1166,IFERROR(MID(F1166,SEARCH("MODEL",F1166)+6,20),""))</f>
        <v>0</v>
      </c>
      <c r="J1166">
        <f>'Raw Data'!H1166</f>
        <v>0</v>
      </c>
      <c r="K1166">
        <f>'Raw Data'!I1166</f>
        <v>0</v>
      </c>
      <c r="L1166">
        <f>IF('Raw Data'!N1166&lt;&gt;0,'Raw Data'!N1166,IFERROR(VALUE(MID(F1166,SEARCH("QTY",F1166)+4,IFERROR(FIND(" ",F1166,SEARCH("QTY",F1166)+4)-(SEARCH("QTY",F1166)+4),3))),""))</f>
        <v>0</v>
      </c>
      <c r="M1166">
        <f>'Raw Data'!O1166</f>
        <v>0</v>
      </c>
      <c r="N1166">
        <f>'Raw Data'!P1166</f>
        <v>0</v>
      </c>
      <c r="O1166">
        <f>'Raw Data'!Q1166</f>
        <v>0</v>
      </c>
      <c r="P1166">
        <f>'Raw Data'!R1166</f>
        <v>0</v>
      </c>
      <c r="Q1166">
        <f>'Raw Data'!S1166</f>
        <v>0</v>
      </c>
      <c r="R1166">
        <f>'Raw Data'!T1166</f>
        <v>0</v>
      </c>
      <c r="S1166">
        <f>IFERROR(O1166,0)+IFERROR(R1166,0)</f>
        <v>0</v>
      </c>
      <c r="T1166">
        <f>IF(A1166="","",YEAR(A1166))</f>
        <v>0</v>
      </c>
    </row>
    <row r="1167" spans="1:20">
      <c r="A1167">
        <f>'Raw Data'!B1167</f>
        <v>0</v>
      </c>
      <c r="B1167">
        <f>'Raw Data'!A1167</f>
        <v>0</v>
      </c>
      <c r="C1167">
        <f>'Raw Data'!C1167</f>
        <v>0</v>
      </c>
      <c r="D1167">
        <f>'Raw Data'!D1167</f>
        <v>0</v>
      </c>
      <c r="E1167">
        <f>IFERROR(VLOOKUP(D1167,'Lookup Tables'!$A:$B,2,FALSE),"Unknown")</f>
        <v>0</v>
      </c>
      <c r="F1167">
        <f>'Raw Data'!E1167</f>
        <v>0</v>
      </c>
      <c r="G1167">
        <f>IFERROR(VLOOKUP(D1167,'Lookup Tables'!$A:$C,3,FALSE),IF(ISNUMBER(SEARCH("STEEL",F1167)),"Steel","Others"))</f>
        <v>0</v>
      </c>
      <c r="H1167">
        <f>IF(ISNUMBER(SEARCH("scrubber",F1167)) , "Scrubber", IF(ISNUMBER(SEARCH("container",F1167)),"Container", IF(ISNUMBER(SEARCH("basket",F1167)),"Basket", IF(ISNUMBER(SEARCH("lunch",F1167)),"Lunch Box", IF(ISNUMBER(SEARCH("cutlery",F1167)),"Cutlery","Other")))))</f>
        <v>0</v>
      </c>
      <c r="I1167">
        <f>IF('Raw Data'!G1167&lt;&gt;'','Raw Data'!G1167,IFERROR(MID(F1167,SEARCH("MODEL",F1167)+6,20),""))</f>
        <v>0</v>
      </c>
      <c r="J1167">
        <f>'Raw Data'!H1167</f>
        <v>0</v>
      </c>
      <c r="K1167">
        <f>'Raw Data'!I1167</f>
        <v>0</v>
      </c>
      <c r="L1167">
        <f>IF('Raw Data'!N1167&lt;&gt;0,'Raw Data'!N1167,IFERROR(VALUE(MID(F1167,SEARCH("QTY",F1167)+4,IFERROR(FIND(" ",F1167,SEARCH("QTY",F1167)+4)-(SEARCH("QTY",F1167)+4),3))),""))</f>
        <v>0</v>
      </c>
      <c r="M1167">
        <f>'Raw Data'!O1167</f>
        <v>0</v>
      </c>
      <c r="N1167">
        <f>'Raw Data'!P1167</f>
        <v>0</v>
      </c>
      <c r="O1167">
        <f>'Raw Data'!Q1167</f>
        <v>0</v>
      </c>
      <c r="P1167">
        <f>'Raw Data'!R1167</f>
        <v>0</v>
      </c>
      <c r="Q1167">
        <f>'Raw Data'!S1167</f>
        <v>0</v>
      </c>
      <c r="R1167">
        <f>'Raw Data'!T1167</f>
        <v>0</v>
      </c>
      <c r="S1167">
        <f>IFERROR(O1167,0)+IFERROR(R1167,0)</f>
        <v>0</v>
      </c>
      <c r="T1167">
        <f>IF(A1167="","",YEAR(A1167))</f>
        <v>0</v>
      </c>
    </row>
    <row r="1168" spans="1:20">
      <c r="A1168">
        <f>'Raw Data'!B1168</f>
        <v>0</v>
      </c>
      <c r="B1168">
        <f>'Raw Data'!A1168</f>
        <v>0</v>
      </c>
      <c r="C1168">
        <f>'Raw Data'!C1168</f>
        <v>0</v>
      </c>
      <c r="D1168">
        <f>'Raw Data'!D1168</f>
        <v>0</v>
      </c>
      <c r="E1168">
        <f>IFERROR(VLOOKUP(D1168,'Lookup Tables'!$A:$B,2,FALSE),"Unknown")</f>
        <v>0</v>
      </c>
      <c r="F1168">
        <f>'Raw Data'!E1168</f>
        <v>0</v>
      </c>
      <c r="G1168">
        <f>IFERROR(VLOOKUP(D1168,'Lookup Tables'!$A:$C,3,FALSE),IF(ISNUMBER(SEARCH("STEEL",F1168)),"Steel","Others"))</f>
        <v>0</v>
      </c>
      <c r="H1168">
        <f>IF(ISNUMBER(SEARCH("scrubber",F1168)) , "Scrubber", IF(ISNUMBER(SEARCH("container",F1168)),"Container", IF(ISNUMBER(SEARCH("basket",F1168)),"Basket", IF(ISNUMBER(SEARCH("lunch",F1168)),"Lunch Box", IF(ISNUMBER(SEARCH("cutlery",F1168)),"Cutlery","Other")))))</f>
        <v>0</v>
      </c>
      <c r="I1168">
        <f>IF('Raw Data'!G1168&lt;&gt;'','Raw Data'!G1168,IFERROR(MID(F1168,SEARCH("MODEL",F1168)+6,20),""))</f>
        <v>0</v>
      </c>
      <c r="J1168">
        <f>'Raw Data'!H1168</f>
        <v>0</v>
      </c>
      <c r="K1168">
        <f>'Raw Data'!I1168</f>
        <v>0</v>
      </c>
      <c r="L1168">
        <f>IF('Raw Data'!N1168&lt;&gt;0,'Raw Data'!N1168,IFERROR(VALUE(MID(F1168,SEARCH("QTY",F1168)+4,IFERROR(FIND(" ",F1168,SEARCH("QTY",F1168)+4)-(SEARCH("QTY",F1168)+4),3))),""))</f>
        <v>0</v>
      </c>
      <c r="M1168">
        <f>'Raw Data'!O1168</f>
        <v>0</v>
      </c>
      <c r="N1168">
        <f>'Raw Data'!P1168</f>
        <v>0</v>
      </c>
      <c r="O1168">
        <f>'Raw Data'!Q1168</f>
        <v>0</v>
      </c>
      <c r="P1168">
        <f>'Raw Data'!R1168</f>
        <v>0</v>
      </c>
      <c r="Q1168">
        <f>'Raw Data'!S1168</f>
        <v>0</v>
      </c>
      <c r="R1168">
        <f>'Raw Data'!T1168</f>
        <v>0</v>
      </c>
      <c r="S1168">
        <f>IFERROR(O1168,0)+IFERROR(R1168,0)</f>
        <v>0</v>
      </c>
      <c r="T1168">
        <f>IF(A1168="","",YEAR(A1168))</f>
        <v>0</v>
      </c>
    </row>
    <row r="1169" spans="1:20">
      <c r="A1169">
        <f>'Raw Data'!B1169</f>
        <v>0</v>
      </c>
      <c r="B1169">
        <f>'Raw Data'!A1169</f>
        <v>0</v>
      </c>
      <c r="C1169">
        <f>'Raw Data'!C1169</f>
        <v>0</v>
      </c>
      <c r="D1169">
        <f>'Raw Data'!D1169</f>
        <v>0</v>
      </c>
      <c r="E1169">
        <f>IFERROR(VLOOKUP(D1169,'Lookup Tables'!$A:$B,2,FALSE),"Unknown")</f>
        <v>0</v>
      </c>
      <c r="F1169">
        <f>'Raw Data'!E1169</f>
        <v>0</v>
      </c>
      <c r="G1169">
        <f>IFERROR(VLOOKUP(D1169,'Lookup Tables'!$A:$C,3,FALSE),IF(ISNUMBER(SEARCH("STEEL",F1169)),"Steel","Others"))</f>
        <v>0</v>
      </c>
      <c r="H1169">
        <f>IF(ISNUMBER(SEARCH("scrubber",F1169)) , "Scrubber", IF(ISNUMBER(SEARCH("container",F1169)),"Container", IF(ISNUMBER(SEARCH("basket",F1169)),"Basket", IF(ISNUMBER(SEARCH("lunch",F1169)),"Lunch Box", IF(ISNUMBER(SEARCH("cutlery",F1169)),"Cutlery","Other")))))</f>
        <v>0</v>
      </c>
      <c r="I1169">
        <f>IF('Raw Data'!G1169&lt;&gt;'','Raw Data'!G1169,IFERROR(MID(F1169,SEARCH("MODEL",F1169)+6,20),""))</f>
        <v>0</v>
      </c>
      <c r="J1169">
        <f>'Raw Data'!H1169</f>
        <v>0</v>
      </c>
      <c r="K1169">
        <f>'Raw Data'!I1169</f>
        <v>0</v>
      </c>
      <c r="L1169">
        <f>IF('Raw Data'!N1169&lt;&gt;0,'Raw Data'!N1169,IFERROR(VALUE(MID(F1169,SEARCH("QTY",F1169)+4,IFERROR(FIND(" ",F1169,SEARCH("QTY",F1169)+4)-(SEARCH("QTY",F1169)+4),3))),""))</f>
        <v>0</v>
      </c>
      <c r="M1169">
        <f>'Raw Data'!O1169</f>
        <v>0</v>
      </c>
      <c r="N1169">
        <f>'Raw Data'!P1169</f>
        <v>0</v>
      </c>
      <c r="O1169">
        <f>'Raw Data'!Q1169</f>
        <v>0</v>
      </c>
      <c r="P1169">
        <f>'Raw Data'!R1169</f>
        <v>0</v>
      </c>
      <c r="Q1169">
        <f>'Raw Data'!S1169</f>
        <v>0</v>
      </c>
      <c r="R1169">
        <f>'Raw Data'!T1169</f>
        <v>0</v>
      </c>
      <c r="S1169">
        <f>IFERROR(O1169,0)+IFERROR(R1169,0)</f>
        <v>0</v>
      </c>
      <c r="T1169">
        <f>IF(A1169="","",YEAR(A1169))</f>
        <v>0</v>
      </c>
    </row>
    <row r="1170" spans="1:20">
      <c r="A1170">
        <f>'Raw Data'!B1170</f>
        <v>0</v>
      </c>
      <c r="B1170">
        <f>'Raw Data'!A1170</f>
        <v>0</v>
      </c>
      <c r="C1170">
        <f>'Raw Data'!C1170</f>
        <v>0</v>
      </c>
      <c r="D1170">
        <f>'Raw Data'!D1170</f>
        <v>0</v>
      </c>
      <c r="E1170">
        <f>IFERROR(VLOOKUP(D1170,'Lookup Tables'!$A:$B,2,FALSE),"Unknown")</f>
        <v>0</v>
      </c>
      <c r="F1170">
        <f>'Raw Data'!E1170</f>
        <v>0</v>
      </c>
      <c r="G1170">
        <f>IFERROR(VLOOKUP(D1170,'Lookup Tables'!$A:$C,3,FALSE),IF(ISNUMBER(SEARCH("STEEL",F1170)),"Steel","Others"))</f>
        <v>0</v>
      </c>
      <c r="H1170">
        <f>IF(ISNUMBER(SEARCH("scrubber",F1170)) , "Scrubber", IF(ISNUMBER(SEARCH("container",F1170)),"Container", IF(ISNUMBER(SEARCH("basket",F1170)),"Basket", IF(ISNUMBER(SEARCH("lunch",F1170)),"Lunch Box", IF(ISNUMBER(SEARCH("cutlery",F1170)),"Cutlery","Other")))))</f>
        <v>0</v>
      </c>
      <c r="I1170">
        <f>IF('Raw Data'!G1170&lt;&gt;'','Raw Data'!G1170,IFERROR(MID(F1170,SEARCH("MODEL",F1170)+6,20),""))</f>
        <v>0</v>
      </c>
      <c r="J1170">
        <f>'Raw Data'!H1170</f>
        <v>0</v>
      </c>
      <c r="K1170">
        <f>'Raw Data'!I1170</f>
        <v>0</v>
      </c>
      <c r="L1170">
        <f>IF('Raw Data'!N1170&lt;&gt;0,'Raw Data'!N1170,IFERROR(VALUE(MID(F1170,SEARCH("QTY",F1170)+4,IFERROR(FIND(" ",F1170,SEARCH("QTY",F1170)+4)-(SEARCH("QTY",F1170)+4),3))),""))</f>
        <v>0</v>
      </c>
      <c r="M1170">
        <f>'Raw Data'!O1170</f>
        <v>0</v>
      </c>
      <c r="N1170">
        <f>'Raw Data'!P1170</f>
        <v>0</v>
      </c>
      <c r="O1170">
        <f>'Raw Data'!Q1170</f>
        <v>0</v>
      </c>
      <c r="P1170">
        <f>'Raw Data'!R1170</f>
        <v>0</v>
      </c>
      <c r="Q1170">
        <f>'Raw Data'!S1170</f>
        <v>0</v>
      </c>
      <c r="R1170">
        <f>'Raw Data'!T1170</f>
        <v>0</v>
      </c>
      <c r="S1170">
        <f>IFERROR(O1170,0)+IFERROR(R1170,0)</f>
        <v>0</v>
      </c>
      <c r="T1170">
        <f>IF(A1170="","",YEAR(A1170))</f>
        <v>0</v>
      </c>
    </row>
    <row r="1171" spans="1:20">
      <c r="A1171">
        <f>'Raw Data'!B1171</f>
        <v>0</v>
      </c>
      <c r="B1171">
        <f>'Raw Data'!A1171</f>
        <v>0</v>
      </c>
      <c r="C1171">
        <f>'Raw Data'!C1171</f>
        <v>0</v>
      </c>
      <c r="D1171">
        <f>'Raw Data'!D1171</f>
        <v>0</v>
      </c>
      <c r="E1171">
        <f>IFERROR(VLOOKUP(D1171,'Lookup Tables'!$A:$B,2,FALSE),"Unknown")</f>
        <v>0</v>
      </c>
      <c r="F1171">
        <f>'Raw Data'!E1171</f>
        <v>0</v>
      </c>
      <c r="G1171">
        <f>IFERROR(VLOOKUP(D1171,'Lookup Tables'!$A:$C,3,FALSE),IF(ISNUMBER(SEARCH("STEEL",F1171)),"Steel","Others"))</f>
        <v>0</v>
      </c>
      <c r="H1171">
        <f>IF(ISNUMBER(SEARCH("scrubber",F1171)) , "Scrubber", IF(ISNUMBER(SEARCH("container",F1171)),"Container", IF(ISNUMBER(SEARCH("basket",F1171)),"Basket", IF(ISNUMBER(SEARCH("lunch",F1171)),"Lunch Box", IF(ISNUMBER(SEARCH("cutlery",F1171)),"Cutlery","Other")))))</f>
        <v>0</v>
      </c>
      <c r="I1171">
        <f>IF('Raw Data'!G1171&lt;&gt;'','Raw Data'!G1171,IFERROR(MID(F1171,SEARCH("MODEL",F1171)+6,20),""))</f>
        <v>0</v>
      </c>
      <c r="J1171">
        <f>'Raw Data'!H1171</f>
        <v>0</v>
      </c>
      <c r="K1171">
        <f>'Raw Data'!I1171</f>
        <v>0</v>
      </c>
      <c r="L1171">
        <f>IF('Raw Data'!N1171&lt;&gt;0,'Raw Data'!N1171,IFERROR(VALUE(MID(F1171,SEARCH("QTY",F1171)+4,IFERROR(FIND(" ",F1171,SEARCH("QTY",F1171)+4)-(SEARCH("QTY",F1171)+4),3))),""))</f>
        <v>0</v>
      </c>
      <c r="M1171">
        <f>'Raw Data'!O1171</f>
        <v>0</v>
      </c>
      <c r="N1171">
        <f>'Raw Data'!P1171</f>
        <v>0</v>
      </c>
      <c r="O1171">
        <f>'Raw Data'!Q1171</f>
        <v>0</v>
      </c>
      <c r="P1171">
        <f>'Raw Data'!R1171</f>
        <v>0</v>
      </c>
      <c r="Q1171">
        <f>'Raw Data'!S1171</f>
        <v>0</v>
      </c>
      <c r="R1171">
        <f>'Raw Data'!T1171</f>
        <v>0</v>
      </c>
      <c r="S1171">
        <f>IFERROR(O1171,0)+IFERROR(R1171,0)</f>
        <v>0</v>
      </c>
      <c r="T1171">
        <f>IF(A1171="","",YEAR(A1171))</f>
        <v>0</v>
      </c>
    </row>
    <row r="1172" spans="1:20">
      <c r="A1172">
        <f>'Raw Data'!B1172</f>
        <v>0</v>
      </c>
      <c r="B1172">
        <f>'Raw Data'!A1172</f>
        <v>0</v>
      </c>
      <c r="C1172">
        <f>'Raw Data'!C1172</f>
        <v>0</v>
      </c>
      <c r="D1172">
        <f>'Raw Data'!D1172</f>
        <v>0</v>
      </c>
      <c r="E1172">
        <f>IFERROR(VLOOKUP(D1172,'Lookup Tables'!$A:$B,2,FALSE),"Unknown")</f>
        <v>0</v>
      </c>
      <c r="F1172">
        <f>'Raw Data'!E1172</f>
        <v>0</v>
      </c>
      <c r="G1172">
        <f>IFERROR(VLOOKUP(D1172,'Lookup Tables'!$A:$C,3,FALSE),IF(ISNUMBER(SEARCH("STEEL",F1172)),"Steel","Others"))</f>
        <v>0</v>
      </c>
      <c r="H1172">
        <f>IF(ISNUMBER(SEARCH("scrubber",F1172)) , "Scrubber", IF(ISNUMBER(SEARCH("container",F1172)),"Container", IF(ISNUMBER(SEARCH("basket",F1172)),"Basket", IF(ISNUMBER(SEARCH("lunch",F1172)),"Lunch Box", IF(ISNUMBER(SEARCH("cutlery",F1172)),"Cutlery","Other")))))</f>
        <v>0</v>
      </c>
      <c r="I1172">
        <f>IF('Raw Data'!G1172&lt;&gt;'','Raw Data'!G1172,IFERROR(MID(F1172,SEARCH("MODEL",F1172)+6,20),""))</f>
        <v>0</v>
      </c>
      <c r="J1172">
        <f>'Raw Data'!H1172</f>
        <v>0</v>
      </c>
      <c r="K1172">
        <f>'Raw Data'!I1172</f>
        <v>0</v>
      </c>
      <c r="L1172">
        <f>IF('Raw Data'!N1172&lt;&gt;0,'Raw Data'!N1172,IFERROR(VALUE(MID(F1172,SEARCH("QTY",F1172)+4,IFERROR(FIND(" ",F1172,SEARCH("QTY",F1172)+4)-(SEARCH("QTY",F1172)+4),3))),""))</f>
        <v>0</v>
      </c>
      <c r="M1172">
        <f>'Raw Data'!O1172</f>
        <v>0</v>
      </c>
      <c r="N1172">
        <f>'Raw Data'!P1172</f>
        <v>0</v>
      </c>
      <c r="O1172">
        <f>'Raw Data'!Q1172</f>
        <v>0</v>
      </c>
      <c r="P1172">
        <f>'Raw Data'!R1172</f>
        <v>0</v>
      </c>
      <c r="Q1172">
        <f>'Raw Data'!S1172</f>
        <v>0</v>
      </c>
      <c r="R1172">
        <f>'Raw Data'!T1172</f>
        <v>0</v>
      </c>
      <c r="S1172">
        <f>IFERROR(O1172,0)+IFERROR(R1172,0)</f>
        <v>0</v>
      </c>
      <c r="T1172">
        <f>IF(A1172="","",YEAR(A1172))</f>
        <v>0</v>
      </c>
    </row>
    <row r="1173" spans="1:20">
      <c r="A1173">
        <f>'Raw Data'!B1173</f>
        <v>0</v>
      </c>
      <c r="B1173">
        <f>'Raw Data'!A1173</f>
        <v>0</v>
      </c>
      <c r="C1173">
        <f>'Raw Data'!C1173</f>
        <v>0</v>
      </c>
      <c r="D1173">
        <f>'Raw Data'!D1173</f>
        <v>0</v>
      </c>
      <c r="E1173">
        <f>IFERROR(VLOOKUP(D1173,'Lookup Tables'!$A:$B,2,FALSE),"Unknown")</f>
        <v>0</v>
      </c>
      <c r="F1173">
        <f>'Raw Data'!E1173</f>
        <v>0</v>
      </c>
      <c r="G1173">
        <f>IFERROR(VLOOKUP(D1173,'Lookup Tables'!$A:$C,3,FALSE),IF(ISNUMBER(SEARCH("STEEL",F1173)),"Steel","Others"))</f>
        <v>0</v>
      </c>
      <c r="H1173">
        <f>IF(ISNUMBER(SEARCH("scrubber",F1173)) , "Scrubber", IF(ISNUMBER(SEARCH("container",F1173)),"Container", IF(ISNUMBER(SEARCH("basket",F1173)),"Basket", IF(ISNUMBER(SEARCH("lunch",F1173)),"Lunch Box", IF(ISNUMBER(SEARCH("cutlery",F1173)),"Cutlery","Other")))))</f>
        <v>0</v>
      </c>
      <c r="I1173">
        <f>IF('Raw Data'!G1173&lt;&gt;'','Raw Data'!G1173,IFERROR(MID(F1173,SEARCH("MODEL",F1173)+6,20),""))</f>
        <v>0</v>
      </c>
      <c r="J1173">
        <f>'Raw Data'!H1173</f>
        <v>0</v>
      </c>
      <c r="K1173">
        <f>'Raw Data'!I1173</f>
        <v>0</v>
      </c>
      <c r="L1173">
        <f>IF('Raw Data'!N1173&lt;&gt;0,'Raw Data'!N1173,IFERROR(VALUE(MID(F1173,SEARCH("QTY",F1173)+4,IFERROR(FIND(" ",F1173,SEARCH("QTY",F1173)+4)-(SEARCH("QTY",F1173)+4),3))),""))</f>
        <v>0</v>
      </c>
      <c r="M1173">
        <f>'Raw Data'!O1173</f>
        <v>0</v>
      </c>
      <c r="N1173">
        <f>'Raw Data'!P1173</f>
        <v>0</v>
      </c>
      <c r="O1173">
        <f>'Raw Data'!Q1173</f>
        <v>0</v>
      </c>
      <c r="P1173">
        <f>'Raw Data'!R1173</f>
        <v>0</v>
      </c>
      <c r="Q1173">
        <f>'Raw Data'!S1173</f>
        <v>0</v>
      </c>
      <c r="R1173">
        <f>'Raw Data'!T1173</f>
        <v>0</v>
      </c>
      <c r="S1173">
        <f>IFERROR(O1173,0)+IFERROR(R1173,0)</f>
        <v>0</v>
      </c>
      <c r="T1173">
        <f>IF(A1173="","",YEAR(A1173))</f>
        <v>0</v>
      </c>
    </row>
    <row r="1174" spans="1:20">
      <c r="A1174">
        <f>'Raw Data'!B1174</f>
        <v>0</v>
      </c>
      <c r="B1174">
        <f>'Raw Data'!A1174</f>
        <v>0</v>
      </c>
      <c r="C1174">
        <f>'Raw Data'!C1174</f>
        <v>0</v>
      </c>
      <c r="D1174">
        <f>'Raw Data'!D1174</f>
        <v>0</v>
      </c>
      <c r="E1174">
        <f>IFERROR(VLOOKUP(D1174,'Lookup Tables'!$A:$B,2,FALSE),"Unknown")</f>
        <v>0</v>
      </c>
      <c r="F1174">
        <f>'Raw Data'!E1174</f>
        <v>0</v>
      </c>
      <c r="G1174">
        <f>IFERROR(VLOOKUP(D1174,'Lookup Tables'!$A:$C,3,FALSE),IF(ISNUMBER(SEARCH("STEEL",F1174)),"Steel","Others"))</f>
        <v>0</v>
      </c>
      <c r="H1174">
        <f>IF(ISNUMBER(SEARCH("scrubber",F1174)) , "Scrubber", IF(ISNUMBER(SEARCH("container",F1174)),"Container", IF(ISNUMBER(SEARCH("basket",F1174)),"Basket", IF(ISNUMBER(SEARCH("lunch",F1174)),"Lunch Box", IF(ISNUMBER(SEARCH("cutlery",F1174)),"Cutlery","Other")))))</f>
        <v>0</v>
      </c>
      <c r="I1174">
        <f>IF('Raw Data'!G1174&lt;&gt;'','Raw Data'!G1174,IFERROR(MID(F1174,SEARCH("MODEL",F1174)+6,20),""))</f>
        <v>0</v>
      </c>
      <c r="J1174">
        <f>'Raw Data'!H1174</f>
        <v>0</v>
      </c>
      <c r="K1174">
        <f>'Raw Data'!I1174</f>
        <v>0</v>
      </c>
      <c r="L1174">
        <f>IF('Raw Data'!N1174&lt;&gt;0,'Raw Data'!N1174,IFERROR(VALUE(MID(F1174,SEARCH("QTY",F1174)+4,IFERROR(FIND(" ",F1174,SEARCH("QTY",F1174)+4)-(SEARCH("QTY",F1174)+4),3))),""))</f>
        <v>0</v>
      </c>
      <c r="M1174">
        <f>'Raw Data'!O1174</f>
        <v>0</v>
      </c>
      <c r="N1174">
        <f>'Raw Data'!P1174</f>
        <v>0</v>
      </c>
      <c r="O1174">
        <f>'Raw Data'!Q1174</f>
        <v>0</v>
      </c>
      <c r="P1174">
        <f>'Raw Data'!R1174</f>
        <v>0</v>
      </c>
      <c r="Q1174">
        <f>'Raw Data'!S1174</f>
        <v>0</v>
      </c>
      <c r="R1174">
        <f>'Raw Data'!T1174</f>
        <v>0</v>
      </c>
      <c r="S1174">
        <f>IFERROR(O1174,0)+IFERROR(R1174,0)</f>
        <v>0</v>
      </c>
      <c r="T1174">
        <f>IF(A1174="","",YEAR(A1174))</f>
        <v>0</v>
      </c>
    </row>
    <row r="1175" spans="1:20">
      <c r="A1175">
        <f>'Raw Data'!B1175</f>
        <v>0</v>
      </c>
      <c r="B1175">
        <f>'Raw Data'!A1175</f>
        <v>0</v>
      </c>
      <c r="C1175">
        <f>'Raw Data'!C1175</f>
        <v>0</v>
      </c>
      <c r="D1175">
        <f>'Raw Data'!D1175</f>
        <v>0</v>
      </c>
      <c r="E1175">
        <f>IFERROR(VLOOKUP(D1175,'Lookup Tables'!$A:$B,2,FALSE),"Unknown")</f>
        <v>0</v>
      </c>
      <c r="F1175">
        <f>'Raw Data'!E1175</f>
        <v>0</v>
      </c>
      <c r="G1175">
        <f>IFERROR(VLOOKUP(D1175,'Lookup Tables'!$A:$C,3,FALSE),IF(ISNUMBER(SEARCH("STEEL",F1175)),"Steel","Others"))</f>
        <v>0</v>
      </c>
      <c r="H1175">
        <f>IF(ISNUMBER(SEARCH("scrubber",F1175)) , "Scrubber", IF(ISNUMBER(SEARCH("container",F1175)),"Container", IF(ISNUMBER(SEARCH("basket",F1175)),"Basket", IF(ISNUMBER(SEARCH("lunch",F1175)),"Lunch Box", IF(ISNUMBER(SEARCH("cutlery",F1175)),"Cutlery","Other")))))</f>
        <v>0</v>
      </c>
      <c r="I1175">
        <f>IF('Raw Data'!G1175&lt;&gt;'','Raw Data'!G1175,IFERROR(MID(F1175,SEARCH("MODEL",F1175)+6,20),""))</f>
        <v>0</v>
      </c>
      <c r="J1175">
        <f>'Raw Data'!H1175</f>
        <v>0</v>
      </c>
      <c r="K1175">
        <f>'Raw Data'!I1175</f>
        <v>0</v>
      </c>
      <c r="L1175">
        <f>IF('Raw Data'!N1175&lt;&gt;0,'Raw Data'!N1175,IFERROR(VALUE(MID(F1175,SEARCH("QTY",F1175)+4,IFERROR(FIND(" ",F1175,SEARCH("QTY",F1175)+4)-(SEARCH("QTY",F1175)+4),3))),""))</f>
        <v>0</v>
      </c>
      <c r="M1175">
        <f>'Raw Data'!O1175</f>
        <v>0</v>
      </c>
      <c r="N1175">
        <f>'Raw Data'!P1175</f>
        <v>0</v>
      </c>
      <c r="O1175">
        <f>'Raw Data'!Q1175</f>
        <v>0</v>
      </c>
      <c r="P1175">
        <f>'Raw Data'!R1175</f>
        <v>0</v>
      </c>
      <c r="Q1175">
        <f>'Raw Data'!S1175</f>
        <v>0</v>
      </c>
      <c r="R1175">
        <f>'Raw Data'!T1175</f>
        <v>0</v>
      </c>
      <c r="S1175">
        <f>IFERROR(O1175,0)+IFERROR(R1175,0)</f>
        <v>0</v>
      </c>
      <c r="T1175">
        <f>IF(A1175="","",YEAR(A1175))</f>
        <v>0</v>
      </c>
    </row>
    <row r="1176" spans="1:20">
      <c r="A1176">
        <f>'Raw Data'!B1176</f>
        <v>0</v>
      </c>
      <c r="B1176">
        <f>'Raw Data'!A1176</f>
        <v>0</v>
      </c>
      <c r="C1176">
        <f>'Raw Data'!C1176</f>
        <v>0</v>
      </c>
      <c r="D1176">
        <f>'Raw Data'!D1176</f>
        <v>0</v>
      </c>
      <c r="E1176">
        <f>IFERROR(VLOOKUP(D1176,'Lookup Tables'!$A:$B,2,FALSE),"Unknown")</f>
        <v>0</v>
      </c>
      <c r="F1176">
        <f>'Raw Data'!E1176</f>
        <v>0</v>
      </c>
      <c r="G1176">
        <f>IFERROR(VLOOKUP(D1176,'Lookup Tables'!$A:$C,3,FALSE),IF(ISNUMBER(SEARCH("STEEL",F1176)),"Steel","Others"))</f>
        <v>0</v>
      </c>
      <c r="H1176">
        <f>IF(ISNUMBER(SEARCH("scrubber",F1176)) , "Scrubber", IF(ISNUMBER(SEARCH("container",F1176)),"Container", IF(ISNUMBER(SEARCH("basket",F1176)),"Basket", IF(ISNUMBER(SEARCH("lunch",F1176)),"Lunch Box", IF(ISNUMBER(SEARCH("cutlery",F1176)),"Cutlery","Other")))))</f>
        <v>0</v>
      </c>
      <c r="I1176">
        <f>IF('Raw Data'!G1176&lt;&gt;'','Raw Data'!G1176,IFERROR(MID(F1176,SEARCH("MODEL",F1176)+6,20),""))</f>
        <v>0</v>
      </c>
      <c r="J1176">
        <f>'Raw Data'!H1176</f>
        <v>0</v>
      </c>
      <c r="K1176">
        <f>'Raw Data'!I1176</f>
        <v>0</v>
      </c>
      <c r="L1176">
        <f>IF('Raw Data'!N1176&lt;&gt;0,'Raw Data'!N1176,IFERROR(VALUE(MID(F1176,SEARCH("QTY",F1176)+4,IFERROR(FIND(" ",F1176,SEARCH("QTY",F1176)+4)-(SEARCH("QTY",F1176)+4),3))),""))</f>
        <v>0</v>
      </c>
      <c r="M1176">
        <f>'Raw Data'!O1176</f>
        <v>0</v>
      </c>
      <c r="N1176">
        <f>'Raw Data'!P1176</f>
        <v>0</v>
      </c>
      <c r="O1176">
        <f>'Raw Data'!Q1176</f>
        <v>0</v>
      </c>
      <c r="P1176">
        <f>'Raw Data'!R1176</f>
        <v>0</v>
      </c>
      <c r="Q1176">
        <f>'Raw Data'!S1176</f>
        <v>0</v>
      </c>
      <c r="R1176">
        <f>'Raw Data'!T1176</f>
        <v>0</v>
      </c>
      <c r="S1176">
        <f>IFERROR(O1176,0)+IFERROR(R1176,0)</f>
        <v>0</v>
      </c>
      <c r="T1176">
        <f>IF(A1176="","",YEAR(A1176))</f>
        <v>0</v>
      </c>
    </row>
    <row r="1177" spans="1:20">
      <c r="A1177">
        <f>'Raw Data'!B1177</f>
        <v>0</v>
      </c>
      <c r="B1177">
        <f>'Raw Data'!A1177</f>
        <v>0</v>
      </c>
      <c r="C1177">
        <f>'Raw Data'!C1177</f>
        <v>0</v>
      </c>
      <c r="D1177">
        <f>'Raw Data'!D1177</f>
        <v>0</v>
      </c>
      <c r="E1177">
        <f>IFERROR(VLOOKUP(D1177,'Lookup Tables'!$A:$B,2,FALSE),"Unknown")</f>
        <v>0</v>
      </c>
      <c r="F1177">
        <f>'Raw Data'!E1177</f>
        <v>0</v>
      </c>
      <c r="G1177">
        <f>IFERROR(VLOOKUP(D1177,'Lookup Tables'!$A:$C,3,FALSE),IF(ISNUMBER(SEARCH("STEEL",F1177)),"Steel","Others"))</f>
        <v>0</v>
      </c>
      <c r="H1177">
        <f>IF(ISNUMBER(SEARCH("scrubber",F1177)) , "Scrubber", IF(ISNUMBER(SEARCH("container",F1177)),"Container", IF(ISNUMBER(SEARCH("basket",F1177)),"Basket", IF(ISNUMBER(SEARCH("lunch",F1177)),"Lunch Box", IF(ISNUMBER(SEARCH("cutlery",F1177)),"Cutlery","Other")))))</f>
        <v>0</v>
      </c>
      <c r="I1177">
        <f>IF('Raw Data'!G1177&lt;&gt;'','Raw Data'!G1177,IFERROR(MID(F1177,SEARCH("MODEL",F1177)+6,20),""))</f>
        <v>0</v>
      </c>
      <c r="J1177">
        <f>'Raw Data'!H1177</f>
        <v>0</v>
      </c>
      <c r="K1177">
        <f>'Raw Data'!I1177</f>
        <v>0</v>
      </c>
      <c r="L1177">
        <f>IF('Raw Data'!N1177&lt;&gt;0,'Raw Data'!N1177,IFERROR(VALUE(MID(F1177,SEARCH("QTY",F1177)+4,IFERROR(FIND(" ",F1177,SEARCH("QTY",F1177)+4)-(SEARCH("QTY",F1177)+4),3))),""))</f>
        <v>0</v>
      </c>
      <c r="M1177">
        <f>'Raw Data'!O1177</f>
        <v>0</v>
      </c>
      <c r="N1177">
        <f>'Raw Data'!P1177</f>
        <v>0</v>
      </c>
      <c r="O1177">
        <f>'Raw Data'!Q1177</f>
        <v>0</v>
      </c>
      <c r="P1177">
        <f>'Raw Data'!R1177</f>
        <v>0</v>
      </c>
      <c r="Q1177">
        <f>'Raw Data'!S1177</f>
        <v>0</v>
      </c>
      <c r="R1177">
        <f>'Raw Data'!T1177</f>
        <v>0</v>
      </c>
      <c r="S1177">
        <f>IFERROR(O1177,0)+IFERROR(R1177,0)</f>
        <v>0</v>
      </c>
      <c r="T1177">
        <f>IF(A1177="","",YEAR(A1177))</f>
        <v>0</v>
      </c>
    </row>
    <row r="1178" spans="1:20">
      <c r="A1178">
        <f>'Raw Data'!B1178</f>
        <v>0</v>
      </c>
      <c r="B1178">
        <f>'Raw Data'!A1178</f>
        <v>0</v>
      </c>
      <c r="C1178">
        <f>'Raw Data'!C1178</f>
        <v>0</v>
      </c>
      <c r="D1178">
        <f>'Raw Data'!D1178</f>
        <v>0</v>
      </c>
      <c r="E1178">
        <f>IFERROR(VLOOKUP(D1178,'Lookup Tables'!$A:$B,2,FALSE),"Unknown")</f>
        <v>0</v>
      </c>
      <c r="F1178">
        <f>'Raw Data'!E1178</f>
        <v>0</v>
      </c>
      <c r="G1178">
        <f>IFERROR(VLOOKUP(D1178,'Lookup Tables'!$A:$C,3,FALSE),IF(ISNUMBER(SEARCH("STEEL",F1178)),"Steel","Others"))</f>
        <v>0</v>
      </c>
      <c r="H1178">
        <f>IF(ISNUMBER(SEARCH("scrubber",F1178)) , "Scrubber", IF(ISNUMBER(SEARCH("container",F1178)),"Container", IF(ISNUMBER(SEARCH("basket",F1178)),"Basket", IF(ISNUMBER(SEARCH("lunch",F1178)),"Lunch Box", IF(ISNUMBER(SEARCH("cutlery",F1178)),"Cutlery","Other")))))</f>
        <v>0</v>
      </c>
      <c r="I1178">
        <f>IF('Raw Data'!G1178&lt;&gt;'','Raw Data'!G1178,IFERROR(MID(F1178,SEARCH("MODEL",F1178)+6,20),""))</f>
        <v>0</v>
      </c>
      <c r="J1178">
        <f>'Raw Data'!H1178</f>
        <v>0</v>
      </c>
      <c r="K1178">
        <f>'Raw Data'!I1178</f>
        <v>0</v>
      </c>
      <c r="L1178">
        <f>IF('Raw Data'!N1178&lt;&gt;0,'Raw Data'!N1178,IFERROR(VALUE(MID(F1178,SEARCH("QTY",F1178)+4,IFERROR(FIND(" ",F1178,SEARCH("QTY",F1178)+4)-(SEARCH("QTY",F1178)+4),3))),""))</f>
        <v>0</v>
      </c>
      <c r="M1178">
        <f>'Raw Data'!O1178</f>
        <v>0</v>
      </c>
      <c r="N1178">
        <f>'Raw Data'!P1178</f>
        <v>0</v>
      </c>
      <c r="O1178">
        <f>'Raw Data'!Q1178</f>
        <v>0</v>
      </c>
      <c r="P1178">
        <f>'Raw Data'!R1178</f>
        <v>0</v>
      </c>
      <c r="Q1178">
        <f>'Raw Data'!S1178</f>
        <v>0</v>
      </c>
      <c r="R1178">
        <f>'Raw Data'!T1178</f>
        <v>0</v>
      </c>
      <c r="S1178">
        <f>IFERROR(O1178,0)+IFERROR(R1178,0)</f>
        <v>0</v>
      </c>
      <c r="T1178">
        <f>IF(A1178="","",YEAR(A1178))</f>
        <v>0</v>
      </c>
    </row>
    <row r="1179" spans="1:20">
      <c r="A1179">
        <f>'Raw Data'!B1179</f>
        <v>0</v>
      </c>
      <c r="B1179">
        <f>'Raw Data'!A1179</f>
        <v>0</v>
      </c>
      <c r="C1179">
        <f>'Raw Data'!C1179</f>
        <v>0</v>
      </c>
      <c r="D1179">
        <f>'Raw Data'!D1179</f>
        <v>0</v>
      </c>
      <c r="E1179">
        <f>IFERROR(VLOOKUP(D1179,'Lookup Tables'!$A:$B,2,FALSE),"Unknown")</f>
        <v>0</v>
      </c>
      <c r="F1179">
        <f>'Raw Data'!E1179</f>
        <v>0</v>
      </c>
      <c r="G1179">
        <f>IFERROR(VLOOKUP(D1179,'Lookup Tables'!$A:$C,3,FALSE),IF(ISNUMBER(SEARCH("STEEL",F1179)),"Steel","Others"))</f>
        <v>0</v>
      </c>
      <c r="H1179">
        <f>IF(ISNUMBER(SEARCH("scrubber",F1179)) , "Scrubber", IF(ISNUMBER(SEARCH("container",F1179)),"Container", IF(ISNUMBER(SEARCH("basket",F1179)),"Basket", IF(ISNUMBER(SEARCH("lunch",F1179)),"Lunch Box", IF(ISNUMBER(SEARCH("cutlery",F1179)),"Cutlery","Other")))))</f>
        <v>0</v>
      </c>
      <c r="I1179">
        <f>IF('Raw Data'!G1179&lt;&gt;'','Raw Data'!G1179,IFERROR(MID(F1179,SEARCH("MODEL",F1179)+6,20),""))</f>
        <v>0</v>
      </c>
      <c r="J1179">
        <f>'Raw Data'!H1179</f>
        <v>0</v>
      </c>
      <c r="K1179">
        <f>'Raw Data'!I1179</f>
        <v>0</v>
      </c>
      <c r="L1179">
        <f>IF('Raw Data'!N1179&lt;&gt;0,'Raw Data'!N1179,IFERROR(VALUE(MID(F1179,SEARCH("QTY",F1179)+4,IFERROR(FIND(" ",F1179,SEARCH("QTY",F1179)+4)-(SEARCH("QTY",F1179)+4),3))),""))</f>
        <v>0</v>
      </c>
      <c r="M1179">
        <f>'Raw Data'!O1179</f>
        <v>0</v>
      </c>
      <c r="N1179">
        <f>'Raw Data'!P1179</f>
        <v>0</v>
      </c>
      <c r="O1179">
        <f>'Raw Data'!Q1179</f>
        <v>0</v>
      </c>
      <c r="P1179">
        <f>'Raw Data'!R1179</f>
        <v>0</v>
      </c>
      <c r="Q1179">
        <f>'Raw Data'!S1179</f>
        <v>0</v>
      </c>
      <c r="R1179">
        <f>'Raw Data'!T1179</f>
        <v>0</v>
      </c>
      <c r="S1179">
        <f>IFERROR(O1179,0)+IFERROR(R1179,0)</f>
        <v>0</v>
      </c>
      <c r="T1179">
        <f>IF(A1179="","",YEAR(A1179))</f>
        <v>0</v>
      </c>
    </row>
    <row r="1180" spans="1:20">
      <c r="A1180">
        <f>'Raw Data'!B1180</f>
        <v>0</v>
      </c>
      <c r="B1180">
        <f>'Raw Data'!A1180</f>
        <v>0</v>
      </c>
      <c r="C1180">
        <f>'Raw Data'!C1180</f>
        <v>0</v>
      </c>
      <c r="D1180">
        <f>'Raw Data'!D1180</f>
        <v>0</v>
      </c>
      <c r="E1180">
        <f>IFERROR(VLOOKUP(D1180,'Lookup Tables'!$A:$B,2,FALSE),"Unknown")</f>
        <v>0</v>
      </c>
      <c r="F1180">
        <f>'Raw Data'!E1180</f>
        <v>0</v>
      </c>
      <c r="G1180">
        <f>IFERROR(VLOOKUP(D1180,'Lookup Tables'!$A:$C,3,FALSE),IF(ISNUMBER(SEARCH("STEEL",F1180)),"Steel","Others"))</f>
        <v>0</v>
      </c>
      <c r="H1180">
        <f>IF(ISNUMBER(SEARCH("scrubber",F1180)) , "Scrubber", IF(ISNUMBER(SEARCH("container",F1180)),"Container", IF(ISNUMBER(SEARCH("basket",F1180)),"Basket", IF(ISNUMBER(SEARCH("lunch",F1180)),"Lunch Box", IF(ISNUMBER(SEARCH("cutlery",F1180)),"Cutlery","Other")))))</f>
        <v>0</v>
      </c>
      <c r="I1180">
        <f>IF('Raw Data'!G1180&lt;&gt;'','Raw Data'!G1180,IFERROR(MID(F1180,SEARCH("MODEL",F1180)+6,20),""))</f>
        <v>0</v>
      </c>
      <c r="J1180">
        <f>'Raw Data'!H1180</f>
        <v>0</v>
      </c>
      <c r="K1180">
        <f>'Raw Data'!I1180</f>
        <v>0</v>
      </c>
      <c r="L1180">
        <f>IF('Raw Data'!N1180&lt;&gt;0,'Raw Data'!N1180,IFERROR(VALUE(MID(F1180,SEARCH("QTY",F1180)+4,IFERROR(FIND(" ",F1180,SEARCH("QTY",F1180)+4)-(SEARCH("QTY",F1180)+4),3))),""))</f>
        <v>0</v>
      </c>
      <c r="M1180">
        <f>'Raw Data'!O1180</f>
        <v>0</v>
      </c>
      <c r="N1180">
        <f>'Raw Data'!P1180</f>
        <v>0</v>
      </c>
      <c r="O1180">
        <f>'Raw Data'!Q1180</f>
        <v>0</v>
      </c>
      <c r="P1180">
        <f>'Raw Data'!R1180</f>
        <v>0</v>
      </c>
      <c r="Q1180">
        <f>'Raw Data'!S1180</f>
        <v>0</v>
      </c>
      <c r="R1180">
        <f>'Raw Data'!T1180</f>
        <v>0</v>
      </c>
      <c r="S1180">
        <f>IFERROR(O1180,0)+IFERROR(R1180,0)</f>
        <v>0</v>
      </c>
      <c r="T1180">
        <f>IF(A1180="","",YEAR(A1180))</f>
        <v>0</v>
      </c>
    </row>
    <row r="1181" spans="1:20">
      <c r="A1181">
        <f>'Raw Data'!B1181</f>
        <v>0</v>
      </c>
      <c r="B1181">
        <f>'Raw Data'!A1181</f>
        <v>0</v>
      </c>
      <c r="C1181">
        <f>'Raw Data'!C1181</f>
        <v>0</v>
      </c>
      <c r="D1181">
        <f>'Raw Data'!D1181</f>
        <v>0</v>
      </c>
      <c r="E1181">
        <f>IFERROR(VLOOKUP(D1181,'Lookup Tables'!$A:$B,2,FALSE),"Unknown")</f>
        <v>0</v>
      </c>
      <c r="F1181">
        <f>'Raw Data'!E1181</f>
        <v>0</v>
      </c>
      <c r="G1181">
        <f>IFERROR(VLOOKUP(D1181,'Lookup Tables'!$A:$C,3,FALSE),IF(ISNUMBER(SEARCH("STEEL",F1181)),"Steel","Others"))</f>
        <v>0</v>
      </c>
      <c r="H1181">
        <f>IF(ISNUMBER(SEARCH("scrubber",F1181)) , "Scrubber", IF(ISNUMBER(SEARCH("container",F1181)),"Container", IF(ISNUMBER(SEARCH("basket",F1181)),"Basket", IF(ISNUMBER(SEARCH("lunch",F1181)),"Lunch Box", IF(ISNUMBER(SEARCH("cutlery",F1181)),"Cutlery","Other")))))</f>
        <v>0</v>
      </c>
      <c r="I1181">
        <f>IF('Raw Data'!G1181&lt;&gt;'','Raw Data'!G1181,IFERROR(MID(F1181,SEARCH("MODEL",F1181)+6,20),""))</f>
        <v>0</v>
      </c>
      <c r="J1181">
        <f>'Raw Data'!H1181</f>
        <v>0</v>
      </c>
      <c r="K1181">
        <f>'Raw Data'!I1181</f>
        <v>0</v>
      </c>
      <c r="L1181">
        <f>IF('Raw Data'!N1181&lt;&gt;0,'Raw Data'!N1181,IFERROR(VALUE(MID(F1181,SEARCH("QTY",F1181)+4,IFERROR(FIND(" ",F1181,SEARCH("QTY",F1181)+4)-(SEARCH("QTY",F1181)+4),3))),""))</f>
        <v>0</v>
      </c>
      <c r="M1181">
        <f>'Raw Data'!O1181</f>
        <v>0</v>
      </c>
      <c r="N1181">
        <f>'Raw Data'!P1181</f>
        <v>0</v>
      </c>
      <c r="O1181">
        <f>'Raw Data'!Q1181</f>
        <v>0</v>
      </c>
      <c r="P1181">
        <f>'Raw Data'!R1181</f>
        <v>0</v>
      </c>
      <c r="Q1181">
        <f>'Raw Data'!S1181</f>
        <v>0</v>
      </c>
      <c r="R1181">
        <f>'Raw Data'!T1181</f>
        <v>0</v>
      </c>
      <c r="S1181">
        <f>IFERROR(O1181,0)+IFERROR(R1181,0)</f>
        <v>0</v>
      </c>
      <c r="T1181">
        <f>IF(A1181="","",YEAR(A1181))</f>
        <v>0</v>
      </c>
    </row>
    <row r="1182" spans="1:20">
      <c r="A1182">
        <f>'Raw Data'!B1182</f>
        <v>0</v>
      </c>
      <c r="B1182">
        <f>'Raw Data'!A1182</f>
        <v>0</v>
      </c>
      <c r="C1182">
        <f>'Raw Data'!C1182</f>
        <v>0</v>
      </c>
      <c r="D1182">
        <f>'Raw Data'!D1182</f>
        <v>0</v>
      </c>
      <c r="E1182">
        <f>IFERROR(VLOOKUP(D1182,'Lookup Tables'!$A:$B,2,FALSE),"Unknown")</f>
        <v>0</v>
      </c>
      <c r="F1182">
        <f>'Raw Data'!E1182</f>
        <v>0</v>
      </c>
      <c r="G1182">
        <f>IFERROR(VLOOKUP(D1182,'Lookup Tables'!$A:$C,3,FALSE),IF(ISNUMBER(SEARCH("STEEL",F1182)),"Steel","Others"))</f>
        <v>0</v>
      </c>
      <c r="H1182">
        <f>IF(ISNUMBER(SEARCH("scrubber",F1182)) , "Scrubber", IF(ISNUMBER(SEARCH("container",F1182)),"Container", IF(ISNUMBER(SEARCH("basket",F1182)),"Basket", IF(ISNUMBER(SEARCH("lunch",F1182)),"Lunch Box", IF(ISNUMBER(SEARCH("cutlery",F1182)),"Cutlery","Other")))))</f>
        <v>0</v>
      </c>
      <c r="I1182">
        <f>IF('Raw Data'!G1182&lt;&gt;'','Raw Data'!G1182,IFERROR(MID(F1182,SEARCH("MODEL",F1182)+6,20),""))</f>
        <v>0</v>
      </c>
      <c r="J1182">
        <f>'Raw Data'!H1182</f>
        <v>0</v>
      </c>
      <c r="K1182">
        <f>'Raw Data'!I1182</f>
        <v>0</v>
      </c>
      <c r="L1182">
        <f>IF('Raw Data'!N1182&lt;&gt;0,'Raw Data'!N1182,IFERROR(VALUE(MID(F1182,SEARCH("QTY",F1182)+4,IFERROR(FIND(" ",F1182,SEARCH("QTY",F1182)+4)-(SEARCH("QTY",F1182)+4),3))),""))</f>
        <v>0</v>
      </c>
      <c r="M1182">
        <f>'Raw Data'!O1182</f>
        <v>0</v>
      </c>
      <c r="N1182">
        <f>'Raw Data'!P1182</f>
        <v>0</v>
      </c>
      <c r="O1182">
        <f>'Raw Data'!Q1182</f>
        <v>0</v>
      </c>
      <c r="P1182">
        <f>'Raw Data'!R1182</f>
        <v>0</v>
      </c>
      <c r="Q1182">
        <f>'Raw Data'!S1182</f>
        <v>0</v>
      </c>
      <c r="R1182">
        <f>'Raw Data'!T1182</f>
        <v>0</v>
      </c>
      <c r="S1182">
        <f>IFERROR(O1182,0)+IFERROR(R1182,0)</f>
        <v>0</v>
      </c>
      <c r="T1182">
        <f>IF(A1182="","",YEAR(A1182))</f>
        <v>0</v>
      </c>
    </row>
    <row r="1183" spans="1:20">
      <c r="A1183">
        <f>'Raw Data'!B1183</f>
        <v>0</v>
      </c>
      <c r="B1183">
        <f>'Raw Data'!A1183</f>
        <v>0</v>
      </c>
      <c r="C1183">
        <f>'Raw Data'!C1183</f>
        <v>0</v>
      </c>
      <c r="D1183">
        <f>'Raw Data'!D1183</f>
        <v>0</v>
      </c>
      <c r="E1183">
        <f>IFERROR(VLOOKUP(D1183,'Lookup Tables'!$A:$B,2,FALSE),"Unknown")</f>
        <v>0</v>
      </c>
      <c r="F1183">
        <f>'Raw Data'!E1183</f>
        <v>0</v>
      </c>
      <c r="G1183">
        <f>IFERROR(VLOOKUP(D1183,'Lookup Tables'!$A:$C,3,FALSE),IF(ISNUMBER(SEARCH("STEEL",F1183)),"Steel","Others"))</f>
        <v>0</v>
      </c>
      <c r="H1183">
        <f>IF(ISNUMBER(SEARCH("scrubber",F1183)) , "Scrubber", IF(ISNUMBER(SEARCH("container",F1183)),"Container", IF(ISNUMBER(SEARCH("basket",F1183)),"Basket", IF(ISNUMBER(SEARCH("lunch",F1183)),"Lunch Box", IF(ISNUMBER(SEARCH("cutlery",F1183)),"Cutlery","Other")))))</f>
        <v>0</v>
      </c>
      <c r="I1183">
        <f>IF('Raw Data'!G1183&lt;&gt;'','Raw Data'!G1183,IFERROR(MID(F1183,SEARCH("MODEL",F1183)+6,20),""))</f>
        <v>0</v>
      </c>
      <c r="J1183">
        <f>'Raw Data'!H1183</f>
        <v>0</v>
      </c>
      <c r="K1183">
        <f>'Raw Data'!I1183</f>
        <v>0</v>
      </c>
      <c r="L1183">
        <f>IF('Raw Data'!N1183&lt;&gt;0,'Raw Data'!N1183,IFERROR(VALUE(MID(F1183,SEARCH("QTY",F1183)+4,IFERROR(FIND(" ",F1183,SEARCH("QTY",F1183)+4)-(SEARCH("QTY",F1183)+4),3))),""))</f>
        <v>0</v>
      </c>
      <c r="M1183">
        <f>'Raw Data'!O1183</f>
        <v>0</v>
      </c>
      <c r="N1183">
        <f>'Raw Data'!P1183</f>
        <v>0</v>
      </c>
      <c r="O1183">
        <f>'Raw Data'!Q1183</f>
        <v>0</v>
      </c>
      <c r="P1183">
        <f>'Raw Data'!R1183</f>
        <v>0</v>
      </c>
      <c r="Q1183">
        <f>'Raw Data'!S1183</f>
        <v>0</v>
      </c>
      <c r="R1183">
        <f>'Raw Data'!T1183</f>
        <v>0</v>
      </c>
      <c r="S1183">
        <f>IFERROR(O1183,0)+IFERROR(R1183,0)</f>
        <v>0</v>
      </c>
      <c r="T1183">
        <f>IF(A1183="","",YEAR(A1183))</f>
        <v>0</v>
      </c>
    </row>
    <row r="1184" spans="1:20">
      <c r="A1184">
        <f>'Raw Data'!B1184</f>
        <v>0</v>
      </c>
      <c r="B1184">
        <f>'Raw Data'!A1184</f>
        <v>0</v>
      </c>
      <c r="C1184">
        <f>'Raw Data'!C1184</f>
        <v>0</v>
      </c>
      <c r="D1184">
        <f>'Raw Data'!D1184</f>
        <v>0</v>
      </c>
      <c r="E1184">
        <f>IFERROR(VLOOKUP(D1184,'Lookup Tables'!$A:$B,2,FALSE),"Unknown")</f>
        <v>0</v>
      </c>
      <c r="F1184">
        <f>'Raw Data'!E1184</f>
        <v>0</v>
      </c>
      <c r="G1184">
        <f>IFERROR(VLOOKUP(D1184,'Lookup Tables'!$A:$C,3,FALSE),IF(ISNUMBER(SEARCH("STEEL",F1184)),"Steel","Others"))</f>
        <v>0</v>
      </c>
      <c r="H1184">
        <f>IF(ISNUMBER(SEARCH("scrubber",F1184)) , "Scrubber", IF(ISNUMBER(SEARCH("container",F1184)),"Container", IF(ISNUMBER(SEARCH("basket",F1184)),"Basket", IF(ISNUMBER(SEARCH("lunch",F1184)),"Lunch Box", IF(ISNUMBER(SEARCH("cutlery",F1184)),"Cutlery","Other")))))</f>
        <v>0</v>
      </c>
      <c r="I1184">
        <f>IF('Raw Data'!G1184&lt;&gt;'','Raw Data'!G1184,IFERROR(MID(F1184,SEARCH("MODEL",F1184)+6,20),""))</f>
        <v>0</v>
      </c>
      <c r="J1184">
        <f>'Raw Data'!H1184</f>
        <v>0</v>
      </c>
      <c r="K1184">
        <f>'Raw Data'!I1184</f>
        <v>0</v>
      </c>
      <c r="L1184">
        <f>IF('Raw Data'!N1184&lt;&gt;0,'Raw Data'!N1184,IFERROR(VALUE(MID(F1184,SEARCH("QTY",F1184)+4,IFERROR(FIND(" ",F1184,SEARCH("QTY",F1184)+4)-(SEARCH("QTY",F1184)+4),3))),""))</f>
        <v>0</v>
      </c>
      <c r="M1184">
        <f>'Raw Data'!O1184</f>
        <v>0</v>
      </c>
      <c r="N1184">
        <f>'Raw Data'!P1184</f>
        <v>0</v>
      </c>
      <c r="O1184">
        <f>'Raw Data'!Q1184</f>
        <v>0</v>
      </c>
      <c r="P1184">
        <f>'Raw Data'!R1184</f>
        <v>0</v>
      </c>
      <c r="Q1184">
        <f>'Raw Data'!S1184</f>
        <v>0</v>
      </c>
      <c r="R1184">
        <f>'Raw Data'!T1184</f>
        <v>0</v>
      </c>
      <c r="S1184">
        <f>IFERROR(O1184,0)+IFERROR(R1184,0)</f>
        <v>0</v>
      </c>
      <c r="T1184">
        <f>IF(A1184="","",YEAR(A1184))</f>
        <v>0</v>
      </c>
    </row>
    <row r="1185" spans="1:20">
      <c r="A1185">
        <f>'Raw Data'!B1185</f>
        <v>0</v>
      </c>
      <c r="B1185">
        <f>'Raw Data'!A1185</f>
        <v>0</v>
      </c>
      <c r="C1185">
        <f>'Raw Data'!C1185</f>
        <v>0</v>
      </c>
      <c r="D1185">
        <f>'Raw Data'!D1185</f>
        <v>0</v>
      </c>
      <c r="E1185">
        <f>IFERROR(VLOOKUP(D1185,'Lookup Tables'!$A:$B,2,FALSE),"Unknown")</f>
        <v>0</v>
      </c>
      <c r="F1185">
        <f>'Raw Data'!E1185</f>
        <v>0</v>
      </c>
      <c r="G1185">
        <f>IFERROR(VLOOKUP(D1185,'Lookup Tables'!$A:$C,3,FALSE),IF(ISNUMBER(SEARCH("STEEL",F1185)),"Steel","Others"))</f>
        <v>0</v>
      </c>
      <c r="H1185">
        <f>IF(ISNUMBER(SEARCH("scrubber",F1185)) , "Scrubber", IF(ISNUMBER(SEARCH("container",F1185)),"Container", IF(ISNUMBER(SEARCH("basket",F1185)),"Basket", IF(ISNUMBER(SEARCH("lunch",F1185)),"Lunch Box", IF(ISNUMBER(SEARCH("cutlery",F1185)),"Cutlery","Other")))))</f>
        <v>0</v>
      </c>
      <c r="I1185">
        <f>IF('Raw Data'!G1185&lt;&gt;'','Raw Data'!G1185,IFERROR(MID(F1185,SEARCH("MODEL",F1185)+6,20),""))</f>
        <v>0</v>
      </c>
      <c r="J1185">
        <f>'Raw Data'!H1185</f>
        <v>0</v>
      </c>
      <c r="K1185">
        <f>'Raw Data'!I1185</f>
        <v>0</v>
      </c>
      <c r="L1185">
        <f>IF('Raw Data'!N1185&lt;&gt;0,'Raw Data'!N1185,IFERROR(VALUE(MID(F1185,SEARCH("QTY",F1185)+4,IFERROR(FIND(" ",F1185,SEARCH("QTY",F1185)+4)-(SEARCH("QTY",F1185)+4),3))),""))</f>
        <v>0</v>
      </c>
      <c r="M1185">
        <f>'Raw Data'!O1185</f>
        <v>0</v>
      </c>
      <c r="N1185">
        <f>'Raw Data'!P1185</f>
        <v>0</v>
      </c>
      <c r="O1185">
        <f>'Raw Data'!Q1185</f>
        <v>0</v>
      </c>
      <c r="P1185">
        <f>'Raw Data'!R1185</f>
        <v>0</v>
      </c>
      <c r="Q1185">
        <f>'Raw Data'!S1185</f>
        <v>0</v>
      </c>
      <c r="R1185">
        <f>'Raw Data'!T1185</f>
        <v>0</v>
      </c>
      <c r="S1185">
        <f>IFERROR(O1185,0)+IFERROR(R1185,0)</f>
        <v>0</v>
      </c>
      <c r="T1185">
        <f>IF(A1185="","",YEAR(A1185))</f>
        <v>0</v>
      </c>
    </row>
    <row r="1186" spans="1:20">
      <c r="A1186">
        <f>'Raw Data'!B1186</f>
        <v>0</v>
      </c>
      <c r="B1186">
        <f>'Raw Data'!A1186</f>
        <v>0</v>
      </c>
      <c r="C1186">
        <f>'Raw Data'!C1186</f>
        <v>0</v>
      </c>
      <c r="D1186">
        <f>'Raw Data'!D1186</f>
        <v>0</v>
      </c>
      <c r="E1186">
        <f>IFERROR(VLOOKUP(D1186,'Lookup Tables'!$A:$B,2,FALSE),"Unknown")</f>
        <v>0</v>
      </c>
      <c r="F1186">
        <f>'Raw Data'!E1186</f>
        <v>0</v>
      </c>
      <c r="G1186">
        <f>IFERROR(VLOOKUP(D1186,'Lookup Tables'!$A:$C,3,FALSE),IF(ISNUMBER(SEARCH("STEEL",F1186)),"Steel","Others"))</f>
        <v>0</v>
      </c>
      <c r="H1186">
        <f>IF(ISNUMBER(SEARCH("scrubber",F1186)) , "Scrubber", IF(ISNUMBER(SEARCH("container",F1186)),"Container", IF(ISNUMBER(SEARCH("basket",F1186)),"Basket", IF(ISNUMBER(SEARCH("lunch",F1186)),"Lunch Box", IF(ISNUMBER(SEARCH("cutlery",F1186)),"Cutlery","Other")))))</f>
        <v>0</v>
      </c>
      <c r="I1186">
        <f>IF('Raw Data'!G1186&lt;&gt;'','Raw Data'!G1186,IFERROR(MID(F1186,SEARCH("MODEL",F1186)+6,20),""))</f>
        <v>0</v>
      </c>
      <c r="J1186">
        <f>'Raw Data'!H1186</f>
        <v>0</v>
      </c>
      <c r="K1186">
        <f>'Raw Data'!I1186</f>
        <v>0</v>
      </c>
      <c r="L1186">
        <f>IF('Raw Data'!N1186&lt;&gt;0,'Raw Data'!N1186,IFERROR(VALUE(MID(F1186,SEARCH("QTY",F1186)+4,IFERROR(FIND(" ",F1186,SEARCH("QTY",F1186)+4)-(SEARCH("QTY",F1186)+4),3))),""))</f>
        <v>0</v>
      </c>
      <c r="M1186">
        <f>'Raw Data'!O1186</f>
        <v>0</v>
      </c>
      <c r="N1186">
        <f>'Raw Data'!P1186</f>
        <v>0</v>
      </c>
      <c r="O1186">
        <f>'Raw Data'!Q1186</f>
        <v>0</v>
      </c>
      <c r="P1186">
        <f>'Raw Data'!R1186</f>
        <v>0</v>
      </c>
      <c r="Q1186">
        <f>'Raw Data'!S1186</f>
        <v>0</v>
      </c>
      <c r="R1186">
        <f>'Raw Data'!T1186</f>
        <v>0</v>
      </c>
      <c r="S1186">
        <f>IFERROR(O1186,0)+IFERROR(R1186,0)</f>
        <v>0</v>
      </c>
      <c r="T1186">
        <f>IF(A1186="","",YEAR(A1186))</f>
        <v>0</v>
      </c>
    </row>
    <row r="1187" spans="1:20">
      <c r="A1187">
        <f>'Raw Data'!B1187</f>
        <v>0</v>
      </c>
      <c r="B1187">
        <f>'Raw Data'!A1187</f>
        <v>0</v>
      </c>
      <c r="C1187">
        <f>'Raw Data'!C1187</f>
        <v>0</v>
      </c>
      <c r="D1187">
        <f>'Raw Data'!D1187</f>
        <v>0</v>
      </c>
      <c r="E1187">
        <f>IFERROR(VLOOKUP(D1187,'Lookup Tables'!$A:$B,2,FALSE),"Unknown")</f>
        <v>0</v>
      </c>
      <c r="F1187">
        <f>'Raw Data'!E1187</f>
        <v>0</v>
      </c>
      <c r="G1187">
        <f>IFERROR(VLOOKUP(D1187,'Lookup Tables'!$A:$C,3,FALSE),IF(ISNUMBER(SEARCH("STEEL",F1187)),"Steel","Others"))</f>
        <v>0</v>
      </c>
      <c r="H1187">
        <f>IF(ISNUMBER(SEARCH("scrubber",F1187)) , "Scrubber", IF(ISNUMBER(SEARCH("container",F1187)),"Container", IF(ISNUMBER(SEARCH("basket",F1187)),"Basket", IF(ISNUMBER(SEARCH("lunch",F1187)),"Lunch Box", IF(ISNUMBER(SEARCH("cutlery",F1187)),"Cutlery","Other")))))</f>
        <v>0</v>
      </c>
      <c r="I1187">
        <f>IF('Raw Data'!G1187&lt;&gt;'','Raw Data'!G1187,IFERROR(MID(F1187,SEARCH("MODEL",F1187)+6,20),""))</f>
        <v>0</v>
      </c>
      <c r="J1187">
        <f>'Raw Data'!H1187</f>
        <v>0</v>
      </c>
      <c r="K1187">
        <f>'Raw Data'!I1187</f>
        <v>0</v>
      </c>
      <c r="L1187">
        <f>IF('Raw Data'!N1187&lt;&gt;0,'Raw Data'!N1187,IFERROR(VALUE(MID(F1187,SEARCH("QTY",F1187)+4,IFERROR(FIND(" ",F1187,SEARCH("QTY",F1187)+4)-(SEARCH("QTY",F1187)+4),3))),""))</f>
        <v>0</v>
      </c>
      <c r="M1187">
        <f>'Raw Data'!O1187</f>
        <v>0</v>
      </c>
      <c r="N1187">
        <f>'Raw Data'!P1187</f>
        <v>0</v>
      </c>
      <c r="O1187">
        <f>'Raw Data'!Q1187</f>
        <v>0</v>
      </c>
      <c r="P1187">
        <f>'Raw Data'!R1187</f>
        <v>0</v>
      </c>
      <c r="Q1187">
        <f>'Raw Data'!S1187</f>
        <v>0</v>
      </c>
      <c r="R1187">
        <f>'Raw Data'!T1187</f>
        <v>0</v>
      </c>
      <c r="S1187">
        <f>IFERROR(O1187,0)+IFERROR(R1187,0)</f>
        <v>0</v>
      </c>
      <c r="T1187">
        <f>IF(A1187="","",YEAR(A1187))</f>
        <v>0</v>
      </c>
    </row>
    <row r="1188" spans="1:20">
      <c r="A1188">
        <f>'Raw Data'!B1188</f>
        <v>0</v>
      </c>
      <c r="B1188">
        <f>'Raw Data'!A1188</f>
        <v>0</v>
      </c>
      <c r="C1188">
        <f>'Raw Data'!C1188</f>
        <v>0</v>
      </c>
      <c r="D1188">
        <f>'Raw Data'!D1188</f>
        <v>0</v>
      </c>
      <c r="E1188">
        <f>IFERROR(VLOOKUP(D1188,'Lookup Tables'!$A:$B,2,FALSE),"Unknown")</f>
        <v>0</v>
      </c>
      <c r="F1188">
        <f>'Raw Data'!E1188</f>
        <v>0</v>
      </c>
      <c r="G1188">
        <f>IFERROR(VLOOKUP(D1188,'Lookup Tables'!$A:$C,3,FALSE),IF(ISNUMBER(SEARCH("STEEL",F1188)),"Steel","Others"))</f>
        <v>0</v>
      </c>
      <c r="H1188">
        <f>IF(ISNUMBER(SEARCH("scrubber",F1188)) , "Scrubber", IF(ISNUMBER(SEARCH("container",F1188)),"Container", IF(ISNUMBER(SEARCH("basket",F1188)),"Basket", IF(ISNUMBER(SEARCH("lunch",F1188)),"Lunch Box", IF(ISNUMBER(SEARCH("cutlery",F1188)),"Cutlery","Other")))))</f>
        <v>0</v>
      </c>
      <c r="I1188">
        <f>IF('Raw Data'!G1188&lt;&gt;'','Raw Data'!G1188,IFERROR(MID(F1188,SEARCH("MODEL",F1188)+6,20),""))</f>
        <v>0</v>
      </c>
      <c r="J1188">
        <f>'Raw Data'!H1188</f>
        <v>0</v>
      </c>
      <c r="K1188">
        <f>'Raw Data'!I1188</f>
        <v>0</v>
      </c>
      <c r="L1188">
        <f>IF('Raw Data'!N1188&lt;&gt;0,'Raw Data'!N1188,IFERROR(VALUE(MID(F1188,SEARCH("QTY",F1188)+4,IFERROR(FIND(" ",F1188,SEARCH("QTY",F1188)+4)-(SEARCH("QTY",F1188)+4),3))),""))</f>
        <v>0</v>
      </c>
      <c r="M1188">
        <f>'Raw Data'!O1188</f>
        <v>0</v>
      </c>
      <c r="N1188">
        <f>'Raw Data'!P1188</f>
        <v>0</v>
      </c>
      <c r="O1188">
        <f>'Raw Data'!Q1188</f>
        <v>0</v>
      </c>
      <c r="P1188">
        <f>'Raw Data'!R1188</f>
        <v>0</v>
      </c>
      <c r="Q1188">
        <f>'Raw Data'!S1188</f>
        <v>0</v>
      </c>
      <c r="R1188">
        <f>'Raw Data'!T1188</f>
        <v>0</v>
      </c>
      <c r="S1188">
        <f>IFERROR(O1188,0)+IFERROR(R1188,0)</f>
        <v>0</v>
      </c>
      <c r="T1188">
        <f>IF(A1188="","",YEAR(A1188))</f>
        <v>0</v>
      </c>
    </row>
    <row r="1189" spans="1:20">
      <c r="A1189">
        <f>'Raw Data'!B1189</f>
        <v>0</v>
      </c>
      <c r="B1189">
        <f>'Raw Data'!A1189</f>
        <v>0</v>
      </c>
      <c r="C1189">
        <f>'Raw Data'!C1189</f>
        <v>0</v>
      </c>
      <c r="D1189">
        <f>'Raw Data'!D1189</f>
        <v>0</v>
      </c>
      <c r="E1189">
        <f>IFERROR(VLOOKUP(D1189,'Lookup Tables'!$A:$B,2,FALSE),"Unknown")</f>
        <v>0</v>
      </c>
      <c r="F1189">
        <f>'Raw Data'!E1189</f>
        <v>0</v>
      </c>
      <c r="G1189">
        <f>IFERROR(VLOOKUP(D1189,'Lookup Tables'!$A:$C,3,FALSE),IF(ISNUMBER(SEARCH("STEEL",F1189)),"Steel","Others"))</f>
        <v>0</v>
      </c>
      <c r="H1189">
        <f>IF(ISNUMBER(SEARCH("scrubber",F1189)) , "Scrubber", IF(ISNUMBER(SEARCH("container",F1189)),"Container", IF(ISNUMBER(SEARCH("basket",F1189)),"Basket", IF(ISNUMBER(SEARCH("lunch",F1189)),"Lunch Box", IF(ISNUMBER(SEARCH("cutlery",F1189)),"Cutlery","Other")))))</f>
        <v>0</v>
      </c>
      <c r="I1189">
        <f>IF('Raw Data'!G1189&lt;&gt;'','Raw Data'!G1189,IFERROR(MID(F1189,SEARCH("MODEL",F1189)+6,20),""))</f>
        <v>0</v>
      </c>
      <c r="J1189">
        <f>'Raw Data'!H1189</f>
        <v>0</v>
      </c>
      <c r="K1189">
        <f>'Raw Data'!I1189</f>
        <v>0</v>
      </c>
      <c r="L1189">
        <f>IF('Raw Data'!N1189&lt;&gt;0,'Raw Data'!N1189,IFERROR(VALUE(MID(F1189,SEARCH("QTY",F1189)+4,IFERROR(FIND(" ",F1189,SEARCH("QTY",F1189)+4)-(SEARCH("QTY",F1189)+4),3))),""))</f>
        <v>0</v>
      </c>
      <c r="M1189">
        <f>'Raw Data'!O1189</f>
        <v>0</v>
      </c>
      <c r="N1189">
        <f>'Raw Data'!P1189</f>
        <v>0</v>
      </c>
      <c r="O1189">
        <f>'Raw Data'!Q1189</f>
        <v>0</v>
      </c>
      <c r="P1189">
        <f>'Raw Data'!R1189</f>
        <v>0</v>
      </c>
      <c r="Q1189">
        <f>'Raw Data'!S1189</f>
        <v>0</v>
      </c>
      <c r="R1189">
        <f>'Raw Data'!T1189</f>
        <v>0</v>
      </c>
      <c r="S1189">
        <f>IFERROR(O1189,0)+IFERROR(R1189,0)</f>
        <v>0</v>
      </c>
      <c r="T1189">
        <f>IF(A1189="","",YEAR(A1189))</f>
        <v>0</v>
      </c>
    </row>
    <row r="1190" spans="1:20">
      <c r="A1190">
        <f>'Raw Data'!B1190</f>
        <v>0</v>
      </c>
      <c r="B1190">
        <f>'Raw Data'!A1190</f>
        <v>0</v>
      </c>
      <c r="C1190">
        <f>'Raw Data'!C1190</f>
        <v>0</v>
      </c>
      <c r="D1190">
        <f>'Raw Data'!D1190</f>
        <v>0</v>
      </c>
      <c r="E1190">
        <f>IFERROR(VLOOKUP(D1190,'Lookup Tables'!$A:$B,2,FALSE),"Unknown")</f>
        <v>0</v>
      </c>
      <c r="F1190">
        <f>'Raw Data'!E1190</f>
        <v>0</v>
      </c>
      <c r="G1190">
        <f>IFERROR(VLOOKUP(D1190,'Lookup Tables'!$A:$C,3,FALSE),IF(ISNUMBER(SEARCH("STEEL",F1190)),"Steel","Others"))</f>
        <v>0</v>
      </c>
      <c r="H1190">
        <f>IF(ISNUMBER(SEARCH("scrubber",F1190)) , "Scrubber", IF(ISNUMBER(SEARCH("container",F1190)),"Container", IF(ISNUMBER(SEARCH("basket",F1190)),"Basket", IF(ISNUMBER(SEARCH("lunch",F1190)),"Lunch Box", IF(ISNUMBER(SEARCH("cutlery",F1190)),"Cutlery","Other")))))</f>
        <v>0</v>
      </c>
      <c r="I1190">
        <f>IF('Raw Data'!G1190&lt;&gt;'','Raw Data'!G1190,IFERROR(MID(F1190,SEARCH("MODEL",F1190)+6,20),""))</f>
        <v>0</v>
      </c>
      <c r="J1190">
        <f>'Raw Data'!H1190</f>
        <v>0</v>
      </c>
      <c r="K1190">
        <f>'Raw Data'!I1190</f>
        <v>0</v>
      </c>
      <c r="L1190">
        <f>IF('Raw Data'!N1190&lt;&gt;0,'Raw Data'!N1190,IFERROR(VALUE(MID(F1190,SEARCH("QTY",F1190)+4,IFERROR(FIND(" ",F1190,SEARCH("QTY",F1190)+4)-(SEARCH("QTY",F1190)+4),3))),""))</f>
        <v>0</v>
      </c>
      <c r="M1190">
        <f>'Raw Data'!O1190</f>
        <v>0</v>
      </c>
      <c r="N1190">
        <f>'Raw Data'!P1190</f>
        <v>0</v>
      </c>
      <c r="O1190">
        <f>'Raw Data'!Q1190</f>
        <v>0</v>
      </c>
      <c r="P1190">
        <f>'Raw Data'!R1190</f>
        <v>0</v>
      </c>
      <c r="Q1190">
        <f>'Raw Data'!S1190</f>
        <v>0</v>
      </c>
      <c r="R1190">
        <f>'Raw Data'!T1190</f>
        <v>0</v>
      </c>
      <c r="S1190">
        <f>IFERROR(O1190,0)+IFERROR(R1190,0)</f>
        <v>0</v>
      </c>
      <c r="T1190">
        <f>IF(A1190="","",YEAR(A1190))</f>
        <v>0</v>
      </c>
    </row>
    <row r="1191" spans="1:20">
      <c r="A1191">
        <f>'Raw Data'!B1191</f>
        <v>0</v>
      </c>
      <c r="B1191">
        <f>'Raw Data'!A1191</f>
        <v>0</v>
      </c>
      <c r="C1191">
        <f>'Raw Data'!C1191</f>
        <v>0</v>
      </c>
      <c r="D1191">
        <f>'Raw Data'!D1191</f>
        <v>0</v>
      </c>
      <c r="E1191">
        <f>IFERROR(VLOOKUP(D1191,'Lookup Tables'!$A:$B,2,FALSE),"Unknown")</f>
        <v>0</v>
      </c>
      <c r="F1191">
        <f>'Raw Data'!E1191</f>
        <v>0</v>
      </c>
      <c r="G1191">
        <f>IFERROR(VLOOKUP(D1191,'Lookup Tables'!$A:$C,3,FALSE),IF(ISNUMBER(SEARCH("STEEL",F1191)),"Steel","Others"))</f>
        <v>0</v>
      </c>
      <c r="H1191">
        <f>IF(ISNUMBER(SEARCH("scrubber",F1191)) , "Scrubber", IF(ISNUMBER(SEARCH("container",F1191)),"Container", IF(ISNUMBER(SEARCH("basket",F1191)),"Basket", IF(ISNUMBER(SEARCH("lunch",F1191)),"Lunch Box", IF(ISNUMBER(SEARCH("cutlery",F1191)),"Cutlery","Other")))))</f>
        <v>0</v>
      </c>
      <c r="I1191">
        <f>IF('Raw Data'!G1191&lt;&gt;'','Raw Data'!G1191,IFERROR(MID(F1191,SEARCH("MODEL",F1191)+6,20),""))</f>
        <v>0</v>
      </c>
      <c r="J1191">
        <f>'Raw Data'!H1191</f>
        <v>0</v>
      </c>
      <c r="K1191">
        <f>'Raw Data'!I1191</f>
        <v>0</v>
      </c>
      <c r="L1191">
        <f>IF('Raw Data'!N1191&lt;&gt;0,'Raw Data'!N1191,IFERROR(VALUE(MID(F1191,SEARCH("QTY",F1191)+4,IFERROR(FIND(" ",F1191,SEARCH("QTY",F1191)+4)-(SEARCH("QTY",F1191)+4),3))),""))</f>
        <v>0</v>
      </c>
      <c r="M1191">
        <f>'Raw Data'!O1191</f>
        <v>0</v>
      </c>
      <c r="N1191">
        <f>'Raw Data'!P1191</f>
        <v>0</v>
      </c>
      <c r="O1191">
        <f>'Raw Data'!Q1191</f>
        <v>0</v>
      </c>
      <c r="P1191">
        <f>'Raw Data'!R1191</f>
        <v>0</v>
      </c>
      <c r="Q1191">
        <f>'Raw Data'!S1191</f>
        <v>0</v>
      </c>
      <c r="R1191">
        <f>'Raw Data'!T1191</f>
        <v>0</v>
      </c>
      <c r="S1191">
        <f>IFERROR(O1191,0)+IFERROR(R1191,0)</f>
        <v>0</v>
      </c>
      <c r="T1191">
        <f>IF(A1191="","",YEAR(A1191))</f>
        <v>0</v>
      </c>
    </row>
    <row r="1192" spans="1:20">
      <c r="A1192">
        <f>'Raw Data'!B1192</f>
        <v>0</v>
      </c>
      <c r="B1192">
        <f>'Raw Data'!A1192</f>
        <v>0</v>
      </c>
      <c r="C1192">
        <f>'Raw Data'!C1192</f>
        <v>0</v>
      </c>
      <c r="D1192">
        <f>'Raw Data'!D1192</f>
        <v>0</v>
      </c>
      <c r="E1192">
        <f>IFERROR(VLOOKUP(D1192,'Lookup Tables'!$A:$B,2,FALSE),"Unknown")</f>
        <v>0</v>
      </c>
      <c r="F1192">
        <f>'Raw Data'!E1192</f>
        <v>0</v>
      </c>
      <c r="G1192">
        <f>IFERROR(VLOOKUP(D1192,'Lookup Tables'!$A:$C,3,FALSE),IF(ISNUMBER(SEARCH("STEEL",F1192)),"Steel","Others"))</f>
        <v>0</v>
      </c>
      <c r="H1192">
        <f>IF(ISNUMBER(SEARCH("scrubber",F1192)) , "Scrubber", IF(ISNUMBER(SEARCH("container",F1192)),"Container", IF(ISNUMBER(SEARCH("basket",F1192)),"Basket", IF(ISNUMBER(SEARCH("lunch",F1192)),"Lunch Box", IF(ISNUMBER(SEARCH("cutlery",F1192)),"Cutlery","Other")))))</f>
        <v>0</v>
      </c>
      <c r="I1192">
        <f>IF('Raw Data'!G1192&lt;&gt;'','Raw Data'!G1192,IFERROR(MID(F1192,SEARCH("MODEL",F1192)+6,20),""))</f>
        <v>0</v>
      </c>
      <c r="J1192">
        <f>'Raw Data'!H1192</f>
        <v>0</v>
      </c>
      <c r="K1192">
        <f>'Raw Data'!I1192</f>
        <v>0</v>
      </c>
      <c r="L1192">
        <f>IF('Raw Data'!N1192&lt;&gt;0,'Raw Data'!N1192,IFERROR(VALUE(MID(F1192,SEARCH("QTY",F1192)+4,IFERROR(FIND(" ",F1192,SEARCH("QTY",F1192)+4)-(SEARCH("QTY",F1192)+4),3))),""))</f>
        <v>0</v>
      </c>
      <c r="M1192">
        <f>'Raw Data'!O1192</f>
        <v>0</v>
      </c>
      <c r="N1192">
        <f>'Raw Data'!P1192</f>
        <v>0</v>
      </c>
      <c r="O1192">
        <f>'Raw Data'!Q1192</f>
        <v>0</v>
      </c>
      <c r="P1192">
        <f>'Raw Data'!R1192</f>
        <v>0</v>
      </c>
      <c r="Q1192">
        <f>'Raw Data'!S1192</f>
        <v>0</v>
      </c>
      <c r="R1192">
        <f>'Raw Data'!T1192</f>
        <v>0</v>
      </c>
      <c r="S1192">
        <f>IFERROR(O1192,0)+IFERROR(R1192,0)</f>
        <v>0</v>
      </c>
      <c r="T1192">
        <f>IF(A1192="","",YEAR(A1192))</f>
        <v>0</v>
      </c>
    </row>
    <row r="1193" spans="1:20">
      <c r="A1193">
        <f>'Raw Data'!B1193</f>
        <v>0</v>
      </c>
      <c r="B1193">
        <f>'Raw Data'!A1193</f>
        <v>0</v>
      </c>
      <c r="C1193">
        <f>'Raw Data'!C1193</f>
        <v>0</v>
      </c>
      <c r="D1193">
        <f>'Raw Data'!D1193</f>
        <v>0</v>
      </c>
      <c r="E1193">
        <f>IFERROR(VLOOKUP(D1193,'Lookup Tables'!$A:$B,2,FALSE),"Unknown")</f>
        <v>0</v>
      </c>
      <c r="F1193">
        <f>'Raw Data'!E1193</f>
        <v>0</v>
      </c>
      <c r="G1193">
        <f>IFERROR(VLOOKUP(D1193,'Lookup Tables'!$A:$C,3,FALSE),IF(ISNUMBER(SEARCH("STEEL",F1193)),"Steel","Others"))</f>
        <v>0</v>
      </c>
      <c r="H1193">
        <f>IF(ISNUMBER(SEARCH("scrubber",F1193)) , "Scrubber", IF(ISNUMBER(SEARCH("container",F1193)),"Container", IF(ISNUMBER(SEARCH("basket",F1193)),"Basket", IF(ISNUMBER(SEARCH("lunch",F1193)),"Lunch Box", IF(ISNUMBER(SEARCH("cutlery",F1193)),"Cutlery","Other")))))</f>
        <v>0</v>
      </c>
      <c r="I1193">
        <f>IF('Raw Data'!G1193&lt;&gt;'','Raw Data'!G1193,IFERROR(MID(F1193,SEARCH("MODEL",F1193)+6,20),""))</f>
        <v>0</v>
      </c>
      <c r="J1193">
        <f>'Raw Data'!H1193</f>
        <v>0</v>
      </c>
      <c r="K1193">
        <f>'Raw Data'!I1193</f>
        <v>0</v>
      </c>
      <c r="L1193">
        <f>IF('Raw Data'!N1193&lt;&gt;0,'Raw Data'!N1193,IFERROR(VALUE(MID(F1193,SEARCH("QTY",F1193)+4,IFERROR(FIND(" ",F1193,SEARCH("QTY",F1193)+4)-(SEARCH("QTY",F1193)+4),3))),""))</f>
        <v>0</v>
      </c>
      <c r="M1193">
        <f>'Raw Data'!O1193</f>
        <v>0</v>
      </c>
      <c r="N1193">
        <f>'Raw Data'!P1193</f>
        <v>0</v>
      </c>
      <c r="O1193">
        <f>'Raw Data'!Q1193</f>
        <v>0</v>
      </c>
      <c r="P1193">
        <f>'Raw Data'!R1193</f>
        <v>0</v>
      </c>
      <c r="Q1193">
        <f>'Raw Data'!S1193</f>
        <v>0</v>
      </c>
      <c r="R1193">
        <f>'Raw Data'!T1193</f>
        <v>0</v>
      </c>
      <c r="S1193">
        <f>IFERROR(O1193,0)+IFERROR(R1193,0)</f>
        <v>0</v>
      </c>
      <c r="T1193">
        <f>IF(A1193="","",YEAR(A1193))</f>
        <v>0</v>
      </c>
    </row>
    <row r="1194" spans="1:20">
      <c r="A1194">
        <f>'Raw Data'!B1194</f>
        <v>0</v>
      </c>
      <c r="B1194">
        <f>'Raw Data'!A1194</f>
        <v>0</v>
      </c>
      <c r="C1194">
        <f>'Raw Data'!C1194</f>
        <v>0</v>
      </c>
      <c r="D1194">
        <f>'Raw Data'!D1194</f>
        <v>0</v>
      </c>
      <c r="E1194">
        <f>IFERROR(VLOOKUP(D1194,'Lookup Tables'!$A:$B,2,FALSE),"Unknown")</f>
        <v>0</v>
      </c>
      <c r="F1194">
        <f>'Raw Data'!E1194</f>
        <v>0</v>
      </c>
      <c r="G1194">
        <f>IFERROR(VLOOKUP(D1194,'Lookup Tables'!$A:$C,3,FALSE),IF(ISNUMBER(SEARCH("STEEL",F1194)),"Steel","Others"))</f>
        <v>0</v>
      </c>
      <c r="H1194">
        <f>IF(ISNUMBER(SEARCH("scrubber",F1194)) , "Scrubber", IF(ISNUMBER(SEARCH("container",F1194)),"Container", IF(ISNUMBER(SEARCH("basket",F1194)),"Basket", IF(ISNUMBER(SEARCH("lunch",F1194)),"Lunch Box", IF(ISNUMBER(SEARCH("cutlery",F1194)),"Cutlery","Other")))))</f>
        <v>0</v>
      </c>
      <c r="I1194">
        <f>IF('Raw Data'!G1194&lt;&gt;'','Raw Data'!G1194,IFERROR(MID(F1194,SEARCH("MODEL",F1194)+6,20),""))</f>
        <v>0</v>
      </c>
      <c r="J1194">
        <f>'Raw Data'!H1194</f>
        <v>0</v>
      </c>
      <c r="K1194">
        <f>'Raw Data'!I1194</f>
        <v>0</v>
      </c>
      <c r="L1194">
        <f>IF('Raw Data'!N1194&lt;&gt;0,'Raw Data'!N1194,IFERROR(VALUE(MID(F1194,SEARCH("QTY",F1194)+4,IFERROR(FIND(" ",F1194,SEARCH("QTY",F1194)+4)-(SEARCH("QTY",F1194)+4),3))),""))</f>
        <v>0</v>
      </c>
      <c r="M1194">
        <f>'Raw Data'!O1194</f>
        <v>0</v>
      </c>
      <c r="N1194">
        <f>'Raw Data'!P1194</f>
        <v>0</v>
      </c>
      <c r="O1194">
        <f>'Raw Data'!Q1194</f>
        <v>0</v>
      </c>
      <c r="P1194">
        <f>'Raw Data'!R1194</f>
        <v>0</v>
      </c>
      <c r="Q1194">
        <f>'Raw Data'!S1194</f>
        <v>0</v>
      </c>
      <c r="R1194">
        <f>'Raw Data'!T1194</f>
        <v>0</v>
      </c>
      <c r="S1194">
        <f>IFERROR(O1194,0)+IFERROR(R1194,0)</f>
        <v>0</v>
      </c>
      <c r="T1194">
        <f>IF(A1194="","",YEAR(A1194))</f>
        <v>0</v>
      </c>
    </row>
    <row r="1195" spans="1:20">
      <c r="A1195">
        <f>'Raw Data'!B1195</f>
        <v>0</v>
      </c>
      <c r="B1195">
        <f>'Raw Data'!A1195</f>
        <v>0</v>
      </c>
      <c r="C1195">
        <f>'Raw Data'!C1195</f>
        <v>0</v>
      </c>
      <c r="D1195">
        <f>'Raw Data'!D1195</f>
        <v>0</v>
      </c>
      <c r="E1195">
        <f>IFERROR(VLOOKUP(D1195,'Lookup Tables'!$A:$B,2,FALSE),"Unknown")</f>
        <v>0</v>
      </c>
      <c r="F1195">
        <f>'Raw Data'!E1195</f>
        <v>0</v>
      </c>
      <c r="G1195">
        <f>IFERROR(VLOOKUP(D1195,'Lookup Tables'!$A:$C,3,FALSE),IF(ISNUMBER(SEARCH("STEEL",F1195)),"Steel","Others"))</f>
        <v>0</v>
      </c>
      <c r="H1195">
        <f>IF(ISNUMBER(SEARCH("scrubber",F1195)) , "Scrubber", IF(ISNUMBER(SEARCH("container",F1195)),"Container", IF(ISNUMBER(SEARCH("basket",F1195)),"Basket", IF(ISNUMBER(SEARCH("lunch",F1195)),"Lunch Box", IF(ISNUMBER(SEARCH("cutlery",F1195)),"Cutlery","Other")))))</f>
        <v>0</v>
      </c>
      <c r="I1195">
        <f>IF('Raw Data'!G1195&lt;&gt;'','Raw Data'!G1195,IFERROR(MID(F1195,SEARCH("MODEL",F1195)+6,20),""))</f>
        <v>0</v>
      </c>
      <c r="J1195">
        <f>'Raw Data'!H1195</f>
        <v>0</v>
      </c>
      <c r="K1195">
        <f>'Raw Data'!I1195</f>
        <v>0</v>
      </c>
      <c r="L1195">
        <f>IF('Raw Data'!N1195&lt;&gt;0,'Raw Data'!N1195,IFERROR(VALUE(MID(F1195,SEARCH("QTY",F1195)+4,IFERROR(FIND(" ",F1195,SEARCH("QTY",F1195)+4)-(SEARCH("QTY",F1195)+4),3))),""))</f>
        <v>0</v>
      </c>
      <c r="M1195">
        <f>'Raw Data'!O1195</f>
        <v>0</v>
      </c>
      <c r="N1195">
        <f>'Raw Data'!P1195</f>
        <v>0</v>
      </c>
      <c r="O1195">
        <f>'Raw Data'!Q1195</f>
        <v>0</v>
      </c>
      <c r="P1195">
        <f>'Raw Data'!R1195</f>
        <v>0</v>
      </c>
      <c r="Q1195">
        <f>'Raw Data'!S1195</f>
        <v>0</v>
      </c>
      <c r="R1195">
        <f>'Raw Data'!T1195</f>
        <v>0</v>
      </c>
      <c r="S1195">
        <f>IFERROR(O1195,0)+IFERROR(R1195,0)</f>
        <v>0</v>
      </c>
      <c r="T1195">
        <f>IF(A1195="","",YEAR(A1195))</f>
        <v>0</v>
      </c>
    </row>
    <row r="1196" spans="1:20">
      <c r="A1196">
        <f>'Raw Data'!B1196</f>
        <v>0</v>
      </c>
      <c r="B1196">
        <f>'Raw Data'!A1196</f>
        <v>0</v>
      </c>
      <c r="C1196">
        <f>'Raw Data'!C1196</f>
        <v>0</v>
      </c>
      <c r="D1196">
        <f>'Raw Data'!D1196</f>
        <v>0</v>
      </c>
      <c r="E1196">
        <f>IFERROR(VLOOKUP(D1196,'Lookup Tables'!$A:$B,2,FALSE),"Unknown")</f>
        <v>0</v>
      </c>
      <c r="F1196">
        <f>'Raw Data'!E1196</f>
        <v>0</v>
      </c>
      <c r="G1196">
        <f>IFERROR(VLOOKUP(D1196,'Lookup Tables'!$A:$C,3,FALSE),IF(ISNUMBER(SEARCH("STEEL",F1196)),"Steel","Others"))</f>
        <v>0</v>
      </c>
      <c r="H1196">
        <f>IF(ISNUMBER(SEARCH("scrubber",F1196)) , "Scrubber", IF(ISNUMBER(SEARCH("container",F1196)),"Container", IF(ISNUMBER(SEARCH("basket",F1196)),"Basket", IF(ISNUMBER(SEARCH("lunch",F1196)),"Lunch Box", IF(ISNUMBER(SEARCH("cutlery",F1196)),"Cutlery","Other")))))</f>
        <v>0</v>
      </c>
      <c r="I1196">
        <f>IF('Raw Data'!G1196&lt;&gt;'','Raw Data'!G1196,IFERROR(MID(F1196,SEARCH("MODEL",F1196)+6,20),""))</f>
        <v>0</v>
      </c>
      <c r="J1196">
        <f>'Raw Data'!H1196</f>
        <v>0</v>
      </c>
      <c r="K1196">
        <f>'Raw Data'!I1196</f>
        <v>0</v>
      </c>
      <c r="L1196">
        <f>IF('Raw Data'!N1196&lt;&gt;0,'Raw Data'!N1196,IFERROR(VALUE(MID(F1196,SEARCH("QTY",F1196)+4,IFERROR(FIND(" ",F1196,SEARCH("QTY",F1196)+4)-(SEARCH("QTY",F1196)+4),3))),""))</f>
        <v>0</v>
      </c>
      <c r="M1196">
        <f>'Raw Data'!O1196</f>
        <v>0</v>
      </c>
      <c r="N1196">
        <f>'Raw Data'!P1196</f>
        <v>0</v>
      </c>
      <c r="O1196">
        <f>'Raw Data'!Q1196</f>
        <v>0</v>
      </c>
      <c r="P1196">
        <f>'Raw Data'!R1196</f>
        <v>0</v>
      </c>
      <c r="Q1196">
        <f>'Raw Data'!S1196</f>
        <v>0</v>
      </c>
      <c r="R1196">
        <f>'Raw Data'!T1196</f>
        <v>0</v>
      </c>
      <c r="S1196">
        <f>IFERROR(O1196,0)+IFERROR(R1196,0)</f>
        <v>0</v>
      </c>
      <c r="T1196">
        <f>IF(A1196="","",YEAR(A1196))</f>
        <v>0</v>
      </c>
    </row>
    <row r="1197" spans="1:20">
      <c r="A1197">
        <f>'Raw Data'!B1197</f>
        <v>0</v>
      </c>
      <c r="B1197">
        <f>'Raw Data'!A1197</f>
        <v>0</v>
      </c>
      <c r="C1197">
        <f>'Raw Data'!C1197</f>
        <v>0</v>
      </c>
      <c r="D1197">
        <f>'Raw Data'!D1197</f>
        <v>0</v>
      </c>
      <c r="E1197">
        <f>IFERROR(VLOOKUP(D1197,'Lookup Tables'!$A:$B,2,FALSE),"Unknown")</f>
        <v>0</v>
      </c>
      <c r="F1197">
        <f>'Raw Data'!E1197</f>
        <v>0</v>
      </c>
      <c r="G1197">
        <f>IFERROR(VLOOKUP(D1197,'Lookup Tables'!$A:$C,3,FALSE),IF(ISNUMBER(SEARCH("STEEL",F1197)),"Steel","Others"))</f>
        <v>0</v>
      </c>
      <c r="H1197">
        <f>IF(ISNUMBER(SEARCH("scrubber",F1197)) , "Scrubber", IF(ISNUMBER(SEARCH("container",F1197)),"Container", IF(ISNUMBER(SEARCH("basket",F1197)),"Basket", IF(ISNUMBER(SEARCH("lunch",F1197)),"Lunch Box", IF(ISNUMBER(SEARCH("cutlery",F1197)),"Cutlery","Other")))))</f>
        <v>0</v>
      </c>
      <c r="I1197">
        <f>IF('Raw Data'!G1197&lt;&gt;'','Raw Data'!G1197,IFERROR(MID(F1197,SEARCH("MODEL",F1197)+6,20),""))</f>
        <v>0</v>
      </c>
      <c r="J1197">
        <f>'Raw Data'!H1197</f>
        <v>0</v>
      </c>
      <c r="K1197">
        <f>'Raw Data'!I1197</f>
        <v>0</v>
      </c>
      <c r="L1197">
        <f>IF('Raw Data'!N1197&lt;&gt;0,'Raw Data'!N1197,IFERROR(VALUE(MID(F1197,SEARCH("QTY",F1197)+4,IFERROR(FIND(" ",F1197,SEARCH("QTY",F1197)+4)-(SEARCH("QTY",F1197)+4),3))),""))</f>
        <v>0</v>
      </c>
      <c r="M1197">
        <f>'Raw Data'!O1197</f>
        <v>0</v>
      </c>
      <c r="N1197">
        <f>'Raw Data'!P1197</f>
        <v>0</v>
      </c>
      <c r="O1197">
        <f>'Raw Data'!Q1197</f>
        <v>0</v>
      </c>
      <c r="P1197">
        <f>'Raw Data'!R1197</f>
        <v>0</v>
      </c>
      <c r="Q1197">
        <f>'Raw Data'!S1197</f>
        <v>0</v>
      </c>
      <c r="R1197">
        <f>'Raw Data'!T1197</f>
        <v>0</v>
      </c>
      <c r="S1197">
        <f>IFERROR(O1197,0)+IFERROR(R1197,0)</f>
        <v>0</v>
      </c>
      <c r="T1197">
        <f>IF(A1197="","",YEAR(A1197))</f>
        <v>0</v>
      </c>
    </row>
    <row r="1198" spans="1:20">
      <c r="A1198">
        <f>'Raw Data'!B1198</f>
        <v>0</v>
      </c>
      <c r="B1198">
        <f>'Raw Data'!A1198</f>
        <v>0</v>
      </c>
      <c r="C1198">
        <f>'Raw Data'!C1198</f>
        <v>0</v>
      </c>
      <c r="D1198">
        <f>'Raw Data'!D1198</f>
        <v>0</v>
      </c>
      <c r="E1198">
        <f>IFERROR(VLOOKUP(D1198,'Lookup Tables'!$A:$B,2,FALSE),"Unknown")</f>
        <v>0</v>
      </c>
      <c r="F1198">
        <f>'Raw Data'!E1198</f>
        <v>0</v>
      </c>
      <c r="G1198">
        <f>IFERROR(VLOOKUP(D1198,'Lookup Tables'!$A:$C,3,FALSE),IF(ISNUMBER(SEARCH("STEEL",F1198)),"Steel","Others"))</f>
        <v>0</v>
      </c>
      <c r="H1198">
        <f>IF(ISNUMBER(SEARCH("scrubber",F1198)) , "Scrubber", IF(ISNUMBER(SEARCH("container",F1198)),"Container", IF(ISNUMBER(SEARCH("basket",F1198)),"Basket", IF(ISNUMBER(SEARCH("lunch",F1198)),"Lunch Box", IF(ISNUMBER(SEARCH("cutlery",F1198)),"Cutlery","Other")))))</f>
        <v>0</v>
      </c>
      <c r="I1198">
        <f>IF('Raw Data'!G1198&lt;&gt;'','Raw Data'!G1198,IFERROR(MID(F1198,SEARCH("MODEL",F1198)+6,20),""))</f>
        <v>0</v>
      </c>
      <c r="J1198">
        <f>'Raw Data'!H1198</f>
        <v>0</v>
      </c>
      <c r="K1198">
        <f>'Raw Data'!I1198</f>
        <v>0</v>
      </c>
      <c r="L1198">
        <f>IF('Raw Data'!N1198&lt;&gt;0,'Raw Data'!N1198,IFERROR(VALUE(MID(F1198,SEARCH("QTY",F1198)+4,IFERROR(FIND(" ",F1198,SEARCH("QTY",F1198)+4)-(SEARCH("QTY",F1198)+4),3))),""))</f>
        <v>0</v>
      </c>
      <c r="M1198">
        <f>'Raw Data'!O1198</f>
        <v>0</v>
      </c>
      <c r="N1198">
        <f>'Raw Data'!P1198</f>
        <v>0</v>
      </c>
      <c r="O1198">
        <f>'Raw Data'!Q1198</f>
        <v>0</v>
      </c>
      <c r="P1198">
        <f>'Raw Data'!R1198</f>
        <v>0</v>
      </c>
      <c r="Q1198">
        <f>'Raw Data'!S1198</f>
        <v>0</v>
      </c>
      <c r="R1198">
        <f>'Raw Data'!T1198</f>
        <v>0</v>
      </c>
      <c r="S1198">
        <f>IFERROR(O1198,0)+IFERROR(R1198,0)</f>
        <v>0</v>
      </c>
      <c r="T1198">
        <f>IF(A1198="","",YEAR(A1198))</f>
        <v>0</v>
      </c>
    </row>
    <row r="1199" spans="1:20">
      <c r="A1199">
        <f>'Raw Data'!B1199</f>
        <v>0</v>
      </c>
      <c r="B1199">
        <f>'Raw Data'!A1199</f>
        <v>0</v>
      </c>
      <c r="C1199">
        <f>'Raw Data'!C1199</f>
        <v>0</v>
      </c>
      <c r="D1199">
        <f>'Raw Data'!D1199</f>
        <v>0</v>
      </c>
      <c r="E1199">
        <f>IFERROR(VLOOKUP(D1199,'Lookup Tables'!$A:$B,2,FALSE),"Unknown")</f>
        <v>0</v>
      </c>
      <c r="F1199">
        <f>'Raw Data'!E1199</f>
        <v>0</v>
      </c>
      <c r="G1199">
        <f>IFERROR(VLOOKUP(D1199,'Lookup Tables'!$A:$C,3,FALSE),IF(ISNUMBER(SEARCH("STEEL",F1199)),"Steel","Others"))</f>
        <v>0</v>
      </c>
      <c r="H1199">
        <f>IF(ISNUMBER(SEARCH("scrubber",F1199)) , "Scrubber", IF(ISNUMBER(SEARCH("container",F1199)),"Container", IF(ISNUMBER(SEARCH("basket",F1199)),"Basket", IF(ISNUMBER(SEARCH("lunch",F1199)),"Lunch Box", IF(ISNUMBER(SEARCH("cutlery",F1199)),"Cutlery","Other")))))</f>
        <v>0</v>
      </c>
      <c r="I1199">
        <f>IF('Raw Data'!G1199&lt;&gt;'','Raw Data'!G1199,IFERROR(MID(F1199,SEARCH("MODEL",F1199)+6,20),""))</f>
        <v>0</v>
      </c>
      <c r="J1199">
        <f>'Raw Data'!H1199</f>
        <v>0</v>
      </c>
      <c r="K1199">
        <f>'Raw Data'!I1199</f>
        <v>0</v>
      </c>
      <c r="L1199">
        <f>IF('Raw Data'!N1199&lt;&gt;0,'Raw Data'!N1199,IFERROR(VALUE(MID(F1199,SEARCH("QTY",F1199)+4,IFERROR(FIND(" ",F1199,SEARCH("QTY",F1199)+4)-(SEARCH("QTY",F1199)+4),3))),""))</f>
        <v>0</v>
      </c>
      <c r="M1199">
        <f>'Raw Data'!O1199</f>
        <v>0</v>
      </c>
      <c r="N1199">
        <f>'Raw Data'!P1199</f>
        <v>0</v>
      </c>
      <c r="O1199">
        <f>'Raw Data'!Q1199</f>
        <v>0</v>
      </c>
      <c r="P1199">
        <f>'Raw Data'!R1199</f>
        <v>0</v>
      </c>
      <c r="Q1199">
        <f>'Raw Data'!S1199</f>
        <v>0</v>
      </c>
      <c r="R1199">
        <f>'Raw Data'!T1199</f>
        <v>0</v>
      </c>
      <c r="S1199">
        <f>IFERROR(O1199,0)+IFERROR(R1199,0)</f>
        <v>0</v>
      </c>
      <c r="T1199">
        <f>IF(A1199="","",YEAR(A1199))</f>
        <v>0</v>
      </c>
    </row>
    <row r="1200" spans="1:20">
      <c r="A1200">
        <f>'Raw Data'!B1200</f>
        <v>0</v>
      </c>
      <c r="B1200">
        <f>'Raw Data'!A1200</f>
        <v>0</v>
      </c>
      <c r="C1200">
        <f>'Raw Data'!C1200</f>
        <v>0</v>
      </c>
      <c r="D1200">
        <f>'Raw Data'!D1200</f>
        <v>0</v>
      </c>
      <c r="E1200">
        <f>IFERROR(VLOOKUP(D1200,'Lookup Tables'!$A:$B,2,FALSE),"Unknown")</f>
        <v>0</v>
      </c>
      <c r="F1200">
        <f>'Raw Data'!E1200</f>
        <v>0</v>
      </c>
      <c r="G1200">
        <f>IFERROR(VLOOKUP(D1200,'Lookup Tables'!$A:$C,3,FALSE),IF(ISNUMBER(SEARCH("STEEL",F1200)),"Steel","Others"))</f>
        <v>0</v>
      </c>
      <c r="H1200">
        <f>IF(ISNUMBER(SEARCH("scrubber",F1200)) , "Scrubber", IF(ISNUMBER(SEARCH("container",F1200)),"Container", IF(ISNUMBER(SEARCH("basket",F1200)),"Basket", IF(ISNUMBER(SEARCH("lunch",F1200)),"Lunch Box", IF(ISNUMBER(SEARCH("cutlery",F1200)),"Cutlery","Other")))))</f>
        <v>0</v>
      </c>
      <c r="I1200">
        <f>IF('Raw Data'!G1200&lt;&gt;'','Raw Data'!G1200,IFERROR(MID(F1200,SEARCH("MODEL",F1200)+6,20),""))</f>
        <v>0</v>
      </c>
      <c r="J1200">
        <f>'Raw Data'!H1200</f>
        <v>0</v>
      </c>
      <c r="K1200">
        <f>'Raw Data'!I1200</f>
        <v>0</v>
      </c>
      <c r="L1200">
        <f>IF('Raw Data'!N1200&lt;&gt;0,'Raw Data'!N1200,IFERROR(VALUE(MID(F1200,SEARCH("QTY",F1200)+4,IFERROR(FIND(" ",F1200,SEARCH("QTY",F1200)+4)-(SEARCH("QTY",F1200)+4),3))),""))</f>
        <v>0</v>
      </c>
      <c r="M1200">
        <f>'Raw Data'!O1200</f>
        <v>0</v>
      </c>
      <c r="N1200">
        <f>'Raw Data'!P1200</f>
        <v>0</v>
      </c>
      <c r="O1200">
        <f>'Raw Data'!Q1200</f>
        <v>0</v>
      </c>
      <c r="P1200">
        <f>'Raw Data'!R1200</f>
        <v>0</v>
      </c>
      <c r="Q1200">
        <f>'Raw Data'!S1200</f>
        <v>0</v>
      </c>
      <c r="R1200">
        <f>'Raw Data'!T1200</f>
        <v>0</v>
      </c>
      <c r="S1200">
        <f>IFERROR(O1200,0)+IFERROR(R1200,0)</f>
        <v>0</v>
      </c>
      <c r="T1200">
        <f>IF(A1200="","",YEAR(A1200))</f>
        <v>0</v>
      </c>
    </row>
    <row r="1201" spans="1:20">
      <c r="A1201">
        <f>'Raw Data'!B1201</f>
        <v>0</v>
      </c>
      <c r="B1201">
        <f>'Raw Data'!A1201</f>
        <v>0</v>
      </c>
      <c r="C1201">
        <f>'Raw Data'!C1201</f>
        <v>0</v>
      </c>
      <c r="D1201">
        <f>'Raw Data'!D1201</f>
        <v>0</v>
      </c>
      <c r="E1201">
        <f>IFERROR(VLOOKUP(D1201,'Lookup Tables'!$A:$B,2,FALSE),"Unknown")</f>
        <v>0</v>
      </c>
      <c r="F1201">
        <f>'Raw Data'!E1201</f>
        <v>0</v>
      </c>
      <c r="G1201">
        <f>IFERROR(VLOOKUP(D1201,'Lookup Tables'!$A:$C,3,FALSE),IF(ISNUMBER(SEARCH("STEEL",F1201)),"Steel","Others"))</f>
        <v>0</v>
      </c>
      <c r="H1201">
        <f>IF(ISNUMBER(SEARCH("scrubber",F1201)) , "Scrubber", IF(ISNUMBER(SEARCH("container",F1201)),"Container", IF(ISNUMBER(SEARCH("basket",F1201)),"Basket", IF(ISNUMBER(SEARCH("lunch",F1201)),"Lunch Box", IF(ISNUMBER(SEARCH("cutlery",F1201)),"Cutlery","Other")))))</f>
        <v>0</v>
      </c>
      <c r="I1201">
        <f>IF('Raw Data'!G1201&lt;&gt;'','Raw Data'!G1201,IFERROR(MID(F1201,SEARCH("MODEL",F1201)+6,20),""))</f>
        <v>0</v>
      </c>
      <c r="J1201">
        <f>'Raw Data'!H1201</f>
        <v>0</v>
      </c>
      <c r="K1201">
        <f>'Raw Data'!I1201</f>
        <v>0</v>
      </c>
      <c r="L1201">
        <f>IF('Raw Data'!N1201&lt;&gt;0,'Raw Data'!N1201,IFERROR(VALUE(MID(F1201,SEARCH("QTY",F1201)+4,IFERROR(FIND(" ",F1201,SEARCH("QTY",F1201)+4)-(SEARCH("QTY",F1201)+4),3))),""))</f>
        <v>0</v>
      </c>
      <c r="M1201">
        <f>'Raw Data'!O1201</f>
        <v>0</v>
      </c>
      <c r="N1201">
        <f>'Raw Data'!P1201</f>
        <v>0</v>
      </c>
      <c r="O1201">
        <f>'Raw Data'!Q1201</f>
        <v>0</v>
      </c>
      <c r="P1201">
        <f>'Raw Data'!R1201</f>
        <v>0</v>
      </c>
      <c r="Q1201">
        <f>'Raw Data'!S1201</f>
        <v>0</v>
      </c>
      <c r="R1201">
        <f>'Raw Data'!T1201</f>
        <v>0</v>
      </c>
      <c r="S1201">
        <f>IFERROR(O1201,0)+IFERROR(R1201,0)</f>
        <v>0</v>
      </c>
      <c r="T1201">
        <f>IF(A1201="","",YEAR(A1201))</f>
        <v>0</v>
      </c>
    </row>
    <row r="1202" spans="1:20">
      <c r="A1202">
        <f>'Raw Data'!B1202</f>
        <v>0</v>
      </c>
      <c r="B1202">
        <f>'Raw Data'!A1202</f>
        <v>0</v>
      </c>
      <c r="C1202">
        <f>'Raw Data'!C1202</f>
        <v>0</v>
      </c>
      <c r="D1202">
        <f>'Raw Data'!D1202</f>
        <v>0</v>
      </c>
      <c r="E1202">
        <f>IFERROR(VLOOKUP(D1202,'Lookup Tables'!$A:$B,2,FALSE),"Unknown")</f>
        <v>0</v>
      </c>
      <c r="F1202">
        <f>'Raw Data'!E1202</f>
        <v>0</v>
      </c>
      <c r="G1202">
        <f>IFERROR(VLOOKUP(D1202,'Lookup Tables'!$A:$C,3,FALSE),IF(ISNUMBER(SEARCH("STEEL",F1202)),"Steel","Others"))</f>
        <v>0</v>
      </c>
      <c r="H1202">
        <f>IF(ISNUMBER(SEARCH("scrubber",F1202)) , "Scrubber", IF(ISNUMBER(SEARCH("container",F1202)),"Container", IF(ISNUMBER(SEARCH("basket",F1202)),"Basket", IF(ISNUMBER(SEARCH("lunch",F1202)),"Lunch Box", IF(ISNUMBER(SEARCH("cutlery",F1202)),"Cutlery","Other")))))</f>
        <v>0</v>
      </c>
      <c r="I1202">
        <f>IF('Raw Data'!G1202&lt;&gt;'','Raw Data'!G1202,IFERROR(MID(F1202,SEARCH("MODEL",F1202)+6,20),""))</f>
        <v>0</v>
      </c>
      <c r="J1202">
        <f>'Raw Data'!H1202</f>
        <v>0</v>
      </c>
      <c r="K1202">
        <f>'Raw Data'!I1202</f>
        <v>0</v>
      </c>
      <c r="L1202">
        <f>IF('Raw Data'!N1202&lt;&gt;0,'Raw Data'!N1202,IFERROR(VALUE(MID(F1202,SEARCH("QTY",F1202)+4,IFERROR(FIND(" ",F1202,SEARCH("QTY",F1202)+4)-(SEARCH("QTY",F1202)+4),3))),""))</f>
        <v>0</v>
      </c>
      <c r="M1202">
        <f>'Raw Data'!O1202</f>
        <v>0</v>
      </c>
      <c r="N1202">
        <f>'Raw Data'!P1202</f>
        <v>0</v>
      </c>
      <c r="O1202">
        <f>'Raw Data'!Q1202</f>
        <v>0</v>
      </c>
      <c r="P1202">
        <f>'Raw Data'!R1202</f>
        <v>0</v>
      </c>
      <c r="Q1202">
        <f>'Raw Data'!S1202</f>
        <v>0</v>
      </c>
      <c r="R1202">
        <f>'Raw Data'!T1202</f>
        <v>0</v>
      </c>
      <c r="S1202">
        <f>IFERROR(O1202,0)+IFERROR(R1202,0)</f>
        <v>0</v>
      </c>
      <c r="T1202">
        <f>IF(A1202="","",YEAR(A1202))</f>
        <v>0</v>
      </c>
    </row>
    <row r="1203" spans="1:20">
      <c r="A1203">
        <f>'Raw Data'!B1203</f>
        <v>0</v>
      </c>
      <c r="B1203">
        <f>'Raw Data'!A1203</f>
        <v>0</v>
      </c>
      <c r="C1203">
        <f>'Raw Data'!C1203</f>
        <v>0</v>
      </c>
      <c r="D1203">
        <f>'Raw Data'!D1203</f>
        <v>0</v>
      </c>
      <c r="E1203">
        <f>IFERROR(VLOOKUP(D1203,'Lookup Tables'!$A:$B,2,FALSE),"Unknown")</f>
        <v>0</v>
      </c>
      <c r="F1203">
        <f>'Raw Data'!E1203</f>
        <v>0</v>
      </c>
      <c r="G1203">
        <f>IFERROR(VLOOKUP(D1203,'Lookup Tables'!$A:$C,3,FALSE),IF(ISNUMBER(SEARCH("STEEL",F1203)),"Steel","Others"))</f>
        <v>0</v>
      </c>
      <c r="H1203">
        <f>IF(ISNUMBER(SEARCH("scrubber",F1203)) , "Scrubber", IF(ISNUMBER(SEARCH("container",F1203)),"Container", IF(ISNUMBER(SEARCH("basket",F1203)),"Basket", IF(ISNUMBER(SEARCH("lunch",F1203)),"Lunch Box", IF(ISNUMBER(SEARCH("cutlery",F1203)),"Cutlery","Other")))))</f>
        <v>0</v>
      </c>
      <c r="I1203">
        <f>IF('Raw Data'!G1203&lt;&gt;'','Raw Data'!G1203,IFERROR(MID(F1203,SEARCH("MODEL",F1203)+6,20),""))</f>
        <v>0</v>
      </c>
      <c r="J1203">
        <f>'Raw Data'!H1203</f>
        <v>0</v>
      </c>
      <c r="K1203">
        <f>'Raw Data'!I1203</f>
        <v>0</v>
      </c>
      <c r="L1203">
        <f>IF('Raw Data'!N1203&lt;&gt;0,'Raw Data'!N1203,IFERROR(VALUE(MID(F1203,SEARCH("QTY",F1203)+4,IFERROR(FIND(" ",F1203,SEARCH("QTY",F1203)+4)-(SEARCH("QTY",F1203)+4),3))),""))</f>
        <v>0</v>
      </c>
      <c r="M1203">
        <f>'Raw Data'!O1203</f>
        <v>0</v>
      </c>
      <c r="N1203">
        <f>'Raw Data'!P1203</f>
        <v>0</v>
      </c>
      <c r="O1203">
        <f>'Raw Data'!Q1203</f>
        <v>0</v>
      </c>
      <c r="P1203">
        <f>'Raw Data'!R1203</f>
        <v>0</v>
      </c>
      <c r="Q1203">
        <f>'Raw Data'!S1203</f>
        <v>0</v>
      </c>
      <c r="R1203">
        <f>'Raw Data'!T1203</f>
        <v>0</v>
      </c>
      <c r="S1203">
        <f>IFERROR(O1203,0)+IFERROR(R1203,0)</f>
        <v>0</v>
      </c>
      <c r="T1203">
        <f>IF(A1203="","",YEAR(A1203))</f>
        <v>0</v>
      </c>
    </row>
    <row r="1204" spans="1:20">
      <c r="A1204">
        <f>'Raw Data'!B1204</f>
        <v>0</v>
      </c>
      <c r="B1204">
        <f>'Raw Data'!A1204</f>
        <v>0</v>
      </c>
      <c r="C1204">
        <f>'Raw Data'!C1204</f>
        <v>0</v>
      </c>
      <c r="D1204">
        <f>'Raw Data'!D1204</f>
        <v>0</v>
      </c>
      <c r="E1204">
        <f>IFERROR(VLOOKUP(D1204,'Lookup Tables'!$A:$B,2,FALSE),"Unknown")</f>
        <v>0</v>
      </c>
      <c r="F1204">
        <f>'Raw Data'!E1204</f>
        <v>0</v>
      </c>
      <c r="G1204">
        <f>IFERROR(VLOOKUP(D1204,'Lookup Tables'!$A:$C,3,FALSE),IF(ISNUMBER(SEARCH("STEEL",F1204)),"Steel","Others"))</f>
        <v>0</v>
      </c>
      <c r="H1204">
        <f>IF(ISNUMBER(SEARCH("scrubber",F1204)) , "Scrubber", IF(ISNUMBER(SEARCH("container",F1204)),"Container", IF(ISNUMBER(SEARCH("basket",F1204)),"Basket", IF(ISNUMBER(SEARCH("lunch",F1204)),"Lunch Box", IF(ISNUMBER(SEARCH("cutlery",F1204)),"Cutlery","Other")))))</f>
        <v>0</v>
      </c>
      <c r="I1204">
        <f>IF('Raw Data'!G1204&lt;&gt;'','Raw Data'!G1204,IFERROR(MID(F1204,SEARCH("MODEL",F1204)+6,20),""))</f>
        <v>0</v>
      </c>
      <c r="J1204">
        <f>'Raw Data'!H1204</f>
        <v>0</v>
      </c>
      <c r="K1204">
        <f>'Raw Data'!I1204</f>
        <v>0</v>
      </c>
      <c r="L1204">
        <f>IF('Raw Data'!N1204&lt;&gt;0,'Raw Data'!N1204,IFERROR(VALUE(MID(F1204,SEARCH("QTY",F1204)+4,IFERROR(FIND(" ",F1204,SEARCH("QTY",F1204)+4)-(SEARCH("QTY",F1204)+4),3))),""))</f>
        <v>0</v>
      </c>
      <c r="M1204">
        <f>'Raw Data'!O1204</f>
        <v>0</v>
      </c>
      <c r="N1204">
        <f>'Raw Data'!P1204</f>
        <v>0</v>
      </c>
      <c r="O1204">
        <f>'Raw Data'!Q1204</f>
        <v>0</v>
      </c>
      <c r="P1204">
        <f>'Raw Data'!R1204</f>
        <v>0</v>
      </c>
      <c r="Q1204">
        <f>'Raw Data'!S1204</f>
        <v>0</v>
      </c>
      <c r="R1204">
        <f>'Raw Data'!T1204</f>
        <v>0</v>
      </c>
      <c r="S1204">
        <f>IFERROR(O1204,0)+IFERROR(R1204,0)</f>
        <v>0</v>
      </c>
      <c r="T1204">
        <f>IF(A1204="","",YEAR(A1204))</f>
        <v>0</v>
      </c>
    </row>
    <row r="1205" spans="1:20">
      <c r="A1205">
        <f>'Raw Data'!B1205</f>
        <v>0</v>
      </c>
      <c r="B1205">
        <f>'Raw Data'!A1205</f>
        <v>0</v>
      </c>
      <c r="C1205">
        <f>'Raw Data'!C1205</f>
        <v>0</v>
      </c>
      <c r="D1205">
        <f>'Raw Data'!D1205</f>
        <v>0</v>
      </c>
      <c r="E1205">
        <f>IFERROR(VLOOKUP(D1205,'Lookup Tables'!$A:$B,2,FALSE),"Unknown")</f>
        <v>0</v>
      </c>
      <c r="F1205">
        <f>'Raw Data'!E1205</f>
        <v>0</v>
      </c>
      <c r="G1205">
        <f>IFERROR(VLOOKUP(D1205,'Lookup Tables'!$A:$C,3,FALSE),IF(ISNUMBER(SEARCH("STEEL",F1205)),"Steel","Others"))</f>
        <v>0</v>
      </c>
      <c r="H1205">
        <f>IF(ISNUMBER(SEARCH("scrubber",F1205)) , "Scrubber", IF(ISNUMBER(SEARCH("container",F1205)),"Container", IF(ISNUMBER(SEARCH("basket",F1205)),"Basket", IF(ISNUMBER(SEARCH("lunch",F1205)),"Lunch Box", IF(ISNUMBER(SEARCH("cutlery",F1205)),"Cutlery","Other")))))</f>
        <v>0</v>
      </c>
      <c r="I1205">
        <f>IF('Raw Data'!G1205&lt;&gt;'','Raw Data'!G1205,IFERROR(MID(F1205,SEARCH("MODEL",F1205)+6,20),""))</f>
        <v>0</v>
      </c>
      <c r="J1205">
        <f>'Raw Data'!H1205</f>
        <v>0</v>
      </c>
      <c r="K1205">
        <f>'Raw Data'!I1205</f>
        <v>0</v>
      </c>
      <c r="L1205">
        <f>IF('Raw Data'!N1205&lt;&gt;0,'Raw Data'!N1205,IFERROR(VALUE(MID(F1205,SEARCH("QTY",F1205)+4,IFERROR(FIND(" ",F1205,SEARCH("QTY",F1205)+4)-(SEARCH("QTY",F1205)+4),3))),""))</f>
        <v>0</v>
      </c>
      <c r="M1205">
        <f>'Raw Data'!O1205</f>
        <v>0</v>
      </c>
      <c r="N1205">
        <f>'Raw Data'!P1205</f>
        <v>0</v>
      </c>
      <c r="O1205">
        <f>'Raw Data'!Q1205</f>
        <v>0</v>
      </c>
      <c r="P1205">
        <f>'Raw Data'!R1205</f>
        <v>0</v>
      </c>
      <c r="Q1205">
        <f>'Raw Data'!S1205</f>
        <v>0</v>
      </c>
      <c r="R1205">
        <f>'Raw Data'!T1205</f>
        <v>0</v>
      </c>
      <c r="S1205">
        <f>IFERROR(O1205,0)+IFERROR(R1205,0)</f>
        <v>0</v>
      </c>
      <c r="T1205">
        <f>IF(A1205="","",YEAR(A1205))</f>
        <v>0</v>
      </c>
    </row>
    <row r="1206" spans="1:20">
      <c r="A1206">
        <f>'Raw Data'!B1206</f>
        <v>0</v>
      </c>
      <c r="B1206">
        <f>'Raw Data'!A1206</f>
        <v>0</v>
      </c>
      <c r="C1206">
        <f>'Raw Data'!C1206</f>
        <v>0</v>
      </c>
      <c r="D1206">
        <f>'Raw Data'!D1206</f>
        <v>0</v>
      </c>
      <c r="E1206">
        <f>IFERROR(VLOOKUP(D1206,'Lookup Tables'!$A:$B,2,FALSE),"Unknown")</f>
        <v>0</v>
      </c>
      <c r="F1206">
        <f>'Raw Data'!E1206</f>
        <v>0</v>
      </c>
      <c r="G1206">
        <f>IFERROR(VLOOKUP(D1206,'Lookup Tables'!$A:$C,3,FALSE),IF(ISNUMBER(SEARCH("STEEL",F1206)),"Steel","Others"))</f>
        <v>0</v>
      </c>
      <c r="H1206">
        <f>IF(ISNUMBER(SEARCH("scrubber",F1206)) , "Scrubber", IF(ISNUMBER(SEARCH("container",F1206)),"Container", IF(ISNUMBER(SEARCH("basket",F1206)),"Basket", IF(ISNUMBER(SEARCH("lunch",F1206)),"Lunch Box", IF(ISNUMBER(SEARCH("cutlery",F1206)),"Cutlery","Other")))))</f>
        <v>0</v>
      </c>
      <c r="I1206">
        <f>IF('Raw Data'!G1206&lt;&gt;'','Raw Data'!G1206,IFERROR(MID(F1206,SEARCH("MODEL",F1206)+6,20),""))</f>
        <v>0</v>
      </c>
      <c r="J1206">
        <f>'Raw Data'!H1206</f>
        <v>0</v>
      </c>
      <c r="K1206">
        <f>'Raw Data'!I1206</f>
        <v>0</v>
      </c>
      <c r="L1206">
        <f>IF('Raw Data'!N1206&lt;&gt;0,'Raw Data'!N1206,IFERROR(VALUE(MID(F1206,SEARCH("QTY",F1206)+4,IFERROR(FIND(" ",F1206,SEARCH("QTY",F1206)+4)-(SEARCH("QTY",F1206)+4),3))),""))</f>
        <v>0</v>
      </c>
      <c r="M1206">
        <f>'Raw Data'!O1206</f>
        <v>0</v>
      </c>
      <c r="N1206">
        <f>'Raw Data'!P1206</f>
        <v>0</v>
      </c>
      <c r="O1206">
        <f>'Raw Data'!Q1206</f>
        <v>0</v>
      </c>
      <c r="P1206">
        <f>'Raw Data'!R1206</f>
        <v>0</v>
      </c>
      <c r="Q1206">
        <f>'Raw Data'!S1206</f>
        <v>0</v>
      </c>
      <c r="R1206">
        <f>'Raw Data'!T1206</f>
        <v>0</v>
      </c>
      <c r="S1206">
        <f>IFERROR(O1206,0)+IFERROR(R1206,0)</f>
        <v>0</v>
      </c>
      <c r="T1206">
        <f>IF(A1206="","",YEAR(A1206))</f>
        <v>0</v>
      </c>
    </row>
    <row r="1207" spans="1:20">
      <c r="A1207">
        <f>'Raw Data'!B1207</f>
        <v>0</v>
      </c>
      <c r="B1207">
        <f>'Raw Data'!A1207</f>
        <v>0</v>
      </c>
      <c r="C1207">
        <f>'Raw Data'!C1207</f>
        <v>0</v>
      </c>
      <c r="D1207">
        <f>'Raw Data'!D1207</f>
        <v>0</v>
      </c>
      <c r="E1207">
        <f>IFERROR(VLOOKUP(D1207,'Lookup Tables'!$A:$B,2,FALSE),"Unknown")</f>
        <v>0</v>
      </c>
      <c r="F1207">
        <f>'Raw Data'!E1207</f>
        <v>0</v>
      </c>
      <c r="G1207">
        <f>IFERROR(VLOOKUP(D1207,'Lookup Tables'!$A:$C,3,FALSE),IF(ISNUMBER(SEARCH("STEEL",F1207)),"Steel","Others"))</f>
        <v>0</v>
      </c>
      <c r="H1207">
        <f>IF(ISNUMBER(SEARCH("scrubber",F1207)) , "Scrubber", IF(ISNUMBER(SEARCH("container",F1207)),"Container", IF(ISNUMBER(SEARCH("basket",F1207)),"Basket", IF(ISNUMBER(SEARCH("lunch",F1207)),"Lunch Box", IF(ISNUMBER(SEARCH("cutlery",F1207)),"Cutlery","Other")))))</f>
        <v>0</v>
      </c>
      <c r="I1207">
        <f>IF('Raw Data'!G1207&lt;&gt;'','Raw Data'!G1207,IFERROR(MID(F1207,SEARCH("MODEL",F1207)+6,20),""))</f>
        <v>0</v>
      </c>
      <c r="J1207">
        <f>'Raw Data'!H1207</f>
        <v>0</v>
      </c>
      <c r="K1207">
        <f>'Raw Data'!I1207</f>
        <v>0</v>
      </c>
      <c r="L1207">
        <f>IF('Raw Data'!N1207&lt;&gt;0,'Raw Data'!N1207,IFERROR(VALUE(MID(F1207,SEARCH("QTY",F1207)+4,IFERROR(FIND(" ",F1207,SEARCH("QTY",F1207)+4)-(SEARCH("QTY",F1207)+4),3))),""))</f>
        <v>0</v>
      </c>
      <c r="M1207">
        <f>'Raw Data'!O1207</f>
        <v>0</v>
      </c>
      <c r="N1207">
        <f>'Raw Data'!P1207</f>
        <v>0</v>
      </c>
      <c r="O1207">
        <f>'Raw Data'!Q1207</f>
        <v>0</v>
      </c>
      <c r="P1207">
        <f>'Raw Data'!R1207</f>
        <v>0</v>
      </c>
      <c r="Q1207">
        <f>'Raw Data'!S1207</f>
        <v>0</v>
      </c>
      <c r="R1207">
        <f>'Raw Data'!T1207</f>
        <v>0</v>
      </c>
      <c r="S1207">
        <f>IFERROR(O1207,0)+IFERROR(R1207,0)</f>
        <v>0</v>
      </c>
      <c r="T1207">
        <f>IF(A1207="","",YEAR(A1207))</f>
        <v>0</v>
      </c>
    </row>
    <row r="1208" spans="1:20">
      <c r="A1208">
        <f>'Raw Data'!B1208</f>
        <v>0</v>
      </c>
      <c r="B1208">
        <f>'Raw Data'!A1208</f>
        <v>0</v>
      </c>
      <c r="C1208">
        <f>'Raw Data'!C1208</f>
        <v>0</v>
      </c>
      <c r="D1208">
        <f>'Raw Data'!D1208</f>
        <v>0</v>
      </c>
      <c r="E1208">
        <f>IFERROR(VLOOKUP(D1208,'Lookup Tables'!$A:$B,2,FALSE),"Unknown")</f>
        <v>0</v>
      </c>
      <c r="F1208">
        <f>'Raw Data'!E1208</f>
        <v>0</v>
      </c>
      <c r="G1208">
        <f>IFERROR(VLOOKUP(D1208,'Lookup Tables'!$A:$C,3,FALSE),IF(ISNUMBER(SEARCH("STEEL",F1208)),"Steel","Others"))</f>
        <v>0</v>
      </c>
      <c r="H1208">
        <f>IF(ISNUMBER(SEARCH("scrubber",F1208)) , "Scrubber", IF(ISNUMBER(SEARCH("container",F1208)),"Container", IF(ISNUMBER(SEARCH("basket",F1208)),"Basket", IF(ISNUMBER(SEARCH("lunch",F1208)),"Lunch Box", IF(ISNUMBER(SEARCH("cutlery",F1208)),"Cutlery","Other")))))</f>
        <v>0</v>
      </c>
      <c r="I1208">
        <f>IF('Raw Data'!G1208&lt;&gt;'','Raw Data'!G1208,IFERROR(MID(F1208,SEARCH("MODEL",F1208)+6,20),""))</f>
        <v>0</v>
      </c>
      <c r="J1208">
        <f>'Raw Data'!H1208</f>
        <v>0</v>
      </c>
      <c r="K1208">
        <f>'Raw Data'!I1208</f>
        <v>0</v>
      </c>
      <c r="L1208">
        <f>IF('Raw Data'!N1208&lt;&gt;0,'Raw Data'!N1208,IFERROR(VALUE(MID(F1208,SEARCH("QTY",F1208)+4,IFERROR(FIND(" ",F1208,SEARCH("QTY",F1208)+4)-(SEARCH("QTY",F1208)+4),3))),""))</f>
        <v>0</v>
      </c>
      <c r="M1208">
        <f>'Raw Data'!O1208</f>
        <v>0</v>
      </c>
      <c r="N1208">
        <f>'Raw Data'!P1208</f>
        <v>0</v>
      </c>
      <c r="O1208">
        <f>'Raw Data'!Q1208</f>
        <v>0</v>
      </c>
      <c r="P1208">
        <f>'Raw Data'!R1208</f>
        <v>0</v>
      </c>
      <c r="Q1208">
        <f>'Raw Data'!S1208</f>
        <v>0</v>
      </c>
      <c r="R1208">
        <f>'Raw Data'!T1208</f>
        <v>0</v>
      </c>
      <c r="S1208">
        <f>IFERROR(O1208,0)+IFERROR(R1208,0)</f>
        <v>0</v>
      </c>
      <c r="T1208">
        <f>IF(A1208="","",YEAR(A1208))</f>
        <v>0</v>
      </c>
    </row>
    <row r="1209" spans="1:20">
      <c r="A1209">
        <f>'Raw Data'!B1209</f>
        <v>0</v>
      </c>
      <c r="B1209">
        <f>'Raw Data'!A1209</f>
        <v>0</v>
      </c>
      <c r="C1209">
        <f>'Raw Data'!C1209</f>
        <v>0</v>
      </c>
      <c r="D1209">
        <f>'Raw Data'!D1209</f>
        <v>0</v>
      </c>
      <c r="E1209">
        <f>IFERROR(VLOOKUP(D1209,'Lookup Tables'!$A:$B,2,FALSE),"Unknown")</f>
        <v>0</v>
      </c>
      <c r="F1209">
        <f>'Raw Data'!E1209</f>
        <v>0</v>
      </c>
      <c r="G1209">
        <f>IFERROR(VLOOKUP(D1209,'Lookup Tables'!$A:$C,3,FALSE),IF(ISNUMBER(SEARCH("STEEL",F1209)),"Steel","Others"))</f>
        <v>0</v>
      </c>
      <c r="H1209">
        <f>IF(ISNUMBER(SEARCH("scrubber",F1209)) , "Scrubber", IF(ISNUMBER(SEARCH("container",F1209)),"Container", IF(ISNUMBER(SEARCH("basket",F1209)),"Basket", IF(ISNUMBER(SEARCH("lunch",F1209)),"Lunch Box", IF(ISNUMBER(SEARCH("cutlery",F1209)),"Cutlery","Other")))))</f>
        <v>0</v>
      </c>
      <c r="I1209">
        <f>IF('Raw Data'!G1209&lt;&gt;'','Raw Data'!G1209,IFERROR(MID(F1209,SEARCH("MODEL",F1209)+6,20),""))</f>
        <v>0</v>
      </c>
      <c r="J1209">
        <f>'Raw Data'!H1209</f>
        <v>0</v>
      </c>
      <c r="K1209">
        <f>'Raw Data'!I1209</f>
        <v>0</v>
      </c>
      <c r="L1209">
        <f>IF('Raw Data'!N1209&lt;&gt;0,'Raw Data'!N1209,IFERROR(VALUE(MID(F1209,SEARCH("QTY",F1209)+4,IFERROR(FIND(" ",F1209,SEARCH("QTY",F1209)+4)-(SEARCH("QTY",F1209)+4),3))),""))</f>
        <v>0</v>
      </c>
      <c r="M1209">
        <f>'Raw Data'!O1209</f>
        <v>0</v>
      </c>
      <c r="N1209">
        <f>'Raw Data'!P1209</f>
        <v>0</v>
      </c>
      <c r="O1209">
        <f>'Raw Data'!Q1209</f>
        <v>0</v>
      </c>
      <c r="P1209">
        <f>'Raw Data'!R1209</f>
        <v>0</v>
      </c>
      <c r="Q1209">
        <f>'Raw Data'!S1209</f>
        <v>0</v>
      </c>
      <c r="R1209">
        <f>'Raw Data'!T1209</f>
        <v>0</v>
      </c>
      <c r="S1209">
        <f>IFERROR(O1209,0)+IFERROR(R1209,0)</f>
        <v>0</v>
      </c>
      <c r="T1209">
        <f>IF(A1209="","",YEAR(A1209))</f>
        <v>0</v>
      </c>
    </row>
    <row r="1210" spans="1:20">
      <c r="A1210">
        <f>'Raw Data'!B1210</f>
        <v>0</v>
      </c>
      <c r="B1210">
        <f>'Raw Data'!A1210</f>
        <v>0</v>
      </c>
      <c r="C1210">
        <f>'Raw Data'!C1210</f>
        <v>0</v>
      </c>
      <c r="D1210">
        <f>'Raw Data'!D1210</f>
        <v>0</v>
      </c>
      <c r="E1210">
        <f>IFERROR(VLOOKUP(D1210,'Lookup Tables'!$A:$B,2,FALSE),"Unknown")</f>
        <v>0</v>
      </c>
      <c r="F1210">
        <f>'Raw Data'!E1210</f>
        <v>0</v>
      </c>
      <c r="G1210">
        <f>IFERROR(VLOOKUP(D1210,'Lookup Tables'!$A:$C,3,FALSE),IF(ISNUMBER(SEARCH("STEEL",F1210)),"Steel","Others"))</f>
        <v>0</v>
      </c>
      <c r="H1210">
        <f>IF(ISNUMBER(SEARCH("scrubber",F1210)) , "Scrubber", IF(ISNUMBER(SEARCH("container",F1210)),"Container", IF(ISNUMBER(SEARCH("basket",F1210)),"Basket", IF(ISNUMBER(SEARCH("lunch",F1210)),"Lunch Box", IF(ISNUMBER(SEARCH("cutlery",F1210)),"Cutlery","Other")))))</f>
        <v>0</v>
      </c>
      <c r="I1210">
        <f>IF('Raw Data'!G1210&lt;&gt;'','Raw Data'!G1210,IFERROR(MID(F1210,SEARCH("MODEL",F1210)+6,20),""))</f>
        <v>0</v>
      </c>
      <c r="J1210">
        <f>'Raw Data'!H1210</f>
        <v>0</v>
      </c>
      <c r="K1210">
        <f>'Raw Data'!I1210</f>
        <v>0</v>
      </c>
      <c r="L1210">
        <f>IF('Raw Data'!N1210&lt;&gt;0,'Raw Data'!N1210,IFERROR(VALUE(MID(F1210,SEARCH("QTY",F1210)+4,IFERROR(FIND(" ",F1210,SEARCH("QTY",F1210)+4)-(SEARCH("QTY",F1210)+4),3))),""))</f>
        <v>0</v>
      </c>
      <c r="M1210">
        <f>'Raw Data'!O1210</f>
        <v>0</v>
      </c>
      <c r="N1210">
        <f>'Raw Data'!P1210</f>
        <v>0</v>
      </c>
      <c r="O1210">
        <f>'Raw Data'!Q1210</f>
        <v>0</v>
      </c>
      <c r="P1210">
        <f>'Raw Data'!R1210</f>
        <v>0</v>
      </c>
      <c r="Q1210">
        <f>'Raw Data'!S1210</f>
        <v>0</v>
      </c>
      <c r="R1210">
        <f>'Raw Data'!T1210</f>
        <v>0</v>
      </c>
      <c r="S1210">
        <f>IFERROR(O1210,0)+IFERROR(R1210,0)</f>
        <v>0</v>
      </c>
      <c r="T1210">
        <f>IF(A1210="","",YEAR(A1210))</f>
        <v>0</v>
      </c>
    </row>
    <row r="1211" spans="1:20">
      <c r="A1211">
        <f>'Raw Data'!B1211</f>
        <v>0</v>
      </c>
      <c r="B1211">
        <f>'Raw Data'!A1211</f>
        <v>0</v>
      </c>
      <c r="C1211">
        <f>'Raw Data'!C1211</f>
        <v>0</v>
      </c>
      <c r="D1211">
        <f>'Raw Data'!D1211</f>
        <v>0</v>
      </c>
      <c r="E1211">
        <f>IFERROR(VLOOKUP(D1211,'Lookup Tables'!$A:$B,2,FALSE),"Unknown")</f>
        <v>0</v>
      </c>
      <c r="F1211">
        <f>'Raw Data'!E1211</f>
        <v>0</v>
      </c>
      <c r="G1211">
        <f>IFERROR(VLOOKUP(D1211,'Lookup Tables'!$A:$C,3,FALSE),IF(ISNUMBER(SEARCH("STEEL",F1211)),"Steel","Others"))</f>
        <v>0</v>
      </c>
      <c r="H1211">
        <f>IF(ISNUMBER(SEARCH("scrubber",F1211)) , "Scrubber", IF(ISNUMBER(SEARCH("container",F1211)),"Container", IF(ISNUMBER(SEARCH("basket",F1211)),"Basket", IF(ISNUMBER(SEARCH("lunch",F1211)),"Lunch Box", IF(ISNUMBER(SEARCH("cutlery",F1211)),"Cutlery","Other")))))</f>
        <v>0</v>
      </c>
      <c r="I1211">
        <f>IF('Raw Data'!G1211&lt;&gt;'','Raw Data'!G1211,IFERROR(MID(F1211,SEARCH("MODEL",F1211)+6,20),""))</f>
        <v>0</v>
      </c>
      <c r="J1211">
        <f>'Raw Data'!H1211</f>
        <v>0</v>
      </c>
      <c r="K1211">
        <f>'Raw Data'!I1211</f>
        <v>0</v>
      </c>
      <c r="L1211">
        <f>IF('Raw Data'!N1211&lt;&gt;0,'Raw Data'!N1211,IFERROR(VALUE(MID(F1211,SEARCH("QTY",F1211)+4,IFERROR(FIND(" ",F1211,SEARCH("QTY",F1211)+4)-(SEARCH("QTY",F1211)+4),3))),""))</f>
        <v>0</v>
      </c>
      <c r="M1211">
        <f>'Raw Data'!O1211</f>
        <v>0</v>
      </c>
      <c r="N1211">
        <f>'Raw Data'!P1211</f>
        <v>0</v>
      </c>
      <c r="O1211">
        <f>'Raw Data'!Q1211</f>
        <v>0</v>
      </c>
      <c r="P1211">
        <f>'Raw Data'!R1211</f>
        <v>0</v>
      </c>
      <c r="Q1211">
        <f>'Raw Data'!S1211</f>
        <v>0</v>
      </c>
      <c r="R1211">
        <f>'Raw Data'!T1211</f>
        <v>0</v>
      </c>
      <c r="S1211">
        <f>IFERROR(O1211,0)+IFERROR(R1211,0)</f>
        <v>0</v>
      </c>
      <c r="T1211">
        <f>IF(A1211="","",YEAR(A1211))</f>
        <v>0</v>
      </c>
    </row>
    <row r="1212" spans="1:20">
      <c r="A1212">
        <f>'Raw Data'!B1212</f>
        <v>0</v>
      </c>
      <c r="B1212">
        <f>'Raw Data'!A1212</f>
        <v>0</v>
      </c>
      <c r="C1212">
        <f>'Raw Data'!C1212</f>
        <v>0</v>
      </c>
      <c r="D1212">
        <f>'Raw Data'!D1212</f>
        <v>0</v>
      </c>
      <c r="E1212">
        <f>IFERROR(VLOOKUP(D1212,'Lookup Tables'!$A:$B,2,FALSE),"Unknown")</f>
        <v>0</v>
      </c>
      <c r="F1212">
        <f>'Raw Data'!E1212</f>
        <v>0</v>
      </c>
      <c r="G1212">
        <f>IFERROR(VLOOKUP(D1212,'Lookup Tables'!$A:$C,3,FALSE),IF(ISNUMBER(SEARCH("STEEL",F1212)),"Steel","Others"))</f>
        <v>0</v>
      </c>
      <c r="H1212">
        <f>IF(ISNUMBER(SEARCH("scrubber",F1212)) , "Scrubber", IF(ISNUMBER(SEARCH("container",F1212)),"Container", IF(ISNUMBER(SEARCH("basket",F1212)),"Basket", IF(ISNUMBER(SEARCH("lunch",F1212)),"Lunch Box", IF(ISNUMBER(SEARCH("cutlery",F1212)),"Cutlery","Other")))))</f>
        <v>0</v>
      </c>
      <c r="I1212">
        <f>IF('Raw Data'!G1212&lt;&gt;'','Raw Data'!G1212,IFERROR(MID(F1212,SEARCH("MODEL",F1212)+6,20),""))</f>
        <v>0</v>
      </c>
      <c r="J1212">
        <f>'Raw Data'!H1212</f>
        <v>0</v>
      </c>
      <c r="K1212">
        <f>'Raw Data'!I1212</f>
        <v>0</v>
      </c>
      <c r="L1212">
        <f>IF('Raw Data'!N1212&lt;&gt;0,'Raw Data'!N1212,IFERROR(VALUE(MID(F1212,SEARCH("QTY",F1212)+4,IFERROR(FIND(" ",F1212,SEARCH("QTY",F1212)+4)-(SEARCH("QTY",F1212)+4),3))),""))</f>
        <v>0</v>
      </c>
      <c r="M1212">
        <f>'Raw Data'!O1212</f>
        <v>0</v>
      </c>
      <c r="N1212">
        <f>'Raw Data'!P1212</f>
        <v>0</v>
      </c>
      <c r="O1212">
        <f>'Raw Data'!Q1212</f>
        <v>0</v>
      </c>
      <c r="P1212">
        <f>'Raw Data'!R1212</f>
        <v>0</v>
      </c>
      <c r="Q1212">
        <f>'Raw Data'!S1212</f>
        <v>0</v>
      </c>
      <c r="R1212">
        <f>'Raw Data'!T1212</f>
        <v>0</v>
      </c>
      <c r="S1212">
        <f>IFERROR(O1212,0)+IFERROR(R1212,0)</f>
        <v>0</v>
      </c>
      <c r="T1212">
        <f>IF(A1212="","",YEAR(A1212))</f>
        <v>0</v>
      </c>
    </row>
    <row r="1213" spans="1:20">
      <c r="A1213">
        <f>'Raw Data'!B1213</f>
        <v>0</v>
      </c>
      <c r="B1213">
        <f>'Raw Data'!A1213</f>
        <v>0</v>
      </c>
      <c r="C1213">
        <f>'Raw Data'!C1213</f>
        <v>0</v>
      </c>
      <c r="D1213">
        <f>'Raw Data'!D1213</f>
        <v>0</v>
      </c>
      <c r="E1213">
        <f>IFERROR(VLOOKUP(D1213,'Lookup Tables'!$A:$B,2,FALSE),"Unknown")</f>
        <v>0</v>
      </c>
      <c r="F1213">
        <f>'Raw Data'!E1213</f>
        <v>0</v>
      </c>
      <c r="G1213">
        <f>IFERROR(VLOOKUP(D1213,'Lookup Tables'!$A:$C,3,FALSE),IF(ISNUMBER(SEARCH("STEEL",F1213)),"Steel","Others"))</f>
        <v>0</v>
      </c>
      <c r="H1213">
        <f>IF(ISNUMBER(SEARCH("scrubber",F1213)) , "Scrubber", IF(ISNUMBER(SEARCH("container",F1213)),"Container", IF(ISNUMBER(SEARCH("basket",F1213)),"Basket", IF(ISNUMBER(SEARCH("lunch",F1213)),"Lunch Box", IF(ISNUMBER(SEARCH("cutlery",F1213)),"Cutlery","Other")))))</f>
        <v>0</v>
      </c>
      <c r="I1213">
        <f>IF('Raw Data'!G1213&lt;&gt;'','Raw Data'!G1213,IFERROR(MID(F1213,SEARCH("MODEL",F1213)+6,20),""))</f>
        <v>0</v>
      </c>
      <c r="J1213">
        <f>'Raw Data'!H1213</f>
        <v>0</v>
      </c>
      <c r="K1213">
        <f>'Raw Data'!I1213</f>
        <v>0</v>
      </c>
      <c r="L1213">
        <f>IF('Raw Data'!N1213&lt;&gt;0,'Raw Data'!N1213,IFERROR(VALUE(MID(F1213,SEARCH("QTY",F1213)+4,IFERROR(FIND(" ",F1213,SEARCH("QTY",F1213)+4)-(SEARCH("QTY",F1213)+4),3))),""))</f>
        <v>0</v>
      </c>
      <c r="M1213">
        <f>'Raw Data'!O1213</f>
        <v>0</v>
      </c>
      <c r="N1213">
        <f>'Raw Data'!P1213</f>
        <v>0</v>
      </c>
      <c r="O1213">
        <f>'Raw Data'!Q1213</f>
        <v>0</v>
      </c>
      <c r="P1213">
        <f>'Raw Data'!R1213</f>
        <v>0</v>
      </c>
      <c r="Q1213">
        <f>'Raw Data'!S1213</f>
        <v>0</v>
      </c>
      <c r="R1213">
        <f>'Raw Data'!T1213</f>
        <v>0</v>
      </c>
      <c r="S1213">
        <f>IFERROR(O1213,0)+IFERROR(R1213,0)</f>
        <v>0</v>
      </c>
      <c r="T1213">
        <f>IF(A1213="","",YEAR(A1213))</f>
        <v>0</v>
      </c>
    </row>
    <row r="1214" spans="1:20">
      <c r="A1214">
        <f>'Raw Data'!B1214</f>
        <v>0</v>
      </c>
      <c r="B1214">
        <f>'Raw Data'!A1214</f>
        <v>0</v>
      </c>
      <c r="C1214">
        <f>'Raw Data'!C1214</f>
        <v>0</v>
      </c>
      <c r="D1214">
        <f>'Raw Data'!D1214</f>
        <v>0</v>
      </c>
      <c r="E1214">
        <f>IFERROR(VLOOKUP(D1214,'Lookup Tables'!$A:$B,2,FALSE),"Unknown")</f>
        <v>0</v>
      </c>
      <c r="F1214">
        <f>'Raw Data'!E1214</f>
        <v>0</v>
      </c>
      <c r="G1214">
        <f>IFERROR(VLOOKUP(D1214,'Lookup Tables'!$A:$C,3,FALSE),IF(ISNUMBER(SEARCH("STEEL",F1214)),"Steel","Others"))</f>
        <v>0</v>
      </c>
      <c r="H1214">
        <f>IF(ISNUMBER(SEARCH("scrubber",F1214)) , "Scrubber", IF(ISNUMBER(SEARCH("container",F1214)),"Container", IF(ISNUMBER(SEARCH("basket",F1214)),"Basket", IF(ISNUMBER(SEARCH("lunch",F1214)),"Lunch Box", IF(ISNUMBER(SEARCH("cutlery",F1214)),"Cutlery","Other")))))</f>
        <v>0</v>
      </c>
      <c r="I1214">
        <f>IF('Raw Data'!G1214&lt;&gt;'','Raw Data'!G1214,IFERROR(MID(F1214,SEARCH("MODEL",F1214)+6,20),""))</f>
        <v>0</v>
      </c>
      <c r="J1214">
        <f>'Raw Data'!H1214</f>
        <v>0</v>
      </c>
      <c r="K1214">
        <f>'Raw Data'!I1214</f>
        <v>0</v>
      </c>
      <c r="L1214">
        <f>IF('Raw Data'!N1214&lt;&gt;0,'Raw Data'!N1214,IFERROR(VALUE(MID(F1214,SEARCH("QTY",F1214)+4,IFERROR(FIND(" ",F1214,SEARCH("QTY",F1214)+4)-(SEARCH("QTY",F1214)+4),3))),""))</f>
        <v>0</v>
      </c>
      <c r="M1214">
        <f>'Raw Data'!O1214</f>
        <v>0</v>
      </c>
      <c r="N1214">
        <f>'Raw Data'!P1214</f>
        <v>0</v>
      </c>
      <c r="O1214">
        <f>'Raw Data'!Q1214</f>
        <v>0</v>
      </c>
      <c r="P1214">
        <f>'Raw Data'!R1214</f>
        <v>0</v>
      </c>
      <c r="Q1214">
        <f>'Raw Data'!S1214</f>
        <v>0</v>
      </c>
      <c r="R1214">
        <f>'Raw Data'!T1214</f>
        <v>0</v>
      </c>
      <c r="S1214">
        <f>IFERROR(O1214,0)+IFERROR(R1214,0)</f>
        <v>0</v>
      </c>
      <c r="T1214">
        <f>IF(A1214="","",YEAR(A1214))</f>
        <v>0</v>
      </c>
    </row>
    <row r="1215" spans="1:20">
      <c r="A1215">
        <f>'Raw Data'!B1215</f>
        <v>0</v>
      </c>
      <c r="B1215">
        <f>'Raw Data'!A1215</f>
        <v>0</v>
      </c>
      <c r="C1215">
        <f>'Raw Data'!C1215</f>
        <v>0</v>
      </c>
      <c r="D1215">
        <f>'Raw Data'!D1215</f>
        <v>0</v>
      </c>
      <c r="E1215">
        <f>IFERROR(VLOOKUP(D1215,'Lookup Tables'!$A:$B,2,FALSE),"Unknown")</f>
        <v>0</v>
      </c>
      <c r="F1215">
        <f>'Raw Data'!E1215</f>
        <v>0</v>
      </c>
      <c r="G1215">
        <f>IFERROR(VLOOKUP(D1215,'Lookup Tables'!$A:$C,3,FALSE),IF(ISNUMBER(SEARCH("STEEL",F1215)),"Steel","Others"))</f>
        <v>0</v>
      </c>
      <c r="H1215">
        <f>IF(ISNUMBER(SEARCH("scrubber",F1215)) , "Scrubber", IF(ISNUMBER(SEARCH("container",F1215)),"Container", IF(ISNUMBER(SEARCH("basket",F1215)),"Basket", IF(ISNUMBER(SEARCH("lunch",F1215)),"Lunch Box", IF(ISNUMBER(SEARCH("cutlery",F1215)),"Cutlery","Other")))))</f>
        <v>0</v>
      </c>
      <c r="I1215">
        <f>IF('Raw Data'!G1215&lt;&gt;'','Raw Data'!G1215,IFERROR(MID(F1215,SEARCH("MODEL",F1215)+6,20),""))</f>
        <v>0</v>
      </c>
      <c r="J1215">
        <f>'Raw Data'!H1215</f>
        <v>0</v>
      </c>
      <c r="K1215">
        <f>'Raw Data'!I1215</f>
        <v>0</v>
      </c>
      <c r="L1215">
        <f>IF('Raw Data'!N1215&lt;&gt;0,'Raw Data'!N1215,IFERROR(VALUE(MID(F1215,SEARCH("QTY",F1215)+4,IFERROR(FIND(" ",F1215,SEARCH("QTY",F1215)+4)-(SEARCH("QTY",F1215)+4),3))),""))</f>
        <v>0</v>
      </c>
      <c r="M1215">
        <f>'Raw Data'!O1215</f>
        <v>0</v>
      </c>
      <c r="N1215">
        <f>'Raw Data'!P1215</f>
        <v>0</v>
      </c>
      <c r="O1215">
        <f>'Raw Data'!Q1215</f>
        <v>0</v>
      </c>
      <c r="P1215">
        <f>'Raw Data'!R1215</f>
        <v>0</v>
      </c>
      <c r="Q1215">
        <f>'Raw Data'!S1215</f>
        <v>0</v>
      </c>
      <c r="R1215">
        <f>'Raw Data'!T1215</f>
        <v>0</v>
      </c>
      <c r="S1215">
        <f>IFERROR(O1215,0)+IFERROR(R1215,0)</f>
        <v>0</v>
      </c>
      <c r="T1215">
        <f>IF(A1215="","",YEAR(A1215))</f>
        <v>0</v>
      </c>
    </row>
    <row r="1216" spans="1:20">
      <c r="A1216">
        <f>'Raw Data'!B1216</f>
        <v>0</v>
      </c>
      <c r="B1216">
        <f>'Raw Data'!A1216</f>
        <v>0</v>
      </c>
      <c r="C1216">
        <f>'Raw Data'!C1216</f>
        <v>0</v>
      </c>
      <c r="D1216">
        <f>'Raw Data'!D1216</f>
        <v>0</v>
      </c>
      <c r="E1216">
        <f>IFERROR(VLOOKUP(D1216,'Lookup Tables'!$A:$B,2,FALSE),"Unknown")</f>
        <v>0</v>
      </c>
      <c r="F1216">
        <f>'Raw Data'!E1216</f>
        <v>0</v>
      </c>
      <c r="G1216">
        <f>IFERROR(VLOOKUP(D1216,'Lookup Tables'!$A:$C,3,FALSE),IF(ISNUMBER(SEARCH("STEEL",F1216)),"Steel","Others"))</f>
        <v>0</v>
      </c>
      <c r="H1216">
        <f>IF(ISNUMBER(SEARCH("scrubber",F1216)) , "Scrubber", IF(ISNUMBER(SEARCH("container",F1216)),"Container", IF(ISNUMBER(SEARCH("basket",F1216)),"Basket", IF(ISNUMBER(SEARCH("lunch",F1216)),"Lunch Box", IF(ISNUMBER(SEARCH("cutlery",F1216)),"Cutlery","Other")))))</f>
        <v>0</v>
      </c>
      <c r="I1216">
        <f>IF('Raw Data'!G1216&lt;&gt;'','Raw Data'!G1216,IFERROR(MID(F1216,SEARCH("MODEL",F1216)+6,20),""))</f>
        <v>0</v>
      </c>
      <c r="J1216">
        <f>'Raw Data'!H1216</f>
        <v>0</v>
      </c>
      <c r="K1216">
        <f>'Raw Data'!I1216</f>
        <v>0</v>
      </c>
      <c r="L1216">
        <f>IF('Raw Data'!N1216&lt;&gt;0,'Raw Data'!N1216,IFERROR(VALUE(MID(F1216,SEARCH("QTY",F1216)+4,IFERROR(FIND(" ",F1216,SEARCH("QTY",F1216)+4)-(SEARCH("QTY",F1216)+4),3))),""))</f>
        <v>0</v>
      </c>
      <c r="M1216">
        <f>'Raw Data'!O1216</f>
        <v>0</v>
      </c>
      <c r="N1216">
        <f>'Raw Data'!P1216</f>
        <v>0</v>
      </c>
      <c r="O1216">
        <f>'Raw Data'!Q1216</f>
        <v>0</v>
      </c>
      <c r="P1216">
        <f>'Raw Data'!R1216</f>
        <v>0</v>
      </c>
      <c r="Q1216">
        <f>'Raw Data'!S1216</f>
        <v>0</v>
      </c>
      <c r="R1216">
        <f>'Raw Data'!T1216</f>
        <v>0</v>
      </c>
      <c r="S1216">
        <f>IFERROR(O1216,0)+IFERROR(R1216,0)</f>
        <v>0</v>
      </c>
      <c r="T1216">
        <f>IF(A1216="","",YEAR(A1216))</f>
        <v>0</v>
      </c>
    </row>
    <row r="1217" spans="1:20">
      <c r="A1217">
        <f>'Raw Data'!B1217</f>
        <v>0</v>
      </c>
      <c r="B1217">
        <f>'Raw Data'!A1217</f>
        <v>0</v>
      </c>
      <c r="C1217">
        <f>'Raw Data'!C1217</f>
        <v>0</v>
      </c>
      <c r="D1217">
        <f>'Raw Data'!D1217</f>
        <v>0</v>
      </c>
      <c r="E1217">
        <f>IFERROR(VLOOKUP(D1217,'Lookup Tables'!$A:$B,2,FALSE),"Unknown")</f>
        <v>0</v>
      </c>
      <c r="F1217">
        <f>'Raw Data'!E1217</f>
        <v>0</v>
      </c>
      <c r="G1217">
        <f>IFERROR(VLOOKUP(D1217,'Lookup Tables'!$A:$C,3,FALSE),IF(ISNUMBER(SEARCH("STEEL",F1217)),"Steel","Others"))</f>
        <v>0</v>
      </c>
      <c r="H1217">
        <f>IF(ISNUMBER(SEARCH("scrubber",F1217)) , "Scrubber", IF(ISNUMBER(SEARCH("container",F1217)),"Container", IF(ISNUMBER(SEARCH("basket",F1217)),"Basket", IF(ISNUMBER(SEARCH("lunch",F1217)),"Lunch Box", IF(ISNUMBER(SEARCH("cutlery",F1217)),"Cutlery","Other")))))</f>
        <v>0</v>
      </c>
      <c r="I1217">
        <f>IF('Raw Data'!G1217&lt;&gt;'','Raw Data'!G1217,IFERROR(MID(F1217,SEARCH("MODEL",F1217)+6,20),""))</f>
        <v>0</v>
      </c>
      <c r="J1217">
        <f>'Raw Data'!H1217</f>
        <v>0</v>
      </c>
      <c r="K1217">
        <f>'Raw Data'!I1217</f>
        <v>0</v>
      </c>
      <c r="L1217">
        <f>IF('Raw Data'!N1217&lt;&gt;0,'Raw Data'!N1217,IFERROR(VALUE(MID(F1217,SEARCH("QTY",F1217)+4,IFERROR(FIND(" ",F1217,SEARCH("QTY",F1217)+4)-(SEARCH("QTY",F1217)+4),3))),""))</f>
        <v>0</v>
      </c>
      <c r="M1217">
        <f>'Raw Data'!O1217</f>
        <v>0</v>
      </c>
      <c r="N1217">
        <f>'Raw Data'!P1217</f>
        <v>0</v>
      </c>
      <c r="O1217">
        <f>'Raw Data'!Q1217</f>
        <v>0</v>
      </c>
      <c r="P1217">
        <f>'Raw Data'!R1217</f>
        <v>0</v>
      </c>
      <c r="Q1217">
        <f>'Raw Data'!S1217</f>
        <v>0</v>
      </c>
      <c r="R1217">
        <f>'Raw Data'!T1217</f>
        <v>0</v>
      </c>
      <c r="S1217">
        <f>IFERROR(O1217,0)+IFERROR(R1217,0)</f>
        <v>0</v>
      </c>
      <c r="T1217">
        <f>IF(A1217="","",YEAR(A1217))</f>
        <v>0</v>
      </c>
    </row>
    <row r="1218" spans="1:20">
      <c r="A1218">
        <f>'Raw Data'!B1218</f>
        <v>0</v>
      </c>
      <c r="B1218">
        <f>'Raw Data'!A1218</f>
        <v>0</v>
      </c>
      <c r="C1218">
        <f>'Raw Data'!C1218</f>
        <v>0</v>
      </c>
      <c r="D1218">
        <f>'Raw Data'!D1218</f>
        <v>0</v>
      </c>
      <c r="E1218">
        <f>IFERROR(VLOOKUP(D1218,'Lookup Tables'!$A:$B,2,FALSE),"Unknown")</f>
        <v>0</v>
      </c>
      <c r="F1218">
        <f>'Raw Data'!E1218</f>
        <v>0</v>
      </c>
      <c r="G1218">
        <f>IFERROR(VLOOKUP(D1218,'Lookup Tables'!$A:$C,3,FALSE),IF(ISNUMBER(SEARCH("STEEL",F1218)),"Steel","Others"))</f>
        <v>0</v>
      </c>
      <c r="H1218">
        <f>IF(ISNUMBER(SEARCH("scrubber",F1218)) , "Scrubber", IF(ISNUMBER(SEARCH("container",F1218)),"Container", IF(ISNUMBER(SEARCH("basket",F1218)),"Basket", IF(ISNUMBER(SEARCH("lunch",F1218)),"Lunch Box", IF(ISNUMBER(SEARCH("cutlery",F1218)),"Cutlery","Other")))))</f>
        <v>0</v>
      </c>
      <c r="I1218">
        <f>IF('Raw Data'!G1218&lt;&gt;'','Raw Data'!G1218,IFERROR(MID(F1218,SEARCH("MODEL",F1218)+6,20),""))</f>
        <v>0</v>
      </c>
      <c r="J1218">
        <f>'Raw Data'!H1218</f>
        <v>0</v>
      </c>
      <c r="K1218">
        <f>'Raw Data'!I1218</f>
        <v>0</v>
      </c>
      <c r="L1218">
        <f>IF('Raw Data'!N1218&lt;&gt;0,'Raw Data'!N1218,IFERROR(VALUE(MID(F1218,SEARCH("QTY",F1218)+4,IFERROR(FIND(" ",F1218,SEARCH("QTY",F1218)+4)-(SEARCH("QTY",F1218)+4),3))),""))</f>
        <v>0</v>
      </c>
      <c r="M1218">
        <f>'Raw Data'!O1218</f>
        <v>0</v>
      </c>
      <c r="N1218">
        <f>'Raw Data'!P1218</f>
        <v>0</v>
      </c>
      <c r="O1218">
        <f>'Raw Data'!Q1218</f>
        <v>0</v>
      </c>
      <c r="P1218">
        <f>'Raw Data'!R1218</f>
        <v>0</v>
      </c>
      <c r="Q1218">
        <f>'Raw Data'!S1218</f>
        <v>0</v>
      </c>
      <c r="R1218">
        <f>'Raw Data'!T1218</f>
        <v>0</v>
      </c>
      <c r="S1218">
        <f>IFERROR(O1218,0)+IFERROR(R1218,0)</f>
        <v>0</v>
      </c>
      <c r="T1218">
        <f>IF(A1218="","",YEAR(A1218))</f>
        <v>0</v>
      </c>
    </row>
    <row r="1219" spans="1:20">
      <c r="A1219">
        <f>'Raw Data'!B1219</f>
        <v>0</v>
      </c>
      <c r="B1219">
        <f>'Raw Data'!A1219</f>
        <v>0</v>
      </c>
      <c r="C1219">
        <f>'Raw Data'!C1219</f>
        <v>0</v>
      </c>
      <c r="D1219">
        <f>'Raw Data'!D1219</f>
        <v>0</v>
      </c>
      <c r="E1219">
        <f>IFERROR(VLOOKUP(D1219,'Lookup Tables'!$A:$B,2,FALSE),"Unknown")</f>
        <v>0</v>
      </c>
      <c r="F1219">
        <f>'Raw Data'!E1219</f>
        <v>0</v>
      </c>
      <c r="G1219">
        <f>IFERROR(VLOOKUP(D1219,'Lookup Tables'!$A:$C,3,FALSE),IF(ISNUMBER(SEARCH("STEEL",F1219)),"Steel","Others"))</f>
        <v>0</v>
      </c>
      <c r="H1219">
        <f>IF(ISNUMBER(SEARCH("scrubber",F1219)) , "Scrubber", IF(ISNUMBER(SEARCH("container",F1219)),"Container", IF(ISNUMBER(SEARCH("basket",F1219)),"Basket", IF(ISNUMBER(SEARCH("lunch",F1219)),"Lunch Box", IF(ISNUMBER(SEARCH("cutlery",F1219)),"Cutlery","Other")))))</f>
        <v>0</v>
      </c>
      <c r="I1219">
        <f>IF('Raw Data'!G1219&lt;&gt;'','Raw Data'!G1219,IFERROR(MID(F1219,SEARCH("MODEL",F1219)+6,20),""))</f>
        <v>0</v>
      </c>
      <c r="J1219">
        <f>'Raw Data'!H1219</f>
        <v>0</v>
      </c>
      <c r="K1219">
        <f>'Raw Data'!I1219</f>
        <v>0</v>
      </c>
      <c r="L1219">
        <f>IF('Raw Data'!N1219&lt;&gt;0,'Raw Data'!N1219,IFERROR(VALUE(MID(F1219,SEARCH("QTY",F1219)+4,IFERROR(FIND(" ",F1219,SEARCH("QTY",F1219)+4)-(SEARCH("QTY",F1219)+4),3))),""))</f>
        <v>0</v>
      </c>
      <c r="M1219">
        <f>'Raw Data'!O1219</f>
        <v>0</v>
      </c>
      <c r="N1219">
        <f>'Raw Data'!P1219</f>
        <v>0</v>
      </c>
      <c r="O1219">
        <f>'Raw Data'!Q1219</f>
        <v>0</v>
      </c>
      <c r="P1219">
        <f>'Raw Data'!R1219</f>
        <v>0</v>
      </c>
      <c r="Q1219">
        <f>'Raw Data'!S1219</f>
        <v>0</v>
      </c>
      <c r="R1219">
        <f>'Raw Data'!T1219</f>
        <v>0</v>
      </c>
      <c r="S1219">
        <f>IFERROR(O1219,0)+IFERROR(R1219,0)</f>
        <v>0</v>
      </c>
      <c r="T1219">
        <f>IF(A1219="","",YEAR(A1219))</f>
        <v>0</v>
      </c>
    </row>
    <row r="1220" spans="1:20">
      <c r="A1220">
        <f>'Raw Data'!B1220</f>
        <v>0</v>
      </c>
      <c r="B1220">
        <f>'Raw Data'!A1220</f>
        <v>0</v>
      </c>
      <c r="C1220">
        <f>'Raw Data'!C1220</f>
        <v>0</v>
      </c>
      <c r="D1220">
        <f>'Raw Data'!D1220</f>
        <v>0</v>
      </c>
      <c r="E1220">
        <f>IFERROR(VLOOKUP(D1220,'Lookup Tables'!$A:$B,2,FALSE),"Unknown")</f>
        <v>0</v>
      </c>
      <c r="F1220">
        <f>'Raw Data'!E1220</f>
        <v>0</v>
      </c>
      <c r="G1220">
        <f>IFERROR(VLOOKUP(D1220,'Lookup Tables'!$A:$C,3,FALSE),IF(ISNUMBER(SEARCH("STEEL",F1220)),"Steel","Others"))</f>
        <v>0</v>
      </c>
      <c r="H1220">
        <f>IF(ISNUMBER(SEARCH("scrubber",F1220)) , "Scrubber", IF(ISNUMBER(SEARCH("container",F1220)),"Container", IF(ISNUMBER(SEARCH("basket",F1220)),"Basket", IF(ISNUMBER(SEARCH("lunch",F1220)),"Lunch Box", IF(ISNUMBER(SEARCH("cutlery",F1220)),"Cutlery","Other")))))</f>
        <v>0</v>
      </c>
      <c r="I1220">
        <f>IF('Raw Data'!G1220&lt;&gt;'','Raw Data'!G1220,IFERROR(MID(F1220,SEARCH("MODEL",F1220)+6,20),""))</f>
        <v>0</v>
      </c>
      <c r="J1220">
        <f>'Raw Data'!H1220</f>
        <v>0</v>
      </c>
      <c r="K1220">
        <f>'Raw Data'!I1220</f>
        <v>0</v>
      </c>
      <c r="L1220">
        <f>IF('Raw Data'!N1220&lt;&gt;0,'Raw Data'!N1220,IFERROR(VALUE(MID(F1220,SEARCH("QTY",F1220)+4,IFERROR(FIND(" ",F1220,SEARCH("QTY",F1220)+4)-(SEARCH("QTY",F1220)+4),3))),""))</f>
        <v>0</v>
      </c>
      <c r="M1220">
        <f>'Raw Data'!O1220</f>
        <v>0</v>
      </c>
      <c r="N1220">
        <f>'Raw Data'!P1220</f>
        <v>0</v>
      </c>
      <c r="O1220">
        <f>'Raw Data'!Q1220</f>
        <v>0</v>
      </c>
      <c r="P1220">
        <f>'Raw Data'!R1220</f>
        <v>0</v>
      </c>
      <c r="Q1220">
        <f>'Raw Data'!S1220</f>
        <v>0</v>
      </c>
      <c r="R1220">
        <f>'Raw Data'!T1220</f>
        <v>0</v>
      </c>
      <c r="S1220">
        <f>IFERROR(O1220,0)+IFERROR(R1220,0)</f>
        <v>0</v>
      </c>
      <c r="T1220">
        <f>IF(A1220="","",YEAR(A1220))</f>
        <v>0</v>
      </c>
    </row>
    <row r="1221" spans="1:20">
      <c r="A1221">
        <f>'Raw Data'!B1221</f>
        <v>0</v>
      </c>
      <c r="B1221">
        <f>'Raw Data'!A1221</f>
        <v>0</v>
      </c>
      <c r="C1221">
        <f>'Raw Data'!C1221</f>
        <v>0</v>
      </c>
      <c r="D1221">
        <f>'Raw Data'!D1221</f>
        <v>0</v>
      </c>
      <c r="E1221">
        <f>IFERROR(VLOOKUP(D1221,'Lookup Tables'!$A:$B,2,FALSE),"Unknown")</f>
        <v>0</v>
      </c>
      <c r="F1221">
        <f>'Raw Data'!E1221</f>
        <v>0</v>
      </c>
      <c r="G1221">
        <f>IFERROR(VLOOKUP(D1221,'Lookup Tables'!$A:$C,3,FALSE),IF(ISNUMBER(SEARCH("STEEL",F1221)),"Steel","Others"))</f>
        <v>0</v>
      </c>
      <c r="H1221">
        <f>IF(ISNUMBER(SEARCH("scrubber",F1221)) , "Scrubber", IF(ISNUMBER(SEARCH("container",F1221)),"Container", IF(ISNUMBER(SEARCH("basket",F1221)),"Basket", IF(ISNUMBER(SEARCH("lunch",F1221)),"Lunch Box", IF(ISNUMBER(SEARCH("cutlery",F1221)),"Cutlery","Other")))))</f>
        <v>0</v>
      </c>
      <c r="I1221">
        <f>IF('Raw Data'!G1221&lt;&gt;'','Raw Data'!G1221,IFERROR(MID(F1221,SEARCH("MODEL",F1221)+6,20),""))</f>
        <v>0</v>
      </c>
      <c r="J1221">
        <f>'Raw Data'!H1221</f>
        <v>0</v>
      </c>
      <c r="K1221">
        <f>'Raw Data'!I1221</f>
        <v>0</v>
      </c>
      <c r="L1221">
        <f>IF('Raw Data'!N1221&lt;&gt;0,'Raw Data'!N1221,IFERROR(VALUE(MID(F1221,SEARCH("QTY",F1221)+4,IFERROR(FIND(" ",F1221,SEARCH("QTY",F1221)+4)-(SEARCH("QTY",F1221)+4),3))),""))</f>
        <v>0</v>
      </c>
      <c r="M1221">
        <f>'Raw Data'!O1221</f>
        <v>0</v>
      </c>
      <c r="N1221">
        <f>'Raw Data'!P1221</f>
        <v>0</v>
      </c>
      <c r="O1221">
        <f>'Raw Data'!Q1221</f>
        <v>0</v>
      </c>
      <c r="P1221">
        <f>'Raw Data'!R1221</f>
        <v>0</v>
      </c>
      <c r="Q1221">
        <f>'Raw Data'!S1221</f>
        <v>0</v>
      </c>
      <c r="R1221">
        <f>'Raw Data'!T1221</f>
        <v>0</v>
      </c>
      <c r="S1221">
        <f>IFERROR(O1221,0)+IFERROR(R1221,0)</f>
        <v>0</v>
      </c>
      <c r="T1221">
        <f>IF(A1221="","",YEAR(A1221))</f>
        <v>0</v>
      </c>
    </row>
    <row r="1222" spans="1:20">
      <c r="A1222">
        <f>'Raw Data'!B1222</f>
        <v>0</v>
      </c>
      <c r="B1222">
        <f>'Raw Data'!A1222</f>
        <v>0</v>
      </c>
      <c r="C1222">
        <f>'Raw Data'!C1222</f>
        <v>0</v>
      </c>
      <c r="D1222">
        <f>'Raw Data'!D1222</f>
        <v>0</v>
      </c>
      <c r="E1222">
        <f>IFERROR(VLOOKUP(D1222,'Lookup Tables'!$A:$B,2,FALSE),"Unknown")</f>
        <v>0</v>
      </c>
      <c r="F1222">
        <f>'Raw Data'!E1222</f>
        <v>0</v>
      </c>
      <c r="G1222">
        <f>IFERROR(VLOOKUP(D1222,'Lookup Tables'!$A:$C,3,FALSE),IF(ISNUMBER(SEARCH("STEEL",F1222)),"Steel","Others"))</f>
        <v>0</v>
      </c>
      <c r="H1222">
        <f>IF(ISNUMBER(SEARCH("scrubber",F1222)) , "Scrubber", IF(ISNUMBER(SEARCH("container",F1222)),"Container", IF(ISNUMBER(SEARCH("basket",F1222)),"Basket", IF(ISNUMBER(SEARCH("lunch",F1222)),"Lunch Box", IF(ISNUMBER(SEARCH("cutlery",F1222)),"Cutlery","Other")))))</f>
        <v>0</v>
      </c>
      <c r="I1222">
        <f>IF('Raw Data'!G1222&lt;&gt;'','Raw Data'!G1222,IFERROR(MID(F1222,SEARCH("MODEL",F1222)+6,20),""))</f>
        <v>0</v>
      </c>
      <c r="J1222">
        <f>'Raw Data'!H1222</f>
        <v>0</v>
      </c>
      <c r="K1222">
        <f>'Raw Data'!I1222</f>
        <v>0</v>
      </c>
      <c r="L1222">
        <f>IF('Raw Data'!N1222&lt;&gt;0,'Raw Data'!N1222,IFERROR(VALUE(MID(F1222,SEARCH("QTY",F1222)+4,IFERROR(FIND(" ",F1222,SEARCH("QTY",F1222)+4)-(SEARCH("QTY",F1222)+4),3))),""))</f>
        <v>0</v>
      </c>
      <c r="M1222">
        <f>'Raw Data'!O1222</f>
        <v>0</v>
      </c>
      <c r="N1222">
        <f>'Raw Data'!P1222</f>
        <v>0</v>
      </c>
      <c r="O1222">
        <f>'Raw Data'!Q1222</f>
        <v>0</v>
      </c>
      <c r="P1222">
        <f>'Raw Data'!R1222</f>
        <v>0</v>
      </c>
      <c r="Q1222">
        <f>'Raw Data'!S1222</f>
        <v>0</v>
      </c>
      <c r="R1222">
        <f>'Raw Data'!T1222</f>
        <v>0</v>
      </c>
      <c r="S1222">
        <f>IFERROR(O1222,0)+IFERROR(R1222,0)</f>
        <v>0</v>
      </c>
      <c r="T1222">
        <f>IF(A1222="","",YEAR(A1222))</f>
        <v>0</v>
      </c>
    </row>
    <row r="1223" spans="1:20">
      <c r="A1223">
        <f>'Raw Data'!B1223</f>
        <v>0</v>
      </c>
      <c r="B1223">
        <f>'Raw Data'!A1223</f>
        <v>0</v>
      </c>
      <c r="C1223">
        <f>'Raw Data'!C1223</f>
        <v>0</v>
      </c>
      <c r="D1223">
        <f>'Raw Data'!D1223</f>
        <v>0</v>
      </c>
      <c r="E1223">
        <f>IFERROR(VLOOKUP(D1223,'Lookup Tables'!$A:$B,2,FALSE),"Unknown")</f>
        <v>0</v>
      </c>
      <c r="F1223">
        <f>'Raw Data'!E1223</f>
        <v>0</v>
      </c>
      <c r="G1223">
        <f>IFERROR(VLOOKUP(D1223,'Lookup Tables'!$A:$C,3,FALSE),IF(ISNUMBER(SEARCH("STEEL",F1223)),"Steel","Others"))</f>
        <v>0</v>
      </c>
      <c r="H1223">
        <f>IF(ISNUMBER(SEARCH("scrubber",F1223)) , "Scrubber", IF(ISNUMBER(SEARCH("container",F1223)),"Container", IF(ISNUMBER(SEARCH("basket",F1223)),"Basket", IF(ISNUMBER(SEARCH("lunch",F1223)),"Lunch Box", IF(ISNUMBER(SEARCH("cutlery",F1223)),"Cutlery","Other")))))</f>
        <v>0</v>
      </c>
      <c r="I1223">
        <f>IF('Raw Data'!G1223&lt;&gt;'','Raw Data'!G1223,IFERROR(MID(F1223,SEARCH("MODEL",F1223)+6,20),""))</f>
        <v>0</v>
      </c>
      <c r="J1223">
        <f>'Raw Data'!H1223</f>
        <v>0</v>
      </c>
      <c r="K1223">
        <f>'Raw Data'!I1223</f>
        <v>0</v>
      </c>
      <c r="L1223">
        <f>IF('Raw Data'!N1223&lt;&gt;0,'Raw Data'!N1223,IFERROR(VALUE(MID(F1223,SEARCH("QTY",F1223)+4,IFERROR(FIND(" ",F1223,SEARCH("QTY",F1223)+4)-(SEARCH("QTY",F1223)+4),3))),""))</f>
        <v>0</v>
      </c>
      <c r="M1223">
        <f>'Raw Data'!O1223</f>
        <v>0</v>
      </c>
      <c r="N1223">
        <f>'Raw Data'!P1223</f>
        <v>0</v>
      </c>
      <c r="O1223">
        <f>'Raw Data'!Q1223</f>
        <v>0</v>
      </c>
      <c r="P1223">
        <f>'Raw Data'!R1223</f>
        <v>0</v>
      </c>
      <c r="Q1223">
        <f>'Raw Data'!S1223</f>
        <v>0</v>
      </c>
      <c r="R1223">
        <f>'Raw Data'!T1223</f>
        <v>0</v>
      </c>
      <c r="S1223">
        <f>IFERROR(O1223,0)+IFERROR(R1223,0)</f>
        <v>0</v>
      </c>
      <c r="T1223">
        <f>IF(A1223="","",YEAR(A1223))</f>
        <v>0</v>
      </c>
    </row>
    <row r="1224" spans="1:20">
      <c r="A1224">
        <f>'Raw Data'!B1224</f>
        <v>0</v>
      </c>
      <c r="B1224">
        <f>'Raw Data'!A1224</f>
        <v>0</v>
      </c>
      <c r="C1224">
        <f>'Raw Data'!C1224</f>
        <v>0</v>
      </c>
      <c r="D1224">
        <f>'Raw Data'!D1224</f>
        <v>0</v>
      </c>
      <c r="E1224">
        <f>IFERROR(VLOOKUP(D1224,'Lookup Tables'!$A:$B,2,FALSE),"Unknown")</f>
        <v>0</v>
      </c>
      <c r="F1224">
        <f>'Raw Data'!E1224</f>
        <v>0</v>
      </c>
      <c r="G1224">
        <f>IFERROR(VLOOKUP(D1224,'Lookup Tables'!$A:$C,3,FALSE),IF(ISNUMBER(SEARCH("STEEL",F1224)),"Steel","Others"))</f>
        <v>0</v>
      </c>
      <c r="H1224">
        <f>IF(ISNUMBER(SEARCH("scrubber",F1224)) , "Scrubber", IF(ISNUMBER(SEARCH("container",F1224)),"Container", IF(ISNUMBER(SEARCH("basket",F1224)),"Basket", IF(ISNUMBER(SEARCH("lunch",F1224)),"Lunch Box", IF(ISNUMBER(SEARCH("cutlery",F1224)),"Cutlery","Other")))))</f>
        <v>0</v>
      </c>
      <c r="I1224">
        <f>IF('Raw Data'!G1224&lt;&gt;'','Raw Data'!G1224,IFERROR(MID(F1224,SEARCH("MODEL",F1224)+6,20),""))</f>
        <v>0</v>
      </c>
      <c r="J1224">
        <f>'Raw Data'!H1224</f>
        <v>0</v>
      </c>
      <c r="K1224">
        <f>'Raw Data'!I1224</f>
        <v>0</v>
      </c>
      <c r="L1224">
        <f>IF('Raw Data'!N1224&lt;&gt;0,'Raw Data'!N1224,IFERROR(VALUE(MID(F1224,SEARCH("QTY",F1224)+4,IFERROR(FIND(" ",F1224,SEARCH("QTY",F1224)+4)-(SEARCH("QTY",F1224)+4),3))),""))</f>
        <v>0</v>
      </c>
      <c r="M1224">
        <f>'Raw Data'!O1224</f>
        <v>0</v>
      </c>
      <c r="N1224">
        <f>'Raw Data'!P1224</f>
        <v>0</v>
      </c>
      <c r="O1224">
        <f>'Raw Data'!Q1224</f>
        <v>0</v>
      </c>
      <c r="P1224">
        <f>'Raw Data'!R1224</f>
        <v>0</v>
      </c>
      <c r="Q1224">
        <f>'Raw Data'!S1224</f>
        <v>0</v>
      </c>
      <c r="R1224">
        <f>'Raw Data'!T1224</f>
        <v>0</v>
      </c>
      <c r="S1224">
        <f>IFERROR(O1224,0)+IFERROR(R1224,0)</f>
        <v>0</v>
      </c>
      <c r="T1224">
        <f>IF(A1224="","",YEAR(A1224))</f>
        <v>0</v>
      </c>
    </row>
    <row r="1225" spans="1:20">
      <c r="A1225">
        <f>'Raw Data'!B1225</f>
        <v>0</v>
      </c>
      <c r="B1225">
        <f>'Raw Data'!A1225</f>
        <v>0</v>
      </c>
      <c r="C1225">
        <f>'Raw Data'!C1225</f>
        <v>0</v>
      </c>
      <c r="D1225">
        <f>'Raw Data'!D1225</f>
        <v>0</v>
      </c>
      <c r="E1225">
        <f>IFERROR(VLOOKUP(D1225,'Lookup Tables'!$A:$B,2,FALSE),"Unknown")</f>
        <v>0</v>
      </c>
      <c r="F1225">
        <f>'Raw Data'!E1225</f>
        <v>0</v>
      </c>
      <c r="G1225">
        <f>IFERROR(VLOOKUP(D1225,'Lookup Tables'!$A:$C,3,FALSE),IF(ISNUMBER(SEARCH("STEEL",F1225)),"Steel","Others"))</f>
        <v>0</v>
      </c>
      <c r="H1225">
        <f>IF(ISNUMBER(SEARCH("scrubber",F1225)) , "Scrubber", IF(ISNUMBER(SEARCH("container",F1225)),"Container", IF(ISNUMBER(SEARCH("basket",F1225)),"Basket", IF(ISNUMBER(SEARCH("lunch",F1225)),"Lunch Box", IF(ISNUMBER(SEARCH("cutlery",F1225)),"Cutlery","Other")))))</f>
        <v>0</v>
      </c>
      <c r="I1225">
        <f>IF('Raw Data'!G1225&lt;&gt;'','Raw Data'!G1225,IFERROR(MID(F1225,SEARCH("MODEL",F1225)+6,20),""))</f>
        <v>0</v>
      </c>
      <c r="J1225">
        <f>'Raw Data'!H1225</f>
        <v>0</v>
      </c>
      <c r="K1225">
        <f>'Raw Data'!I1225</f>
        <v>0</v>
      </c>
      <c r="L1225">
        <f>IF('Raw Data'!N1225&lt;&gt;0,'Raw Data'!N1225,IFERROR(VALUE(MID(F1225,SEARCH("QTY",F1225)+4,IFERROR(FIND(" ",F1225,SEARCH("QTY",F1225)+4)-(SEARCH("QTY",F1225)+4),3))),""))</f>
        <v>0</v>
      </c>
      <c r="M1225">
        <f>'Raw Data'!O1225</f>
        <v>0</v>
      </c>
      <c r="N1225">
        <f>'Raw Data'!P1225</f>
        <v>0</v>
      </c>
      <c r="O1225">
        <f>'Raw Data'!Q1225</f>
        <v>0</v>
      </c>
      <c r="P1225">
        <f>'Raw Data'!R1225</f>
        <v>0</v>
      </c>
      <c r="Q1225">
        <f>'Raw Data'!S1225</f>
        <v>0</v>
      </c>
      <c r="R1225">
        <f>'Raw Data'!T1225</f>
        <v>0</v>
      </c>
      <c r="S1225">
        <f>IFERROR(O1225,0)+IFERROR(R1225,0)</f>
        <v>0</v>
      </c>
      <c r="T1225">
        <f>IF(A1225="","",YEAR(A1225))</f>
        <v>0</v>
      </c>
    </row>
    <row r="1226" spans="1:20">
      <c r="A1226">
        <f>'Raw Data'!B1226</f>
        <v>0</v>
      </c>
      <c r="B1226">
        <f>'Raw Data'!A1226</f>
        <v>0</v>
      </c>
      <c r="C1226">
        <f>'Raw Data'!C1226</f>
        <v>0</v>
      </c>
      <c r="D1226">
        <f>'Raw Data'!D1226</f>
        <v>0</v>
      </c>
      <c r="E1226">
        <f>IFERROR(VLOOKUP(D1226,'Lookup Tables'!$A:$B,2,FALSE),"Unknown")</f>
        <v>0</v>
      </c>
      <c r="F1226">
        <f>'Raw Data'!E1226</f>
        <v>0</v>
      </c>
      <c r="G1226">
        <f>IFERROR(VLOOKUP(D1226,'Lookup Tables'!$A:$C,3,FALSE),IF(ISNUMBER(SEARCH("STEEL",F1226)),"Steel","Others"))</f>
        <v>0</v>
      </c>
      <c r="H1226">
        <f>IF(ISNUMBER(SEARCH("scrubber",F1226)) , "Scrubber", IF(ISNUMBER(SEARCH("container",F1226)),"Container", IF(ISNUMBER(SEARCH("basket",F1226)),"Basket", IF(ISNUMBER(SEARCH("lunch",F1226)),"Lunch Box", IF(ISNUMBER(SEARCH("cutlery",F1226)),"Cutlery","Other")))))</f>
        <v>0</v>
      </c>
      <c r="I1226">
        <f>IF('Raw Data'!G1226&lt;&gt;'','Raw Data'!G1226,IFERROR(MID(F1226,SEARCH("MODEL",F1226)+6,20),""))</f>
        <v>0</v>
      </c>
      <c r="J1226">
        <f>'Raw Data'!H1226</f>
        <v>0</v>
      </c>
      <c r="K1226">
        <f>'Raw Data'!I1226</f>
        <v>0</v>
      </c>
      <c r="L1226">
        <f>IF('Raw Data'!N1226&lt;&gt;0,'Raw Data'!N1226,IFERROR(VALUE(MID(F1226,SEARCH("QTY",F1226)+4,IFERROR(FIND(" ",F1226,SEARCH("QTY",F1226)+4)-(SEARCH("QTY",F1226)+4),3))),""))</f>
        <v>0</v>
      </c>
      <c r="M1226">
        <f>'Raw Data'!O1226</f>
        <v>0</v>
      </c>
      <c r="N1226">
        <f>'Raw Data'!P1226</f>
        <v>0</v>
      </c>
      <c r="O1226">
        <f>'Raw Data'!Q1226</f>
        <v>0</v>
      </c>
      <c r="P1226">
        <f>'Raw Data'!R1226</f>
        <v>0</v>
      </c>
      <c r="Q1226">
        <f>'Raw Data'!S1226</f>
        <v>0</v>
      </c>
      <c r="R1226">
        <f>'Raw Data'!T1226</f>
        <v>0</v>
      </c>
      <c r="S1226">
        <f>IFERROR(O1226,0)+IFERROR(R1226,0)</f>
        <v>0</v>
      </c>
      <c r="T1226">
        <f>IF(A1226="","",YEAR(A1226))</f>
        <v>0</v>
      </c>
    </row>
    <row r="1227" spans="1:20">
      <c r="A1227">
        <f>'Raw Data'!B1227</f>
        <v>0</v>
      </c>
      <c r="B1227">
        <f>'Raw Data'!A1227</f>
        <v>0</v>
      </c>
      <c r="C1227">
        <f>'Raw Data'!C1227</f>
        <v>0</v>
      </c>
      <c r="D1227">
        <f>'Raw Data'!D1227</f>
        <v>0</v>
      </c>
      <c r="E1227">
        <f>IFERROR(VLOOKUP(D1227,'Lookup Tables'!$A:$B,2,FALSE),"Unknown")</f>
        <v>0</v>
      </c>
      <c r="F1227">
        <f>'Raw Data'!E1227</f>
        <v>0</v>
      </c>
      <c r="G1227">
        <f>IFERROR(VLOOKUP(D1227,'Lookup Tables'!$A:$C,3,FALSE),IF(ISNUMBER(SEARCH("STEEL",F1227)),"Steel","Others"))</f>
        <v>0</v>
      </c>
      <c r="H1227">
        <f>IF(ISNUMBER(SEARCH("scrubber",F1227)) , "Scrubber", IF(ISNUMBER(SEARCH("container",F1227)),"Container", IF(ISNUMBER(SEARCH("basket",F1227)),"Basket", IF(ISNUMBER(SEARCH("lunch",F1227)),"Lunch Box", IF(ISNUMBER(SEARCH("cutlery",F1227)),"Cutlery","Other")))))</f>
        <v>0</v>
      </c>
      <c r="I1227">
        <f>IF('Raw Data'!G1227&lt;&gt;'','Raw Data'!G1227,IFERROR(MID(F1227,SEARCH("MODEL",F1227)+6,20),""))</f>
        <v>0</v>
      </c>
      <c r="J1227">
        <f>'Raw Data'!H1227</f>
        <v>0</v>
      </c>
      <c r="K1227">
        <f>'Raw Data'!I1227</f>
        <v>0</v>
      </c>
      <c r="L1227">
        <f>IF('Raw Data'!N1227&lt;&gt;0,'Raw Data'!N1227,IFERROR(VALUE(MID(F1227,SEARCH("QTY",F1227)+4,IFERROR(FIND(" ",F1227,SEARCH("QTY",F1227)+4)-(SEARCH("QTY",F1227)+4),3))),""))</f>
        <v>0</v>
      </c>
      <c r="M1227">
        <f>'Raw Data'!O1227</f>
        <v>0</v>
      </c>
      <c r="N1227">
        <f>'Raw Data'!P1227</f>
        <v>0</v>
      </c>
      <c r="O1227">
        <f>'Raw Data'!Q1227</f>
        <v>0</v>
      </c>
      <c r="P1227">
        <f>'Raw Data'!R1227</f>
        <v>0</v>
      </c>
      <c r="Q1227">
        <f>'Raw Data'!S1227</f>
        <v>0</v>
      </c>
      <c r="R1227">
        <f>'Raw Data'!T1227</f>
        <v>0</v>
      </c>
      <c r="S1227">
        <f>IFERROR(O1227,0)+IFERROR(R1227,0)</f>
        <v>0</v>
      </c>
      <c r="T1227">
        <f>IF(A1227="","",YEAR(A1227))</f>
        <v>0</v>
      </c>
    </row>
    <row r="1228" spans="1:20">
      <c r="A1228">
        <f>'Raw Data'!B1228</f>
        <v>0</v>
      </c>
      <c r="B1228">
        <f>'Raw Data'!A1228</f>
        <v>0</v>
      </c>
      <c r="C1228">
        <f>'Raw Data'!C1228</f>
        <v>0</v>
      </c>
      <c r="D1228">
        <f>'Raw Data'!D1228</f>
        <v>0</v>
      </c>
      <c r="E1228">
        <f>IFERROR(VLOOKUP(D1228,'Lookup Tables'!$A:$B,2,FALSE),"Unknown")</f>
        <v>0</v>
      </c>
      <c r="F1228">
        <f>'Raw Data'!E1228</f>
        <v>0</v>
      </c>
      <c r="G1228">
        <f>IFERROR(VLOOKUP(D1228,'Lookup Tables'!$A:$C,3,FALSE),IF(ISNUMBER(SEARCH("STEEL",F1228)),"Steel","Others"))</f>
        <v>0</v>
      </c>
      <c r="H1228">
        <f>IF(ISNUMBER(SEARCH("scrubber",F1228)) , "Scrubber", IF(ISNUMBER(SEARCH("container",F1228)),"Container", IF(ISNUMBER(SEARCH("basket",F1228)),"Basket", IF(ISNUMBER(SEARCH("lunch",F1228)),"Lunch Box", IF(ISNUMBER(SEARCH("cutlery",F1228)),"Cutlery","Other")))))</f>
        <v>0</v>
      </c>
      <c r="I1228">
        <f>IF('Raw Data'!G1228&lt;&gt;'','Raw Data'!G1228,IFERROR(MID(F1228,SEARCH("MODEL",F1228)+6,20),""))</f>
        <v>0</v>
      </c>
      <c r="J1228">
        <f>'Raw Data'!H1228</f>
        <v>0</v>
      </c>
      <c r="K1228">
        <f>'Raw Data'!I1228</f>
        <v>0</v>
      </c>
      <c r="L1228">
        <f>IF('Raw Data'!N1228&lt;&gt;0,'Raw Data'!N1228,IFERROR(VALUE(MID(F1228,SEARCH("QTY",F1228)+4,IFERROR(FIND(" ",F1228,SEARCH("QTY",F1228)+4)-(SEARCH("QTY",F1228)+4),3))),""))</f>
        <v>0</v>
      </c>
      <c r="M1228">
        <f>'Raw Data'!O1228</f>
        <v>0</v>
      </c>
      <c r="N1228">
        <f>'Raw Data'!P1228</f>
        <v>0</v>
      </c>
      <c r="O1228">
        <f>'Raw Data'!Q1228</f>
        <v>0</v>
      </c>
      <c r="P1228">
        <f>'Raw Data'!R1228</f>
        <v>0</v>
      </c>
      <c r="Q1228">
        <f>'Raw Data'!S1228</f>
        <v>0</v>
      </c>
      <c r="R1228">
        <f>'Raw Data'!T1228</f>
        <v>0</v>
      </c>
      <c r="S1228">
        <f>IFERROR(O1228,0)+IFERROR(R1228,0)</f>
        <v>0</v>
      </c>
      <c r="T1228">
        <f>IF(A1228="","",YEAR(A1228))</f>
        <v>0</v>
      </c>
    </row>
    <row r="1229" spans="1:20">
      <c r="A1229">
        <f>'Raw Data'!B1229</f>
        <v>0</v>
      </c>
      <c r="B1229">
        <f>'Raw Data'!A1229</f>
        <v>0</v>
      </c>
      <c r="C1229">
        <f>'Raw Data'!C1229</f>
        <v>0</v>
      </c>
      <c r="D1229">
        <f>'Raw Data'!D1229</f>
        <v>0</v>
      </c>
      <c r="E1229">
        <f>IFERROR(VLOOKUP(D1229,'Lookup Tables'!$A:$B,2,FALSE),"Unknown")</f>
        <v>0</v>
      </c>
      <c r="F1229">
        <f>'Raw Data'!E1229</f>
        <v>0</v>
      </c>
      <c r="G1229">
        <f>IFERROR(VLOOKUP(D1229,'Lookup Tables'!$A:$C,3,FALSE),IF(ISNUMBER(SEARCH("STEEL",F1229)),"Steel","Others"))</f>
        <v>0</v>
      </c>
      <c r="H1229">
        <f>IF(ISNUMBER(SEARCH("scrubber",F1229)) , "Scrubber", IF(ISNUMBER(SEARCH("container",F1229)),"Container", IF(ISNUMBER(SEARCH("basket",F1229)),"Basket", IF(ISNUMBER(SEARCH("lunch",F1229)),"Lunch Box", IF(ISNUMBER(SEARCH("cutlery",F1229)),"Cutlery","Other")))))</f>
        <v>0</v>
      </c>
      <c r="I1229">
        <f>IF('Raw Data'!G1229&lt;&gt;'','Raw Data'!G1229,IFERROR(MID(F1229,SEARCH("MODEL",F1229)+6,20),""))</f>
        <v>0</v>
      </c>
      <c r="J1229">
        <f>'Raw Data'!H1229</f>
        <v>0</v>
      </c>
      <c r="K1229">
        <f>'Raw Data'!I1229</f>
        <v>0</v>
      </c>
      <c r="L1229">
        <f>IF('Raw Data'!N1229&lt;&gt;0,'Raw Data'!N1229,IFERROR(VALUE(MID(F1229,SEARCH("QTY",F1229)+4,IFERROR(FIND(" ",F1229,SEARCH("QTY",F1229)+4)-(SEARCH("QTY",F1229)+4),3))),""))</f>
        <v>0</v>
      </c>
      <c r="M1229">
        <f>'Raw Data'!O1229</f>
        <v>0</v>
      </c>
      <c r="N1229">
        <f>'Raw Data'!P1229</f>
        <v>0</v>
      </c>
      <c r="O1229">
        <f>'Raw Data'!Q1229</f>
        <v>0</v>
      </c>
      <c r="P1229">
        <f>'Raw Data'!R1229</f>
        <v>0</v>
      </c>
      <c r="Q1229">
        <f>'Raw Data'!S1229</f>
        <v>0</v>
      </c>
      <c r="R1229">
        <f>'Raw Data'!T1229</f>
        <v>0</v>
      </c>
      <c r="S1229">
        <f>IFERROR(O1229,0)+IFERROR(R1229,0)</f>
        <v>0</v>
      </c>
      <c r="T1229">
        <f>IF(A1229="","",YEAR(A1229))</f>
        <v>0</v>
      </c>
    </row>
    <row r="1230" spans="1:20">
      <c r="A1230">
        <f>'Raw Data'!B1230</f>
        <v>0</v>
      </c>
      <c r="B1230">
        <f>'Raw Data'!A1230</f>
        <v>0</v>
      </c>
      <c r="C1230">
        <f>'Raw Data'!C1230</f>
        <v>0</v>
      </c>
      <c r="D1230">
        <f>'Raw Data'!D1230</f>
        <v>0</v>
      </c>
      <c r="E1230">
        <f>IFERROR(VLOOKUP(D1230,'Lookup Tables'!$A:$B,2,FALSE),"Unknown")</f>
        <v>0</v>
      </c>
      <c r="F1230">
        <f>'Raw Data'!E1230</f>
        <v>0</v>
      </c>
      <c r="G1230">
        <f>IFERROR(VLOOKUP(D1230,'Lookup Tables'!$A:$C,3,FALSE),IF(ISNUMBER(SEARCH("STEEL",F1230)),"Steel","Others"))</f>
        <v>0</v>
      </c>
      <c r="H1230">
        <f>IF(ISNUMBER(SEARCH("scrubber",F1230)) , "Scrubber", IF(ISNUMBER(SEARCH("container",F1230)),"Container", IF(ISNUMBER(SEARCH("basket",F1230)),"Basket", IF(ISNUMBER(SEARCH("lunch",F1230)),"Lunch Box", IF(ISNUMBER(SEARCH("cutlery",F1230)),"Cutlery","Other")))))</f>
        <v>0</v>
      </c>
      <c r="I1230">
        <f>IF('Raw Data'!G1230&lt;&gt;'','Raw Data'!G1230,IFERROR(MID(F1230,SEARCH("MODEL",F1230)+6,20),""))</f>
        <v>0</v>
      </c>
      <c r="J1230">
        <f>'Raw Data'!H1230</f>
        <v>0</v>
      </c>
      <c r="K1230">
        <f>'Raw Data'!I1230</f>
        <v>0</v>
      </c>
      <c r="L1230">
        <f>IF('Raw Data'!N1230&lt;&gt;0,'Raw Data'!N1230,IFERROR(VALUE(MID(F1230,SEARCH("QTY",F1230)+4,IFERROR(FIND(" ",F1230,SEARCH("QTY",F1230)+4)-(SEARCH("QTY",F1230)+4),3))),""))</f>
        <v>0</v>
      </c>
      <c r="M1230">
        <f>'Raw Data'!O1230</f>
        <v>0</v>
      </c>
      <c r="N1230">
        <f>'Raw Data'!P1230</f>
        <v>0</v>
      </c>
      <c r="O1230">
        <f>'Raw Data'!Q1230</f>
        <v>0</v>
      </c>
      <c r="P1230">
        <f>'Raw Data'!R1230</f>
        <v>0</v>
      </c>
      <c r="Q1230">
        <f>'Raw Data'!S1230</f>
        <v>0</v>
      </c>
      <c r="R1230">
        <f>'Raw Data'!T1230</f>
        <v>0</v>
      </c>
      <c r="S1230">
        <f>IFERROR(O1230,0)+IFERROR(R1230,0)</f>
        <v>0</v>
      </c>
      <c r="T1230">
        <f>IF(A1230="","",YEAR(A1230))</f>
        <v>0</v>
      </c>
    </row>
    <row r="1231" spans="1:20">
      <c r="A1231">
        <f>'Raw Data'!B1231</f>
        <v>0</v>
      </c>
      <c r="B1231">
        <f>'Raw Data'!A1231</f>
        <v>0</v>
      </c>
      <c r="C1231">
        <f>'Raw Data'!C1231</f>
        <v>0</v>
      </c>
      <c r="D1231">
        <f>'Raw Data'!D1231</f>
        <v>0</v>
      </c>
      <c r="E1231">
        <f>IFERROR(VLOOKUP(D1231,'Lookup Tables'!$A:$B,2,FALSE),"Unknown")</f>
        <v>0</v>
      </c>
      <c r="F1231">
        <f>'Raw Data'!E1231</f>
        <v>0</v>
      </c>
      <c r="G1231">
        <f>IFERROR(VLOOKUP(D1231,'Lookup Tables'!$A:$C,3,FALSE),IF(ISNUMBER(SEARCH("STEEL",F1231)),"Steel","Others"))</f>
        <v>0</v>
      </c>
      <c r="H1231">
        <f>IF(ISNUMBER(SEARCH("scrubber",F1231)) , "Scrubber", IF(ISNUMBER(SEARCH("container",F1231)),"Container", IF(ISNUMBER(SEARCH("basket",F1231)),"Basket", IF(ISNUMBER(SEARCH("lunch",F1231)),"Lunch Box", IF(ISNUMBER(SEARCH("cutlery",F1231)),"Cutlery","Other")))))</f>
        <v>0</v>
      </c>
      <c r="I1231">
        <f>IF('Raw Data'!G1231&lt;&gt;'','Raw Data'!G1231,IFERROR(MID(F1231,SEARCH("MODEL",F1231)+6,20),""))</f>
        <v>0</v>
      </c>
      <c r="J1231">
        <f>'Raw Data'!H1231</f>
        <v>0</v>
      </c>
      <c r="K1231">
        <f>'Raw Data'!I1231</f>
        <v>0</v>
      </c>
      <c r="L1231">
        <f>IF('Raw Data'!N1231&lt;&gt;0,'Raw Data'!N1231,IFERROR(VALUE(MID(F1231,SEARCH("QTY",F1231)+4,IFERROR(FIND(" ",F1231,SEARCH("QTY",F1231)+4)-(SEARCH("QTY",F1231)+4),3))),""))</f>
        <v>0</v>
      </c>
      <c r="M1231">
        <f>'Raw Data'!O1231</f>
        <v>0</v>
      </c>
      <c r="N1231">
        <f>'Raw Data'!P1231</f>
        <v>0</v>
      </c>
      <c r="O1231">
        <f>'Raw Data'!Q1231</f>
        <v>0</v>
      </c>
      <c r="P1231">
        <f>'Raw Data'!R1231</f>
        <v>0</v>
      </c>
      <c r="Q1231">
        <f>'Raw Data'!S1231</f>
        <v>0</v>
      </c>
      <c r="R1231">
        <f>'Raw Data'!T1231</f>
        <v>0</v>
      </c>
      <c r="S1231">
        <f>IFERROR(O1231,0)+IFERROR(R1231,0)</f>
        <v>0</v>
      </c>
      <c r="T1231">
        <f>IF(A1231="","",YEAR(A1231))</f>
        <v>0</v>
      </c>
    </row>
    <row r="1232" spans="1:20">
      <c r="A1232">
        <f>'Raw Data'!B1232</f>
        <v>0</v>
      </c>
      <c r="B1232">
        <f>'Raw Data'!A1232</f>
        <v>0</v>
      </c>
      <c r="C1232">
        <f>'Raw Data'!C1232</f>
        <v>0</v>
      </c>
      <c r="D1232">
        <f>'Raw Data'!D1232</f>
        <v>0</v>
      </c>
      <c r="E1232">
        <f>IFERROR(VLOOKUP(D1232,'Lookup Tables'!$A:$B,2,FALSE),"Unknown")</f>
        <v>0</v>
      </c>
      <c r="F1232">
        <f>'Raw Data'!E1232</f>
        <v>0</v>
      </c>
      <c r="G1232">
        <f>IFERROR(VLOOKUP(D1232,'Lookup Tables'!$A:$C,3,FALSE),IF(ISNUMBER(SEARCH("STEEL",F1232)),"Steel","Others"))</f>
        <v>0</v>
      </c>
      <c r="H1232">
        <f>IF(ISNUMBER(SEARCH("scrubber",F1232)) , "Scrubber", IF(ISNUMBER(SEARCH("container",F1232)),"Container", IF(ISNUMBER(SEARCH("basket",F1232)),"Basket", IF(ISNUMBER(SEARCH("lunch",F1232)),"Lunch Box", IF(ISNUMBER(SEARCH("cutlery",F1232)),"Cutlery","Other")))))</f>
        <v>0</v>
      </c>
      <c r="I1232">
        <f>IF('Raw Data'!G1232&lt;&gt;'','Raw Data'!G1232,IFERROR(MID(F1232,SEARCH("MODEL",F1232)+6,20),""))</f>
        <v>0</v>
      </c>
      <c r="J1232">
        <f>'Raw Data'!H1232</f>
        <v>0</v>
      </c>
      <c r="K1232">
        <f>'Raw Data'!I1232</f>
        <v>0</v>
      </c>
      <c r="L1232">
        <f>IF('Raw Data'!N1232&lt;&gt;0,'Raw Data'!N1232,IFERROR(VALUE(MID(F1232,SEARCH("QTY",F1232)+4,IFERROR(FIND(" ",F1232,SEARCH("QTY",F1232)+4)-(SEARCH("QTY",F1232)+4),3))),""))</f>
        <v>0</v>
      </c>
      <c r="M1232">
        <f>'Raw Data'!O1232</f>
        <v>0</v>
      </c>
      <c r="N1232">
        <f>'Raw Data'!P1232</f>
        <v>0</v>
      </c>
      <c r="O1232">
        <f>'Raw Data'!Q1232</f>
        <v>0</v>
      </c>
      <c r="P1232">
        <f>'Raw Data'!R1232</f>
        <v>0</v>
      </c>
      <c r="Q1232">
        <f>'Raw Data'!S1232</f>
        <v>0</v>
      </c>
      <c r="R1232">
        <f>'Raw Data'!T1232</f>
        <v>0</v>
      </c>
      <c r="S1232">
        <f>IFERROR(O1232,0)+IFERROR(R1232,0)</f>
        <v>0</v>
      </c>
      <c r="T1232">
        <f>IF(A1232="","",YEAR(A1232))</f>
        <v>0</v>
      </c>
    </row>
    <row r="1233" spans="1:20">
      <c r="A1233">
        <f>'Raw Data'!B1233</f>
        <v>0</v>
      </c>
      <c r="B1233">
        <f>'Raw Data'!A1233</f>
        <v>0</v>
      </c>
      <c r="C1233">
        <f>'Raw Data'!C1233</f>
        <v>0</v>
      </c>
      <c r="D1233">
        <f>'Raw Data'!D1233</f>
        <v>0</v>
      </c>
      <c r="E1233">
        <f>IFERROR(VLOOKUP(D1233,'Lookup Tables'!$A:$B,2,FALSE),"Unknown")</f>
        <v>0</v>
      </c>
      <c r="F1233">
        <f>'Raw Data'!E1233</f>
        <v>0</v>
      </c>
      <c r="G1233">
        <f>IFERROR(VLOOKUP(D1233,'Lookup Tables'!$A:$C,3,FALSE),IF(ISNUMBER(SEARCH("STEEL",F1233)),"Steel","Others"))</f>
        <v>0</v>
      </c>
      <c r="H1233">
        <f>IF(ISNUMBER(SEARCH("scrubber",F1233)) , "Scrubber", IF(ISNUMBER(SEARCH("container",F1233)),"Container", IF(ISNUMBER(SEARCH("basket",F1233)),"Basket", IF(ISNUMBER(SEARCH("lunch",F1233)),"Lunch Box", IF(ISNUMBER(SEARCH("cutlery",F1233)),"Cutlery","Other")))))</f>
        <v>0</v>
      </c>
      <c r="I1233">
        <f>IF('Raw Data'!G1233&lt;&gt;'','Raw Data'!G1233,IFERROR(MID(F1233,SEARCH("MODEL",F1233)+6,20),""))</f>
        <v>0</v>
      </c>
      <c r="J1233">
        <f>'Raw Data'!H1233</f>
        <v>0</v>
      </c>
      <c r="K1233">
        <f>'Raw Data'!I1233</f>
        <v>0</v>
      </c>
      <c r="L1233">
        <f>IF('Raw Data'!N1233&lt;&gt;0,'Raw Data'!N1233,IFERROR(VALUE(MID(F1233,SEARCH("QTY",F1233)+4,IFERROR(FIND(" ",F1233,SEARCH("QTY",F1233)+4)-(SEARCH("QTY",F1233)+4),3))),""))</f>
        <v>0</v>
      </c>
      <c r="M1233">
        <f>'Raw Data'!O1233</f>
        <v>0</v>
      </c>
      <c r="N1233">
        <f>'Raw Data'!P1233</f>
        <v>0</v>
      </c>
      <c r="O1233">
        <f>'Raw Data'!Q1233</f>
        <v>0</v>
      </c>
      <c r="P1233">
        <f>'Raw Data'!R1233</f>
        <v>0</v>
      </c>
      <c r="Q1233">
        <f>'Raw Data'!S1233</f>
        <v>0</v>
      </c>
      <c r="R1233">
        <f>'Raw Data'!T1233</f>
        <v>0</v>
      </c>
      <c r="S1233">
        <f>IFERROR(O1233,0)+IFERROR(R1233,0)</f>
        <v>0</v>
      </c>
      <c r="T1233">
        <f>IF(A1233="","",YEAR(A1233))</f>
        <v>0</v>
      </c>
    </row>
    <row r="1234" spans="1:20">
      <c r="A1234">
        <f>'Raw Data'!B1234</f>
        <v>0</v>
      </c>
      <c r="B1234">
        <f>'Raw Data'!A1234</f>
        <v>0</v>
      </c>
      <c r="C1234">
        <f>'Raw Data'!C1234</f>
        <v>0</v>
      </c>
      <c r="D1234">
        <f>'Raw Data'!D1234</f>
        <v>0</v>
      </c>
      <c r="E1234">
        <f>IFERROR(VLOOKUP(D1234,'Lookup Tables'!$A:$B,2,FALSE),"Unknown")</f>
        <v>0</v>
      </c>
      <c r="F1234">
        <f>'Raw Data'!E1234</f>
        <v>0</v>
      </c>
      <c r="G1234">
        <f>IFERROR(VLOOKUP(D1234,'Lookup Tables'!$A:$C,3,FALSE),IF(ISNUMBER(SEARCH("STEEL",F1234)),"Steel","Others"))</f>
        <v>0</v>
      </c>
      <c r="H1234">
        <f>IF(ISNUMBER(SEARCH("scrubber",F1234)) , "Scrubber", IF(ISNUMBER(SEARCH("container",F1234)),"Container", IF(ISNUMBER(SEARCH("basket",F1234)),"Basket", IF(ISNUMBER(SEARCH("lunch",F1234)),"Lunch Box", IF(ISNUMBER(SEARCH("cutlery",F1234)),"Cutlery","Other")))))</f>
        <v>0</v>
      </c>
      <c r="I1234">
        <f>IF('Raw Data'!G1234&lt;&gt;'','Raw Data'!G1234,IFERROR(MID(F1234,SEARCH("MODEL",F1234)+6,20),""))</f>
        <v>0</v>
      </c>
      <c r="J1234">
        <f>'Raw Data'!H1234</f>
        <v>0</v>
      </c>
      <c r="K1234">
        <f>'Raw Data'!I1234</f>
        <v>0</v>
      </c>
      <c r="L1234">
        <f>IF('Raw Data'!N1234&lt;&gt;0,'Raw Data'!N1234,IFERROR(VALUE(MID(F1234,SEARCH("QTY",F1234)+4,IFERROR(FIND(" ",F1234,SEARCH("QTY",F1234)+4)-(SEARCH("QTY",F1234)+4),3))),""))</f>
        <v>0</v>
      </c>
      <c r="M1234">
        <f>'Raw Data'!O1234</f>
        <v>0</v>
      </c>
      <c r="N1234">
        <f>'Raw Data'!P1234</f>
        <v>0</v>
      </c>
      <c r="O1234">
        <f>'Raw Data'!Q1234</f>
        <v>0</v>
      </c>
      <c r="P1234">
        <f>'Raw Data'!R1234</f>
        <v>0</v>
      </c>
      <c r="Q1234">
        <f>'Raw Data'!S1234</f>
        <v>0</v>
      </c>
      <c r="R1234">
        <f>'Raw Data'!T1234</f>
        <v>0</v>
      </c>
      <c r="S1234">
        <f>IFERROR(O1234,0)+IFERROR(R1234,0)</f>
        <v>0</v>
      </c>
      <c r="T1234">
        <f>IF(A1234="","",YEAR(A1234))</f>
        <v>0</v>
      </c>
    </row>
    <row r="1235" spans="1:20">
      <c r="A1235">
        <f>'Raw Data'!B1235</f>
        <v>0</v>
      </c>
      <c r="B1235">
        <f>'Raw Data'!A1235</f>
        <v>0</v>
      </c>
      <c r="C1235">
        <f>'Raw Data'!C1235</f>
        <v>0</v>
      </c>
      <c r="D1235">
        <f>'Raw Data'!D1235</f>
        <v>0</v>
      </c>
      <c r="E1235">
        <f>IFERROR(VLOOKUP(D1235,'Lookup Tables'!$A:$B,2,FALSE),"Unknown")</f>
        <v>0</v>
      </c>
      <c r="F1235">
        <f>'Raw Data'!E1235</f>
        <v>0</v>
      </c>
      <c r="G1235">
        <f>IFERROR(VLOOKUP(D1235,'Lookup Tables'!$A:$C,3,FALSE),IF(ISNUMBER(SEARCH("STEEL",F1235)),"Steel","Others"))</f>
        <v>0</v>
      </c>
      <c r="H1235">
        <f>IF(ISNUMBER(SEARCH("scrubber",F1235)) , "Scrubber", IF(ISNUMBER(SEARCH("container",F1235)),"Container", IF(ISNUMBER(SEARCH("basket",F1235)),"Basket", IF(ISNUMBER(SEARCH("lunch",F1235)),"Lunch Box", IF(ISNUMBER(SEARCH("cutlery",F1235)),"Cutlery","Other")))))</f>
        <v>0</v>
      </c>
      <c r="I1235">
        <f>IF('Raw Data'!G1235&lt;&gt;'','Raw Data'!G1235,IFERROR(MID(F1235,SEARCH("MODEL",F1235)+6,20),""))</f>
        <v>0</v>
      </c>
      <c r="J1235">
        <f>'Raw Data'!H1235</f>
        <v>0</v>
      </c>
      <c r="K1235">
        <f>'Raw Data'!I1235</f>
        <v>0</v>
      </c>
      <c r="L1235">
        <f>IF('Raw Data'!N1235&lt;&gt;0,'Raw Data'!N1235,IFERROR(VALUE(MID(F1235,SEARCH("QTY",F1235)+4,IFERROR(FIND(" ",F1235,SEARCH("QTY",F1235)+4)-(SEARCH("QTY",F1235)+4),3))),""))</f>
        <v>0</v>
      </c>
      <c r="M1235">
        <f>'Raw Data'!O1235</f>
        <v>0</v>
      </c>
      <c r="N1235">
        <f>'Raw Data'!P1235</f>
        <v>0</v>
      </c>
      <c r="O1235">
        <f>'Raw Data'!Q1235</f>
        <v>0</v>
      </c>
      <c r="P1235">
        <f>'Raw Data'!R1235</f>
        <v>0</v>
      </c>
      <c r="Q1235">
        <f>'Raw Data'!S1235</f>
        <v>0</v>
      </c>
      <c r="R1235">
        <f>'Raw Data'!T1235</f>
        <v>0</v>
      </c>
      <c r="S1235">
        <f>IFERROR(O1235,0)+IFERROR(R1235,0)</f>
        <v>0</v>
      </c>
      <c r="T1235">
        <f>IF(A1235="","",YEAR(A1235))</f>
        <v>0</v>
      </c>
    </row>
    <row r="1236" spans="1:20">
      <c r="A1236">
        <f>'Raw Data'!B1236</f>
        <v>0</v>
      </c>
      <c r="B1236">
        <f>'Raw Data'!A1236</f>
        <v>0</v>
      </c>
      <c r="C1236">
        <f>'Raw Data'!C1236</f>
        <v>0</v>
      </c>
      <c r="D1236">
        <f>'Raw Data'!D1236</f>
        <v>0</v>
      </c>
      <c r="E1236">
        <f>IFERROR(VLOOKUP(D1236,'Lookup Tables'!$A:$B,2,FALSE),"Unknown")</f>
        <v>0</v>
      </c>
      <c r="F1236">
        <f>'Raw Data'!E1236</f>
        <v>0</v>
      </c>
      <c r="G1236">
        <f>IFERROR(VLOOKUP(D1236,'Lookup Tables'!$A:$C,3,FALSE),IF(ISNUMBER(SEARCH("STEEL",F1236)),"Steel","Others"))</f>
        <v>0</v>
      </c>
      <c r="H1236">
        <f>IF(ISNUMBER(SEARCH("scrubber",F1236)) , "Scrubber", IF(ISNUMBER(SEARCH("container",F1236)),"Container", IF(ISNUMBER(SEARCH("basket",F1236)),"Basket", IF(ISNUMBER(SEARCH("lunch",F1236)),"Lunch Box", IF(ISNUMBER(SEARCH("cutlery",F1236)),"Cutlery","Other")))))</f>
        <v>0</v>
      </c>
      <c r="I1236">
        <f>IF('Raw Data'!G1236&lt;&gt;'','Raw Data'!G1236,IFERROR(MID(F1236,SEARCH("MODEL",F1236)+6,20),""))</f>
        <v>0</v>
      </c>
      <c r="J1236">
        <f>'Raw Data'!H1236</f>
        <v>0</v>
      </c>
      <c r="K1236">
        <f>'Raw Data'!I1236</f>
        <v>0</v>
      </c>
      <c r="L1236">
        <f>IF('Raw Data'!N1236&lt;&gt;0,'Raw Data'!N1236,IFERROR(VALUE(MID(F1236,SEARCH("QTY",F1236)+4,IFERROR(FIND(" ",F1236,SEARCH("QTY",F1236)+4)-(SEARCH("QTY",F1236)+4),3))),""))</f>
        <v>0</v>
      </c>
      <c r="M1236">
        <f>'Raw Data'!O1236</f>
        <v>0</v>
      </c>
      <c r="N1236">
        <f>'Raw Data'!P1236</f>
        <v>0</v>
      </c>
      <c r="O1236">
        <f>'Raw Data'!Q1236</f>
        <v>0</v>
      </c>
      <c r="P1236">
        <f>'Raw Data'!R1236</f>
        <v>0</v>
      </c>
      <c r="Q1236">
        <f>'Raw Data'!S1236</f>
        <v>0</v>
      </c>
      <c r="R1236">
        <f>'Raw Data'!T1236</f>
        <v>0</v>
      </c>
      <c r="S1236">
        <f>IFERROR(O1236,0)+IFERROR(R1236,0)</f>
        <v>0</v>
      </c>
      <c r="T1236">
        <f>IF(A1236="","",YEAR(A1236))</f>
        <v>0</v>
      </c>
    </row>
    <row r="1237" spans="1:20">
      <c r="A1237">
        <f>'Raw Data'!B1237</f>
        <v>0</v>
      </c>
      <c r="B1237">
        <f>'Raw Data'!A1237</f>
        <v>0</v>
      </c>
      <c r="C1237">
        <f>'Raw Data'!C1237</f>
        <v>0</v>
      </c>
      <c r="D1237">
        <f>'Raw Data'!D1237</f>
        <v>0</v>
      </c>
      <c r="E1237">
        <f>IFERROR(VLOOKUP(D1237,'Lookup Tables'!$A:$B,2,FALSE),"Unknown")</f>
        <v>0</v>
      </c>
      <c r="F1237">
        <f>'Raw Data'!E1237</f>
        <v>0</v>
      </c>
      <c r="G1237">
        <f>IFERROR(VLOOKUP(D1237,'Lookup Tables'!$A:$C,3,FALSE),IF(ISNUMBER(SEARCH("STEEL",F1237)),"Steel","Others"))</f>
        <v>0</v>
      </c>
      <c r="H1237">
        <f>IF(ISNUMBER(SEARCH("scrubber",F1237)) , "Scrubber", IF(ISNUMBER(SEARCH("container",F1237)),"Container", IF(ISNUMBER(SEARCH("basket",F1237)),"Basket", IF(ISNUMBER(SEARCH("lunch",F1237)),"Lunch Box", IF(ISNUMBER(SEARCH("cutlery",F1237)),"Cutlery","Other")))))</f>
        <v>0</v>
      </c>
      <c r="I1237">
        <f>IF('Raw Data'!G1237&lt;&gt;'','Raw Data'!G1237,IFERROR(MID(F1237,SEARCH("MODEL",F1237)+6,20),""))</f>
        <v>0</v>
      </c>
      <c r="J1237">
        <f>'Raw Data'!H1237</f>
        <v>0</v>
      </c>
      <c r="K1237">
        <f>'Raw Data'!I1237</f>
        <v>0</v>
      </c>
      <c r="L1237">
        <f>IF('Raw Data'!N1237&lt;&gt;0,'Raw Data'!N1237,IFERROR(VALUE(MID(F1237,SEARCH("QTY",F1237)+4,IFERROR(FIND(" ",F1237,SEARCH("QTY",F1237)+4)-(SEARCH("QTY",F1237)+4),3))),""))</f>
        <v>0</v>
      </c>
      <c r="M1237">
        <f>'Raw Data'!O1237</f>
        <v>0</v>
      </c>
      <c r="N1237">
        <f>'Raw Data'!P1237</f>
        <v>0</v>
      </c>
      <c r="O1237">
        <f>'Raw Data'!Q1237</f>
        <v>0</v>
      </c>
      <c r="P1237">
        <f>'Raw Data'!R1237</f>
        <v>0</v>
      </c>
      <c r="Q1237">
        <f>'Raw Data'!S1237</f>
        <v>0</v>
      </c>
      <c r="R1237">
        <f>'Raw Data'!T1237</f>
        <v>0</v>
      </c>
      <c r="S1237">
        <f>IFERROR(O1237,0)+IFERROR(R1237,0)</f>
        <v>0</v>
      </c>
      <c r="T1237">
        <f>IF(A1237="","",YEAR(A1237))</f>
        <v>0</v>
      </c>
    </row>
    <row r="1238" spans="1:20">
      <c r="A1238">
        <f>'Raw Data'!B1238</f>
        <v>0</v>
      </c>
      <c r="B1238">
        <f>'Raw Data'!A1238</f>
        <v>0</v>
      </c>
      <c r="C1238">
        <f>'Raw Data'!C1238</f>
        <v>0</v>
      </c>
      <c r="D1238">
        <f>'Raw Data'!D1238</f>
        <v>0</v>
      </c>
      <c r="E1238">
        <f>IFERROR(VLOOKUP(D1238,'Lookup Tables'!$A:$B,2,FALSE),"Unknown")</f>
        <v>0</v>
      </c>
      <c r="F1238">
        <f>'Raw Data'!E1238</f>
        <v>0</v>
      </c>
      <c r="G1238">
        <f>IFERROR(VLOOKUP(D1238,'Lookup Tables'!$A:$C,3,FALSE),IF(ISNUMBER(SEARCH("STEEL",F1238)),"Steel","Others"))</f>
        <v>0</v>
      </c>
      <c r="H1238">
        <f>IF(ISNUMBER(SEARCH("scrubber",F1238)) , "Scrubber", IF(ISNUMBER(SEARCH("container",F1238)),"Container", IF(ISNUMBER(SEARCH("basket",F1238)),"Basket", IF(ISNUMBER(SEARCH("lunch",F1238)),"Lunch Box", IF(ISNUMBER(SEARCH("cutlery",F1238)),"Cutlery","Other")))))</f>
        <v>0</v>
      </c>
      <c r="I1238">
        <f>IF('Raw Data'!G1238&lt;&gt;'','Raw Data'!G1238,IFERROR(MID(F1238,SEARCH("MODEL",F1238)+6,20),""))</f>
        <v>0</v>
      </c>
      <c r="J1238">
        <f>'Raw Data'!H1238</f>
        <v>0</v>
      </c>
      <c r="K1238">
        <f>'Raw Data'!I1238</f>
        <v>0</v>
      </c>
      <c r="L1238">
        <f>IF('Raw Data'!N1238&lt;&gt;0,'Raw Data'!N1238,IFERROR(VALUE(MID(F1238,SEARCH("QTY",F1238)+4,IFERROR(FIND(" ",F1238,SEARCH("QTY",F1238)+4)-(SEARCH("QTY",F1238)+4),3))),""))</f>
        <v>0</v>
      </c>
      <c r="M1238">
        <f>'Raw Data'!O1238</f>
        <v>0</v>
      </c>
      <c r="N1238">
        <f>'Raw Data'!P1238</f>
        <v>0</v>
      </c>
      <c r="O1238">
        <f>'Raw Data'!Q1238</f>
        <v>0</v>
      </c>
      <c r="P1238">
        <f>'Raw Data'!R1238</f>
        <v>0</v>
      </c>
      <c r="Q1238">
        <f>'Raw Data'!S1238</f>
        <v>0</v>
      </c>
      <c r="R1238">
        <f>'Raw Data'!T1238</f>
        <v>0</v>
      </c>
      <c r="S1238">
        <f>IFERROR(O1238,0)+IFERROR(R1238,0)</f>
        <v>0</v>
      </c>
      <c r="T1238">
        <f>IF(A1238="","",YEAR(A1238))</f>
        <v>0</v>
      </c>
    </row>
    <row r="1239" spans="1:20">
      <c r="A1239">
        <f>'Raw Data'!B1239</f>
        <v>0</v>
      </c>
      <c r="B1239">
        <f>'Raw Data'!A1239</f>
        <v>0</v>
      </c>
      <c r="C1239">
        <f>'Raw Data'!C1239</f>
        <v>0</v>
      </c>
      <c r="D1239">
        <f>'Raw Data'!D1239</f>
        <v>0</v>
      </c>
      <c r="E1239">
        <f>IFERROR(VLOOKUP(D1239,'Lookup Tables'!$A:$B,2,FALSE),"Unknown")</f>
        <v>0</v>
      </c>
      <c r="F1239">
        <f>'Raw Data'!E1239</f>
        <v>0</v>
      </c>
      <c r="G1239">
        <f>IFERROR(VLOOKUP(D1239,'Lookup Tables'!$A:$C,3,FALSE),IF(ISNUMBER(SEARCH("STEEL",F1239)),"Steel","Others"))</f>
        <v>0</v>
      </c>
      <c r="H1239">
        <f>IF(ISNUMBER(SEARCH("scrubber",F1239)) , "Scrubber", IF(ISNUMBER(SEARCH("container",F1239)),"Container", IF(ISNUMBER(SEARCH("basket",F1239)),"Basket", IF(ISNUMBER(SEARCH("lunch",F1239)),"Lunch Box", IF(ISNUMBER(SEARCH("cutlery",F1239)),"Cutlery","Other")))))</f>
        <v>0</v>
      </c>
      <c r="I1239">
        <f>IF('Raw Data'!G1239&lt;&gt;'','Raw Data'!G1239,IFERROR(MID(F1239,SEARCH("MODEL",F1239)+6,20),""))</f>
        <v>0</v>
      </c>
      <c r="J1239">
        <f>'Raw Data'!H1239</f>
        <v>0</v>
      </c>
      <c r="K1239">
        <f>'Raw Data'!I1239</f>
        <v>0</v>
      </c>
      <c r="L1239">
        <f>IF('Raw Data'!N1239&lt;&gt;0,'Raw Data'!N1239,IFERROR(VALUE(MID(F1239,SEARCH("QTY",F1239)+4,IFERROR(FIND(" ",F1239,SEARCH("QTY",F1239)+4)-(SEARCH("QTY",F1239)+4),3))),""))</f>
        <v>0</v>
      </c>
      <c r="M1239">
        <f>'Raw Data'!O1239</f>
        <v>0</v>
      </c>
      <c r="N1239">
        <f>'Raw Data'!P1239</f>
        <v>0</v>
      </c>
      <c r="O1239">
        <f>'Raw Data'!Q1239</f>
        <v>0</v>
      </c>
      <c r="P1239">
        <f>'Raw Data'!R1239</f>
        <v>0</v>
      </c>
      <c r="Q1239">
        <f>'Raw Data'!S1239</f>
        <v>0</v>
      </c>
      <c r="R1239">
        <f>'Raw Data'!T1239</f>
        <v>0</v>
      </c>
      <c r="S1239">
        <f>IFERROR(O1239,0)+IFERROR(R1239,0)</f>
        <v>0</v>
      </c>
      <c r="T1239">
        <f>IF(A1239="","",YEAR(A1239))</f>
        <v>0</v>
      </c>
    </row>
    <row r="1240" spans="1:20">
      <c r="A1240">
        <f>'Raw Data'!B1240</f>
        <v>0</v>
      </c>
      <c r="B1240">
        <f>'Raw Data'!A1240</f>
        <v>0</v>
      </c>
      <c r="C1240">
        <f>'Raw Data'!C1240</f>
        <v>0</v>
      </c>
      <c r="D1240">
        <f>'Raw Data'!D1240</f>
        <v>0</v>
      </c>
      <c r="E1240">
        <f>IFERROR(VLOOKUP(D1240,'Lookup Tables'!$A:$B,2,FALSE),"Unknown")</f>
        <v>0</v>
      </c>
      <c r="F1240">
        <f>'Raw Data'!E1240</f>
        <v>0</v>
      </c>
      <c r="G1240">
        <f>IFERROR(VLOOKUP(D1240,'Lookup Tables'!$A:$C,3,FALSE),IF(ISNUMBER(SEARCH("STEEL",F1240)),"Steel","Others"))</f>
        <v>0</v>
      </c>
      <c r="H1240">
        <f>IF(ISNUMBER(SEARCH("scrubber",F1240)) , "Scrubber", IF(ISNUMBER(SEARCH("container",F1240)),"Container", IF(ISNUMBER(SEARCH("basket",F1240)),"Basket", IF(ISNUMBER(SEARCH("lunch",F1240)),"Lunch Box", IF(ISNUMBER(SEARCH("cutlery",F1240)),"Cutlery","Other")))))</f>
        <v>0</v>
      </c>
      <c r="I1240">
        <f>IF('Raw Data'!G1240&lt;&gt;'','Raw Data'!G1240,IFERROR(MID(F1240,SEARCH("MODEL",F1240)+6,20),""))</f>
        <v>0</v>
      </c>
      <c r="J1240">
        <f>'Raw Data'!H1240</f>
        <v>0</v>
      </c>
      <c r="K1240">
        <f>'Raw Data'!I1240</f>
        <v>0</v>
      </c>
      <c r="L1240">
        <f>IF('Raw Data'!N1240&lt;&gt;0,'Raw Data'!N1240,IFERROR(VALUE(MID(F1240,SEARCH("QTY",F1240)+4,IFERROR(FIND(" ",F1240,SEARCH("QTY",F1240)+4)-(SEARCH("QTY",F1240)+4),3))),""))</f>
        <v>0</v>
      </c>
      <c r="M1240">
        <f>'Raw Data'!O1240</f>
        <v>0</v>
      </c>
      <c r="N1240">
        <f>'Raw Data'!P1240</f>
        <v>0</v>
      </c>
      <c r="O1240">
        <f>'Raw Data'!Q1240</f>
        <v>0</v>
      </c>
      <c r="P1240">
        <f>'Raw Data'!R1240</f>
        <v>0</v>
      </c>
      <c r="Q1240">
        <f>'Raw Data'!S1240</f>
        <v>0</v>
      </c>
      <c r="R1240">
        <f>'Raw Data'!T1240</f>
        <v>0</v>
      </c>
      <c r="S1240">
        <f>IFERROR(O1240,0)+IFERROR(R1240,0)</f>
        <v>0</v>
      </c>
      <c r="T1240">
        <f>IF(A1240="","",YEAR(A1240))</f>
        <v>0</v>
      </c>
    </row>
    <row r="1241" spans="1:20">
      <c r="A1241">
        <f>'Raw Data'!B1241</f>
        <v>0</v>
      </c>
      <c r="B1241">
        <f>'Raw Data'!A1241</f>
        <v>0</v>
      </c>
      <c r="C1241">
        <f>'Raw Data'!C1241</f>
        <v>0</v>
      </c>
      <c r="D1241">
        <f>'Raw Data'!D1241</f>
        <v>0</v>
      </c>
      <c r="E1241">
        <f>IFERROR(VLOOKUP(D1241,'Lookup Tables'!$A:$B,2,FALSE),"Unknown")</f>
        <v>0</v>
      </c>
      <c r="F1241">
        <f>'Raw Data'!E1241</f>
        <v>0</v>
      </c>
      <c r="G1241">
        <f>IFERROR(VLOOKUP(D1241,'Lookup Tables'!$A:$C,3,FALSE),IF(ISNUMBER(SEARCH("STEEL",F1241)),"Steel","Others"))</f>
        <v>0</v>
      </c>
      <c r="H1241">
        <f>IF(ISNUMBER(SEARCH("scrubber",F1241)) , "Scrubber", IF(ISNUMBER(SEARCH("container",F1241)),"Container", IF(ISNUMBER(SEARCH("basket",F1241)),"Basket", IF(ISNUMBER(SEARCH("lunch",F1241)),"Lunch Box", IF(ISNUMBER(SEARCH("cutlery",F1241)),"Cutlery","Other")))))</f>
        <v>0</v>
      </c>
      <c r="I1241">
        <f>IF('Raw Data'!G1241&lt;&gt;'','Raw Data'!G1241,IFERROR(MID(F1241,SEARCH("MODEL",F1241)+6,20),""))</f>
        <v>0</v>
      </c>
      <c r="J1241">
        <f>'Raw Data'!H1241</f>
        <v>0</v>
      </c>
      <c r="K1241">
        <f>'Raw Data'!I1241</f>
        <v>0</v>
      </c>
      <c r="L1241">
        <f>IF('Raw Data'!N1241&lt;&gt;0,'Raw Data'!N1241,IFERROR(VALUE(MID(F1241,SEARCH("QTY",F1241)+4,IFERROR(FIND(" ",F1241,SEARCH("QTY",F1241)+4)-(SEARCH("QTY",F1241)+4),3))),""))</f>
        <v>0</v>
      </c>
      <c r="M1241">
        <f>'Raw Data'!O1241</f>
        <v>0</v>
      </c>
      <c r="N1241">
        <f>'Raw Data'!P1241</f>
        <v>0</v>
      </c>
      <c r="O1241">
        <f>'Raw Data'!Q1241</f>
        <v>0</v>
      </c>
      <c r="P1241">
        <f>'Raw Data'!R1241</f>
        <v>0</v>
      </c>
      <c r="Q1241">
        <f>'Raw Data'!S1241</f>
        <v>0</v>
      </c>
      <c r="R1241">
        <f>'Raw Data'!T1241</f>
        <v>0</v>
      </c>
      <c r="S1241">
        <f>IFERROR(O1241,0)+IFERROR(R1241,0)</f>
        <v>0</v>
      </c>
      <c r="T1241">
        <f>IF(A1241="","",YEAR(A1241))</f>
        <v>0</v>
      </c>
    </row>
    <row r="1242" spans="1:20">
      <c r="A1242">
        <f>'Raw Data'!B1242</f>
        <v>0</v>
      </c>
      <c r="B1242">
        <f>'Raw Data'!A1242</f>
        <v>0</v>
      </c>
      <c r="C1242">
        <f>'Raw Data'!C1242</f>
        <v>0</v>
      </c>
      <c r="D1242">
        <f>'Raw Data'!D1242</f>
        <v>0</v>
      </c>
      <c r="E1242">
        <f>IFERROR(VLOOKUP(D1242,'Lookup Tables'!$A:$B,2,FALSE),"Unknown")</f>
        <v>0</v>
      </c>
      <c r="F1242">
        <f>'Raw Data'!E1242</f>
        <v>0</v>
      </c>
      <c r="G1242">
        <f>IFERROR(VLOOKUP(D1242,'Lookup Tables'!$A:$C,3,FALSE),IF(ISNUMBER(SEARCH("STEEL",F1242)),"Steel","Others"))</f>
        <v>0</v>
      </c>
      <c r="H1242">
        <f>IF(ISNUMBER(SEARCH("scrubber",F1242)) , "Scrubber", IF(ISNUMBER(SEARCH("container",F1242)),"Container", IF(ISNUMBER(SEARCH("basket",F1242)),"Basket", IF(ISNUMBER(SEARCH("lunch",F1242)),"Lunch Box", IF(ISNUMBER(SEARCH("cutlery",F1242)),"Cutlery","Other")))))</f>
        <v>0</v>
      </c>
      <c r="I1242">
        <f>IF('Raw Data'!G1242&lt;&gt;'','Raw Data'!G1242,IFERROR(MID(F1242,SEARCH("MODEL",F1242)+6,20),""))</f>
        <v>0</v>
      </c>
      <c r="J1242">
        <f>'Raw Data'!H1242</f>
        <v>0</v>
      </c>
      <c r="K1242">
        <f>'Raw Data'!I1242</f>
        <v>0</v>
      </c>
      <c r="L1242">
        <f>IF('Raw Data'!N1242&lt;&gt;0,'Raw Data'!N1242,IFERROR(VALUE(MID(F1242,SEARCH("QTY",F1242)+4,IFERROR(FIND(" ",F1242,SEARCH("QTY",F1242)+4)-(SEARCH("QTY",F1242)+4),3))),""))</f>
        <v>0</v>
      </c>
      <c r="M1242">
        <f>'Raw Data'!O1242</f>
        <v>0</v>
      </c>
      <c r="N1242">
        <f>'Raw Data'!P1242</f>
        <v>0</v>
      </c>
      <c r="O1242">
        <f>'Raw Data'!Q1242</f>
        <v>0</v>
      </c>
      <c r="P1242">
        <f>'Raw Data'!R1242</f>
        <v>0</v>
      </c>
      <c r="Q1242">
        <f>'Raw Data'!S1242</f>
        <v>0</v>
      </c>
      <c r="R1242">
        <f>'Raw Data'!T1242</f>
        <v>0</v>
      </c>
      <c r="S1242">
        <f>IFERROR(O1242,0)+IFERROR(R1242,0)</f>
        <v>0</v>
      </c>
      <c r="T1242">
        <f>IF(A1242="","",YEAR(A1242))</f>
        <v>0</v>
      </c>
    </row>
    <row r="1243" spans="1:20">
      <c r="A1243">
        <f>'Raw Data'!B1243</f>
        <v>0</v>
      </c>
      <c r="B1243">
        <f>'Raw Data'!A1243</f>
        <v>0</v>
      </c>
      <c r="C1243">
        <f>'Raw Data'!C1243</f>
        <v>0</v>
      </c>
      <c r="D1243">
        <f>'Raw Data'!D1243</f>
        <v>0</v>
      </c>
      <c r="E1243">
        <f>IFERROR(VLOOKUP(D1243,'Lookup Tables'!$A:$B,2,FALSE),"Unknown")</f>
        <v>0</v>
      </c>
      <c r="F1243">
        <f>'Raw Data'!E1243</f>
        <v>0</v>
      </c>
      <c r="G1243">
        <f>IFERROR(VLOOKUP(D1243,'Lookup Tables'!$A:$C,3,FALSE),IF(ISNUMBER(SEARCH("STEEL",F1243)),"Steel","Others"))</f>
        <v>0</v>
      </c>
      <c r="H1243">
        <f>IF(ISNUMBER(SEARCH("scrubber",F1243)) , "Scrubber", IF(ISNUMBER(SEARCH("container",F1243)),"Container", IF(ISNUMBER(SEARCH("basket",F1243)),"Basket", IF(ISNUMBER(SEARCH("lunch",F1243)),"Lunch Box", IF(ISNUMBER(SEARCH("cutlery",F1243)),"Cutlery","Other")))))</f>
        <v>0</v>
      </c>
      <c r="I1243">
        <f>IF('Raw Data'!G1243&lt;&gt;'','Raw Data'!G1243,IFERROR(MID(F1243,SEARCH("MODEL",F1243)+6,20),""))</f>
        <v>0</v>
      </c>
      <c r="J1243">
        <f>'Raw Data'!H1243</f>
        <v>0</v>
      </c>
      <c r="K1243">
        <f>'Raw Data'!I1243</f>
        <v>0</v>
      </c>
      <c r="L1243">
        <f>IF('Raw Data'!N1243&lt;&gt;0,'Raw Data'!N1243,IFERROR(VALUE(MID(F1243,SEARCH("QTY",F1243)+4,IFERROR(FIND(" ",F1243,SEARCH("QTY",F1243)+4)-(SEARCH("QTY",F1243)+4),3))),""))</f>
        <v>0</v>
      </c>
      <c r="M1243">
        <f>'Raw Data'!O1243</f>
        <v>0</v>
      </c>
      <c r="N1243">
        <f>'Raw Data'!P1243</f>
        <v>0</v>
      </c>
      <c r="O1243">
        <f>'Raw Data'!Q1243</f>
        <v>0</v>
      </c>
      <c r="P1243">
        <f>'Raw Data'!R1243</f>
        <v>0</v>
      </c>
      <c r="Q1243">
        <f>'Raw Data'!S1243</f>
        <v>0</v>
      </c>
      <c r="R1243">
        <f>'Raw Data'!T1243</f>
        <v>0</v>
      </c>
      <c r="S1243">
        <f>IFERROR(O1243,0)+IFERROR(R1243,0)</f>
        <v>0</v>
      </c>
      <c r="T1243">
        <f>IF(A1243="","",YEAR(A1243))</f>
        <v>0</v>
      </c>
    </row>
    <row r="1244" spans="1:20">
      <c r="A1244">
        <f>'Raw Data'!B1244</f>
        <v>0</v>
      </c>
      <c r="B1244">
        <f>'Raw Data'!A1244</f>
        <v>0</v>
      </c>
      <c r="C1244">
        <f>'Raw Data'!C1244</f>
        <v>0</v>
      </c>
      <c r="D1244">
        <f>'Raw Data'!D1244</f>
        <v>0</v>
      </c>
      <c r="E1244">
        <f>IFERROR(VLOOKUP(D1244,'Lookup Tables'!$A:$B,2,FALSE),"Unknown")</f>
        <v>0</v>
      </c>
      <c r="F1244">
        <f>'Raw Data'!E1244</f>
        <v>0</v>
      </c>
      <c r="G1244">
        <f>IFERROR(VLOOKUP(D1244,'Lookup Tables'!$A:$C,3,FALSE),IF(ISNUMBER(SEARCH("STEEL",F1244)),"Steel","Others"))</f>
        <v>0</v>
      </c>
      <c r="H1244">
        <f>IF(ISNUMBER(SEARCH("scrubber",F1244)) , "Scrubber", IF(ISNUMBER(SEARCH("container",F1244)),"Container", IF(ISNUMBER(SEARCH("basket",F1244)),"Basket", IF(ISNUMBER(SEARCH("lunch",F1244)),"Lunch Box", IF(ISNUMBER(SEARCH("cutlery",F1244)),"Cutlery","Other")))))</f>
        <v>0</v>
      </c>
      <c r="I1244">
        <f>IF('Raw Data'!G1244&lt;&gt;'','Raw Data'!G1244,IFERROR(MID(F1244,SEARCH("MODEL",F1244)+6,20),""))</f>
        <v>0</v>
      </c>
      <c r="J1244">
        <f>'Raw Data'!H1244</f>
        <v>0</v>
      </c>
      <c r="K1244">
        <f>'Raw Data'!I1244</f>
        <v>0</v>
      </c>
      <c r="L1244">
        <f>IF('Raw Data'!N1244&lt;&gt;0,'Raw Data'!N1244,IFERROR(VALUE(MID(F1244,SEARCH("QTY",F1244)+4,IFERROR(FIND(" ",F1244,SEARCH("QTY",F1244)+4)-(SEARCH("QTY",F1244)+4),3))),""))</f>
        <v>0</v>
      </c>
      <c r="M1244">
        <f>'Raw Data'!O1244</f>
        <v>0</v>
      </c>
      <c r="N1244">
        <f>'Raw Data'!P1244</f>
        <v>0</v>
      </c>
      <c r="O1244">
        <f>'Raw Data'!Q1244</f>
        <v>0</v>
      </c>
      <c r="P1244">
        <f>'Raw Data'!R1244</f>
        <v>0</v>
      </c>
      <c r="Q1244">
        <f>'Raw Data'!S1244</f>
        <v>0</v>
      </c>
      <c r="R1244">
        <f>'Raw Data'!T1244</f>
        <v>0</v>
      </c>
      <c r="S1244">
        <f>IFERROR(O1244,0)+IFERROR(R1244,0)</f>
        <v>0</v>
      </c>
      <c r="T1244">
        <f>IF(A1244="","",YEAR(A1244))</f>
        <v>0</v>
      </c>
    </row>
    <row r="1245" spans="1:20">
      <c r="A1245">
        <f>'Raw Data'!B1245</f>
        <v>0</v>
      </c>
      <c r="B1245">
        <f>'Raw Data'!A1245</f>
        <v>0</v>
      </c>
      <c r="C1245">
        <f>'Raw Data'!C1245</f>
        <v>0</v>
      </c>
      <c r="D1245">
        <f>'Raw Data'!D1245</f>
        <v>0</v>
      </c>
      <c r="E1245">
        <f>IFERROR(VLOOKUP(D1245,'Lookup Tables'!$A:$B,2,FALSE),"Unknown")</f>
        <v>0</v>
      </c>
      <c r="F1245">
        <f>'Raw Data'!E1245</f>
        <v>0</v>
      </c>
      <c r="G1245">
        <f>IFERROR(VLOOKUP(D1245,'Lookup Tables'!$A:$C,3,FALSE),IF(ISNUMBER(SEARCH("STEEL",F1245)),"Steel","Others"))</f>
        <v>0</v>
      </c>
      <c r="H1245">
        <f>IF(ISNUMBER(SEARCH("scrubber",F1245)) , "Scrubber", IF(ISNUMBER(SEARCH("container",F1245)),"Container", IF(ISNUMBER(SEARCH("basket",F1245)),"Basket", IF(ISNUMBER(SEARCH("lunch",F1245)),"Lunch Box", IF(ISNUMBER(SEARCH("cutlery",F1245)),"Cutlery","Other")))))</f>
        <v>0</v>
      </c>
      <c r="I1245">
        <f>IF('Raw Data'!G1245&lt;&gt;'','Raw Data'!G1245,IFERROR(MID(F1245,SEARCH("MODEL",F1245)+6,20),""))</f>
        <v>0</v>
      </c>
      <c r="J1245">
        <f>'Raw Data'!H1245</f>
        <v>0</v>
      </c>
      <c r="K1245">
        <f>'Raw Data'!I1245</f>
        <v>0</v>
      </c>
      <c r="L1245">
        <f>IF('Raw Data'!N1245&lt;&gt;0,'Raw Data'!N1245,IFERROR(VALUE(MID(F1245,SEARCH("QTY",F1245)+4,IFERROR(FIND(" ",F1245,SEARCH("QTY",F1245)+4)-(SEARCH("QTY",F1245)+4),3))),""))</f>
        <v>0</v>
      </c>
      <c r="M1245">
        <f>'Raw Data'!O1245</f>
        <v>0</v>
      </c>
      <c r="N1245">
        <f>'Raw Data'!P1245</f>
        <v>0</v>
      </c>
      <c r="O1245">
        <f>'Raw Data'!Q1245</f>
        <v>0</v>
      </c>
      <c r="P1245">
        <f>'Raw Data'!R1245</f>
        <v>0</v>
      </c>
      <c r="Q1245">
        <f>'Raw Data'!S1245</f>
        <v>0</v>
      </c>
      <c r="R1245">
        <f>'Raw Data'!T1245</f>
        <v>0</v>
      </c>
      <c r="S1245">
        <f>IFERROR(O1245,0)+IFERROR(R1245,0)</f>
        <v>0</v>
      </c>
      <c r="T1245">
        <f>IF(A1245="","",YEAR(A1245))</f>
        <v>0</v>
      </c>
    </row>
    <row r="1246" spans="1:20">
      <c r="A1246">
        <f>'Raw Data'!B1246</f>
        <v>0</v>
      </c>
      <c r="B1246">
        <f>'Raw Data'!A1246</f>
        <v>0</v>
      </c>
      <c r="C1246">
        <f>'Raw Data'!C1246</f>
        <v>0</v>
      </c>
      <c r="D1246">
        <f>'Raw Data'!D1246</f>
        <v>0</v>
      </c>
      <c r="E1246">
        <f>IFERROR(VLOOKUP(D1246,'Lookup Tables'!$A:$B,2,FALSE),"Unknown")</f>
        <v>0</v>
      </c>
      <c r="F1246">
        <f>'Raw Data'!E1246</f>
        <v>0</v>
      </c>
      <c r="G1246">
        <f>IFERROR(VLOOKUP(D1246,'Lookup Tables'!$A:$C,3,FALSE),IF(ISNUMBER(SEARCH("STEEL",F1246)),"Steel","Others"))</f>
        <v>0</v>
      </c>
      <c r="H1246">
        <f>IF(ISNUMBER(SEARCH("scrubber",F1246)) , "Scrubber", IF(ISNUMBER(SEARCH("container",F1246)),"Container", IF(ISNUMBER(SEARCH("basket",F1246)),"Basket", IF(ISNUMBER(SEARCH("lunch",F1246)),"Lunch Box", IF(ISNUMBER(SEARCH("cutlery",F1246)),"Cutlery","Other")))))</f>
        <v>0</v>
      </c>
      <c r="I1246">
        <f>IF('Raw Data'!G1246&lt;&gt;'','Raw Data'!G1246,IFERROR(MID(F1246,SEARCH("MODEL",F1246)+6,20),""))</f>
        <v>0</v>
      </c>
      <c r="J1246">
        <f>'Raw Data'!H1246</f>
        <v>0</v>
      </c>
      <c r="K1246">
        <f>'Raw Data'!I1246</f>
        <v>0</v>
      </c>
      <c r="L1246">
        <f>IF('Raw Data'!N1246&lt;&gt;0,'Raw Data'!N1246,IFERROR(VALUE(MID(F1246,SEARCH("QTY",F1246)+4,IFERROR(FIND(" ",F1246,SEARCH("QTY",F1246)+4)-(SEARCH("QTY",F1246)+4),3))),""))</f>
        <v>0</v>
      </c>
      <c r="M1246">
        <f>'Raw Data'!O1246</f>
        <v>0</v>
      </c>
      <c r="N1246">
        <f>'Raw Data'!P1246</f>
        <v>0</v>
      </c>
      <c r="O1246">
        <f>'Raw Data'!Q1246</f>
        <v>0</v>
      </c>
      <c r="P1246">
        <f>'Raw Data'!R1246</f>
        <v>0</v>
      </c>
      <c r="Q1246">
        <f>'Raw Data'!S1246</f>
        <v>0</v>
      </c>
      <c r="R1246">
        <f>'Raw Data'!T1246</f>
        <v>0</v>
      </c>
      <c r="S1246">
        <f>IFERROR(O1246,0)+IFERROR(R1246,0)</f>
        <v>0</v>
      </c>
      <c r="T1246">
        <f>IF(A1246="","",YEAR(A1246))</f>
        <v>0</v>
      </c>
    </row>
    <row r="1247" spans="1:20">
      <c r="A1247">
        <f>'Raw Data'!B1247</f>
        <v>0</v>
      </c>
      <c r="B1247">
        <f>'Raw Data'!A1247</f>
        <v>0</v>
      </c>
      <c r="C1247">
        <f>'Raw Data'!C1247</f>
        <v>0</v>
      </c>
      <c r="D1247">
        <f>'Raw Data'!D1247</f>
        <v>0</v>
      </c>
      <c r="E1247">
        <f>IFERROR(VLOOKUP(D1247,'Lookup Tables'!$A:$B,2,FALSE),"Unknown")</f>
        <v>0</v>
      </c>
      <c r="F1247">
        <f>'Raw Data'!E1247</f>
        <v>0</v>
      </c>
      <c r="G1247">
        <f>IFERROR(VLOOKUP(D1247,'Lookup Tables'!$A:$C,3,FALSE),IF(ISNUMBER(SEARCH("STEEL",F1247)),"Steel","Others"))</f>
        <v>0</v>
      </c>
      <c r="H1247">
        <f>IF(ISNUMBER(SEARCH("scrubber",F1247)) , "Scrubber", IF(ISNUMBER(SEARCH("container",F1247)),"Container", IF(ISNUMBER(SEARCH("basket",F1247)),"Basket", IF(ISNUMBER(SEARCH("lunch",F1247)),"Lunch Box", IF(ISNUMBER(SEARCH("cutlery",F1247)),"Cutlery","Other")))))</f>
        <v>0</v>
      </c>
      <c r="I1247">
        <f>IF('Raw Data'!G1247&lt;&gt;'','Raw Data'!G1247,IFERROR(MID(F1247,SEARCH("MODEL",F1247)+6,20),""))</f>
        <v>0</v>
      </c>
      <c r="J1247">
        <f>'Raw Data'!H1247</f>
        <v>0</v>
      </c>
      <c r="K1247">
        <f>'Raw Data'!I1247</f>
        <v>0</v>
      </c>
      <c r="L1247">
        <f>IF('Raw Data'!N1247&lt;&gt;0,'Raw Data'!N1247,IFERROR(VALUE(MID(F1247,SEARCH("QTY",F1247)+4,IFERROR(FIND(" ",F1247,SEARCH("QTY",F1247)+4)-(SEARCH("QTY",F1247)+4),3))),""))</f>
        <v>0</v>
      </c>
      <c r="M1247">
        <f>'Raw Data'!O1247</f>
        <v>0</v>
      </c>
      <c r="N1247">
        <f>'Raw Data'!P1247</f>
        <v>0</v>
      </c>
      <c r="O1247">
        <f>'Raw Data'!Q1247</f>
        <v>0</v>
      </c>
      <c r="P1247">
        <f>'Raw Data'!R1247</f>
        <v>0</v>
      </c>
      <c r="Q1247">
        <f>'Raw Data'!S1247</f>
        <v>0</v>
      </c>
      <c r="R1247">
        <f>'Raw Data'!T1247</f>
        <v>0</v>
      </c>
      <c r="S1247">
        <f>IFERROR(O1247,0)+IFERROR(R1247,0)</f>
        <v>0</v>
      </c>
      <c r="T1247">
        <f>IF(A1247="","",YEAR(A1247))</f>
        <v>0</v>
      </c>
    </row>
    <row r="1248" spans="1:20">
      <c r="A1248">
        <f>'Raw Data'!B1248</f>
        <v>0</v>
      </c>
      <c r="B1248">
        <f>'Raw Data'!A1248</f>
        <v>0</v>
      </c>
      <c r="C1248">
        <f>'Raw Data'!C1248</f>
        <v>0</v>
      </c>
      <c r="D1248">
        <f>'Raw Data'!D1248</f>
        <v>0</v>
      </c>
      <c r="E1248">
        <f>IFERROR(VLOOKUP(D1248,'Lookup Tables'!$A:$B,2,FALSE),"Unknown")</f>
        <v>0</v>
      </c>
      <c r="F1248">
        <f>'Raw Data'!E1248</f>
        <v>0</v>
      </c>
      <c r="G1248">
        <f>IFERROR(VLOOKUP(D1248,'Lookup Tables'!$A:$C,3,FALSE),IF(ISNUMBER(SEARCH("STEEL",F1248)),"Steel","Others"))</f>
        <v>0</v>
      </c>
      <c r="H1248">
        <f>IF(ISNUMBER(SEARCH("scrubber",F1248)) , "Scrubber", IF(ISNUMBER(SEARCH("container",F1248)),"Container", IF(ISNUMBER(SEARCH("basket",F1248)),"Basket", IF(ISNUMBER(SEARCH("lunch",F1248)),"Lunch Box", IF(ISNUMBER(SEARCH("cutlery",F1248)),"Cutlery","Other")))))</f>
        <v>0</v>
      </c>
      <c r="I1248">
        <f>IF('Raw Data'!G1248&lt;&gt;'','Raw Data'!G1248,IFERROR(MID(F1248,SEARCH("MODEL",F1248)+6,20),""))</f>
        <v>0</v>
      </c>
      <c r="J1248">
        <f>'Raw Data'!H1248</f>
        <v>0</v>
      </c>
      <c r="K1248">
        <f>'Raw Data'!I1248</f>
        <v>0</v>
      </c>
      <c r="L1248">
        <f>IF('Raw Data'!N1248&lt;&gt;0,'Raw Data'!N1248,IFERROR(VALUE(MID(F1248,SEARCH("QTY",F1248)+4,IFERROR(FIND(" ",F1248,SEARCH("QTY",F1248)+4)-(SEARCH("QTY",F1248)+4),3))),""))</f>
        <v>0</v>
      </c>
      <c r="M1248">
        <f>'Raw Data'!O1248</f>
        <v>0</v>
      </c>
      <c r="N1248">
        <f>'Raw Data'!P1248</f>
        <v>0</v>
      </c>
      <c r="O1248">
        <f>'Raw Data'!Q1248</f>
        <v>0</v>
      </c>
      <c r="P1248">
        <f>'Raw Data'!R1248</f>
        <v>0</v>
      </c>
      <c r="Q1248">
        <f>'Raw Data'!S1248</f>
        <v>0</v>
      </c>
      <c r="R1248">
        <f>'Raw Data'!T1248</f>
        <v>0</v>
      </c>
      <c r="S1248">
        <f>IFERROR(O1248,0)+IFERROR(R1248,0)</f>
        <v>0</v>
      </c>
      <c r="T1248">
        <f>IF(A1248="","",YEAR(A1248))</f>
        <v>0</v>
      </c>
    </row>
    <row r="1249" spans="1:20">
      <c r="A1249">
        <f>'Raw Data'!B1249</f>
        <v>0</v>
      </c>
      <c r="B1249">
        <f>'Raw Data'!A1249</f>
        <v>0</v>
      </c>
      <c r="C1249">
        <f>'Raw Data'!C1249</f>
        <v>0</v>
      </c>
      <c r="D1249">
        <f>'Raw Data'!D1249</f>
        <v>0</v>
      </c>
      <c r="E1249">
        <f>IFERROR(VLOOKUP(D1249,'Lookup Tables'!$A:$B,2,FALSE),"Unknown")</f>
        <v>0</v>
      </c>
      <c r="F1249">
        <f>'Raw Data'!E1249</f>
        <v>0</v>
      </c>
      <c r="G1249">
        <f>IFERROR(VLOOKUP(D1249,'Lookup Tables'!$A:$C,3,FALSE),IF(ISNUMBER(SEARCH("STEEL",F1249)),"Steel","Others"))</f>
        <v>0</v>
      </c>
      <c r="H1249">
        <f>IF(ISNUMBER(SEARCH("scrubber",F1249)) , "Scrubber", IF(ISNUMBER(SEARCH("container",F1249)),"Container", IF(ISNUMBER(SEARCH("basket",F1249)),"Basket", IF(ISNUMBER(SEARCH("lunch",F1249)),"Lunch Box", IF(ISNUMBER(SEARCH("cutlery",F1249)),"Cutlery","Other")))))</f>
        <v>0</v>
      </c>
      <c r="I1249">
        <f>IF('Raw Data'!G1249&lt;&gt;'','Raw Data'!G1249,IFERROR(MID(F1249,SEARCH("MODEL",F1249)+6,20),""))</f>
        <v>0</v>
      </c>
      <c r="J1249">
        <f>'Raw Data'!H1249</f>
        <v>0</v>
      </c>
      <c r="K1249">
        <f>'Raw Data'!I1249</f>
        <v>0</v>
      </c>
      <c r="L1249">
        <f>IF('Raw Data'!N1249&lt;&gt;0,'Raw Data'!N1249,IFERROR(VALUE(MID(F1249,SEARCH("QTY",F1249)+4,IFERROR(FIND(" ",F1249,SEARCH("QTY",F1249)+4)-(SEARCH("QTY",F1249)+4),3))),""))</f>
        <v>0</v>
      </c>
      <c r="M1249">
        <f>'Raw Data'!O1249</f>
        <v>0</v>
      </c>
      <c r="N1249">
        <f>'Raw Data'!P1249</f>
        <v>0</v>
      </c>
      <c r="O1249">
        <f>'Raw Data'!Q1249</f>
        <v>0</v>
      </c>
      <c r="P1249">
        <f>'Raw Data'!R1249</f>
        <v>0</v>
      </c>
      <c r="Q1249">
        <f>'Raw Data'!S1249</f>
        <v>0</v>
      </c>
      <c r="R1249">
        <f>'Raw Data'!T1249</f>
        <v>0</v>
      </c>
      <c r="S1249">
        <f>IFERROR(O1249,0)+IFERROR(R1249,0)</f>
        <v>0</v>
      </c>
      <c r="T1249">
        <f>IF(A1249="","",YEAR(A1249))</f>
        <v>0</v>
      </c>
    </row>
    <row r="1250" spans="1:20">
      <c r="A1250">
        <f>'Raw Data'!B1250</f>
        <v>0</v>
      </c>
      <c r="B1250">
        <f>'Raw Data'!A1250</f>
        <v>0</v>
      </c>
      <c r="C1250">
        <f>'Raw Data'!C1250</f>
        <v>0</v>
      </c>
      <c r="D1250">
        <f>'Raw Data'!D1250</f>
        <v>0</v>
      </c>
      <c r="E1250">
        <f>IFERROR(VLOOKUP(D1250,'Lookup Tables'!$A:$B,2,FALSE),"Unknown")</f>
        <v>0</v>
      </c>
      <c r="F1250">
        <f>'Raw Data'!E1250</f>
        <v>0</v>
      </c>
      <c r="G1250">
        <f>IFERROR(VLOOKUP(D1250,'Lookup Tables'!$A:$C,3,FALSE),IF(ISNUMBER(SEARCH("STEEL",F1250)),"Steel","Others"))</f>
        <v>0</v>
      </c>
      <c r="H1250">
        <f>IF(ISNUMBER(SEARCH("scrubber",F1250)) , "Scrubber", IF(ISNUMBER(SEARCH("container",F1250)),"Container", IF(ISNUMBER(SEARCH("basket",F1250)),"Basket", IF(ISNUMBER(SEARCH("lunch",F1250)),"Lunch Box", IF(ISNUMBER(SEARCH("cutlery",F1250)),"Cutlery","Other")))))</f>
        <v>0</v>
      </c>
      <c r="I1250">
        <f>IF('Raw Data'!G1250&lt;&gt;'','Raw Data'!G1250,IFERROR(MID(F1250,SEARCH("MODEL",F1250)+6,20),""))</f>
        <v>0</v>
      </c>
      <c r="J1250">
        <f>'Raw Data'!H1250</f>
        <v>0</v>
      </c>
      <c r="K1250">
        <f>'Raw Data'!I1250</f>
        <v>0</v>
      </c>
      <c r="L1250">
        <f>IF('Raw Data'!N1250&lt;&gt;0,'Raw Data'!N1250,IFERROR(VALUE(MID(F1250,SEARCH("QTY",F1250)+4,IFERROR(FIND(" ",F1250,SEARCH("QTY",F1250)+4)-(SEARCH("QTY",F1250)+4),3))),""))</f>
        <v>0</v>
      </c>
      <c r="M1250">
        <f>'Raw Data'!O1250</f>
        <v>0</v>
      </c>
      <c r="N1250">
        <f>'Raw Data'!P1250</f>
        <v>0</v>
      </c>
      <c r="O1250">
        <f>'Raw Data'!Q1250</f>
        <v>0</v>
      </c>
      <c r="P1250">
        <f>'Raw Data'!R1250</f>
        <v>0</v>
      </c>
      <c r="Q1250">
        <f>'Raw Data'!S1250</f>
        <v>0</v>
      </c>
      <c r="R1250">
        <f>'Raw Data'!T1250</f>
        <v>0</v>
      </c>
      <c r="S1250">
        <f>IFERROR(O1250,0)+IFERROR(R1250,0)</f>
        <v>0</v>
      </c>
      <c r="T1250">
        <f>IF(A1250="","",YEAR(A1250))</f>
        <v>0</v>
      </c>
    </row>
    <row r="1251" spans="1:20">
      <c r="A1251">
        <f>'Raw Data'!B1251</f>
        <v>0</v>
      </c>
      <c r="B1251">
        <f>'Raw Data'!A1251</f>
        <v>0</v>
      </c>
      <c r="C1251">
        <f>'Raw Data'!C1251</f>
        <v>0</v>
      </c>
      <c r="D1251">
        <f>'Raw Data'!D1251</f>
        <v>0</v>
      </c>
      <c r="E1251">
        <f>IFERROR(VLOOKUP(D1251,'Lookup Tables'!$A:$B,2,FALSE),"Unknown")</f>
        <v>0</v>
      </c>
      <c r="F1251">
        <f>'Raw Data'!E1251</f>
        <v>0</v>
      </c>
      <c r="G1251">
        <f>IFERROR(VLOOKUP(D1251,'Lookup Tables'!$A:$C,3,FALSE),IF(ISNUMBER(SEARCH("STEEL",F1251)),"Steel","Others"))</f>
        <v>0</v>
      </c>
      <c r="H1251">
        <f>IF(ISNUMBER(SEARCH("scrubber",F1251)) , "Scrubber", IF(ISNUMBER(SEARCH("container",F1251)),"Container", IF(ISNUMBER(SEARCH("basket",F1251)),"Basket", IF(ISNUMBER(SEARCH("lunch",F1251)),"Lunch Box", IF(ISNUMBER(SEARCH("cutlery",F1251)),"Cutlery","Other")))))</f>
        <v>0</v>
      </c>
      <c r="I1251">
        <f>IF('Raw Data'!G1251&lt;&gt;'','Raw Data'!G1251,IFERROR(MID(F1251,SEARCH("MODEL",F1251)+6,20),""))</f>
        <v>0</v>
      </c>
      <c r="J1251">
        <f>'Raw Data'!H1251</f>
        <v>0</v>
      </c>
      <c r="K1251">
        <f>'Raw Data'!I1251</f>
        <v>0</v>
      </c>
      <c r="L1251">
        <f>IF('Raw Data'!N1251&lt;&gt;0,'Raw Data'!N1251,IFERROR(VALUE(MID(F1251,SEARCH("QTY",F1251)+4,IFERROR(FIND(" ",F1251,SEARCH("QTY",F1251)+4)-(SEARCH("QTY",F1251)+4),3))),""))</f>
        <v>0</v>
      </c>
      <c r="M1251">
        <f>'Raw Data'!O1251</f>
        <v>0</v>
      </c>
      <c r="N1251">
        <f>'Raw Data'!P1251</f>
        <v>0</v>
      </c>
      <c r="O1251">
        <f>'Raw Data'!Q1251</f>
        <v>0</v>
      </c>
      <c r="P1251">
        <f>'Raw Data'!R1251</f>
        <v>0</v>
      </c>
      <c r="Q1251">
        <f>'Raw Data'!S1251</f>
        <v>0</v>
      </c>
      <c r="R1251">
        <f>'Raw Data'!T1251</f>
        <v>0</v>
      </c>
      <c r="S1251">
        <f>IFERROR(O1251,0)+IFERROR(R1251,0)</f>
        <v>0</v>
      </c>
      <c r="T1251">
        <f>IF(A1251="","",YEAR(A1251))</f>
        <v>0</v>
      </c>
    </row>
    <row r="1252" spans="1:20">
      <c r="A1252">
        <f>'Raw Data'!B1252</f>
        <v>0</v>
      </c>
      <c r="B1252">
        <f>'Raw Data'!A1252</f>
        <v>0</v>
      </c>
      <c r="C1252">
        <f>'Raw Data'!C1252</f>
        <v>0</v>
      </c>
      <c r="D1252">
        <f>'Raw Data'!D1252</f>
        <v>0</v>
      </c>
      <c r="E1252">
        <f>IFERROR(VLOOKUP(D1252,'Lookup Tables'!$A:$B,2,FALSE),"Unknown")</f>
        <v>0</v>
      </c>
      <c r="F1252">
        <f>'Raw Data'!E1252</f>
        <v>0</v>
      </c>
      <c r="G1252">
        <f>IFERROR(VLOOKUP(D1252,'Lookup Tables'!$A:$C,3,FALSE),IF(ISNUMBER(SEARCH("STEEL",F1252)),"Steel","Others"))</f>
        <v>0</v>
      </c>
      <c r="H1252">
        <f>IF(ISNUMBER(SEARCH("scrubber",F1252)) , "Scrubber", IF(ISNUMBER(SEARCH("container",F1252)),"Container", IF(ISNUMBER(SEARCH("basket",F1252)),"Basket", IF(ISNUMBER(SEARCH("lunch",F1252)),"Lunch Box", IF(ISNUMBER(SEARCH("cutlery",F1252)),"Cutlery","Other")))))</f>
        <v>0</v>
      </c>
      <c r="I1252">
        <f>IF('Raw Data'!G1252&lt;&gt;'','Raw Data'!G1252,IFERROR(MID(F1252,SEARCH("MODEL",F1252)+6,20),""))</f>
        <v>0</v>
      </c>
      <c r="J1252">
        <f>'Raw Data'!H1252</f>
        <v>0</v>
      </c>
      <c r="K1252">
        <f>'Raw Data'!I1252</f>
        <v>0</v>
      </c>
      <c r="L1252">
        <f>IF('Raw Data'!N1252&lt;&gt;0,'Raw Data'!N1252,IFERROR(VALUE(MID(F1252,SEARCH("QTY",F1252)+4,IFERROR(FIND(" ",F1252,SEARCH("QTY",F1252)+4)-(SEARCH("QTY",F1252)+4),3))),""))</f>
        <v>0</v>
      </c>
      <c r="M1252">
        <f>'Raw Data'!O1252</f>
        <v>0</v>
      </c>
      <c r="N1252">
        <f>'Raw Data'!P1252</f>
        <v>0</v>
      </c>
      <c r="O1252">
        <f>'Raw Data'!Q1252</f>
        <v>0</v>
      </c>
      <c r="P1252">
        <f>'Raw Data'!R1252</f>
        <v>0</v>
      </c>
      <c r="Q1252">
        <f>'Raw Data'!S1252</f>
        <v>0</v>
      </c>
      <c r="R1252">
        <f>'Raw Data'!T1252</f>
        <v>0</v>
      </c>
      <c r="S1252">
        <f>IFERROR(O1252,0)+IFERROR(R1252,0)</f>
        <v>0</v>
      </c>
      <c r="T1252">
        <f>IF(A1252="","",YEAR(A1252))</f>
        <v>0</v>
      </c>
    </row>
    <row r="1253" spans="1:20">
      <c r="A1253">
        <f>'Raw Data'!B1253</f>
        <v>0</v>
      </c>
      <c r="B1253">
        <f>'Raw Data'!A1253</f>
        <v>0</v>
      </c>
      <c r="C1253">
        <f>'Raw Data'!C1253</f>
        <v>0</v>
      </c>
      <c r="D1253">
        <f>'Raw Data'!D1253</f>
        <v>0</v>
      </c>
      <c r="E1253">
        <f>IFERROR(VLOOKUP(D1253,'Lookup Tables'!$A:$B,2,FALSE),"Unknown")</f>
        <v>0</v>
      </c>
      <c r="F1253">
        <f>'Raw Data'!E1253</f>
        <v>0</v>
      </c>
      <c r="G1253">
        <f>IFERROR(VLOOKUP(D1253,'Lookup Tables'!$A:$C,3,FALSE),IF(ISNUMBER(SEARCH("STEEL",F1253)),"Steel","Others"))</f>
        <v>0</v>
      </c>
      <c r="H1253">
        <f>IF(ISNUMBER(SEARCH("scrubber",F1253)) , "Scrubber", IF(ISNUMBER(SEARCH("container",F1253)),"Container", IF(ISNUMBER(SEARCH("basket",F1253)),"Basket", IF(ISNUMBER(SEARCH("lunch",F1253)),"Lunch Box", IF(ISNUMBER(SEARCH("cutlery",F1253)),"Cutlery","Other")))))</f>
        <v>0</v>
      </c>
      <c r="I1253">
        <f>IF('Raw Data'!G1253&lt;&gt;'','Raw Data'!G1253,IFERROR(MID(F1253,SEARCH("MODEL",F1253)+6,20),""))</f>
        <v>0</v>
      </c>
      <c r="J1253">
        <f>'Raw Data'!H1253</f>
        <v>0</v>
      </c>
      <c r="K1253">
        <f>'Raw Data'!I1253</f>
        <v>0</v>
      </c>
      <c r="L1253">
        <f>IF('Raw Data'!N1253&lt;&gt;0,'Raw Data'!N1253,IFERROR(VALUE(MID(F1253,SEARCH("QTY",F1253)+4,IFERROR(FIND(" ",F1253,SEARCH("QTY",F1253)+4)-(SEARCH("QTY",F1253)+4),3))),""))</f>
        <v>0</v>
      </c>
      <c r="M1253">
        <f>'Raw Data'!O1253</f>
        <v>0</v>
      </c>
      <c r="N1253">
        <f>'Raw Data'!P1253</f>
        <v>0</v>
      </c>
      <c r="O1253">
        <f>'Raw Data'!Q1253</f>
        <v>0</v>
      </c>
      <c r="P1253">
        <f>'Raw Data'!R1253</f>
        <v>0</v>
      </c>
      <c r="Q1253">
        <f>'Raw Data'!S1253</f>
        <v>0</v>
      </c>
      <c r="R1253">
        <f>'Raw Data'!T1253</f>
        <v>0</v>
      </c>
      <c r="S1253">
        <f>IFERROR(O1253,0)+IFERROR(R1253,0)</f>
        <v>0</v>
      </c>
      <c r="T1253">
        <f>IF(A1253="","",YEAR(A1253))</f>
        <v>0</v>
      </c>
    </row>
    <row r="1254" spans="1:20">
      <c r="A1254">
        <f>'Raw Data'!B1254</f>
        <v>0</v>
      </c>
      <c r="B1254">
        <f>'Raw Data'!A1254</f>
        <v>0</v>
      </c>
      <c r="C1254">
        <f>'Raw Data'!C1254</f>
        <v>0</v>
      </c>
      <c r="D1254">
        <f>'Raw Data'!D1254</f>
        <v>0</v>
      </c>
      <c r="E1254">
        <f>IFERROR(VLOOKUP(D1254,'Lookup Tables'!$A:$B,2,FALSE),"Unknown")</f>
        <v>0</v>
      </c>
      <c r="F1254">
        <f>'Raw Data'!E1254</f>
        <v>0</v>
      </c>
      <c r="G1254">
        <f>IFERROR(VLOOKUP(D1254,'Lookup Tables'!$A:$C,3,FALSE),IF(ISNUMBER(SEARCH("STEEL",F1254)),"Steel","Others"))</f>
        <v>0</v>
      </c>
      <c r="H1254">
        <f>IF(ISNUMBER(SEARCH("scrubber",F1254)) , "Scrubber", IF(ISNUMBER(SEARCH("container",F1254)),"Container", IF(ISNUMBER(SEARCH("basket",F1254)),"Basket", IF(ISNUMBER(SEARCH("lunch",F1254)),"Lunch Box", IF(ISNUMBER(SEARCH("cutlery",F1254)),"Cutlery","Other")))))</f>
        <v>0</v>
      </c>
      <c r="I1254">
        <f>IF('Raw Data'!G1254&lt;&gt;'','Raw Data'!G1254,IFERROR(MID(F1254,SEARCH("MODEL",F1254)+6,20),""))</f>
        <v>0</v>
      </c>
      <c r="J1254">
        <f>'Raw Data'!H1254</f>
        <v>0</v>
      </c>
      <c r="K1254">
        <f>'Raw Data'!I1254</f>
        <v>0</v>
      </c>
      <c r="L1254">
        <f>IF('Raw Data'!N1254&lt;&gt;0,'Raw Data'!N1254,IFERROR(VALUE(MID(F1254,SEARCH("QTY",F1254)+4,IFERROR(FIND(" ",F1254,SEARCH("QTY",F1254)+4)-(SEARCH("QTY",F1254)+4),3))),""))</f>
        <v>0</v>
      </c>
      <c r="M1254">
        <f>'Raw Data'!O1254</f>
        <v>0</v>
      </c>
      <c r="N1254">
        <f>'Raw Data'!P1254</f>
        <v>0</v>
      </c>
      <c r="O1254">
        <f>'Raw Data'!Q1254</f>
        <v>0</v>
      </c>
      <c r="P1254">
        <f>'Raw Data'!R1254</f>
        <v>0</v>
      </c>
      <c r="Q1254">
        <f>'Raw Data'!S1254</f>
        <v>0</v>
      </c>
      <c r="R1254">
        <f>'Raw Data'!T1254</f>
        <v>0</v>
      </c>
      <c r="S1254">
        <f>IFERROR(O1254,0)+IFERROR(R1254,0)</f>
        <v>0</v>
      </c>
      <c r="T1254">
        <f>IF(A1254="","",YEAR(A1254))</f>
        <v>0</v>
      </c>
    </row>
    <row r="1255" spans="1:20">
      <c r="A1255">
        <f>'Raw Data'!B1255</f>
        <v>0</v>
      </c>
      <c r="B1255">
        <f>'Raw Data'!A1255</f>
        <v>0</v>
      </c>
      <c r="C1255">
        <f>'Raw Data'!C1255</f>
        <v>0</v>
      </c>
      <c r="D1255">
        <f>'Raw Data'!D1255</f>
        <v>0</v>
      </c>
      <c r="E1255">
        <f>IFERROR(VLOOKUP(D1255,'Lookup Tables'!$A:$B,2,FALSE),"Unknown")</f>
        <v>0</v>
      </c>
      <c r="F1255">
        <f>'Raw Data'!E1255</f>
        <v>0</v>
      </c>
      <c r="G1255">
        <f>IFERROR(VLOOKUP(D1255,'Lookup Tables'!$A:$C,3,FALSE),IF(ISNUMBER(SEARCH("STEEL",F1255)),"Steel","Others"))</f>
        <v>0</v>
      </c>
      <c r="H1255">
        <f>IF(ISNUMBER(SEARCH("scrubber",F1255)) , "Scrubber", IF(ISNUMBER(SEARCH("container",F1255)),"Container", IF(ISNUMBER(SEARCH("basket",F1255)),"Basket", IF(ISNUMBER(SEARCH("lunch",F1255)),"Lunch Box", IF(ISNUMBER(SEARCH("cutlery",F1255)),"Cutlery","Other")))))</f>
        <v>0</v>
      </c>
      <c r="I1255">
        <f>IF('Raw Data'!G1255&lt;&gt;'','Raw Data'!G1255,IFERROR(MID(F1255,SEARCH("MODEL",F1255)+6,20),""))</f>
        <v>0</v>
      </c>
      <c r="J1255">
        <f>'Raw Data'!H1255</f>
        <v>0</v>
      </c>
      <c r="K1255">
        <f>'Raw Data'!I1255</f>
        <v>0</v>
      </c>
      <c r="L1255">
        <f>IF('Raw Data'!N1255&lt;&gt;0,'Raw Data'!N1255,IFERROR(VALUE(MID(F1255,SEARCH("QTY",F1255)+4,IFERROR(FIND(" ",F1255,SEARCH("QTY",F1255)+4)-(SEARCH("QTY",F1255)+4),3))),""))</f>
        <v>0</v>
      </c>
      <c r="M1255">
        <f>'Raw Data'!O1255</f>
        <v>0</v>
      </c>
      <c r="N1255">
        <f>'Raw Data'!P1255</f>
        <v>0</v>
      </c>
      <c r="O1255">
        <f>'Raw Data'!Q1255</f>
        <v>0</v>
      </c>
      <c r="P1255">
        <f>'Raw Data'!R1255</f>
        <v>0</v>
      </c>
      <c r="Q1255">
        <f>'Raw Data'!S1255</f>
        <v>0</v>
      </c>
      <c r="R1255">
        <f>'Raw Data'!T1255</f>
        <v>0</v>
      </c>
      <c r="S1255">
        <f>IFERROR(O1255,0)+IFERROR(R1255,0)</f>
        <v>0</v>
      </c>
      <c r="T1255">
        <f>IF(A1255="","",YEAR(A1255))</f>
        <v>0</v>
      </c>
    </row>
    <row r="1256" spans="1:20">
      <c r="A1256">
        <f>'Raw Data'!B1256</f>
        <v>0</v>
      </c>
      <c r="B1256">
        <f>'Raw Data'!A1256</f>
        <v>0</v>
      </c>
      <c r="C1256">
        <f>'Raw Data'!C1256</f>
        <v>0</v>
      </c>
      <c r="D1256">
        <f>'Raw Data'!D1256</f>
        <v>0</v>
      </c>
      <c r="E1256">
        <f>IFERROR(VLOOKUP(D1256,'Lookup Tables'!$A:$B,2,FALSE),"Unknown")</f>
        <v>0</v>
      </c>
      <c r="F1256">
        <f>'Raw Data'!E1256</f>
        <v>0</v>
      </c>
      <c r="G1256">
        <f>IFERROR(VLOOKUP(D1256,'Lookup Tables'!$A:$C,3,FALSE),IF(ISNUMBER(SEARCH("STEEL",F1256)),"Steel","Others"))</f>
        <v>0</v>
      </c>
      <c r="H1256">
        <f>IF(ISNUMBER(SEARCH("scrubber",F1256)) , "Scrubber", IF(ISNUMBER(SEARCH("container",F1256)),"Container", IF(ISNUMBER(SEARCH("basket",F1256)),"Basket", IF(ISNUMBER(SEARCH("lunch",F1256)),"Lunch Box", IF(ISNUMBER(SEARCH("cutlery",F1256)),"Cutlery","Other")))))</f>
        <v>0</v>
      </c>
      <c r="I1256">
        <f>IF('Raw Data'!G1256&lt;&gt;'','Raw Data'!G1256,IFERROR(MID(F1256,SEARCH("MODEL",F1256)+6,20),""))</f>
        <v>0</v>
      </c>
      <c r="J1256">
        <f>'Raw Data'!H1256</f>
        <v>0</v>
      </c>
      <c r="K1256">
        <f>'Raw Data'!I1256</f>
        <v>0</v>
      </c>
      <c r="L1256">
        <f>IF('Raw Data'!N1256&lt;&gt;0,'Raw Data'!N1256,IFERROR(VALUE(MID(F1256,SEARCH("QTY",F1256)+4,IFERROR(FIND(" ",F1256,SEARCH("QTY",F1256)+4)-(SEARCH("QTY",F1256)+4),3))),""))</f>
        <v>0</v>
      </c>
      <c r="M1256">
        <f>'Raw Data'!O1256</f>
        <v>0</v>
      </c>
      <c r="N1256">
        <f>'Raw Data'!P1256</f>
        <v>0</v>
      </c>
      <c r="O1256">
        <f>'Raw Data'!Q1256</f>
        <v>0</v>
      </c>
      <c r="P1256">
        <f>'Raw Data'!R1256</f>
        <v>0</v>
      </c>
      <c r="Q1256">
        <f>'Raw Data'!S1256</f>
        <v>0</v>
      </c>
      <c r="R1256">
        <f>'Raw Data'!T1256</f>
        <v>0</v>
      </c>
      <c r="S1256">
        <f>IFERROR(O1256,0)+IFERROR(R1256,0)</f>
        <v>0</v>
      </c>
      <c r="T1256">
        <f>IF(A1256="","",YEAR(A1256))</f>
        <v>0</v>
      </c>
    </row>
    <row r="1257" spans="1:20">
      <c r="A1257">
        <f>'Raw Data'!B1257</f>
        <v>0</v>
      </c>
      <c r="B1257">
        <f>'Raw Data'!A1257</f>
        <v>0</v>
      </c>
      <c r="C1257">
        <f>'Raw Data'!C1257</f>
        <v>0</v>
      </c>
      <c r="D1257">
        <f>'Raw Data'!D1257</f>
        <v>0</v>
      </c>
      <c r="E1257">
        <f>IFERROR(VLOOKUP(D1257,'Lookup Tables'!$A:$B,2,FALSE),"Unknown")</f>
        <v>0</v>
      </c>
      <c r="F1257">
        <f>'Raw Data'!E1257</f>
        <v>0</v>
      </c>
      <c r="G1257">
        <f>IFERROR(VLOOKUP(D1257,'Lookup Tables'!$A:$C,3,FALSE),IF(ISNUMBER(SEARCH("STEEL",F1257)),"Steel","Others"))</f>
        <v>0</v>
      </c>
      <c r="H1257">
        <f>IF(ISNUMBER(SEARCH("scrubber",F1257)) , "Scrubber", IF(ISNUMBER(SEARCH("container",F1257)),"Container", IF(ISNUMBER(SEARCH("basket",F1257)),"Basket", IF(ISNUMBER(SEARCH("lunch",F1257)),"Lunch Box", IF(ISNUMBER(SEARCH("cutlery",F1257)),"Cutlery","Other")))))</f>
        <v>0</v>
      </c>
      <c r="I1257">
        <f>IF('Raw Data'!G1257&lt;&gt;'','Raw Data'!G1257,IFERROR(MID(F1257,SEARCH("MODEL",F1257)+6,20),""))</f>
        <v>0</v>
      </c>
      <c r="J1257">
        <f>'Raw Data'!H1257</f>
        <v>0</v>
      </c>
      <c r="K1257">
        <f>'Raw Data'!I1257</f>
        <v>0</v>
      </c>
      <c r="L1257">
        <f>IF('Raw Data'!N1257&lt;&gt;0,'Raw Data'!N1257,IFERROR(VALUE(MID(F1257,SEARCH("QTY",F1257)+4,IFERROR(FIND(" ",F1257,SEARCH("QTY",F1257)+4)-(SEARCH("QTY",F1257)+4),3))),""))</f>
        <v>0</v>
      </c>
      <c r="M1257">
        <f>'Raw Data'!O1257</f>
        <v>0</v>
      </c>
      <c r="N1257">
        <f>'Raw Data'!P1257</f>
        <v>0</v>
      </c>
      <c r="O1257">
        <f>'Raw Data'!Q1257</f>
        <v>0</v>
      </c>
      <c r="P1257">
        <f>'Raw Data'!R1257</f>
        <v>0</v>
      </c>
      <c r="Q1257">
        <f>'Raw Data'!S1257</f>
        <v>0</v>
      </c>
      <c r="R1257">
        <f>'Raw Data'!T1257</f>
        <v>0</v>
      </c>
      <c r="S1257">
        <f>IFERROR(O1257,0)+IFERROR(R1257,0)</f>
        <v>0</v>
      </c>
      <c r="T1257">
        <f>IF(A1257="","",YEAR(A1257))</f>
        <v>0</v>
      </c>
    </row>
    <row r="1258" spans="1:20">
      <c r="A1258">
        <f>'Raw Data'!B1258</f>
        <v>0</v>
      </c>
      <c r="B1258">
        <f>'Raw Data'!A1258</f>
        <v>0</v>
      </c>
      <c r="C1258">
        <f>'Raw Data'!C1258</f>
        <v>0</v>
      </c>
      <c r="D1258">
        <f>'Raw Data'!D1258</f>
        <v>0</v>
      </c>
      <c r="E1258">
        <f>IFERROR(VLOOKUP(D1258,'Lookup Tables'!$A:$B,2,FALSE),"Unknown")</f>
        <v>0</v>
      </c>
      <c r="F1258">
        <f>'Raw Data'!E1258</f>
        <v>0</v>
      </c>
      <c r="G1258">
        <f>IFERROR(VLOOKUP(D1258,'Lookup Tables'!$A:$C,3,FALSE),IF(ISNUMBER(SEARCH("STEEL",F1258)),"Steel","Others"))</f>
        <v>0</v>
      </c>
      <c r="H1258">
        <f>IF(ISNUMBER(SEARCH("scrubber",F1258)) , "Scrubber", IF(ISNUMBER(SEARCH("container",F1258)),"Container", IF(ISNUMBER(SEARCH("basket",F1258)),"Basket", IF(ISNUMBER(SEARCH("lunch",F1258)),"Lunch Box", IF(ISNUMBER(SEARCH("cutlery",F1258)),"Cutlery","Other")))))</f>
        <v>0</v>
      </c>
      <c r="I1258">
        <f>IF('Raw Data'!G1258&lt;&gt;'','Raw Data'!G1258,IFERROR(MID(F1258,SEARCH("MODEL",F1258)+6,20),""))</f>
        <v>0</v>
      </c>
      <c r="J1258">
        <f>'Raw Data'!H1258</f>
        <v>0</v>
      </c>
      <c r="K1258">
        <f>'Raw Data'!I1258</f>
        <v>0</v>
      </c>
      <c r="L1258">
        <f>IF('Raw Data'!N1258&lt;&gt;0,'Raw Data'!N1258,IFERROR(VALUE(MID(F1258,SEARCH("QTY",F1258)+4,IFERROR(FIND(" ",F1258,SEARCH("QTY",F1258)+4)-(SEARCH("QTY",F1258)+4),3))),""))</f>
        <v>0</v>
      </c>
      <c r="M1258">
        <f>'Raw Data'!O1258</f>
        <v>0</v>
      </c>
      <c r="N1258">
        <f>'Raw Data'!P1258</f>
        <v>0</v>
      </c>
      <c r="O1258">
        <f>'Raw Data'!Q1258</f>
        <v>0</v>
      </c>
      <c r="P1258">
        <f>'Raw Data'!R1258</f>
        <v>0</v>
      </c>
      <c r="Q1258">
        <f>'Raw Data'!S1258</f>
        <v>0</v>
      </c>
      <c r="R1258">
        <f>'Raw Data'!T1258</f>
        <v>0</v>
      </c>
      <c r="S1258">
        <f>IFERROR(O1258,0)+IFERROR(R1258,0)</f>
        <v>0</v>
      </c>
      <c r="T1258">
        <f>IF(A1258="","",YEAR(A1258))</f>
        <v>0</v>
      </c>
    </row>
    <row r="1259" spans="1:20">
      <c r="A1259">
        <f>'Raw Data'!B1259</f>
        <v>0</v>
      </c>
      <c r="B1259">
        <f>'Raw Data'!A1259</f>
        <v>0</v>
      </c>
      <c r="C1259">
        <f>'Raw Data'!C1259</f>
        <v>0</v>
      </c>
      <c r="D1259">
        <f>'Raw Data'!D1259</f>
        <v>0</v>
      </c>
      <c r="E1259">
        <f>IFERROR(VLOOKUP(D1259,'Lookup Tables'!$A:$B,2,FALSE),"Unknown")</f>
        <v>0</v>
      </c>
      <c r="F1259">
        <f>'Raw Data'!E1259</f>
        <v>0</v>
      </c>
      <c r="G1259">
        <f>IFERROR(VLOOKUP(D1259,'Lookup Tables'!$A:$C,3,FALSE),IF(ISNUMBER(SEARCH("STEEL",F1259)),"Steel","Others"))</f>
        <v>0</v>
      </c>
      <c r="H1259">
        <f>IF(ISNUMBER(SEARCH("scrubber",F1259)) , "Scrubber", IF(ISNUMBER(SEARCH("container",F1259)),"Container", IF(ISNUMBER(SEARCH("basket",F1259)),"Basket", IF(ISNUMBER(SEARCH("lunch",F1259)),"Lunch Box", IF(ISNUMBER(SEARCH("cutlery",F1259)),"Cutlery","Other")))))</f>
        <v>0</v>
      </c>
      <c r="I1259">
        <f>IF('Raw Data'!G1259&lt;&gt;'','Raw Data'!G1259,IFERROR(MID(F1259,SEARCH("MODEL",F1259)+6,20),""))</f>
        <v>0</v>
      </c>
      <c r="J1259">
        <f>'Raw Data'!H1259</f>
        <v>0</v>
      </c>
      <c r="K1259">
        <f>'Raw Data'!I1259</f>
        <v>0</v>
      </c>
      <c r="L1259">
        <f>IF('Raw Data'!N1259&lt;&gt;0,'Raw Data'!N1259,IFERROR(VALUE(MID(F1259,SEARCH("QTY",F1259)+4,IFERROR(FIND(" ",F1259,SEARCH("QTY",F1259)+4)-(SEARCH("QTY",F1259)+4),3))),""))</f>
        <v>0</v>
      </c>
      <c r="M1259">
        <f>'Raw Data'!O1259</f>
        <v>0</v>
      </c>
      <c r="N1259">
        <f>'Raw Data'!P1259</f>
        <v>0</v>
      </c>
      <c r="O1259">
        <f>'Raw Data'!Q1259</f>
        <v>0</v>
      </c>
      <c r="P1259">
        <f>'Raw Data'!R1259</f>
        <v>0</v>
      </c>
      <c r="Q1259">
        <f>'Raw Data'!S1259</f>
        <v>0</v>
      </c>
      <c r="R1259">
        <f>'Raw Data'!T1259</f>
        <v>0</v>
      </c>
      <c r="S1259">
        <f>IFERROR(O1259,0)+IFERROR(R1259,0)</f>
        <v>0</v>
      </c>
      <c r="T1259">
        <f>IF(A1259="","",YEAR(A1259))</f>
        <v>0</v>
      </c>
    </row>
    <row r="1260" spans="1:20">
      <c r="A1260">
        <f>'Raw Data'!B1260</f>
        <v>0</v>
      </c>
      <c r="B1260">
        <f>'Raw Data'!A1260</f>
        <v>0</v>
      </c>
      <c r="C1260">
        <f>'Raw Data'!C1260</f>
        <v>0</v>
      </c>
      <c r="D1260">
        <f>'Raw Data'!D1260</f>
        <v>0</v>
      </c>
      <c r="E1260">
        <f>IFERROR(VLOOKUP(D1260,'Lookup Tables'!$A:$B,2,FALSE),"Unknown")</f>
        <v>0</v>
      </c>
      <c r="F1260">
        <f>'Raw Data'!E1260</f>
        <v>0</v>
      </c>
      <c r="G1260">
        <f>IFERROR(VLOOKUP(D1260,'Lookup Tables'!$A:$C,3,FALSE),IF(ISNUMBER(SEARCH("STEEL",F1260)),"Steel","Others"))</f>
        <v>0</v>
      </c>
      <c r="H1260">
        <f>IF(ISNUMBER(SEARCH("scrubber",F1260)) , "Scrubber", IF(ISNUMBER(SEARCH("container",F1260)),"Container", IF(ISNUMBER(SEARCH("basket",F1260)),"Basket", IF(ISNUMBER(SEARCH("lunch",F1260)),"Lunch Box", IF(ISNUMBER(SEARCH("cutlery",F1260)),"Cutlery","Other")))))</f>
        <v>0</v>
      </c>
      <c r="I1260">
        <f>IF('Raw Data'!G1260&lt;&gt;'','Raw Data'!G1260,IFERROR(MID(F1260,SEARCH("MODEL",F1260)+6,20),""))</f>
        <v>0</v>
      </c>
      <c r="J1260">
        <f>'Raw Data'!H1260</f>
        <v>0</v>
      </c>
      <c r="K1260">
        <f>'Raw Data'!I1260</f>
        <v>0</v>
      </c>
      <c r="L1260">
        <f>IF('Raw Data'!N1260&lt;&gt;0,'Raw Data'!N1260,IFERROR(VALUE(MID(F1260,SEARCH("QTY",F1260)+4,IFERROR(FIND(" ",F1260,SEARCH("QTY",F1260)+4)-(SEARCH("QTY",F1260)+4),3))),""))</f>
        <v>0</v>
      </c>
      <c r="M1260">
        <f>'Raw Data'!O1260</f>
        <v>0</v>
      </c>
      <c r="N1260">
        <f>'Raw Data'!P1260</f>
        <v>0</v>
      </c>
      <c r="O1260">
        <f>'Raw Data'!Q1260</f>
        <v>0</v>
      </c>
      <c r="P1260">
        <f>'Raw Data'!R1260</f>
        <v>0</v>
      </c>
      <c r="Q1260">
        <f>'Raw Data'!S1260</f>
        <v>0</v>
      </c>
      <c r="R1260">
        <f>'Raw Data'!T1260</f>
        <v>0</v>
      </c>
      <c r="S1260">
        <f>IFERROR(O1260,0)+IFERROR(R1260,0)</f>
        <v>0</v>
      </c>
      <c r="T1260">
        <f>IF(A1260="","",YEAR(A1260))</f>
        <v>0</v>
      </c>
    </row>
    <row r="1261" spans="1:20">
      <c r="A1261">
        <f>'Raw Data'!B1261</f>
        <v>0</v>
      </c>
      <c r="B1261">
        <f>'Raw Data'!A1261</f>
        <v>0</v>
      </c>
      <c r="C1261">
        <f>'Raw Data'!C1261</f>
        <v>0</v>
      </c>
      <c r="D1261">
        <f>'Raw Data'!D1261</f>
        <v>0</v>
      </c>
      <c r="E1261">
        <f>IFERROR(VLOOKUP(D1261,'Lookup Tables'!$A:$B,2,FALSE),"Unknown")</f>
        <v>0</v>
      </c>
      <c r="F1261">
        <f>'Raw Data'!E1261</f>
        <v>0</v>
      </c>
      <c r="G1261">
        <f>IFERROR(VLOOKUP(D1261,'Lookup Tables'!$A:$C,3,FALSE),IF(ISNUMBER(SEARCH("STEEL",F1261)),"Steel","Others"))</f>
        <v>0</v>
      </c>
      <c r="H1261">
        <f>IF(ISNUMBER(SEARCH("scrubber",F1261)) , "Scrubber", IF(ISNUMBER(SEARCH("container",F1261)),"Container", IF(ISNUMBER(SEARCH("basket",F1261)),"Basket", IF(ISNUMBER(SEARCH("lunch",F1261)),"Lunch Box", IF(ISNUMBER(SEARCH("cutlery",F1261)),"Cutlery","Other")))))</f>
        <v>0</v>
      </c>
      <c r="I1261">
        <f>IF('Raw Data'!G1261&lt;&gt;'','Raw Data'!G1261,IFERROR(MID(F1261,SEARCH("MODEL",F1261)+6,20),""))</f>
        <v>0</v>
      </c>
      <c r="J1261">
        <f>'Raw Data'!H1261</f>
        <v>0</v>
      </c>
      <c r="K1261">
        <f>'Raw Data'!I1261</f>
        <v>0</v>
      </c>
      <c r="L1261">
        <f>IF('Raw Data'!N1261&lt;&gt;0,'Raw Data'!N1261,IFERROR(VALUE(MID(F1261,SEARCH("QTY",F1261)+4,IFERROR(FIND(" ",F1261,SEARCH("QTY",F1261)+4)-(SEARCH("QTY",F1261)+4),3))),""))</f>
        <v>0</v>
      </c>
      <c r="M1261">
        <f>'Raw Data'!O1261</f>
        <v>0</v>
      </c>
      <c r="N1261">
        <f>'Raw Data'!P1261</f>
        <v>0</v>
      </c>
      <c r="O1261">
        <f>'Raw Data'!Q1261</f>
        <v>0</v>
      </c>
      <c r="P1261">
        <f>'Raw Data'!R1261</f>
        <v>0</v>
      </c>
      <c r="Q1261">
        <f>'Raw Data'!S1261</f>
        <v>0</v>
      </c>
      <c r="R1261">
        <f>'Raw Data'!T1261</f>
        <v>0</v>
      </c>
      <c r="S1261">
        <f>IFERROR(O1261,0)+IFERROR(R1261,0)</f>
        <v>0</v>
      </c>
      <c r="T1261">
        <f>IF(A1261="","",YEAR(A1261))</f>
        <v>0</v>
      </c>
    </row>
    <row r="1262" spans="1:20">
      <c r="A1262">
        <f>'Raw Data'!B1262</f>
        <v>0</v>
      </c>
      <c r="B1262">
        <f>'Raw Data'!A1262</f>
        <v>0</v>
      </c>
      <c r="C1262">
        <f>'Raw Data'!C1262</f>
        <v>0</v>
      </c>
      <c r="D1262">
        <f>'Raw Data'!D1262</f>
        <v>0</v>
      </c>
      <c r="E1262">
        <f>IFERROR(VLOOKUP(D1262,'Lookup Tables'!$A:$B,2,FALSE),"Unknown")</f>
        <v>0</v>
      </c>
      <c r="F1262">
        <f>'Raw Data'!E1262</f>
        <v>0</v>
      </c>
      <c r="G1262">
        <f>IFERROR(VLOOKUP(D1262,'Lookup Tables'!$A:$C,3,FALSE),IF(ISNUMBER(SEARCH("STEEL",F1262)),"Steel","Others"))</f>
        <v>0</v>
      </c>
      <c r="H1262">
        <f>IF(ISNUMBER(SEARCH("scrubber",F1262)) , "Scrubber", IF(ISNUMBER(SEARCH("container",F1262)),"Container", IF(ISNUMBER(SEARCH("basket",F1262)),"Basket", IF(ISNUMBER(SEARCH("lunch",F1262)),"Lunch Box", IF(ISNUMBER(SEARCH("cutlery",F1262)),"Cutlery","Other")))))</f>
        <v>0</v>
      </c>
      <c r="I1262">
        <f>IF('Raw Data'!G1262&lt;&gt;'','Raw Data'!G1262,IFERROR(MID(F1262,SEARCH("MODEL",F1262)+6,20),""))</f>
        <v>0</v>
      </c>
      <c r="J1262">
        <f>'Raw Data'!H1262</f>
        <v>0</v>
      </c>
      <c r="K1262">
        <f>'Raw Data'!I1262</f>
        <v>0</v>
      </c>
      <c r="L1262">
        <f>IF('Raw Data'!N1262&lt;&gt;0,'Raw Data'!N1262,IFERROR(VALUE(MID(F1262,SEARCH("QTY",F1262)+4,IFERROR(FIND(" ",F1262,SEARCH("QTY",F1262)+4)-(SEARCH("QTY",F1262)+4),3))),""))</f>
        <v>0</v>
      </c>
      <c r="M1262">
        <f>'Raw Data'!O1262</f>
        <v>0</v>
      </c>
      <c r="N1262">
        <f>'Raw Data'!P1262</f>
        <v>0</v>
      </c>
      <c r="O1262">
        <f>'Raw Data'!Q1262</f>
        <v>0</v>
      </c>
      <c r="P1262">
        <f>'Raw Data'!R1262</f>
        <v>0</v>
      </c>
      <c r="Q1262">
        <f>'Raw Data'!S1262</f>
        <v>0</v>
      </c>
      <c r="R1262">
        <f>'Raw Data'!T1262</f>
        <v>0</v>
      </c>
      <c r="S1262">
        <f>IFERROR(O1262,0)+IFERROR(R1262,0)</f>
        <v>0</v>
      </c>
      <c r="T1262">
        <f>IF(A1262="","",YEAR(A1262))</f>
        <v>0</v>
      </c>
    </row>
    <row r="1263" spans="1:20">
      <c r="A1263">
        <f>'Raw Data'!B1263</f>
        <v>0</v>
      </c>
      <c r="B1263">
        <f>'Raw Data'!A1263</f>
        <v>0</v>
      </c>
      <c r="C1263">
        <f>'Raw Data'!C1263</f>
        <v>0</v>
      </c>
      <c r="D1263">
        <f>'Raw Data'!D1263</f>
        <v>0</v>
      </c>
      <c r="E1263">
        <f>IFERROR(VLOOKUP(D1263,'Lookup Tables'!$A:$B,2,FALSE),"Unknown")</f>
        <v>0</v>
      </c>
      <c r="F1263">
        <f>'Raw Data'!E1263</f>
        <v>0</v>
      </c>
      <c r="G1263">
        <f>IFERROR(VLOOKUP(D1263,'Lookup Tables'!$A:$C,3,FALSE),IF(ISNUMBER(SEARCH("STEEL",F1263)),"Steel","Others"))</f>
        <v>0</v>
      </c>
      <c r="H1263">
        <f>IF(ISNUMBER(SEARCH("scrubber",F1263)) , "Scrubber", IF(ISNUMBER(SEARCH("container",F1263)),"Container", IF(ISNUMBER(SEARCH("basket",F1263)),"Basket", IF(ISNUMBER(SEARCH("lunch",F1263)),"Lunch Box", IF(ISNUMBER(SEARCH("cutlery",F1263)),"Cutlery","Other")))))</f>
        <v>0</v>
      </c>
      <c r="I1263">
        <f>IF('Raw Data'!G1263&lt;&gt;'','Raw Data'!G1263,IFERROR(MID(F1263,SEARCH("MODEL",F1263)+6,20),""))</f>
        <v>0</v>
      </c>
      <c r="J1263">
        <f>'Raw Data'!H1263</f>
        <v>0</v>
      </c>
      <c r="K1263">
        <f>'Raw Data'!I1263</f>
        <v>0</v>
      </c>
      <c r="L1263">
        <f>IF('Raw Data'!N1263&lt;&gt;0,'Raw Data'!N1263,IFERROR(VALUE(MID(F1263,SEARCH("QTY",F1263)+4,IFERROR(FIND(" ",F1263,SEARCH("QTY",F1263)+4)-(SEARCH("QTY",F1263)+4),3))),""))</f>
        <v>0</v>
      </c>
      <c r="M1263">
        <f>'Raw Data'!O1263</f>
        <v>0</v>
      </c>
      <c r="N1263">
        <f>'Raw Data'!P1263</f>
        <v>0</v>
      </c>
      <c r="O1263">
        <f>'Raw Data'!Q1263</f>
        <v>0</v>
      </c>
      <c r="P1263">
        <f>'Raw Data'!R1263</f>
        <v>0</v>
      </c>
      <c r="Q1263">
        <f>'Raw Data'!S1263</f>
        <v>0</v>
      </c>
      <c r="R1263">
        <f>'Raw Data'!T1263</f>
        <v>0</v>
      </c>
      <c r="S1263">
        <f>IFERROR(O1263,0)+IFERROR(R1263,0)</f>
        <v>0</v>
      </c>
      <c r="T1263">
        <f>IF(A1263="","",YEAR(A1263))</f>
        <v>0</v>
      </c>
    </row>
    <row r="1264" spans="1:20">
      <c r="A1264">
        <f>'Raw Data'!B1264</f>
        <v>0</v>
      </c>
      <c r="B1264">
        <f>'Raw Data'!A1264</f>
        <v>0</v>
      </c>
      <c r="C1264">
        <f>'Raw Data'!C1264</f>
        <v>0</v>
      </c>
      <c r="D1264">
        <f>'Raw Data'!D1264</f>
        <v>0</v>
      </c>
      <c r="E1264">
        <f>IFERROR(VLOOKUP(D1264,'Lookup Tables'!$A:$B,2,FALSE),"Unknown")</f>
        <v>0</v>
      </c>
      <c r="F1264">
        <f>'Raw Data'!E1264</f>
        <v>0</v>
      </c>
      <c r="G1264">
        <f>IFERROR(VLOOKUP(D1264,'Lookup Tables'!$A:$C,3,FALSE),IF(ISNUMBER(SEARCH("STEEL",F1264)),"Steel","Others"))</f>
        <v>0</v>
      </c>
      <c r="H1264">
        <f>IF(ISNUMBER(SEARCH("scrubber",F1264)) , "Scrubber", IF(ISNUMBER(SEARCH("container",F1264)),"Container", IF(ISNUMBER(SEARCH("basket",F1264)),"Basket", IF(ISNUMBER(SEARCH("lunch",F1264)),"Lunch Box", IF(ISNUMBER(SEARCH("cutlery",F1264)),"Cutlery","Other")))))</f>
        <v>0</v>
      </c>
      <c r="I1264">
        <f>IF('Raw Data'!G1264&lt;&gt;'','Raw Data'!G1264,IFERROR(MID(F1264,SEARCH("MODEL",F1264)+6,20),""))</f>
        <v>0</v>
      </c>
      <c r="J1264">
        <f>'Raw Data'!H1264</f>
        <v>0</v>
      </c>
      <c r="K1264">
        <f>'Raw Data'!I1264</f>
        <v>0</v>
      </c>
      <c r="L1264">
        <f>IF('Raw Data'!N1264&lt;&gt;0,'Raw Data'!N1264,IFERROR(VALUE(MID(F1264,SEARCH("QTY",F1264)+4,IFERROR(FIND(" ",F1264,SEARCH("QTY",F1264)+4)-(SEARCH("QTY",F1264)+4),3))),""))</f>
        <v>0</v>
      </c>
      <c r="M1264">
        <f>'Raw Data'!O1264</f>
        <v>0</v>
      </c>
      <c r="N1264">
        <f>'Raw Data'!P1264</f>
        <v>0</v>
      </c>
      <c r="O1264">
        <f>'Raw Data'!Q1264</f>
        <v>0</v>
      </c>
      <c r="P1264">
        <f>'Raw Data'!R1264</f>
        <v>0</v>
      </c>
      <c r="Q1264">
        <f>'Raw Data'!S1264</f>
        <v>0</v>
      </c>
      <c r="R1264">
        <f>'Raw Data'!T1264</f>
        <v>0</v>
      </c>
      <c r="S1264">
        <f>IFERROR(O1264,0)+IFERROR(R1264,0)</f>
        <v>0</v>
      </c>
      <c r="T1264">
        <f>IF(A1264="","",YEAR(A1264))</f>
        <v>0</v>
      </c>
    </row>
    <row r="1265" spans="1:20">
      <c r="A1265">
        <f>'Raw Data'!B1265</f>
        <v>0</v>
      </c>
      <c r="B1265">
        <f>'Raw Data'!A1265</f>
        <v>0</v>
      </c>
      <c r="C1265">
        <f>'Raw Data'!C1265</f>
        <v>0</v>
      </c>
      <c r="D1265">
        <f>'Raw Data'!D1265</f>
        <v>0</v>
      </c>
      <c r="E1265">
        <f>IFERROR(VLOOKUP(D1265,'Lookup Tables'!$A:$B,2,FALSE),"Unknown")</f>
        <v>0</v>
      </c>
      <c r="F1265">
        <f>'Raw Data'!E1265</f>
        <v>0</v>
      </c>
      <c r="G1265">
        <f>IFERROR(VLOOKUP(D1265,'Lookup Tables'!$A:$C,3,FALSE),IF(ISNUMBER(SEARCH("STEEL",F1265)),"Steel","Others"))</f>
        <v>0</v>
      </c>
      <c r="H1265">
        <f>IF(ISNUMBER(SEARCH("scrubber",F1265)) , "Scrubber", IF(ISNUMBER(SEARCH("container",F1265)),"Container", IF(ISNUMBER(SEARCH("basket",F1265)),"Basket", IF(ISNUMBER(SEARCH("lunch",F1265)),"Lunch Box", IF(ISNUMBER(SEARCH("cutlery",F1265)),"Cutlery","Other")))))</f>
        <v>0</v>
      </c>
      <c r="I1265">
        <f>IF('Raw Data'!G1265&lt;&gt;'','Raw Data'!G1265,IFERROR(MID(F1265,SEARCH("MODEL",F1265)+6,20),""))</f>
        <v>0</v>
      </c>
      <c r="J1265">
        <f>'Raw Data'!H1265</f>
        <v>0</v>
      </c>
      <c r="K1265">
        <f>'Raw Data'!I1265</f>
        <v>0</v>
      </c>
      <c r="L1265">
        <f>IF('Raw Data'!N1265&lt;&gt;0,'Raw Data'!N1265,IFERROR(VALUE(MID(F1265,SEARCH("QTY",F1265)+4,IFERROR(FIND(" ",F1265,SEARCH("QTY",F1265)+4)-(SEARCH("QTY",F1265)+4),3))),""))</f>
        <v>0</v>
      </c>
      <c r="M1265">
        <f>'Raw Data'!O1265</f>
        <v>0</v>
      </c>
      <c r="N1265">
        <f>'Raw Data'!P1265</f>
        <v>0</v>
      </c>
      <c r="O1265">
        <f>'Raw Data'!Q1265</f>
        <v>0</v>
      </c>
      <c r="P1265">
        <f>'Raw Data'!R1265</f>
        <v>0</v>
      </c>
      <c r="Q1265">
        <f>'Raw Data'!S1265</f>
        <v>0</v>
      </c>
      <c r="R1265">
        <f>'Raw Data'!T1265</f>
        <v>0</v>
      </c>
      <c r="S1265">
        <f>IFERROR(O1265,0)+IFERROR(R1265,0)</f>
        <v>0</v>
      </c>
      <c r="T1265">
        <f>IF(A1265="","",YEAR(A1265))</f>
        <v>0</v>
      </c>
    </row>
    <row r="1266" spans="1:20">
      <c r="A1266">
        <f>'Raw Data'!B1266</f>
        <v>0</v>
      </c>
      <c r="B1266">
        <f>'Raw Data'!A1266</f>
        <v>0</v>
      </c>
      <c r="C1266">
        <f>'Raw Data'!C1266</f>
        <v>0</v>
      </c>
      <c r="D1266">
        <f>'Raw Data'!D1266</f>
        <v>0</v>
      </c>
      <c r="E1266">
        <f>IFERROR(VLOOKUP(D1266,'Lookup Tables'!$A:$B,2,FALSE),"Unknown")</f>
        <v>0</v>
      </c>
      <c r="F1266">
        <f>'Raw Data'!E1266</f>
        <v>0</v>
      </c>
      <c r="G1266">
        <f>IFERROR(VLOOKUP(D1266,'Lookup Tables'!$A:$C,3,FALSE),IF(ISNUMBER(SEARCH("STEEL",F1266)),"Steel","Others"))</f>
        <v>0</v>
      </c>
      <c r="H1266">
        <f>IF(ISNUMBER(SEARCH("scrubber",F1266)) , "Scrubber", IF(ISNUMBER(SEARCH("container",F1266)),"Container", IF(ISNUMBER(SEARCH("basket",F1266)),"Basket", IF(ISNUMBER(SEARCH("lunch",F1266)),"Lunch Box", IF(ISNUMBER(SEARCH("cutlery",F1266)),"Cutlery","Other")))))</f>
        <v>0</v>
      </c>
      <c r="I1266">
        <f>IF('Raw Data'!G1266&lt;&gt;'','Raw Data'!G1266,IFERROR(MID(F1266,SEARCH("MODEL",F1266)+6,20),""))</f>
        <v>0</v>
      </c>
      <c r="J1266">
        <f>'Raw Data'!H1266</f>
        <v>0</v>
      </c>
      <c r="K1266">
        <f>'Raw Data'!I1266</f>
        <v>0</v>
      </c>
      <c r="L1266">
        <f>IF('Raw Data'!N1266&lt;&gt;0,'Raw Data'!N1266,IFERROR(VALUE(MID(F1266,SEARCH("QTY",F1266)+4,IFERROR(FIND(" ",F1266,SEARCH("QTY",F1266)+4)-(SEARCH("QTY",F1266)+4),3))),""))</f>
        <v>0</v>
      </c>
      <c r="M1266">
        <f>'Raw Data'!O1266</f>
        <v>0</v>
      </c>
      <c r="N1266">
        <f>'Raw Data'!P1266</f>
        <v>0</v>
      </c>
      <c r="O1266">
        <f>'Raw Data'!Q1266</f>
        <v>0</v>
      </c>
      <c r="P1266">
        <f>'Raw Data'!R1266</f>
        <v>0</v>
      </c>
      <c r="Q1266">
        <f>'Raw Data'!S1266</f>
        <v>0</v>
      </c>
      <c r="R1266">
        <f>'Raw Data'!T1266</f>
        <v>0</v>
      </c>
      <c r="S1266">
        <f>IFERROR(O1266,0)+IFERROR(R1266,0)</f>
        <v>0</v>
      </c>
      <c r="T1266">
        <f>IF(A1266="","",YEAR(A1266))</f>
        <v>0</v>
      </c>
    </row>
    <row r="1267" spans="1:20">
      <c r="A1267">
        <f>'Raw Data'!B1267</f>
        <v>0</v>
      </c>
      <c r="B1267">
        <f>'Raw Data'!A1267</f>
        <v>0</v>
      </c>
      <c r="C1267">
        <f>'Raw Data'!C1267</f>
        <v>0</v>
      </c>
      <c r="D1267">
        <f>'Raw Data'!D1267</f>
        <v>0</v>
      </c>
      <c r="E1267">
        <f>IFERROR(VLOOKUP(D1267,'Lookup Tables'!$A:$B,2,FALSE),"Unknown")</f>
        <v>0</v>
      </c>
      <c r="F1267">
        <f>'Raw Data'!E1267</f>
        <v>0</v>
      </c>
      <c r="G1267">
        <f>IFERROR(VLOOKUP(D1267,'Lookup Tables'!$A:$C,3,FALSE),IF(ISNUMBER(SEARCH("STEEL",F1267)),"Steel","Others"))</f>
        <v>0</v>
      </c>
      <c r="H1267">
        <f>IF(ISNUMBER(SEARCH("scrubber",F1267)) , "Scrubber", IF(ISNUMBER(SEARCH("container",F1267)),"Container", IF(ISNUMBER(SEARCH("basket",F1267)),"Basket", IF(ISNUMBER(SEARCH("lunch",F1267)),"Lunch Box", IF(ISNUMBER(SEARCH("cutlery",F1267)),"Cutlery","Other")))))</f>
        <v>0</v>
      </c>
      <c r="I1267">
        <f>IF('Raw Data'!G1267&lt;&gt;'','Raw Data'!G1267,IFERROR(MID(F1267,SEARCH("MODEL",F1267)+6,20),""))</f>
        <v>0</v>
      </c>
      <c r="J1267">
        <f>'Raw Data'!H1267</f>
        <v>0</v>
      </c>
      <c r="K1267">
        <f>'Raw Data'!I1267</f>
        <v>0</v>
      </c>
      <c r="L1267">
        <f>IF('Raw Data'!N1267&lt;&gt;0,'Raw Data'!N1267,IFERROR(VALUE(MID(F1267,SEARCH("QTY",F1267)+4,IFERROR(FIND(" ",F1267,SEARCH("QTY",F1267)+4)-(SEARCH("QTY",F1267)+4),3))),""))</f>
        <v>0</v>
      </c>
      <c r="M1267">
        <f>'Raw Data'!O1267</f>
        <v>0</v>
      </c>
      <c r="N1267">
        <f>'Raw Data'!P1267</f>
        <v>0</v>
      </c>
      <c r="O1267">
        <f>'Raw Data'!Q1267</f>
        <v>0</v>
      </c>
      <c r="P1267">
        <f>'Raw Data'!R1267</f>
        <v>0</v>
      </c>
      <c r="Q1267">
        <f>'Raw Data'!S1267</f>
        <v>0</v>
      </c>
      <c r="R1267">
        <f>'Raw Data'!T1267</f>
        <v>0</v>
      </c>
      <c r="S1267">
        <f>IFERROR(O1267,0)+IFERROR(R1267,0)</f>
        <v>0</v>
      </c>
      <c r="T1267">
        <f>IF(A1267="","",YEAR(A1267))</f>
        <v>0</v>
      </c>
    </row>
    <row r="1268" spans="1:20">
      <c r="A1268">
        <f>'Raw Data'!B1268</f>
        <v>0</v>
      </c>
      <c r="B1268">
        <f>'Raw Data'!A1268</f>
        <v>0</v>
      </c>
      <c r="C1268">
        <f>'Raw Data'!C1268</f>
        <v>0</v>
      </c>
      <c r="D1268">
        <f>'Raw Data'!D1268</f>
        <v>0</v>
      </c>
      <c r="E1268">
        <f>IFERROR(VLOOKUP(D1268,'Lookup Tables'!$A:$B,2,FALSE),"Unknown")</f>
        <v>0</v>
      </c>
      <c r="F1268">
        <f>'Raw Data'!E1268</f>
        <v>0</v>
      </c>
      <c r="G1268">
        <f>IFERROR(VLOOKUP(D1268,'Lookup Tables'!$A:$C,3,FALSE),IF(ISNUMBER(SEARCH("STEEL",F1268)),"Steel","Others"))</f>
        <v>0</v>
      </c>
      <c r="H1268">
        <f>IF(ISNUMBER(SEARCH("scrubber",F1268)) , "Scrubber", IF(ISNUMBER(SEARCH("container",F1268)),"Container", IF(ISNUMBER(SEARCH("basket",F1268)),"Basket", IF(ISNUMBER(SEARCH("lunch",F1268)),"Lunch Box", IF(ISNUMBER(SEARCH("cutlery",F1268)),"Cutlery","Other")))))</f>
        <v>0</v>
      </c>
      <c r="I1268">
        <f>IF('Raw Data'!G1268&lt;&gt;'','Raw Data'!G1268,IFERROR(MID(F1268,SEARCH("MODEL",F1268)+6,20),""))</f>
        <v>0</v>
      </c>
      <c r="J1268">
        <f>'Raw Data'!H1268</f>
        <v>0</v>
      </c>
      <c r="K1268">
        <f>'Raw Data'!I1268</f>
        <v>0</v>
      </c>
      <c r="L1268">
        <f>IF('Raw Data'!N1268&lt;&gt;0,'Raw Data'!N1268,IFERROR(VALUE(MID(F1268,SEARCH("QTY",F1268)+4,IFERROR(FIND(" ",F1268,SEARCH("QTY",F1268)+4)-(SEARCH("QTY",F1268)+4),3))),""))</f>
        <v>0</v>
      </c>
      <c r="M1268">
        <f>'Raw Data'!O1268</f>
        <v>0</v>
      </c>
      <c r="N1268">
        <f>'Raw Data'!P1268</f>
        <v>0</v>
      </c>
      <c r="O1268">
        <f>'Raw Data'!Q1268</f>
        <v>0</v>
      </c>
      <c r="P1268">
        <f>'Raw Data'!R1268</f>
        <v>0</v>
      </c>
      <c r="Q1268">
        <f>'Raw Data'!S1268</f>
        <v>0</v>
      </c>
      <c r="R1268">
        <f>'Raw Data'!T1268</f>
        <v>0</v>
      </c>
      <c r="S1268">
        <f>IFERROR(O1268,0)+IFERROR(R1268,0)</f>
        <v>0</v>
      </c>
      <c r="T1268">
        <f>IF(A1268="","",YEAR(A1268))</f>
        <v>0</v>
      </c>
    </row>
    <row r="1269" spans="1:20">
      <c r="A1269">
        <f>'Raw Data'!B1269</f>
        <v>0</v>
      </c>
      <c r="B1269">
        <f>'Raw Data'!A1269</f>
        <v>0</v>
      </c>
      <c r="C1269">
        <f>'Raw Data'!C1269</f>
        <v>0</v>
      </c>
      <c r="D1269">
        <f>'Raw Data'!D1269</f>
        <v>0</v>
      </c>
      <c r="E1269">
        <f>IFERROR(VLOOKUP(D1269,'Lookup Tables'!$A:$B,2,FALSE),"Unknown")</f>
        <v>0</v>
      </c>
      <c r="F1269">
        <f>'Raw Data'!E1269</f>
        <v>0</v>
      </c>
      <c r="G1269">
        <f>IFERROR(VLOOKUP(D1269,'Lookup Tables'!$A:$C,3,FALSE),IF(ISNUMBER(SEARCH("STEEL",F1269)),"Steel","Others"))</f>
        <v>0</v>
      </c>
      <c r="H1269">
        <f>IF(ISNUMBER(SEARCH("scrubber",F1269)) , "Scrubber", IF(ISNUMBER(SEARCH("container",F1269)),"Container", IF(ISNUMBER(SEARCH("basket",F1269)),"Basket", IF(ISNUMBER(SEARCH("lunch",F1269)),"Lunch Box", IF(ISNUMBER(SEARCH("cutlery",F1269)),"Cutlery","Other")))))</f>
        <v>0</v>
      </c>
      <c r="I1269">
        <f>IF('Raw Data'!G1269&lt;&gt;'','Raw Data'!G1269,IFERROR(MID(F1269,SEARCH("MODEL",F1269)+6,20),""))</f>
        <v>0</v>
      </c>
      <c r="J1269">
        <f>'Raw Data'!H1269</f>
        <v>0</v>
      </c>
      <c r="K1269">
        <f>'Raw Data'!I1269</f>
        <v>0</v>
      </c>
      <c r="L1269">
        <f>IF('Raw Data'!N1269&lt;&gt;0,'Raw Data'!N1269,IFERROR(VALUE(MID(F1269,SEARCH("QTY",F1269)+4,IFERROR(FIND(" ",F1269,SEARCH("QTY",F1269)+4)-(SEARCH("QTY",F1269)+4),3))),""))</f>
        <v>0</v>
      </c>
      <c r="M1269">
        <f>'Raw Data'!O1269</f>
        <v>0</v>
      </c>
      <c r="N1269">
        <f>'Raw Data'!P1269</f>
        <v>0</v>
      </c>
      <c r="O1269">
        <f>'Raw Data'!Q1269</f>
        <v>0</v>
      </c>
      <c r="P1269">
        <f>'Raw Data'!R1269</f>
        <v>0</v>
      </c>
      <c r="Q1269">
        <f>'Raw Data'!S1269</f>
        <v>0</v>
      </c>
      <c r="R1269">
        <f>'Raw Data'!T1269</f>
        <v>0</v>
      </c>
      <c r="S1269">
        <f>IFERROR(O1269,0)+IFERROR(R1269,0)</f>
        <v>0</v>
      </c>
      <c r="T1269">
        <f>IF(A1269="","",YEAR(A1269))</f>
        <v>0</v>
      </c>
    </row>
    <row r="1270" spans="1:20">
      <c r="A1270">
        <f>'Raw Data'!B1270</f>
        <v>0</v>
      </c>
      <c r="B1270">
        <f>'Raw Data'!A1270</f>
        <v>0</v>
      </c>
      <c r="C1270">
        <f>'Raw Data'!C1270</f>
        <v>0</v>
      </c>
      <c r="D1270">
        <f>'Raw Data'!D1270</f>
        <v>0</v>
      </c>
      <c r="E1270">
        <f>IFERROR(VLOOKUP(D1270,'Lookup Tables'!$A:$B,2,FALSE),"Unknown")</f>
        <v>0</v>
      </c>
      <c r="F1270">
        <f>'Raw Data'!E1270</f>
        <v>0</v>
      </c>
      <c r="G1270">
        <f>IFERROR(VLOOKUP(D1270,'Lookup Tables'!$A:$C,3,FALSE),IF(ISNUMBER(SEARCH("STEEL",F1270)),"Steel","Others"))</f>
        <v>0</v>
      </c>
      <c r="H1270">
        <f>IF(ISNUMBER(SEARCH("scrubber",F1270)) , "Scrubber", IF(ISNUMBER(SEARCH("container",F1270)),"Container", IF(ISNUMBER(SEARCH("basket",F1270)),"Basket", IF(ISNUMBER(SEARCH("lunch",F1270)),"Lunch Box", IF(ISNUMBER(SEARCH("cutlery",F1270)),"Cutlery","Other")))))</f>
        <v>0</v>
      </c>
      <c r="I1270">
        <f>IF('Raw Data'!G1270&lt;&gt;'','Raw Data'!G1270,IFERROR(MID(F1270,SEARCH("MODEL",F1270)+6,20),""))</f>
        <v>0</v>
      </c>
      <c r="J1270">
        <f>'Raw Data'!H1270</f>
        <v>0</v>
      </c>
      <c r="K1270">
        <f>'Raw Data'!I1270</f>
        <v>0</v>
      </c>
      <c r="L1270">
        <f>IF('Raw Data'!N1270&lt;&gt;0,'Raw Data'!N1270,IFERROR(VALUE(MID(F1270,SEARCH("QTY",F1270)+4,IFERROR(FIND(" ",F1270,SEARCH("QTY",F1270)+4)-(SEARCH("QTY",F1270)+4),3))),""))</f>
        <v>0</v>
      </c>
      <c r="M1270">
        <f>'Raw Data'!O1270</f>
        <v>0</v>
      </c>
      <c r="N1270">
        <f>'Raw Data'!P1270</f>
        <v>0</v>
      </c>
      <c r="O1270">
        <f>'Raw Data'!Q1270</f>
        <v>0</v>
      </c>
      <c r="P1270">
        <f>'Raw Data'!R1270</f>
        <v>0</v>
      </c>
      <c r="Q1270">
        <f>'Raw Data'!S1270</f>
        <v>0</v>
      </c>
      <c r="R1270">
        <f>'Raw Data'!T1270</f>
        <v>0</v>
      </c>
      <c r="S1270">
        <f>IFERROR(O1270,0)+IFERROR(R1270,0)</f>
        <v>0</v>
      </c>
      <c r="T1270">
        <f>IF(A1270="","",YEAR(A1270))</f>
        <v>0</v>
      </c>
    </row>
    <row r="1271" spans="1:20">
      <c r="A1271">
        <f>'Raw Data'!B1271</f>
        <v>0</v>
      </c>
      <c r="B1271">
        <f>'Raw Data'!A1271</f>
        <v>0</v>
      </c>
      <c r="C1271">
        <f>'Raw Data'!C1271</f>
        <v>0</v>
      </c>
      <c r="D1271">
        <f>'Raw Data'!D1271</f>
        <v>0</v>
      </c>
      <c r="E1271">
        <f>IFERROR(VLOOKUP(D1271,'Lookup Tables'!$A:$B,2,FALSE),"Unknown")</f>
        <v>0</v>
      </c>
      <c r="F1271">
        <f>'Raw Data'!E1271</f>
        <v>0</v>
      </c>
      <c r="G1271">
        <f>IFERROR(VLOOKUP(D1271,'Lookup Tables'!$A:$C,3,FALSE),IF(ISNUMBER(SEARCH("STEEL",F1271)),"Steel","Others"))</f>
        <v>0</v>
      </c>
      <c r="H1271">
        <f>IF(ISNUMBER(SEARCH("scrubber",F1271)) , "Scrubber", IF(ISNUMBER(SEARCH("container",F1271)),"Container", IF(ISNUMBER(SEARCH("basket",F1271)),"Basket", IF(ISNUMBER(SEARCH("lunch",F1271)),"Lunch Box", IF(ISNUMBER(SEARCH("cutlery",F1271)),"Cutlery","Other")))))</f>
        <v>0</v>
      </c>
      <c r="I1271">
        <f>IF('Raw Data'!G1271&lt;&gt;'','Raw Data'!G1271,IFERROR(MID(F1271,SEARCH("MODEL",F1271)+6,20),""))</f>
        <v>0</v>
      </c>
      <c r="J1271">
        <f>'Raw Data'!H1271</f>
        <v>0</v>
      </c>
      <c r="K1271">
        <f>'Raw Data'!I1271</f>
        <v>0</v>
      </c>
      <c r="L1271">
        <f>IF('Raw Data'!N1271&lt;&gt;0,'Raw Data'!N1271,IFERROR(VALUE(MID(F1271,SEARCH("QTY",F1271)+4,IFERROR(FIND(" ",F1271,SEARCH("QTY",F1271)+4)-(SEARCH("QTY",F1271)+4),3))),""))</f>
        <v>0</v>
      </c>
      <c r="M1271">
        <f>'Raw Data'!O1271</f>
        <v>0</v>
      </c>
      <c r="N1271">
        <f>'Raw Data'!P1271</f>
        <v>0</v>
      </c>
      <c r="O1271">
        <f>'Raw Data'!Q1271</f>
        <v>0</v>
      </c>
      <c r="P1271">
        <f>'Raw Data'!R1271</f>
        <v>0</v>
      </c>
      <c r="Q1271">
        <f>'Raw Data'!S1271</f>
        <v>0</v>
      </c>
      <c r="R1271">
        <f>'Raw Data'!T1271</f>
        <v>0</v>
      </c>
      <c r="S1271">
        <f>IFERROR(O1271,0)+IFERROR(R1271,0)</f>
        <v>0</v>
      </c>
      <c r="T1271">
        <f>IF(A1271="","",YEAR(A1271))</f>
        <v>0</v>
      </c>
    </row>
    <row r="1272" spans="1:20">
      <c r="A1272">
        <f>'Raw Data'!B1272</f>
        <v>0</v>
      </c>
      <c r="B1272">
        <f>'Raw Data'!A1272</f>
        <v>0</v>
      </c>
      <c r="C1272">
        <f>'Raw Data'!C1272</f>
        <v>0</v>
      </c>
      <c r="D1272">
        <f>'Raw Data'!D1272</f>
        <v>0</v>
      </c>
      <c r="E1272">
        <f>IFERROR(VLOOKUP(D1272,'Lookup Tables'!$A:$B,2,FALSE),"Unknown")</f>
        <v>0</v>
      </c>
      <c r="F1272">
        <f>'Raw Data'!E1272</f>
        <v>0</v>
      </c>
      <c r="G1272">
        <f>IFERROR(VLOOKUP(D1272,'Lookup Tables'!$A:$C,3,FALSE),IF(ISNUMBER(SEARCH("STEEL",F1272)),"Steel","Others"))</f>
        <v>0</v>
      </c>
      <c r="H1272">
        <f>IF(ISNUMBER(SEARCH("scrubber",F1272)) , "Scrubber", IF(ISNUMBER(SEARCH("container",F1272)),"Container", IF(ISNUMBER(SEARCH("basket",F1272)),"Basket", IF(ISNUMBER(SEARCH("lunch",F1272)),"Lunch Box", IF(ISNUMBER(SEARCH("cutlery",F1272)),"Cutlery","Other")))))</f>
        <v>0</v>
      </c>
      <c r="I1272">
        <f>IF('Raw Data'!G1272&lt;&gt;'','Raw Data'!G1272,IFERROR(MID(F1272,SEARCH("MODEL",F1272)+6,20),""))</f>
        <v>0</v>
      </c>
      <c r="J1272">
        <f>'Raw Data'!H1272</f>
        <v>0</v>
      </c>
      <c r="K1272">
        <f>'Raw Data'!I1272</f>
        <v>0</v>
      </c>
      <c r="L1272">
        <f>IF('Raw Data'!N1272&lt;&gt;0,'Raw Data'!N1272,IFERROR(VALUE(MID(F1272,SEARCH("QTY",F1272)+4,IFERROR(FIND(" ",F1272,SEARCH("QTY",F1272)+4)-(SEARCH("QTY",F1272)+4),3))),""))</f>
        <v>0</v>
      </c>
      <c r="M1272">
        <f>'Raw Data'!O1272</f>
        <v>0</v>
      </c>
      <c r="N1272">
        <f>'Raw Data'!P1272</f>
        <v>0</v>
      </c>
      <c r="O1272">
        <f>'Raw Data'!Q1272</f>
        <v>0</v>
      </c>
      <c r="P1272">
        <f>'Raw Data'!R1272</f>
        <v>0</v>
      </c>
      <c r="Q1272">
        <f>'Raw Data'!S1272</f>
        <v>0</v>
      </c>
      <c r="R1272">
        <f>'Raw Data'!T1272</f>
        <v>0</v>
      </c>
      <c r="S1272">
        <f>IFERROR(O1272,0)+IFERROR(R1272,0)</f>
        <v>0</v>
      </c>
      <c r="T1272">
        <f>IF(A1272="","",YEAR(A1272))</f>
        <v>0</v>
      </c>
    </row>
    <row r="1273" spans="1:20">
      <c r="A1273">
        <f>'Raw Data'!B1273</f>
        <v>0</v>
      </c>
      <c r="B1273">
        <f>'Raw Data'!A1273</f>
        <v>0</v>
      </c>
      <c r="C1273">
        <f>'Raw Data'!C1273</f>
        <v>0</v>
      </c>
      <c r="D1273">
        <f>'Raw Data'!D1273</f>
        <v>0</v>
      </c>
      <c r="E1273">
        <f>IFERROR(VLOOKUP(D1273,'Lookup Tables'!$A:$B,2,FALSE),"Unknown")</f>
        <v>0</v>
      </c>
      <c r="F1273">
        <f>'Raw Data'!E1273</f>
        <v>0</v>
      </c>
      <c r="G1273">
        <f>IFERROR(VLOOKUP(D1273,'Lookup Tables'!$A:$C,3,FALSE),IF(ISNUMBER(SEARCH("STEEL",F1273)),"Steel","Others"))</f>
        <v>0</v>
      </c>
      <c r="H1273">
        <f>IF(ISNUMBER(SEARCH("scrubber",F1273)) , "Scrubber", IF(ISNUMBER(SEARCH("container",F1273)),"Container", IF(ISNUMBER(SEARCH("basket",F1273)),"Basket", IF(ISNUMBER(SEARCH("lunch",F1273)),"Lunch Box", IF(ISNUMBER(SEARCH("cutlery",F1273)),"Cutlery","Other")))))</f>
        <v>0</v>
      </c>
      <c r="I1273">
        <f>IF('Raw Data'!G1273&lt;&gt;'','Raw Data'!G1273,IFERROR(MID(F1273,SEARCH("MODEL",F1273)+6,20),""))</f>
        <v>0</v>
      </c>
      <c r="J1273">
        <f>'Raw Data'!H1273</f>
        <v>0</v>
      </c>
      <c r="K1273">
        <f>'Raw Data'!I1273</f>
        <v>0</v>
      </c>
      <c r="L1273">
        <f>IF('Raw Data'!N1273&lt;&gt;0,'Raw Data'!N1273,IFERROR(VALUE(MID(F1273,SEARCH("QTY",F1273)+4,IFERROR(FIND(" ",F1273,SEARCH("QTY",F1273)+4)-(SEARCH("QTY",F1273)+4),3))),""))</f>
        <v>0</v>
      </c>
      <c r="M1273">
        <f>'Raw Data'!O1273</f>
        <v>0</v>
      </c>
      <c r="N1273">
        <f>'Raw Data'!P1273</f>
        <v>0</v>
      </c>
      <c r="O1273">
        <f>'Raw Data'!Q1273</f>
        <v>0</v>
      </c>
      <c r="P1273">
        <f>'Raw Data'!R1273</f>
        <v>0</v>
      </c>
      <c r="Q1273">
        <f>'Raw Data'!S1273</f>
        <v>0</v>
      </c>
      <c r="R1273">
        <f>'Raw Data'!T1273</f>
        <v>0</v>
      </c>
      <c r="S1273">
        <f>IFERROR(O1273,0)+IFERROR(R1273,0)</f>
        <v>0</v>
      </c>
      <c r="T1273">
        <f>IF(A1273="","",YEAR(A1273))</f>
        <v>0</v>
      </c>
    </row>
    <row r="1274" spans="1:20">
      <c r="A1274">
        <f>'Raw Data'!B1274</f>
        <v>0</v>
      </c>
      <c r="B1274">
        <f>'Raw Data'!A1274</f>
        <v>0</v>
      </c>
      <c r="C1274">
        <f>'Raw Data'!C1274</f>
        <v>0</v>
      </c>
      <c r="D1274">
        <f>'Raw Data'!D1274</f>
        <v>0</v>
      </c>
      <c r="E1274">
        <f>IFERROR(VLOOKUP(D1274,'Lookup Tables'!$A:$B,2,FALSE),"Unknown")</f>
        <v>0</v>
      </c>
      <c r="F1274">
        <f>'Raw Data'!E1274</f>
        <v>0</v>
      </c>
      <c r="G1274">
        <f>IFERROR(VLOOKUP(D1274,'Lookup Tables'!$A:$C,3,FALSE),IF(ISNUMBER(SEARCH("STEEL",F1274)),"Steel","Others"))</f>
        <v>0</v>
      </c>
      <c r="H1274">
        <f>IF(ISNUMBER(SEARCH("scrubber",F1274)) , "Scrubber", IF(ISNUMBER(SEARCH("container",F1274)),"Container", IF(ISNUMBER(SEARCH("basket",F1274)),"Basket", IF(ISNUMBER(SEARCH("lunch",F1274)),"Lunch Box", IF(ISNUMBER(SEARCH("cutlery",F1274)),"Cutlery","Other")))))</f>
        <v>0</v>
      </c>
      <c r="I1274">
        <f>IF('Raw Data'!G1274&lt;&gt;'','Raw Data'!G1274,IFERROR(MID(F1274,SEARCH("MODEL",F1274)+6,20),""))</f>
        <v>0</v>
      </c>
      <c r="J1274">
        <f>'Raw Data'!H1274</f>
        <v>0</v>
      </c>
      <c r="K1274">
        <f>'Raw Data'!I1274</f>
        <v>0</v>
      </c>
      <c r="L1274">
        <f>IF('Raw Data'!N1274&lt;&gt;0,'Raw Data'!N1274,IFERROR(VALUE(MID(F1274,SEARCH("QTY",F1274)+4,IFERROR(FIND(" ",F1274,SEARCH("QTY",F1274)+4)-(SEARCH("QTY",F1274)+4),3))),""))</f>
        <v>0</v>
      </c>
      <c r="M1274">
        <f>'Raw Data'!O1274</f>
        <v>0</v>
      </c>
      <c r="N1274">
        <f>'Raw Data'!P1274</f>
        <v>0</v>
      </c>
      <c r="O1274">
        <f>'Raw Data'!Q1274</f>
        <v>0</v>
      </c>
      <c r="P1274">
        <f>'Raw Data'!R1274</f>
        <v>0</v>
      </c>
      <c r="Q1274">
        <f>'Raw Data'!S1274</f>
        <v>0</v>
      </c>
      <c r="R1274">
        <f>'Raw Data'!T1274</f>
        <v>0</v>
      </c>
      <c r="S1274">
        <f>IFERROR(O1274,0)+IFERROR(R1274,0)</f>
        <v>0</v>
      </c>
      <c r="T1274">
        <f>IF(A1274="","",YEAR(A1274))</f>
        <v>0</v>
      </c>
    </row>
    <row r="1275" spans="1:20">
      <c r="A1275">
        <f>'Raw Data'!B1275</f>
        <v>0</v>
      </c>
      <c r="B1275">
        <f>'Raw Data'!A1275</f>
        <v>0</v>
      </c>
      <c r="C1275">
        <f>'Raw Data'!C1275</f>
        <v>0</v>
      </c>
      <c r="D1275">
        <f>'Raw Data'!D1275</f>
        <v>0</v>
      </c>
      <c r="E1275">
        <f>IFERROR(VLOOKUP(D1275,'Lookup Tables'!$A:$B,2,FALSE),"Unknown")</f>
        <v>0</v>
      </c>
      <c r="F1275">
        <f>'Raw Data'!E1275</f>
        <v>0</v>
      </c>
      <c r="G1275">
        <f>IFERROR(VLOOKUP(D1275,'Lookup Tables'!$A:$C,3,FALSE),IF(ISNUMBER(SEARCH("STEEL",F1275)),"Steel","Others"))</f>
        <v>0</v>
      </c>
      <c r="H1275">
        <f>IF(ISNUMBER(SEARCH("scrubber",F1275)) , "Scrubber", IF(ISNUMBER(SEARCH("container",F1275)),"Container", IF(ISNUMBER(SEARCH("basket",F1275)),"Basket", IF(ISNUMBER(SEARCH("lunch",F1275)),"Lunch Box", IF(ISNUMBER(SEARCH("cutlery",F1275)),"Cutlery","Other")))))</f>
        <v>0</v>
      </c>
      <c r="I1275">
        <f>IF('Raw Data'!G1275&lt;&gt;'','Raw Data'!G1275,IFERROR(MID(F1275,SEARCH("MODEL",F1275)+6,20),""))</f>
        <v>0</v>
      </c>
      <c r="J1275">
        <f>'Raw Data'!H1275</f>
        <v>0</v>
      </c>
      <c r="K1275">
        <f>'Raw Data'!I1275</f>
        <v>0</v>
      </c>
      <c r="L1275">
        <f>IF('Raw Data'!N1275&lt;&gt;0,'Raw Data'!N1275,IFERROR(VALUE(MID(F1275,SEARCH("QTY",F1275)+4,IFERROR(FIND(" ",F1275,SEARCH("QTY",F1275)+4)-(SEARCH("QTY",F1275)+4),3))),""))</f>
        <v>0</v>
      </c>
      <c r="M1275">
        <f>'Raw Data'!O1275</f>
        <v>0</v>
      </c>
      <c r="N1275">
        <f>'Raw Data'!P1275</f>
        <v>0</v>
      </c>
      <c r="O1275">
        <f>'Raw Data'!Q1275</f>
        <v>0</v>
      </c>
      <c r="P1275">
        <f>'Raw Data'!R1275</f>
        <v>0</v>
      </c>
      <c r="Q1275">
        <f>'Raw Data'!S1275</f>
        <v>0</v>
      </c>
      <c r="R1275">
        <f>'Raw Data'!T1275</f>
        <v>0</v>
      </c>
      <c r="S1275">
        <f>IFERROR(O1275,0)+IFERROR(R1275,0)</f>
        <v>0</v>
      </c>
      <c r="T1275">
        <f>IF(A1275="","",YEAR(A1275))</f>
        <v>0</v>
      </c>
    </row>
    <row r="1276" spans="1:20">
      <c r="A1276">
        <f>'Raw Data'!B1276</f>
        <v>0</v>
      </c>
      <c r="B1276">
        <f>'Raw Data'!A1276</f>
        <v>0</v>
      </c>
      <c r="C1276">
        <f>'Raw Data'!C1276</f>
        <v>0</v>
      </c>
      <c r="D1276">
        <f>'Raw Data'!D1276</f>
        <v>0</v>
      </c>
      <c r="E1276">
        <f>IFERROR(VLOOKUP(D1276,'Lookup Tables'!$A:$B,2,FALSE),"Unknown")</f>
        <v>0</v>
      </c>
      <c r="F1276">
        <f>'Raw Data'!E1276</f>
        <v>0</v>
      </c>
      <c r="G1276">
        <f>IFERROR(VLOOKUP(D1276,'Lookup Tables'!$A:$C,3,FALSE),IF(ISNUMBER(SEARCH("STEEL",F1276)),"Steel","Others"))</f>
        <v>0</v>
      </c>
      <c r="H1276">
        <f>IF(ISNUMBER(SEARCH("scrubber",F1276)) , "Scrubber", IF(ISNUMBER(SEARCH("container",F1276)),"Container", IF(ISNUMBER(SEARCH("basket",F1276)),"Basket", IF(ISNUMBER(SEARCH("lunch",F1276)),"Lunch Box", IF(ISNUMBER(SEARCH("cutlery",F1276)),"Cutlery","Other")))))</f>
        <v>0</v>
      </c>
      <c r="I1276">
        <f>IF('Raw Data'!G1276&lt;&gt;'','Raw Data'!G1276,IFERROR(MID(F1276,SEARCH("MODEL",F1276)+6,20),""))</f>
        <v>0</v>
      </c>
      <c r="J1276">
        <f>'Raw Data'!H1276</f>
        <v>0</v>
      </c>
      <c r="K1276">
        <f>'Raw Data'!I1276</f>
        <v>0</v>
      </c>
      <c r="L1276">
        <f>IF('Raw Data'!N1276&lt;&gt;0,'Raw Data'!N1276,IFERROR(VALUE(MID(F1276,SEARCH("QTY",F1276)+4,IFERROR(FIND(" ",F1276,SEARCH("QTY",F1276)+4)-(SEARCH("QTY",F1276)+4),3))),""))</f>
        <v>0</v>
      </c>
      <c r="M1276">
        <f>'Raw Data'!O1276</f>
        <v>0</v>
      </c>
      <c r="N1276">
        <f>'Raw Data'!P1276</f>
        <v>0</v>
      </c>
      <c r="O1276">
        <f>'Raw Data'!Q1276</f>
        <v>0</v>
      </c>
      <c r="P1276">
        <f>'Raw Data'!R1276</f>
        <v>0</v>
      </c>
      <c r="Q1276">
        <f>'Raw Data'!S1276</f>
        <v>0</v>
      </c>
      <c r="R1276">
        <f>'Raw Data'!T1276</f>
        <v>0</v>
      </c>
      <c r="S1276">
        <f>IFERROR(O1276,0)+IFERROR(R1276,0)</f>
        <v>0</v>
      </c>
      <c r="T1276">
        <f>IF(A1276="","",YEAR(A1276))</f>
        <v>0</v>
      </c>
    </row>
    <row r="1277" spans="1:20">
      <c r="A1277">
        <f>'Raw Data'!B1277</f>
        <v>0</v>
      </c>
      <c r="B1277">
        <f>'Raw Data'!A1277</f>
        <v>0</v>
      </c>
      <c r="C1277">
        <f>'Raw Data'!C1277</f>
        <v>0</v>
      </c>
      <c r="D1277">
        <f>'Raw Data'!D1277</f>
        <v>0</v>
      </c>
      <c r="E1277">
        <f>IFERROR(VLOOKUP(D1277,'Lookup Tables'!$A:$B,2,FALSE),"Unknown")</f>
        <v>0</v>
      </c>
      <c r="F1277">
        <f>'Raw Data'!E1277</f>
        <v>0</v>
      </c>
      <c r="G1277">
        <f>IFERROR(VLOOKUP(D1277,'Lookup Tables'!$A:$C,3,FALSE),IF(ISNUMBER(SEARCH("STEEL",F1277)),"Steel","Others"))</f>
        <v>0</v>
      </c>
      <c r="H1277">
        <f>IF(ISNUMBER(SEARCH("scrubber",F1277)) , "Scrubber", IF(ISNUMBER(SEARCH("container",F1277)),"Container", IF(ISNUMBER(SEARCH("basket",F1277)),"Basket", IF(ISNUMBER(SEARCH("lunch",F1277)),"Lunch Box", IF(ISNUMBER(SEARCH("cutlery",F1277)),"Cutlery","Other")))))</f>
        <v>0</v>
      </c>
      <c r="I1277">
        <f>IF('Raw Data'!G1277&lt;&gt;'','Raw Data'!G1277,IFERROR(MID(F1277,SEARCH("MODEL",F1277)+6,20),""))</f>
        <v>0</v>
      </c>
      <c r="J1277">
        <f>'Raw Data'!H1277</f>
        <v>0</v>
      </c>
      <c r="K1277">
        <f>'Raw Data'!I1277</f>
        <v>0</v>
      </c>
      <c r="L1277">
        <f>IF('Raw Data'!N1277&lt;&gt;0,'Raw Data'!N1277,IFERROR(VALUE(MID(F1277,SEARCH("QTY",F1277)+4,IFERROR(FIND(" ",F1277,SEARCH("QTY",F1277)+4)-(SEARCH("QTY",F1277)+4),3))),""))</f>
        <v>0</v>
      </c>
      <c r="M1277">
        <f>'Raw Data'!O1277</f>
        <v>0</v>
      </c>
      <c r="N1277">
        <f>'Raw Data'!P1277</f>
        <v>0</v>
      </c>
      <c r="O1277">
        <f>'Raw Data'!Q1277</f>
        <v>0</v>
      </c>
      <c r="P1277">
        <f>'Raw Data'!R1277</f>
        <v>0</v>
      </c>
      <c r="Q1277">
        <f>'Raw Data'!S1277</f>
        <v>0</v>
      </c>
      <c r="R1277">
        <f>'Raw Data'!T1277</f>
        <v>0</v>
      </c>
      <c r="S1277">
        <f>IFERROR(O1277,0)+IFERROR(R1277,0)</f>
        <v>0</v>
      </c>
      <c r="T1277">
        <f>IF(A1277="","",YEAR(A1277))</f>
        <v>0</v>
      </c>
    </row>
    <row r="1278" spans="1:20">
      <c r="A1278">
        <f>'Raw Data'!B1278</f>
        <v>0</v>
      </c>
      <c r="B1278">
        <f>'Raw Data'!A1278</f>
        <v>0</v>
      </c>
      <c r="C1278">
        <f>'Raw Data'!C1278</f>
        <v>0</v>
      </c>
      <c r="D1278">
        <f>'Raw Data'!D1278</f>
        <v>0</v>
      </c>
      <c r="E1278">
        <f>IFERROR(VLOOKUP(D1278,'Lookup Tables'!$A:$B,2,FALSE),"Unknown")</f>
        <v>0</v>
      </c>
      <c r="F1278">
        <f>'Raw Data'!E1278</f>
        <v>0</v>
      </c>
      <c r="G1278">
        <f>IFERROR(VLOOKUP(D1278,'Lookup Tables'!$A:$C,3,FALSE),IF(ISNUMBER(SEARCH("STEEL",F1278)),"Steel","Others"))</f>
        <v>0</v>
      </c>
      <c r="H1278">
        <f>IF(ISNUMBER(SEARCH("scrubber",F1278)) , "Scrubber", IF(ISNUMBER(SEARCH("container",F1278)),"Container", IF(ISNUMBER(SEARCH("basket",F1278)),"Basket", IF(ISNUMBER(SEARCH("lunch",F1278)),"Lunch Box", IF(ISNUMBER(SEARCH("cutlery",F1278)),"Cutlery","Other")))))</f>
        <v>0</v>
      </c>
      <c r="I1278">
        <f>IF('Raw Data'!G1278&lt;&gt;'','Raw Data'!G1278,IFERROR(MID(F1278,SEARCH("MODEL",F1278)+6,20),""))</f>
        <v>0</v>
      </c>
      <c r="J1278">
        <f>'Raw Data'!H1278</f>
        <v>0</v>
      </c>
      <c r="K1278">
        <f>'Raw Data'!I1278</f>
        <v>0</v>
      </c>
      <c r="L1278">
        <f>IF('Raw Data'!N1278&lt;&gt;0,'Raw Data'!N1278,IFERROR(VALUE(MID(F1278,SEARCH("QTY",F1278)+4,IFERROR(FIND(" ",F1278,SEARCH("QTY",F1278)+4)-(SEARCH("QTY",F1278)+4),3))),""))</f>
        <v>0</v>
      </c>
      <c r="M1278">
        <f>'Raw Data'!O1278</f>
        <v>0</v>
      </c>
      <c r="N1278">
        <f>'Raw Data'!P1278</f>
        <v>0</v>
      </c>
      <c r="O1278">
        <f>'Raw Data'!Q1278</f>
        <v>0</v>
      </c>
      <c r="P1278">
        <f>'Raw Data'!R1278</f>
        <v>0</v>
      </c>
      <c r="Q1278">
        <f>'Raw Data'!S1278</f>
        <v>0</v>
      </c>
      <c r="R1278">
        <f>'Raw Data'!T1278</f>
        <v>0</v>
      </c>
      <c r="S1278">
        <f>IFERROR(O1278,0)+IFERROR(R1278,0)</f>
        <v>0</v>
      </c>
      <c r="T1278">
        <f>IF(A1278="","",YEAR(A1278))</f>
        <v>0</v>
      </c>
    </row>
    <row r="1279" spans="1:20">
      <c r="A1279">
        <f>'Raw Data'!B1279</f>
        <v>0</v>
      </c>
      <c r="B1279">
        <f>'Raw Data'!A1279</f>
        <v>0</v>
      </c>
      <c r="C1279">
        <f>'Raw Data'!C1279</f>
        <v>0</v>
      </c>
      <c r="D1279">
        <f>'Raw Data'!D1279</f>
        <v>0</v>
      </c>
      <c r="E1279">
        <f>IFERROR(VLOOKUP(D1279,'Lookup Tables'!$A:$B,2,FALSE),"Unknown")</f>
        <v>0</v>
      </c>
      <c r="F1279">
        <f>'Raw Data'!E1279</f>
        <v>0</v>
      </c>
      <c r="G1279">
        <f>IFERROR(VLOOKUP(D1279,'Lookup Tables'!$A:$C,3,FALSE),IF(ISNUMBER(SEARCH("STEEL",F1279)),"Steel","Others"))</f>
        <v>0</v>
      </c>
      <c r="H1279">
        <f>IF(ISNUMBER(SEARCH("scrubber",F1279)) , "Scrubber", IF(ISNUMBER(SEARCH("container",F1279)),"Container", IF(ISNUMBER(SEARCH("basket",F1279)),"Basket", IF(ISNUMBER(SEARCH("lunch",F1279)),"Lunch Box", IF(ISNUMBER(SEARCH("cutlery",F1279)),"Cutlery","Other")))))</f>
        <v>0</v>
      </c>
      <c r="I1279">
        <f>IF('Raw Data'!G1279&lt;&gt;'','Raw Data'!G1279,IFERROR(MID(F1279,SEARCH("MODEL",F1279)+6,20),""))</f>
        <v>0</v>
      </c>
      <c r="J1279">
        <f>'Raw Data'!H1279</f>
        <v>0</v>
      </c>
      <c r="K1279">
        <f>'Raw Data'!I1279</f>
        <v>0</v>
      </c>
      <c r="L1279">
        <f>IF('Raw Data'!N1279&lt;&gt;0,'Raw Data'!N1279,IFERROR(VALUE(MID(F1279,SEARCH("QTY",F1279)+4,IFERROR(FIND(" ",F1279,SEARCH("QTY",F1279)+4)-(SEARCH("QTY",F1279)+4),3))),""))</f>
        <v>0</v>
      </c>
      <c r="M1279">
        <f>'Raw Data'!O1279</f>
        <v>0</v>
      </c>
      <c r="N1279">
        <f>'Raw Data'!P1279</f>
        <v>0</v>
      </c>
      <c r="O1279">
        <f>'Raw Data'!Q1279</f>
        <v>0</v>
      </c>
      <c r="P1279">
        <f>'Raw Data'!R1279</f>
        <v>0</v>
      </c>
      <c r="Q1279">
        <f>'Raw Data'!S1279</f>
        <v>0</v>
      </c>
      <c r="R1279">
        <f>'Raw Data'!T1279</f>
        <v>0</v>
      </c>
      <c r="S1279">
        <f>IFERROR(O1279,0)+IFERROR(R1279,0)</f>
        <v>0</v>
      </c>
      <c r="T1279">
        <f>IF(A1279="","",YEAR(A1279))</f>
        <v>0</v>
      </c>
    </row>
    <row r="1280" spans="1:20">
      <c r="A1280">
        <f>'Raw Data'!B1280</f>
        <v>0</v>
      </c>
      <c r="B1280">
        <f>'Raw Data'!A1280</f>
        <v>0</v>
      </c>
      <c r="C1280">
        <f>'Raw Data'!C1280</f>
        <v>0</v>
      </c>
      <c r="D1280">
        <f>'Raw Data'!D1280</f>
        <v>0</v>
      </c>
      <c r="E1280">
        <f>IFERROR(VLOOKUP(D1280,'Lookup Tables'!$A:$B,2,FALSE),"Unknown")</f>
        <v>0</v>
      </c>
      <c r="F1280">
        <f>'Raw Data'!E1280</f>
        <v>0</v>
      </c>
      <c r="G1280">
        <f>IFERROR(VLOOKUP(D1280,'Lookup Tables'!$A:$C,3,FALSE),IF(ISNUMBER(SEARCH("STEEL",F1280)),"Steel","Others"))</f>
        <v>0</v>
      </c>
      <c r="H1280">
        <f>IF(ISNUMBER(SEARCH("scrubber",F1280)) , "Scrubber", IF(ISNUMBER(SEARCH("container",F1280)),"Container", IF(ISNUMBER(SEARCH("basket",F1280)),"Basket", IF(ISNUMBER(SEARCH("lunch",F1280)),"Lunch Box", IF(ISNUMBER(SEARCH("cutlery",F1280)),"Cutlery","Other")))))</f>
        <v>0</v>
      </c>
      <c r="I1280">
        <f>IF('Raw Data'!G1280&lt;&gt;'','Raw Data'!G1280,IFERROR(MID(F1280,SEARCH("MODEL",F1280)+6,20),""))</f>
        <v>0</v>
      </c>
      <c r="J1280">
        <f>'Raw Data'!H1280</f>
        <v>0</v>
      </c>
      <c r="K1280">
        <f>'Raw Data'!I1280</f>
        <v>0</v>
      </c>
      <c r="L1280">
        <f>IF('Raw Data'!N1280&lt;&gt;0,'Raw Data'!N1280,IFERROR(VALUE(MID(F1280,SEARCH("QTY",F1280)+4,IFERROR(FIND(" ",F1280,SEARCH("QTY",F1280)+4)-(SEARCH("QTY",F1280)+4),3))),""))</f>
        <v>0</v>
      </c>
      <c r="M1280">
        <f>'Raw Data'!O1280</f>
        <v>0</v>
      </c>
      <c r="N1280">
        <f>'Raw Data'!P1280</f>
        <v>0</v>
      </c>
      <c r="O1280">
        <f>'Raw Data'!Q1280</f>
        <v>0</v>
      </c>
      <c r="P1280">
        <f>'Raw Data'!R1280</f>
        <v>0</v>
      </c>
      <c r="Q1280">
        <f>'Raw Data'!S1280</f>
        <v>0</v>
      </c>
      <c r="R1280">
        <f>'Raw Data'!T1280</f>
        <v>0</v>
      </c>
      <c r="S1280">
        <f>IFERROR(O1280,0)+IFERROR(R1280,0)</f>
        <v>0</v>
      </c>
      <c r="T1280">
        <f>IF(A1280="","",YEAR(A1280))</f>
        <v>0</v>
      </c>
    </row>
    <row r="1281" spans="1:20">
      <c r="A1281">
        <f>'Raw Data'!B1281</f>
        <v>0</v>
      </c>
      <c r="B1281">
        <f>'Raw Data'!A1281</f>
        <v>0</v>
      </c>
      <c r="C1281">
        <f>'Raw Data'!C1281</f>
        <v>0</v>
      </c>
      <c r="D1281">
        <f>'Raw Data'!D1281</f>
        <v>0</v>
      </c>
      <c r="E1281">
        <f>IFERROR(VLOOKUP(D1281,'Lookup Tables'!$A:$B,2,FALSE),"Unknown")</f>
        <v>0</v>
      </c>
      <c r="F1281">
        <f>'Raw Data'!E1281</f>
        <v>0</v>
      </c>
      <c r="G1281">
        <f>IFERROR(VLOOKUP(D1281,'Lookup Tables'!$A:$C,3,FALSE),IF(ISNUMBER(SEARCH("STEEL",F1281)),"Steel","Others"))</f>
        <v>0</v>
      </c>
      <c r="H1281">
        <f>IF(ISNUMBER(SEARCH("scrubber",F1281)) , "Scrubber", IF(ISNUMBER(SEARCH("container",F1281)),"Container", IF(ISNUMBER(SEARCH("basket",F1281)),"Basket", IF(ISNUMBER(SEARCH("lunch",F1281)),"Lunch Box", IF(ISNUMBER(SEARCH("cutlery",F1281)),"Cutlery","Other")))))</f>
        <v>0</v>
      </c>
      <c r="I1281">
        <f>IF('Raw Data'!G1281&lt;&gt;'','Raw Data'!G1281,IFERROR(MID(F1281,SEARCH("MODEL",F1281)+6,20),""))</f>
        <v>0</v>
      </c>
      <c r="J1281">
        <f>'Raw Data'!H1281</f>
        <v>0</v>
      </c>
      <c r="K1281">
        <f>'Raw Data'!I1281</f>
        <v>0</v>
      </c>
      <c r="L1281">
        <f>IF('Raw Data'!N1281&lt;&gt;0,'Raw Data'!N1281,IFERROR(VALUE(MID(F1281,SEARCH("QTY",F1281)+4,IFERROR(FIND(" ",F1281,SEARCH("QTY",F1281)+4)-(SEARCH("QTY",F1281)+4),3))),""))</f>
        <v>0</v>
      </c>
      <c r="M1281">
        <f>'Raw Data'!O1281</f>
        <v>0</v>
      </c>
      <c r="N1281">
        <f>'Raw Data'!P1281</f>
        <v>0</v>
      </c>
      <c r="O1281">
        <f>'Raw Data'!Q1281</f>
        <v>0</v>
      </c>
      <c r="P1281">
        <f>'Raw Data'!R1281</f>
        <v>0</v>
      </c>
      <c r="Q1281">
        <f>'Raw Data'!S1281</f>
        <v>0</v>
      </c>
      <c r="R1281">
        <f>'Raw Data'!T1281</f>
        <v>0</v>
      </c>
      <c r="S1281">
        <f>IFERROR(O1281,0)+IFERROR(R1281,0)</f>
        <v>0</v>
      </c>
      <c r="T1281">
        <f>IF(A1281="","",YEAR(A1281))</f>
        <v>0</v>
      </c>
    </row>
    <row r="1282" spans="1:20">
      <c r="A1282">
        <f>'Raw Data'!B1282</f>
        <v>0</v>
      </c>
      <c r="B1282">
        <f>'Raw Data'!A1282</f>
        <v>0</v>
      </c>
      <c r="C1282">
        <f>'Raw Data'!C1282</f>
        <v>0</v>
      </c>
      <c r="D1282">
        <f>'Raw Data'!D1282</f>
        <v>0</v>
      </c>
      <c r="E1282">
        <f>IFERROR(VLOOKUP(D1282,'Lookup Tables'!$A:$B,2,FALSE),"Unknown")</f>
        <v>0</v>
      </c>
      <c r="F1282">
        <f>'Raw Data'!E1282</f>
        <v>0</v>
      </c>
      <c r="G1282">
        <f>IFERROR(VLOOKUP(D1282,'Lookup Tables'!$A:$C,3,FALSE),IF(ISNUMBER(SEARCH("STEEL",F1282)),"Steel","Others"))</f>
        <v>0</v>
      </c>
      <c r="H1282">
        <f>IF(ISNUMBER(SEARCH("scrubber",F1282)) , "Scrubber", IF(ISNUMBER(SEARCH("container",F1282)),"Container", IF(ISNUMBER(SEARCH("basket",F1282)),"Basket", IF(ISNUMBER(SEARCH("lunch",F1282)),"Lunch Box", IF(ISNUMBER(SEARCH("cutlery",F1282)),"Cutlery","Other")))))</f>
        <v>0</v>
      </c>
      <c r="I1282">
        <f>IF('Raw Data'!G1282&lt;&gt;'','Raw Data'!G1282,IFERROR(MID(F1282,SEARCH("MODEL",F1282)+6,20),""))</f>
        <v>0</v>
      </c>
      <c r="J1282">
        <f>'Raw Data'!H1282</f>
        <v>0</v>
      </c>
      <c r="K1282">
        <f>'Raw Data'!I1282</f>
        <v>0</v>
      </c>
      <c r="L1282">
        <f>IF('Raw Data'!N1282&lt;&gt;0,'Raw Data'!N1282,IFERROR(VALUE(MID(F1282,SEARCH("QTY",F1282)+4,IFERROR(FIND(" ",F1282,SEARCH("QTY",F1282)+4)-(SEARCH("QTY",F1282)+4),3))),""))</f>
        <v>0</v>
      </c>
      <c r="M1282">
        <f>'Raw Data'!O1282</f>
        <v>0</v>
      </c>
      <c r="N1282">
        <f>'Raw Data'!P1282</f>
        <v>0</v>
      </c>
      <c r="O1282">
        <f>'Raw Data'!Q1282</f>
        <v>0</v>
      </c>
      <c r="P1282">
        <f>'Raw Data'!R1282</f>
        <v>0</v>
      </c>
      <c r="Q1282">
        <f>'Raw Data'!S1282</f>
        <v>0</v>
      </c>
      <c r="R1282">
        <f>'Raw Data'!T1282</f>
        <v>0</v>
      </c>
      <c r="S1282">
        <f>IFERROR(O1282,0)+IFERROR(R1282,0)</f>
        <v>0</v>
      </c>
      <c r="T1282">
        <f>IF(A1282="","",YEAR(A1282))</f>
        <v>0</v>
      </c>
    </row>
    <row r="1283" spans="1:20">
      <c r="A1283">
        <f>'Raw Data'!B1283</f>
        <v>0</v>
      </c>
      <c r="B1283">
        <f>'Raw Data'!A1283</f>
        <v>0</v>
      </c>
      <c r="C1283">
        <f>'Raw Data'!C1283</f>
        <v>0</v>
      </c>
      <c r="D1283">
        <f>'Raw Data'!D1283</f>
        <v>0</v>
      </c>
      <c r="E1283">
        <f>IFERROR(VLOOKUP(D1283,'Lookup Tables'!$A:$B,2,FALSE),"Unknown")</f>
        <v>0</v>
      </c>
      <c r="F1283">
        <f>'Raw Data'!E1283</f>
        <v>0</v>
      </c>
      <c r="G1283">
        <f>IFERROR(VLOOKUP(D1283,'Lookup Tables'!$A:$C,3,FALSE),IF(ISNUMBER(SEARCH("STEEL",F1283)),"Steel","Others"))</f>
        <v>0</v>
      </c>
      <c r="H1283">
        <f>IF(ISNUMBER(SEARCH("scrubber",F1283)) , "Scrubber", IF(ISNUMBER(SEARCH("container",F1283)),"Container", IF(ISNUMBER(SEARCH("basket",F1283)),"Basket", IF(ISNUMBER(SEARCH("lunch",F1283)),"Lunch Box", IF(ISNUMBER(SEARCH("cutlery",F1283)),"Cutlery","Other")))))</f>
        <v>0</v>
      </c>
      <c r="I1283">
        <f>IF('Raw Data'!G1283&lt;&gt;'','Raw Data'!G1283,IFERROR(MID(F1283,SEARCH("MODEL",F1283)+6,20),""))</f>
        <v>0</v>
      </c>
      <c r="J1283">
        <f>'Raw Data'!H1283</f>
        <v>0</v>
      </c>
      <c r="K1283">
        <f>'Raw Data'!I1283</f>
        <v>0</v>
      </c>
      <c r="L1283">
        <f>IF('Raw Data'!N1283&lt;&gt;0,'Raw Data'!N1283,IFERROR(VALUE(MID(F1283,SEARCH("QTY",F1283)+4,IFERROR(FIND(" ",F1283,SEARCH("QTY",F1283)+4)-(SEARCH("QTY",F1283)+4),3))),""))</f>
        <v>0</v>
      </c>
      <c r="M1283">
        <f>'Raw Data'!O1283</f>
        <v>0</v>
      </c>
      <c r="N1283">
        <f>'Raw Data'!P1283</f>
        <v>0</v>
      </c>
      <c r="O1283">
        <f>'Raw Data'!Q1283</f>
        <v>0</v>
      </c>
      <c r="P1283">
        <f>'Raw Data'!R1283</f>
        <v>0</v>
      </c>
      <c r="Q1283">
        <f>'Raw Data'!S1283</f>
        <v>0</v>
      </c>
      <c r="R1283">
        <f>'Raw Data'!T1283</f>
        <v>0</v>
      </c>
      <c r="S1283">
        <f>IFERROR(O1283,0)+IFERROR(R1283,0)</f>
        <v>0</v>
      </c>
      <c r="T1283">
        <f>IF(A1283="","",YEAR(A1283))</f>
        <v>0</v>
      </c>
    </row>
    <row r="1284" spans="1:20">
      <c r="A1284">
        <f>'Raw Data'!B1284</f>
        <v>0</v>
      </c>
      <c r="B1284">
        <f>'Raw Data'!A1284</f>
        <v>0</v>
      </c>
      <c r="C1284">
        <f>'Raw Data'!C1284</f>
        <v>0</v>
      </c>
      <c r="D1284">
        <f>'Raw Data'!D1284</f>
        <v>0</v>
      </c>
      <c r="E1284">
        <f>IFERROR(VLOOKUP(D1284,'Lookup Tables'!$A:$B,2,FALSE),"Unknown")</f>
        <v>0</v>
      </c>
      <c r="F1284">
        <f>'Raw Data'!E1284</f>
        <v>0</v>
      </c>
      <c r="G1284">
        <f>IFERROR(VLOOKUP(D1284,'Lookup Tables'!$A:$C,3,FALSE),IF(ISNUMBER(SEARCH("STEEL",F1284)),"Steel","Others"))</f>
        <v>0</v>
      </c>
      <c r="H1284">
        <f>IF(ISNUMBER(SEARCH("scrubber",F1284)) , "Scrubber", IF(ISNUMBER(SEARCH("container",F1284)),"Container", IF(ISNUMBER(SEARCH("basket",F1284)),"Basket", IF(ISNUMBER(SEARCH("lunch",F1284)),"Lunch Box", IF(ISNUMBER(SEARCH("cutlery",F1284)),"Cutlery","Other")))))</f>
        <v>0</v>
      </c>
      <c r="I1284">
        <f>IF('Raw Data'!G1284&lt;&gt;'','Raw Data'!G1284,IFERROR(MID(F1284,SEARCH("MODEL",F1284)+6,20),""))</f>
        <v>0</v>
      </c>
      <c r="J1284">
        <f>'Raw Data'!H1284</f>
        <v>0</v>
      </c>
      <c r="K1284">
        <f>'Raw Data'!I1284</f>
        <v>0</v>
      </c>
      <c r="L1284">
        <f>IF('Raw Data'!N1284&lt;&gt;0,'Raw Data'!N1284,IFERROR(VALUE(MID(F1284,SEARCH("QTY",F1284)+4,IFERROR(FIND(" ",F1284,SEARCH("QTY",F1284)+4)-(SEARCH("QTY",F1284)+4),3))),""))</f>
        <v>0</v>
      </c>
      <c r="M1284">
        <f>'Raw Data'!O1284</f>
        <v>0</v>
      </c>
      <c r="N1284">
        <f>'Raw Data'!P1284</f>
        <v>0</v>
      </c>
      <c r="O1284">
        <f>'Raw Data'!Q1284</f>
        <v>0</v>
      </c>
      <c r="P1284">
        <f>'Raw Data'!R1284</f>
        <v>0</v>
      </c>
      <c r="Q1284">
        <f>'Raw Data'!S1284</f>
        <v>0</v>
      </c>
      <c r="R1284">
        <f>'Raw Data'!T1284</f>
        <v>0</v>
      </c>
      <c r="S1284">
        <f>IFERROR(O1284,0)+IFERROR(R1284,0)</f>
        <v>0</v>
      </c>
      <c r="T1284">
        <f>IF(A1284="","",YEAR(A1284))</f>
        <v>0</v>
      </c>
    </row>
    <row r="1285" spans="1:20">
      <c r="A1285">
        <f>'Raw Data'!B1285</f>
        <v>0</v>
      </c>
      <c r="B1285">
        <f>'Raw Data'!A1285</f>
        <v>0</v>
      </c>
      <c r="C1285">
        <f>'Raw Data'!C1285</f>
        <v>0</v>
      </c>
      <c r="D1285">
        <f>'Raw Data'!D1285</f>
        <v>0</v>
      </c>
      <c r="E1285">
        <f>IFERROR(VLOOKUP(D1285,'Lookup Tables'!$A:$B,2,FALSE),"Unknown")</f>
        <v>0</v>
      </c>
      <c r="F1285">
        <f>'Raw Data'!E1285</f>
        <v>0</v>
      </c>
      <c r="G1285">
        <f>IFERROR(VLOOKUP(D1285,'Lookup Tables'!$A:$C,3,FALSE),IF(ISNUMBER(SEARCH("STEEL",F1285)),"Steel","Others"))</f>
        <v>0</v>
      </c>
      <c r="H1285">
        <f>IF(ISNUMBER(SEARCH("scrubber",F1285)) , "Scrubber", IF(ISNUMBER(SEARCH("container",F1285)),"Container", IF(ISNUMBER(SEARCH("basket",F1285)),"Basket", IF(ISNUMBER(SEARCH("lunch",F1285)),"Lunch Box", IF(ISNUMBER(SEARCH("cutlery",F1285)),"Cutlery","Other")))))</f>
        <v>0</v>
      </c>
      <c r="I1285">
        <f>IF('Raw Data'!G1285&lt;&gt;'','Raw Data'!G1285,IFERROR(MID(F1285,SEARCH("MODEL",F1285)+6,20),""))</f>
        <v>0</v>
      </c>
      <c r="J1285">
        <f>'Raw Data'!H1285</f>
        <v>0</v>
      </c>
      <c r="K1285">
        <f>'Raw Data'!I1285</f>
        <v>0</v>
      </c>
      <c r="L1285">
        <f>IF('Raw Data'!N1285&lt;&gt;0,'Raw Data'!N1285,IFERROR(VALUE(MID(F1285,SEARCH("QTY",F1285)+4,IFERROR(FIND(" ",F1285,SEARCH("QTY",F1285)+4)-(SEARCH("QTY",F1285)+4),3))),""))</f>
        <v>0</v>
      </c>
      <c r="M1285">
        <f>'Raw Data'!O1285</f>
        <v>0</v>
      </c>
      <c r="N1285">
        <f>'Raw Data'!P1285</f>
        <v>0</v>
      </c>
      <c r="O1285">
        <f>'Raw Data'!Q1285</f>
        <v>0</v>
      </c>
      <c r="P1285">
        <f>'Raw Data'!R1285</f>
        <v>0</v>
      </c>
      <c r="Q1285">
        <f>'Raw Data'!S1285</f>
        <v>0</v>
      </c>
      <c r="R1285">
        <f>'Raw Data'!T1285</f>
        <v>0</v>
      </c>
      <c r="S1285">
        <f>IFERROR(O1285,0)+IFERROR(R1285,0)</f>
        <v>0</v>
      </c>
      <c r="T1285">
        <f>IF(A1285="","",YEAR(A1285))</f>
        <v>0</v>
      </c>
    </row>
    <row r="1286" spans="1:20">
      <c r="A1286">
        <f>'Raw Data'!B1286</f>
        <v>0</v>
      </c>
      <c r="B1286">
        <f>'Raw Data'!A1286</f>
        <v>0</v>
      </c>
      <c r="C1286">
        <f>'Raw Data'!C1286</f>
        <v>0</v>
      </c>
      <c r="D1286">
        <f>'Raw Data'!D1286</f>
        <v>0</v>
      </c>
      <c r="E1286">
        <f>IFERROR(VLOOKUP(D1286,'Lookup Tables'!$A:$B,2,FALSE),"Unknown")</f>
        <v>0</v>
      </c>
      <c r="F1286">
        <f>'Raw Data'!E1286</f>
        <v>0</v>
      </c>
      <c r="G1286">
        <f>IFERROR(VLOOKUP(D1286,'Lookup Tables'!$A:$C,3,FALSE),IF(ISNUMBER(SEARCH("STEEL",F1286)),"Steel","Others"))</f>
        <v>0</v>
      </c>
      <c r="H1286">
        <f>IF(ISNUMBER(SEARCH("scrubber",F1286)) , "Scrubber", IF(ISNUMBER(SEARCH("container",F1286)),"Container", IF(ISNUMBER(SEARCH("basket",F1286)),"Basket", IF(ISNUMBER(SEARCH("lunch",F1286)),"Lunch Box", IF(ISNUMBER(SEARCH("cutlery",F1286)),"Cutlery","Other")))))</f>
        <v>0</v>
      </c>
      <c r="I1286">
        <f>IF('Raw Data'!G1286&lt;&gt;'','Raw Data'!G1286,IFERROR(MID(F1286,SEARCH("MODEL",F1286)+6,20),""))</f>
        <v>0</v>
      </c>
      <c r="J1286">
        <f>'Raw Data'!H1286</f>
        <v>0</v>
      </c>
      <c r="K1286">
        <f>'Raw Data'!I1286</f>
        <v>0</v>
      </c>
      <c r="L1286">
        <f>IF('Raw Data'!N1286&lt;&gt;0,'Raw Data'!N1286,IFERROR(VALUE(MID(F1286,SEARCH("QTY",F1286)+4,IFERROR(FIND(" ",F1286,SEARCH("QTY",F1286)+4)-(SEARCH("QTY",F1286)+4),3))),""))</f>
        <v>0</v>
      </c>
      <c r="M1286">
        <f>'Raw Data'!O1286</f>
        <v>0</v>
      </c>
      <c r="N1286">
        <f>'Raw Data'!P1286</f>
        <v>0</v>
      </c>
      <c r="O1286">
        <f>'Raw Data'!Q1286</f>
        <v>0</v>
      </c>
      <c r="P1286">
        <f>'Raw Data'!R1286</f>
        <v>0</v>
      </c>
      <c r="Q1286">
        <f>'Raw Data'!S1286</f>
        <v>0</v>
      </c>
      <c r="R1286">
        <f>'Raw Data'!T1286</f>
        <v>0</v>
      </c>
      <c r="S1286">
        <f>IFERROR(O1286,0)+IFERROR(R1286,0)</f>
        <v>0</v>
      </c>
      <c r="T1286">
        <f>IF(A1286="","",YEAR(A1286))</f>
        <v>0</v>
      </c>
    </row>
    <row r="1287" spans="1:20">
      <c r="A1287">
        <f>'Raw Data'!B1287</f>
        <v>0</v>
      </c>
      <c r="B1287">
        <f>'Raw Data'!A1287</f>
        <v>0</v>
      </c>
      <c r="C1287">
        <f>'Raw Data'!C1287</f>
        <v>0</v>
      </c>
      <c r="D1287">
        <f>'Raw Data'!D1287</f>
        <v>0</v>
      </c>
      <c r="E1287">
        <f>IFERROR(VLOOKUP(D1287,'Lookup Tables'!$A:$B,2,FALSE),"Unknown")</f>
        <v>0</v>
      </c>
      <c r="F1287">
        <f>'Raw Data'!E1287</f>
        <v>0</v>
      </c>
      <c r="G1287">
        <f>IFERROR(VLOOKUP(D1287,'Lookup Tables'!$A:$C,3,FALSE),IF(ISNUMBER(SEARCH("STEEL",F1287)),"Steel","Others"))</f>
        <v>0</v>
      </c>
      <c r="H1287">
        <f>IF(ISNUMBER(SEARCH("scrubber",F1287)) , "Scrubber", IF(ISNUMBER(SEARCH("container",F1287)),"Container", IF(ISNUMBER(SEARCH("basket",F1287)),"Basket", IF(ISNUMBER(SEARCH("lunch",F1287)),"Lunch Box", IF(ISNUMBER(SEARCH("cutlery",F1287)),"Cutlery","Other")))))</f>
        <v>0</v>
      </c>
      <c r="I1287">
        <f>IF('Raw Data'!G1287&lt;&gt;'','Raw Data'!G1287,IFERROR(MID(F1287,SEARCH("MODEL",F1287)+6,20),""))</f>
        <v>0</v>
      </c>
      <c r="J1287">
        <f>'Raw Data'!H1287</f>
        <v>0</v>
      </c>
      <c r="K1287">
        <f>'Raw Data'!I1287</f>
        <v>0</v>
      </c>
      <c r="L1287">
        <f>IF('Raw Data'!N1287&lt;&gt;0,'Raw Data'!N1287,IFERROR(VALUE(MID(F1287,SEARCH("QTY",F1287)+4,IFERROR(FIND(" ",F1287,SEARCH("QTY",F1287)+4)-(SEARCH("QTY",F1287)+4),3))),""))</f>
        <v>0</v>
      </c>
      <c r="M1287">
        <f>'Raw Data'!O1287</f>
        <v>0</v>
      </c>
      <c r="N1287">
        <f>'Raw Data'!P1287</f>
        <v>0</v>
      </c>
      <c r="O1287">
        <f>'Raw Data'!Q1287</f>
        <v>0</v>
      </c>
      <c r="P1287">
        <f>'Raw Data'!R1287</f>
        <v>0</v>
      </c>
      <c r="Q1287">
        <f>'Raw Data'!S1287</f>
        <v>0</v>
      </c>
      <c r="R1287">
        <f>'Raw Data'!T1287</f>
        <v>0</v>
      </c>
      <c r="S1287">
        <f>IFERROR(O1287,0)+IFERROR(R1287,0)</f>
        <v>0</v>
      </c>
      <c r="T1287">
        <f>IF(A1287="","",YEAR(A1287))</f>
        <v>0</v>
      </c>
    </row>
    <row r="1288" spans="1:20">
      <c r="A1288">
        <f>'Raw Data'!B1288</f>
        <v>0</v>
      </c>
      <c r="B1288">
        <f>'Raw Data'!A1288</f>
        <v>0</v>
      </c>
      <c r="C1288">
        <f>'Raw Data'!C1288</f>
        <v>0</v>
      </c>
      <c r="D1288">
        <f>'Raw Data'!D1288</f>
        <v>0</v>
      </c>
      <c r="E1288">
        <f>IFERROR(VLOOKUP(D1288,'Lookup Tables'!$A:$B,2,FALSE),"Unknown")</f>
        <v>0</v>
      </c>
      <c r="F1288">
        <f>'Raw Data'!E1288</f>
        <v>0</v>
      </c>
      <c r="G1288">
        <f>IFERROR(VLOOKUP(D1288,'Lookup Tables'!$A:$C,3,FALSE),IF(ISNUMBER(SEARCH("STEEL",F1288)),"Steel","Others"))</f>
        <v>0</v>
      </c>
      <c r="H1288">
        <f>IF(ISNUMBER(SEARCH("scrubber",F1288)) , "Scrubber", IF(ISNUMBER(SEARCH("container",F1288)),"Container", IF(ISNUMBER(SEARCH("basket",F1288)),"Basket", IF(ISNUMBER(SEARCH("lunch",F1288)),"Lunch Box", IF(ISNUMBER(SEARCH("cutlery",F1288)),"Cutlery","Other")))))</f>
        <v>0</v>
      </c>
      <c r="I1288">
        <f>IF('Raw Data'!G1288&lt;&gt;'','Raw Data'!G1288,IFERROR(MID(F1288,SEARCH("MODEL",F1288)+6,20),""))</f>
        <v>0</v>
      </c>
      <c r="J1288">
        <f>'Raw Data'!H1288</f>
        <v>0</v>
      </c>
      <c r="K1288">
        <f>'Raw Data'!I1288</f>
        <v>0</v>
      </c>
      <c r="L1288">
        <f>IF('Raw Data'!N1288&lt;&gt;0,'Raw Data'!N1288,IFERROR(VALUE(MID(F1288,SEARCH("QTY",F1288)+4,IFERROR(FIND(" ",F1288,SEARCH("QTY",F1288)+4)-(SEARCH("QTY",F1288)+4),3))),""))</f>
        <v>0</v>
      </c>
      <c r="M1288">
        <f>'Raw Data'!O1288</f>
        <v>0</v>
      </c>
      <c r="N1288">
        <f>'Raw Data'!P1288</f>
        <v>0</v>
      </c>
      <c r="O1288">
        <f>'Raw Data'!Q1288</f>
        <v>0</v>
      </c>
      <c r="P1288">
        <f>'Raw Data'!R1288</f>
        <v>0</v>
      </c>
      <c r="Q1288">
        <f>'Raw Data'!S1288</f>
        <v>0</v>
      </c>
      <c r="R1288">
        <f>'Raw Data'!T1288</f>
        <v>0</v>
      </c>
      <c r="S1288">
        <f>IFERROR(O1288,0)+IFERROR(R1288,0)</f>
        <v>0</v>
      </c>
      <c r="T1288">
        <f>IF(A1288="","",YEAR(A1288))</f>
        <v>0</v>
      </c>
    </row>
    <row r="1289" spans="1:20">
      <c r="A1289">
        <f>'Raw Data'!B1289</f>
        <v>0</v>
      </c>
      <c r="B1289">
        <f>'Raw Data'!A1289</f>
        <v>0</v>
      </c>
      <c r="C1289">
        <f>'Raw Data'!C1289</f>
        <v>0</v>
      </c>
      <c r="D1289">
        <f>'Raw Data'!D1289</f>
        <v>0</v>
      </c>
      <c r="E1289">
        <f>IFERROR(VLOOKUP(D1289,'Lookup Tables'!$A:$B,2,FALSE),"Unknown")</f>
        <v>0</v>
      </c>
      <c r="F1289">
        <f>'Raw Data'!E1289</f>
        <v>0</v>
      </c>
      <c r="G1289">
        <f>IFERROR(VLOOKUP(D1289,'Lookup Tables'!$A:$C,3,FALSE),IF(ISNUMBER(SEARCH("STEEL",F1289)),"Steel","Others"))</f>
        <v>0</v>
      </c>
      <c r="H1289">
        <f>IF(ISNUMBER(SEARCH("scrubber",F1289)) , "Scrubber", IF(ISNUMBER(SEARCH("container",F1289)),"Container", IF(ISNUMBER(SEARCH("basket",F1289)),"Basket", IF(ISNUMBER(SEARCH("lunch",F1289)),"Lunch Box", IF(ISNUMBER(SEARCH("cutlery",F1289)),"Cutlery","Other")))))</f>
        <v>0</v>
      </c>
      <c r="I1289">
        <f>IF('Raw Data'!G1289&lt;&gt;'','Raw Data'!G1289,IFERROR(MID(F1289,SEARCH("MODEL",F1289)+6,20),""))</f>
        <v>0</v>
      </c>
      <c r="J1289">
        <f>'Raw Data'!H1289</f>
        <v>0</v>
      </c>
      <c r="K1289">
        <f>'Raw Data'!I1289</f>
        <v>0</v>
      </c>
      <c r="L1289">
        <f>IF('Raw Data'!N1289&lt;&gt;0,'Raw Data'!N1289,IFERROR(VALUE(MID(F1289,SEARCH("QTY",F1289)+4,IFERROR(FIND(" ",F1289,SEARCH("QTY",F1289)+4)-(SEARCH("QTY",F1289)+4),3))),""))</f>
        <v>0</v>
      </c>
      <c r="M1289">
        <f>'Raw Data'!O1289</f>
        <v>0</v>
      </c>
      <c r="N1289">
        <f>'Raw Data'!P1289</f>
        <v>0</v>
      </c>
      <c r="O1289">
        <f>'Raw Data'!Q1289</f>
        <v>0</v>
      </c>
      <c r="P1289">
        <f>'Raw Data'!R1289</f>
        <v>0</v>
      </c>
      <c r="Q1289">
        <f>'Raw Data'!S1289</f>
        <v>0</v>
      </c>
      <c r="R1289">
        <f>'Raw Data'!T1289</f>
        <v>0</v>
      </c>
      <c r="S1289">
        <f>IFERROR(O1289,0)+IFERROR(R1289,0)</f>
        <v>0</v>
      </c>
      <c r="T1289">
        <f>IF(A1289="","",YEAR(A1289))</f>
        <v>0</v>
      </c>
    </row>
    <row r="1290" spans="1:20">
      <c r="A1290">
        <f>'Raw Data'!B1290</f>
        <v>0</v>
      </c>
      <c r="B1290">
        <f>'Raw Data'!A1290</f>
        <v>0</v>
      </c>
      <c r="C1290">
        <f>'Raw Data'!C1290</f>
        <v>0</v>
      </c>
      <c r="D1290">
        <f>'Raw Data'!D1290</f>
        <v>0</v>
      </c>
      <c r="E1290">
        <f>IFERROR(VLOOKUP(D1290,'Lookup Tables'!$A:$B,2,FALSE),"Unknown")</f>
        <v>0</v>
      </c>
      <c r="F1290">
        <f>'Raw Data'!E1290</f>
        <v>0</v>
      </c>
      <c r="G1290">
        <f>IFERROR(VLOOKUP(D1290,'Lookup Tables'!$A:$C,3,FALSE),IF(ISNUMBER(SEARCH("STEEL",F1290)),"Steel","Others"))</f>
        <v>0</v>
      </c>
      <c r="H1290">
        <f>IF(ISNUMBER(SEARCH("scrubber",F1290)) , "Scrubber", IF(ISNUMBER(SEARCH("container",F1290)),"Container", IF(ISNUMBER(SEARCH("basket",F1290)),"Basket", IF(ISNUMBER(SEARCH("lunch",F1290)),"Lunch Box", IF(ISNUMBER(SEARCH("cutlery",F1290)),"Cutlery","Other")))))</f>
        <v>0</v>
      </c>
      <c r="I1290">
        <f>IF('Raw Data'!G1290&lt;&gt;'','Raw Data'!G1290,IFERROR(MID(F1290,SEARCH("MODEL",F1290)+6,20),""))</f>
        <v>0</v>
      </c>
      <c r="J1290">
        <f>'Raw Data'!H1290</f>
        <v>0</v>
      </c>
      <c r="K1290">
        <f>'Raw Data'!I1290</f>
        <v>0</v>
      </c>
      <c r="L1290">
        <f>IF('Raw Data'!N1290&lt;&gt;0,'Raw Data'!N1290,IFERROR(VALUE(MID(F1290,SEARCH("QTY",F1290)+4,IFERROR(FIND(" ",F1290,SEARCH("QTY",F1290)+4)-(SEARCH("QTY",F1290)+4),3))),""))</f>
        <v>0</v>
      </c>
      <c r="M1290">
        <f>'Raw Data'!O1290</f>
        <v>0</v>
      </c>
      <c r="N1290">
        <f>'Raw Data'!P1290</f>
        <v>0</v>
      </c>
      <c r="O1290">
        <f>'Raw Data'!Q1290</f>
        <v>0</v>
      </c>
      <c r="P1290">
        <f>'Raw Data'!R1290</f>
        <v>0</v>
      </c>
      <c r="Q1290">
        <f>'Raw Data'!S1290</f>
        <v>0</v>
      </c>
      <c r="R1290">
        <f>'Raw Data'!T1290</f>
        <v>0</v>
      </c>
      <c r="S1290">
        <f>IFERROR(O1290,0)+IFERROR(R1290,0)</f>
        <v>0</v>
      </c>
      <c r="T1290">
        <f>IF(A1290="","",YEAR(A1290))</f>
        <v>0</v>
      </c>
    </row>
    <row r="1291" spans="1:20">
      <c r="A1291">
        <f>'Raw Data'!B1291</f>
        <v>0</v>
      </c>
      <c r="B1291">
        <f>'Raw Data'!A1291</f>
        <v>0</v>
      </c>
      <c r="C1291">
        <f>'Raw Data'!C1291</f>
        <v>0</v>
      </c>
      <c r="D1291">
        <f>'Raw Data'!D1291</f>
        <v>0</v>
      </c>
      <c r="E1291">
        <f>IFERROR(VLOOKUP(D1291,'Lookup Tables'!$A:$B,2,FALSE),"Unknown")</f>
        <v>0</v>
      </c>
      <c r="F1291">
        <f>'Raw Data'!E1291</f>
        <v>0</v>
      </c>
      <c r="G1291">
        <f>IFERROR(VLOOKUP(D1291,'Lookup Tables'!$A:$C,3,FALSE),IF(ISNUMBER(SEARCH("STEEL",F1291)),"Steel","Others"))</f>
        <v>0</v>
      </c>
      <c r="H1291">
        <f>IF(ISNUMBER(SEARCH("scrubber",F1291)) , "Scrubber", IF(ISNUMBER(SEARCH("container",F1291)),"Container", IF(ISNUMBER(SEARCH("basket",F1291)),"Basket", IF(ISNUMBER(SEARCH("lunch",F1291)),"Lunch Box", IF(ISNUMBER(SEARCH("cutlery",F1291)),"Cutlery","Other")))))</f>
        <v>0</v>
      </c>
      <c r="I1291">
        <f>IF('Raw Data'!G1291&lt;&gt;'','Raw Data'!G1291,IFERROR(MID(F1291,SEARCH("MODEL",F1291)+6,20),""))</f>
        <v>0</v>
      </c>
      <c r="J1291">
        <f>'Raw Data'!H1291</f>
        <v>0</v>
      </c>
      <c r="K1291">
        <f>'Raw Data'!I1291</f>
        <v>0</v>
      </c>
      <c r="L1291">
        <f>IF('Raw Data'!N1291&lt;&gt;0,'Raw Data'!N1291,IFERROR(VALUE(MID(F1291,SEARCH("QTY",F1291)+4,IFERROR(FIND(" ",F1291,SEARCH("QTY",F1291)+4)-(SEARCH("QTY",F1291)+4),3))),""))</f>
        <v>0</v>
      </c>
      <c r="M1291">
        <f>'Raw Data'!O1291</f>
        <v>0</v>
      </c>
      <c r="N1291">
        <f>'Raw Data'!P1291</f>
        <v>0</v>
      </c>
      <c r="O1291">
        <f>'Raw Data'!Q1291</f>
        <v>0</v>
      </c>
      <c r="P1291">
        <f>'Raw Data'!R1291</f>
        <v>0</v>
      </c>
      <c r="Q1291">
        <f>'Raw Data'!S1291</f>
        <v>0</v>
      </c>
      <c r="R1291">
        <f>'Raw Data'!T1291</f>
        <v>0</v>
      </c>
      <c r="S1291">
        <f>IFERROR(O1291,0)+IFERROR(R1291,0)</f>
        <v>0</v>
      </c>
      <c r="T1291">
        <f>IF(A1291="","",YEAR(A1291))</f>
        <v>0</v>
      </c>
    </row>
    <row r="1292" spans="1:20">
      <c r="A1292">
        <f>'Raw Data'!B1292</f>
        <v>0</v>
      </c>
      <c r="B1292">
        <f>'Raw Data'!A1292</f>
        <v>0</v>
      </c>
      <c r="C1292">
        <f>'Raw Data'!C1292</f>
        <v>0</v>
      </c>
      <c r="D1292">
        <f>'Raw Data'!D1292</f>
        <v>0</v>
      </c>
      <c r="E1292">
        <f>IFERROR(VLOOKUP(D1292,'Lookup Tables'!$A:$B,2,FALSE),"Unknown")</f>
        <v>0</v>
      </c>
      <c r="F1292">
        <f>'Raw Data'!E1292</f>
        <v>0</v>
      </c>
      <c r="G1292">
        <f>IFERROR(VLOOKUP(D1292,'Lookup Tables'!$A:$C,3,FALSE),IF(ISNUMBER(SEARCH("STEEL",F1292)),"Steel","Others"))</f>
        <v>0</v>
      </c>
      <c r="H1292">
        <f>IF(ISNUMBER(SEARCH("scrubber",F1292)) , "Scrubber", IF(ISNUMBER(SEARCH("container",F1292)),"Container", IF(ISNUMBER(SEARCH("basket",F1292)),"Basket", IF(ISNUMBER(SEARCH("lunch",F1292)),"Lunch Box", IF(ISNUMBER(SEARCH("cutlery",F1292)),"Cutlery","Other")))))</f>
        <v>0</v>
      </c>
      <c r="I1292">
        <f>IF('Raw Data'!G1292&lt;&gt;'','Raw Data'!G1292,IFERROR(MID(F1292,SEARCH("MODEL",F1292)+6,20),""))</f>
        <v>0</v>
      </c>
      <c r="J1292">
        <f>'Raw Data'!H1292</f>
        <v>0</v>
      </c>
      <c r="K1292">
        <f>'Raw Data'!I1292</f>
        <v>0</v>
      </c>
      <c r="L1292">
        <f>IF('Raw Data'!N1292&lt;&gt;0,'Raw Data'!N1292,IFERROR(VALUE(MID(F1292,SEARCH("QTY",F1292)+4,IFERROR(FIND(" ",F1292,SEARCH("QTY",F1292)+4)-(SEARCH("QTY",F1292)+4),3))),""))</f>
        <v>0</v>
      </c>
      <c r="M1292">
        <f>'Raw Data'!O1292</f>
        <v>0</v>
      </c>
      <c r="N1292">
        <f>'Raw Data'!P1292</f>
        <v>0</v>
      </c>
      <c r="O1292">
        <f>'Raw Data'!Q1292</f>
        <v>0</v>
      </c>
      <c r="P1292">
        <f>'Raw Data'!R1292</f>
        <v>0</v>
      </c>
      <c r="Q1292">
        <f>'Raw Data'!S1292</f>
        <v>0</v>
      </c>
      <c r="R1292">
        <f>'Raw Data'!T1292</f>
        <v>0</v>
      </c>
      <c r="S1292">
        <f>IFERROR(O1292,0)+IFERROR(R1292,0)</f>
        <v>0</v>
      </c>
      <c r="T1292">
        <f>IF(A1292="","",YEAR(A1292))</f>
        <v>0</v>
      </c>
    </row>
    <row r="1293" spans="1:20">
      <c r="A1293">
        <f>'Raw Data'!B1293</f>
        <v>0</v>
      </c>
      <c r="B1293">
        <f>'Raw Data'!A1293</f>
        <v>0</v>
      </c>
      <c r="C1293">
        <f>'Raw Data'!C1293</f>
        <v>0</v>
      </c>
      <c r="D1293">
        <f>'Raw Data'!D1293</f>
        <v>0</v>
      </c>
      <c r="E1293">
        <f>IFERROR(VLOOKUP(D1293,'Lookup Tables'!$A:$B,2,FALSE),"Unknown")</f>
        <v>0</v>
      </c>
      <c r="F1293">
        <f>'Raw Data'!E1293</f>
        <v>0</v>
      </c>
      <c r="G1293">
        <f>IFERROR(VLOOKUP(D1293,'Lookup Tables'!$A:$C,3,FALSE),IF(ISNUMBER(SEARCH("STEEL",F1293)),"Steel","Others"))</f>
        <v>0</v>
      </c>
      <c r="H1293">
        <f>IF(ISNUMBER(SEARCH("scrubber",F1293)) , "Scrubber", IF(ISNUMBER(SEARCH("container",F1293)),"Container", IF(ISNUMBER(SEARCH("basket",F1293)),"Basket", IF(ISNUMBER(SEARCH("lunch",F1293)),"Lunch Box", IF(ISNUMBER(SEARCH("cutlery",F1293)),"Cutlery","Other")))))</f>
        <v>0</v>
      </c>
      <c r="I1293">
        <f>IF('Raw Data'!G1293&lt;&gt;'','Raw Data'!G1293,IFERROR(MID(F1293,SEARCH("MODEL",F1293)+6,20),""))</f>
        <v>0</v>
      </c>
      <c r="J1293">
        <f>'Raw Data'!H1293</f>
        <v>0</v>
      </c>
      <c r="K1293">
        <f>'Raw Data'!I1293</f>
        <v>0</v>
      </c>
      <c r="L1293">
        <f>IF('Raw Data'!N1293&lt;&gt;0,'Raw Data'!N1293,IFERROR(VALUE(MID(F1293,SEARCH("QTY",F1293)+4,IFERROR(FIND(" ",F1293,SEARCH("QTY",F1293)+4)-(SEARCH("QTY",F1293)+4),3))),""))</f>
        <v>0</v>
      </c>
      <c r="M1293">
        <f>'Raw Data'!O1293</f>
        <v>0</v>
      </c>
      <c r="N1293">
        <f>'Raw Data'!P1293</f>
        <v>0</v>
      </c>
      <c r="O1293">
        <f>'Raw Data'!Q1293</f>
        <v>0</v>
      </c>
      <c r="P1293">
        <f>'Raw Data'!R1293</f>
        <v>0</v>
      </c>
      <c r="Q1293">
        <f>'Raw Data'!S1293</f>
        <v>0</v>
      </c>
      <c r="R1293">
        <f>'Raw Data'!T1293</f>
        <v>0</v>
      </c>
      <c r="S1293">
        <f>IFERROR(O1293,0)+IFERROR(R1293,0)</f>
        <v>0</v>
      </c>
      <c r="T1293">
        <f>IF(A1293="","",YEAR(A1293))</f>
        <v>0</v>
      </c>
    </row>
    <row r="1294" spans="1:20">
      <c r="A1294">
        <f>'Raw Data'!B1294</f>
        <v>0</v>
      </c>
      <c r="B1294">
        <f>'Raw Data'!A1294</f>
        <v>0</v>
      </c>
      <c r="C1294">
        <f>'Raw Data'!C1294</f>
        <v>0</v>
      </c>
      <c r="D1294">
        <f>'Raw Data'!D1294</f>
        <v>0</v>
      </c>
      <c r="E1294">
        <f>IFERROR(VLOOKUP(D1294,'Lookup Tables'!$A:$B,2,FALSE),"Unknown")</f>
        <v>0</v>
      </c>
      <c r="F1294">
        <f>'Raw Data'!E1294</f>
        <v>0</v>
      </c>
      <c r="G1294">
        <f>IFERROR(VLOOKUP(D1294,'Lookup Tables'!$A:$C,3,FALSE),IF(ISNUMBER(SEARCH("STEEL",F1294)),"Steel","Others"))</f>
        <v>0</v>
      </c>
      <c r="H1294">
        <f>IF(ISNUMBER(SEARCH("scrubber",F1294)) , "Scrubber", IF(ISNUMBER(SEARCH("container",F1294)),"Container", IF(ISNUMBER(SEARCH("basket",F1294)),"Basket", IF(ISNUMBER(SEARCH("lunch",F1294)),"Lunch Box", IF(ISNUMBER(SEARCH("cutlery",F1294)),"Cutlery","Other")))))</f>
        <v>0</v>
      </c>
      <c r="I1294">
        <f>IF('Raw Data'!G1294&lt;&gt;'','Raw Data'!G1294,IFERROR(MID(F1294,SEARCH("MODEL",F1294)+6,20),""))</f>
        <v>0</v>
      </c>
      <c r="J1294">
        <f>'Raw Data'!H1294</f>
        <v>0</v>
      </c>
      <c r="K1294">
        <f>'Raw Data'!I1294</f>
        <v>0</v>
      </c>
      <c r="L1294">
        <f>IF('Raw Data'!N1294&lt;&gt;0,'Raw Data'!N1294,IFERROR(VALUE(MID(F1294,SEARCH("QTY",F1294)+4,IFERROR(FIND(" ",F1294,SEARCH("QTY",F1294)+4)-(SEARCH("QTY",F1294)+4),3))),""))</f>
        <v>0</v>
      </c>
      <c r="M1294">
        <f>'Raw Data'!O1294</f>
        <v>0</v>
      </c>
      <c r="N1294">
        <f>'Raw Data'!P1294</f>
        <v>0</v>
      </c>
      <c r="O1294">
        <f>'Raw Data'!Q1294</f>
        <v>0</v>
      </c>
      <c r="P1294">
        <f>'Raw Data'!R1294</f>
        <v>0</v>
      </c>
      <c r="Q1294">
        <f>'Raw Data'!S1294</f>
        <v>0</v>
      </c>
      <c r="R1294">
        <f>'Raw Data'!T1294</f>
        <v>0</v>
      </c>
      <c r="S1294">
        <f>IFERROR(O1294,0)+IFERROR(R1294,0)</f>
        <v>0</v>
      </c>
      <c r="T1294">
        <f>IF(A1294="","",YEAR(A1294))</f>
        <v>0</v>
      </c>
    </row>
    <row r="1295" spans="1:20">
      <c r="A1295">
        <f>'Raw Data'!B1295</f>
        <v>0</v>
      </c>
      <c r="B1295">
        <f>'Raw Data'!A1295</f>
        <v>0</v>
      </c>
      <c r="C1295">
        <f>'Raw Data'!C1295</f>
        <v>0</v>
      </c>
      <c r="D1295">
        <f>'Raw Data'!D1295</f>
        <v>0</v>
      </c>
      <c r="E1295">
        <f>IFERROR(VLOOKUP(D1295,'Lookup Tables'!$A:$B,2,FALSE),"Unknown")</f>
        <v>0</v>
      </c>
      <c r="F1295">
        <f>'Raw Data'!E1295</f>
        <v>0</v>
      </c>
      <c r="G1295">
        <f>IFERROR(VLOOKUP(D1295,'Lookup Tables'!$A:$C,3,FALSE),IF(ISNUMBER(SEARCH("STEEL",F1295)),"Steel","Others"))</f>
        <v>0</v>
      </c>
      <c r="H1295">
        <f>IF(ISNUMBER(SEARCH("scrubber",F1295)) , "Scrubber", IF(ISNUMBER(SEARCH("container",F1295)),"Container", IF(ISNUMBER(SEARCH("basket",F1295)),"Basket", IF(ISNUMBER(SEARCH("lunch",F1295)),"Lunch Box", IF(ISNUMBER(SEARCH("cutlery",F1295)),"Cutlery","Other")))))</f>
        <v>0</v>
      </c>
      <c r="I1295">
        <f>IF('Raw Data'!G1295&lt;&gt;'','Raw Data'!G1295,IFERROR(MID(F1295,SEARCH("MODEL",F1295)+6,20),""))</f>
        <v>0</v>
      </c>
      <c r="J1295">
        <f>'Raw Data'!H1295</f>
        <v>0</v>
      </c>
      <c r="K1295">
        <f>'Raw Data'!I1295</f>
        <v>0</v>
      </c>
      <c r="L1295">
        <f>IF('Raw Data'!N1295&lt;&gt;0,'Raw Data'!N1295,IFERROR(VALUE(MID(F1295,SEARCH("QTY",F1295)+4,IFERROR(FIND(" ",F1295,SEARCH("QTY",F1295)+4)-(SEARCH("QTY",F1295)+4),3))),""))</f>
        <v>0</v>
      </c>
      <c r="M1295">
        <f>'Raw Data'!O1295</f>
        <v>0</v>
      </c>
      <c r="N1295">
        <f>'Raw Data'!P1295</f>
        <v>0</v>
      </c>
      <c r="O1295">
        <f>'Raw Data'!Q1295</f>
        <v>0</v>
      </c>
      <c r="P1295">
        <f>'Raw Data'!R1295</f>
        <v>0</v>
      </c>
      <c r="Q1295">
        <f>'Raw Data'!S1295</f>
        <v>0</v>
      </c>
      <c r="R1295">
        <f>'Raw Data'!T1295</f>
        <v>0</v>
      </c>
      <c r="S1295">
        <f>IFERROR(O1295,0)+IFERROR(R1295,0)</f>
        <v>0</v>
      </c>
      <c r="T1295">
        <f>IF(A1295="","",YEAR(A1295))</f>
        <v>0</v>
      </c>
    </row>
    <row r="1296" spans="1:20">
      <c r="A1296">
        <f>'Raw Data'!B1296</f>
        <v>0</v>
      </c>
      <c r="B1296">
        <f>'Raw Data'!A1296</f>
        <v>0</v>
      </c>
      <c r="C1296">
        <f>'Raw Data'!C1296</f>
        <v>0</v>
      </c>
      <c r="D1296">
        <f>'Raw Data'!D1296</f>
        <v>0</v>
      </c>
      <c r="E1296">
        <f>IFERROR(VLOOKUP(D1296,'Lookup Tables'!$A:$B,2,FALSE),"Unknown")</f>
        <v>0</v>
      </c>
      <c r="F1296">
        <f>'Raw Data'!E1296</f>
        <v>0</v>
      </c>
      <c r="G1296">
        <f>IFERROR(VLOOKUP(D1296,'Lookup Tables'!$A:$C,3,FALSE),IF(ISNUMBER(SEARCH("STEEL",F1296)),"Steel","Others"))</f>
        <v>0</v>
      </c>
      <c r="H1296">
        <f>IF(ISNUMBER(SEARCH("scrubber",F1296)) , "Scrubber", IF(ISNUMBER(SEARCH("container",F1296)),"Container", IF(ISNUMBER(SEARCH("basket",F1296)),"Basket", IF(ISNUMBER(SEARCH("lunch",F1296)),"Lunch Box", IF(ISNUMBER(SEARCH("cutlery",F1296)),"Cutlery","Other")))))</f>
        <v>0</v>
      </c>
      <c r="I1296">
        <f>IF('Raw Data'!G1296&lt;&gt;'','Raw Data'!G1296,IFERROR(MID(F1296,SEARCH("MODEL",F1296)+6,20),""))</f>
        <v>0</v>
      </c>
      <c r="J1296">
        <f>'Raw Data'!H1296</f>
        <v>0</v>
      </c>
      <c r="K1296">
        <f>'Raw Data'!I1296</f>
        <v>0</v>
      </c>
      <c r="L1296">
        <f>IF('Raw Data'!N1296&lt;&gt;0,'Raw Data'!N1296,IFERROR(VALUE(MID(F1296,SEARCH("QTY",F1296)+4,IFERROR(FIND(" ",F1296,SEARCH("QTY",F1296)+4)-(SEARCH("QTY",F1296)+4),3))),""))</f>
        <v>0</v>
      </c>
      <c r="M1296">
        <f>'Raw Data'!O1296</f>
        <v>0</v>
      </c>
      <c r="N1296">
        <f>'Raw Data'!P1296</f>
        <v>0</v>
      </c>
      <c r="O1296">
        <f>'Raw Data'!Q1296</f>
        <v>0</v>
      </c>
      <c r="P1296">
        <f>'Raw Data'!R1296</f>
        <v>0</v>
      </c>
      <c r="Q1296">
        <f>'Raw Data'!S1296</f>
        <v>0</v>
      </c>
      <c r="R1296">
        <f>'Raw Data'!T1296</f>
        <v>0</v>
      </c>
      <c r="S1296">
        <f>IFERROR(O1296,0)+IFERROR(R1296,0)</f>
        <v>0</v>
      </c>
      <c r="T1296">
        <f>IF(A1296="","",YEAR(A1296))</f>
        <v>0</v>
      </c>
    </row>
    <row r="1297" spans="1:20">
      <c r="A1297">
        <f>'Raw Data'!B1297</f>
        <v>0</v>
      </c>
      <c r="B1297">
        <f>'Raw Data'!A1297</f>
        <v>0</v>
      </c>
      <c r="C1297">
        <f>'Raw Data'!C1297</f>
        <v>0</v>
      </c>
      <c r="D1297">
        <f>'Raw Data'!D1297</f>
        <v>0</v>
      </c>
      <c r="E1297">
        <f>IFERROR(VLOOKUP(D1297,'Lookup Tables'!$A:$B,2,FALSE),"Unknown")</f>
        <v>0</v>
      </c>
      <c r="F1297">
        <f>'Raw Data'!E1297</f>
        <v>0</v>
      </c>
      <c r="G1297">
        <f>IFERROR(VLOOKUP(D1297,'Lookup Tables'!$A:$C,3,FALSE),IF(ISNUMBER(SEARCH("STEEL",F1297)),"Steel","Others"))</f>
        <v>0</v>
      </c>
      <c r="H1297">
        <f>IF(ISNUMBER(SEARCH("scrubber",F1297)) , "Scrubber", IF(ISNUMBER(SEARCH("container",F1297)),"Container", IF(ISNUMBER(SEARCH("basket",F1297)),"Basket", IF(ISNUMBER(SEARCH("lunch",F1297)),"Lunch Box", IF(ISNUMBER(SEARCH("cutlery",F1297)),"Cutlery","Other")))))</f>
        <v>0</v>
      </c>
      <c r="I1297">
        <f>IF('Raw Data'!G1297&lt;&gt;'','Raw Data'!G1297,IFERROR(MID(F1297,SEARCH("MODEL",F1297)+6,20),""))</f>
        <v>0</v>
      </c>
      <c r="J1297">
        <f>'Raw Data'!H1297</f>
        <v>0</v>
      </c>
      <c r="K1297">
        <f>'Raw Data'!I1297</f>
        <v>0</v>
      </c>
      <c r="L1297">
        <f>IF('Raw Data'!N1297&lt;&gt;0,'Raw Data'!N1297,IFERROR(VALUE(MID(F1297,SEARCH("QTY",F1297)+4,IFERROR(FIND(" ",F1297,SEARCH("QTY",F1297)+4)-(SEARCH("QTY",F1297)+4),3))),""))</f>
        <v>0</v>
      </c>
      <c r="M1297">
        <f>'Raw Data'!O1297</f>
        <v>0</v>
      </c>
      <c r="N1297">
        <f>'Raw Data'!P1297</f>
        <v>0</v>
      </c>
      <c r="O1297">
        <f>'Raw Data'!Q1297</f>
        <v>0</v>
      </c>
      <c r="P1297">
        <f>'Raw Data'!R1297</f>
        <v>0</v>
      </c>
      <c r="Q1297">
        <f>'Raw Data'!S1297</f>
        <v>0</v>
      </c>
      <c r="R1297">
        <f>'Raw Data'!T1297</f>
        <v>0</v>
      </c>
      <c r="S1297">
        <f>IFERROR(O1297,0)+IFERROR(R1297,0)</f>
        <v>0</v>
      </c>
      <c r="T1297">
        <f>IF(A1297="","",YEAR(A1297))</f>
        <v>0</v>
      </c>
    </row>
    <row r="1298" spans="1:20">
      <c r="A1298">
        <f>'Raw Data'!B1298</f>
        <v>0</v>
      </c>
      <c r="B1298">
        <f>'Raw Data'!A1298</f>
        <v>0</v>
      </c>
      <c r="C1298">
        <f>'Raw Data'!C1298</f>
        <v>0</v>
      </c>
      <c r="D1298">
        <f>'Raw Data'!D1298</f>
        <v>0</v>
      </c>
      <c r="E1298">
        <f>IFERROR(VLOOKUP(D1298,'Lookup Tables'!$A:$B,2,FALSE),"Unknown")</f>
        <v>0</v>
      </c>
      <c r="F1298">
        <f>'Raw Data'!E1298</f>
        <v>0</v>
      </c>
      <c r="G1298">
        <f>IFERROR(VLOOKUP(D1298,'Lookup Tables'!$A:$C,3,FALSE),IF(ISNUMBER(SEARCH("STEEL",F1298)),"Steel","Others"))</f>
        <v>0</v>
      </c>
      <c r="H1298">
        <f>IF(ISNUMBER(SEARCH("scrubber",F1298)) , "Scrubber", IF(ISNUMBER(SEARCH("container",F1298)),"Container", IF(ISNUMBER(SEARCH("basket",F1298)),"Basket", IF(ISNUMBER(SEARCH("lunch",F1298)),"Lunch Box", IF(ISNUMBER(SEARCH("cutlery",F1298)),"Cutlery","Other")))))</f>
        <v>0</v>
      </c>
      <c r="I1298">
        <f>IF('Raw Data'!G1298&lt;&gt;'','Raw Data'!G1298,IFERROR(MID(F1298,SEARCH("MODEL",F1298)+6,20),""))</f>
        <v>0</v>
      </c>
      <c r="J1298">
        <f>'Raw Data'!H1298</f>
        <v>0</v>
      </c>
      <c r="K1298">
        <f>'Raw Data'!I1298</f>
        <v>0</v>
      </c>
      <c r="L1298">
        <f>IF('Raw Data'!N1298&lt;&gt;0,'Raw Data'!N1298,IFERROR(VALUE(MID(F1298,SEARCH("QTY",F1298)+4,IFERROR(FIND(" ",F1298,SEARCH("QTY",F1298)+4)-(SEARCH("QTY",F1298)+4),3))),""))</f>
        <v>0</v>
      </c>
      <c r="M1298">
        <f>'Raw Data'!O1298</f>
        <v>0</v>
      </c>
      <c r="N1298">
        <f>'Raw Data'!P1298</f>
        <v>0</v>
      </c>
      <c r="O1298">
        <f>'Raw Data'!Q1298</f>
        <v>0</v>
      </c>
      <c r="P1298">
        <f>'Raw Data'!R1298</f>
        <v>0</v>
      </c>
      <c r="Q1298">
        <f>'Raw Data'!S1298</f>
        <v>0</v>
      </c>
      <c r="R1298">
        <f>'Raw Data'!T1298</f>
        <v>0</v>
      </c>
      <c r="S1298">
        <f>IFERROR(O1298,0)+IFERROR(R1298,0)</f>
        <v>0</v>
      </c>
      <c r="T1298">
        <f>IF(A1298="","",YEAR(A1298))</f>
        <v>0</v>
      </c>
    </row>
    <row r="1299" spans="1:20">
      <c r="A1299">
        <f>'Raw Data'!B1299</f>
        <v>0</v>
      </c>
      <c r="B1299">
        <f>'Raw Data'!A1299</f>
        <v>0</v>
      </c>
      <c r="C1299">
        <f>'Raw Data'!C1299</f>
        <v>0</v>
      </c>
      <c r="D1299">
        <f>'Raw Data'!D1299</f>
        <v>0</v>
      </c>
      <c r="E1299">
        <f>IFERROR(VLOOKUP(D1299,'Lookup Tables'!$A:$B,2,FALSE),"Unknown")</f>
        <v>0</v>
      </c>
      <c r="F1299">
        <f>'Raw Data'!E1299</f>
        <v>0</v>
      </c>
      <c r="G1299">
        <f>IFERROR(VLOOKUP(D1299,'Lookup Tables'!$A:$C,3,FALSE),IF(ISNUMBER(SEARCH("STEEL",F1299)),"Steel","Others"))</f>
        <v>0</v>
      </c>
      <c r="H1299">
        <f>IF(ISNUMBER(SEARCH("scrubber",F1299)) , "Scrubber", IF(ISNUMBER(SEARCH("container",F1299)),"Container", IF(ISNUMBER(SEARCH("basket",F1299)),"Basket", IF(ISNUMBER(SEARCH("lunch",F1299)),"Lunch Box", IF(ISNUMBER(SEARCH("cutlery",F1299)),"Cutlery","Other")))))</f>
        <v>0</v>
      </c>
      <c r="I1299">
        <f>IF('Raw Data'!G1299&lt;&gt;'','Raw Data'!G1299,IFERROR(MID(F1299,SEARCH("MODEL",F1299)+6,20),""))</f>
        <v>0</v>
      </c>
      <c r="J1299">
        <f>'Raw Data'!H1299</f>
        <v>0</v>
      </c>
      <c r="K1299">
        <f>'Raw Data'!I1299</f>
        <v>0</v>
      </c>
      <c r="L1299">
        <f>IF('Raw Data'!N1299&lt;&gt;0,'Raw Data'!N1299,IFERROR(VALUE(MID(F1299,SEARCH("QTY",F1299)+4,IFERROR(FIND(" ",F1299,SEARCH("QTY",F1299)+4)-(SEARCH("QTY",F1299)+4),3))),""))</f>
        <v>0</v>
      </c>
      <c r="M1299">
        <f>'Raw Data'!O1299</f>
        <v>0</v>
      </c>
      <c r="N1299">
        <f>'Raw Data'!P1299</f>
        <v>0</v>
      </c>
      <c r="O1299">
        <f>'Raw Data'!Q1299</f>
        <v>0</v>
      </c>
      <c r="P1299">
        <f>'Raw Data'!R1299</f>
        <v>0</v>
      </c>
      <c r="Q1299">
        <f>'Raw Data'!S1299</f>
        <v>0</v>
      </c>
      <c r="R1299">
        <f>'Raw Data'!T1299</f>
        <v>0</v>
      </c>
      <c r="S1299">
        <f>IFERROR(O1299,0)+IFERROR(R1299,0)</f>
        <v>0</v>
      </c>
      <c r="T1299">
        <f>IF(A1299="","",YEAR(A1299))</f>
        <v>0</v>
      </c>
    </row>
    <row r="1300" spans="1:20">
      <c r="A1300">
        <f>'Raw Data'!B1300</f>
        <v>0</v>
      </c>
      <c r="B1300">
        <f>'Raw Data'!A1300</f>
        <v>0</v>
      </c>
      <c r="C1300">
        <f>'Raw Data'!C1300</f>
        <v>0</v>
      </c>
      <c r="D1300">
        <f>'Raw Data'!D1300</f>
        <v>0</v>
      </c>
      <c r="E1300">
        <f>IFERROR(VLOOKUP(D1300,'Lookup Tables'!$A:$B,2,FALSE),"Unknown")</f>
        <v>0</v>
      </c>
      <c r="F1300">
        <f>'Raw Data'!E1300</f>
        <v>0</v>
      </c>
      <c r="G1300">
        <f>IFERROR(VLOOKUP(D1300,'Lookup Tables'!$A:$C,3,FALSE),IF(ISNUMBER(SEARCH("STEEL",F1300)),"Steel","Others"))</f>
        <v>0</v>
      </c>
      <c r="H1300">
        <f>IF(ISNUMBER(SEARCH("scrubber",F1300)) , "Scrubber", IF(ISNUMBER(SEARCH("container",F1300)),"Container", IF(ISNUMBER(SEARCH("basket",F1300)),"Basket", IF(ISNUMBER(SEARCH("lunch",F1300)),"Lunch Box", IF(ISNUMBER(SEARCH("cutlery",F1300)),"Cutlery","Other")))))</f>
        <v>0</v>
      </c>
      <c r="I1300">
        <f>IF('Raw Data'!G1300&lt;&gt;'','Raw Data'!G1300,IFERROR(MID(F1300,SEARCH("MODEL",F1300)+6,20),""))</f>
        <v>0</v>
      </c>
      <c r="J1300">
        <f>'Raw Data'!H1300</f>
        <v>0</v>
      </c>
      <c r="K1300">
        <f>'Raw Data'!I1300</f>
        <v>0</v>
      </c>
      <c r="L1300">
        <f>IF('Raw Data'!N1300&lt;&gt;0,'Raw Data'!N1300,IFERROR(VALUE(MID(F1300,SEARCH("QTY",F1300)+4,IFERROR(FIND(" ",F1300,SEARCH("QTY",F1300)+4)-(SEARCH("QTY",F1300)+4),3))),""))</f>
        <v>0</v>
      </c>
      <c r="M1300">
        <f>'Raw Data'!O1300</f>
        <v>0</v>
      </c>
      <c r="N1300">
        <f>'Raw Data'!P1300</f>
        <v>0</v>
      </c>
      <c r="O1300">
        <f>'Raw Data'!Q1300</f>
        <v>0</v>
      </c>
      <c r="P1300">
        <f>'Raw Data'!R1300</f>
        <v>0</v>
      </c>
      <c r="Q1300">
        <f>'Raw Data'!S1300</f>
        <v>0</v>
      </c>
      <c r="R1300">
        <f>'Raw Data'!T1300</f>
        <v>0</v>
      </c>
      <c r="S1300">
        <f>IFERROR(O1300,0)+IFERROR(R1300,0)</f>
        <v>0</v>
      </c>
      <c r="T1300">
        <f>IF(A1300="","",YEAR(A1300))</f>
        <v>0</v>
      </c>
    </row>
    <row r="1301" spans="1:20">
      <c r="A1301">
        <f>'Raw Data'!B1301</f>
        <v>0</v>
      </c>
      <c r="B1301">
        <f>'Raw Data'!A1301</f>
        <v>0</v>
      </c>
      <c r="C1301">
        <f>'Raw Data'!C1301</f>
        <v>0</v>
      </c>
      <c r="D1301">
        <f>'Raw Data'!D1301</f>
        <v>0</v>
      </c>
      <c r="E1301">
        <f>IFERROR(VLOOKUP(D1301,'Lookup Tables'!$A:$B,2,FALSE),"Unknown")</f>
        <v>0</v>
      </c>
      <c r="F1301">
        <f>'Raw Data'!E1301</f>
        <v>0</v>
      </c>
      <c r="G1301">
        <f>IFERROR(VLOOKUP(D1301,'Lookup Tables'!$A:$C,3,FALSE),IF(ISNUMBER(SEARCH("STEEL",F1301)),"Steel","Others"))</f>
        <v>0</v>
      </c>
      <c r="H1301">
        <f>IF(ISNUMBER(SEARCH("scrubber",F1301)) , "Scrubber", IF(ISNUMBER(SEARCH("container",F1301)),"Container", IF(ISNUMBER(SEARCH("basket",F1301)),"Basket", IF(ISNUMBER(SEARCH("lunch",F1301)),"Lunch Box", IF(ISNUMBER(SEARCH("cutlery",F1301)),"Cutlery","Other")))))</f>
        <v>0</v>
      </c>
      <c r="I1301">
        <f>IF('Raw Data'!G1301&lt;&gt;'','Raw Data'!G1301,IFERROR(MID(F1301,SEARCH("MODEL",F1301)+6,20),""))</f>
        <v>0</v>
      </c>
      <c r="J1301">
        <f>'Raw Data'!H1301</f>
        <v>0</v>
      </c>
      <c r="K1301">
        <f>'Raw Data'!I1301</f>
        <v>0</v>
      </c>
      <c r="L1301">
        <f>IF('Raw Data'!N1301&lt;&gt;0,'Raw Data'!N1301,IFERROR(VALUE(MID(F1301,SEARCH("QTY",F1301)+4,IFERROR(FIND(" ",F1301,SEARCH("QTY",F1301)+4)-(SEARCH("QTY",F1301)+4),3))),""))</f>
        <v>0</v>
      </c>
      <c r="M1301">
        <f>'Raw Data'!O1301</f>
        <v>0</v>
      </c>
      <c r="N1301">
        <f>'Raw Data'!P1301</f>
        <v>0</v>
      </c>
      <c r="O1301">
        <f>'Raw Data'!Q1301</f>
        <v>0</v>
      </c>
      <c r="P1301">
        <f>'Raw Data'!R1301</f>
        <v>0</v>
      </c>
      <c r="Q1301">
        <f>'Raw Data'!S1301</f>
        <v>0</v>
      </c>
      <c r="R1301">
        <f>'Raw Data'!T1301</f>
        <v>0</v>
      </c>
      <c r="S1301">
        <f>IFERROR(O1301,0)+IFERROR(R1301,0)</f>
        <v>0</v>
      </c>
      <c r="T1301">
        <f>IF(A1301="","",YEAR(A1301))</f>
        <v>0</v>
      </c>
    </row>
    <row r="1302" spans="1:20">
      <c r="A1302">
        <f>'Raw Data'!B1302</f>
        <v>0</v>
      </c>
      <c r="B1302">
        <f>'Raw Data'!A1302</f>
        <v>0</v>
      </c>
      <c r="C1302">
        <f>'Raw Data'!C1302</f>
        <v>0</v>
      </c>
      <c r="D1302">
        <f>'Raw Data'!D1302</f>
        <v>0</v>
      </c>
      <c r="E1302">
        <f>IFERROR(VLOOKUP(D1302,'Lookup Tables'!$A:$B,2,FALSE),"Unknown")</f>
        <v>0</v>
      </c>
      <c r="F1302">
        <f>'Raw Data'!E1302</f>
        <v>0</v>
      </c>
      <c r="G1302">
        <f>IFERROR(VLOOKUP(D1302,'Lookup Tables'!$A:$C,3,FALSE),IF(ISNUMBER(SEARCH("STEEL",F1302)),"Steel","Others"))</f>
        <v>0</v>
      </c>
      <c r="H1302">
        <f>IF(ISNUMBER(SEARCH("scrubber",F1302)) , "Scrubber", IF(ISNUMBER(SEARCH("container",F1302)),"Container", IF(ISNUMBER(SEARCH("basket",F1302)),"Basket", IF(ISNUMBER(SEARCH("lunch",F1302)),"Lunch Box", IF(ISNUMBER(SEARCH("cutlery",F1302)),"Cutlery","Other")))))</f>
        <v>0</v>
      </c>
      <c r="I1302">
        <f>IF('Raw Data'!G1302&lt;&gt;'','Raw Data'!G1302,IFERROR(MID(F1302,SEARCH("MODEL",F1302)+6,20),""))</f>
        <v>0</v>
      </c>
      <c r="J1302">
        <f>'Raw Data'!H1302</f>
        <v>0</v>
      </c>
      <c r="K1302">
        <f>'Raw Data'!I1302</f>
        <v>0</v>
      </c>
      <c r="L1302">
        <f>IF('Raw Data'!N1302&lt;&gt;0,'Raw Data'!N1302,IFERROR(VALUE(MID(F1302,SEARCH("QTY",F1302)+4,IFERROR(FIND(" ",F1302,SEARCH("QTY",F1302)+4)-(SEARCH("QTY",F1302)+4),3))),""))</f>
        <v>0</v>
      </c>
      <c r="M1302">
        <f>'Raw Data'!O1302</f>
        <v>0</v>
      </c>
      <c r="N1302">
        <f>'Raw Data'!P1302</f>
        <v>0</v>
      </c>
      <c r="O1302">
        <f>'Raw Data'!Q1302</f>
        <v>0</v>
      </c>
      <c r="P1302">
        <f>'Raw Data'!R1302</f>
        <v>0</v>
      </c>
      <c r="Q1302">
        <f>'Raw Data'!S1302</f>
        <v>0</v>
      </c>
      <c r="R1302">
        <f>'Raw Data'!T1302</f>
        <v>0</v>
      </c>
      <c r="S1302">
        <f>IFERROR(O1302,0)+IFERROR(R1302,0)</f>
        <v>0</v>
      </c>
      <c r="T1302">
        <f>IF(A1302="","",YEAR(A1302))</f>
        <v>0</v>
      </c>
    </row>
    <row r="1303" spans="1:20">
      <c r="A1303">
        <f>'Raw Data'!B1303</f>
        <v>0</v>
      </c>
      <c r="B1303">
        <f>'Raw Data'!A1303</f>
        <v>0</v>
      </c>
      <c r="C1303">
        <f>'Raw Data'!C1303</f>
        <v>0</v>
      </c>
      <c r="D1303">
        <f>'Raw Data'!D1303</f>
        <v>0</v>
      </c>
      <c r="E1303">
        <f>IFERROR(VLOOKUP(D1303,'Lookup Tables'!$A:$B,2,FALSE),"Unknown")</f>
        <v>0</v>
      </c>
      <c r="F1303">
        <f>'Raw Data'!E1303</f>
        <v>0</v>
      </c>
      <c r="G1303">
        <f>IFERROR(VLOOKUP(D1303,'Lookup Tables'!$A:$C,3,FALSE),IF(ISNUMBER(SEARCH("STEEL",F1303)),"Steel","Others"))</f>
        <v>0</v>
      </c>
      <c r="H1303">
        <f>IF(ISNUMBER(SEARCH("scrubber",F1303)) , "Scrubber", IF(ISNUMBER(SEARCH("container",F1303)),"Container", IF(ISNUMBER(SEARCH("basket",F1303)),"Basket", IF(ISNUMBER(SEARCH("lunch",F1303)),"Lunch Box", IF(ISNUMBER(SEARCH("cutlery",F1303)),"Cutlery","Other")))))</f>
        <v>0</v>
      </c>
      <c r="I1303">
        <f>IF('Raw Data'!G1303&lt;&gt;'','Raw Data'!G1303,IFERROR(MID(F1303,SEARCH("MODEL",F1303)+6,20),""))</f>
        <v>0</v>
      </c>
      <c r="J1303">
        <f>'Raw Data'!H1303</f>
        <v>0</v>
      </c>
      <c r="K1303">
        <f>'Raw Data'!I1303</f>
        <v>0</v>
      </c>
      <c r="L1303">
        <f>IF('Raw Data'!N1303&lt;&gt;0,'Raw Data'!N1303,IFERROR(VALUE(MID(F1303,SEARCH("QTY",F1303)+4,IFERROR(FIND(" ",F1303,SEARCH("QTY",F1303)+4)-(SEARCH("QTY",F1303)+4),3))),""))</f>
        <v>0</v>
      </c>
      <c r="M1303">
        <f>'Raw Data'!O1303</f>
        <v>0</v>
      </c>
      <c r="N1303">
        <f>'Raw Data'!P1303</f>
        <v>0</v>
      </c>
      <c r="O1303">
        <f>'Raw Data'!Q1303</f>
        <v>0</v>
      </c>
      <c r="P1303">
        <f>'Raw Data'!R1303</f>
        <v>0</v>
      </c>
      <c r="Q1303">
        <f>'Raw Data'!S1303</f>
        <v>0</v>
      </c>
      <c r="R1303">
        <f>'Raw Data'!T1303</f>
        <v>0</v>
      </c>
      <c r="S1303">
        <f>IFERROR(O1303,0)+IFERROR(R1303,0)</f>
        <v>0</v>
      </c>
      <c r="T1303">
        <f>IF(A1303="","",YEAR(A1303))</f>
        <v>0</v>
      </c>
    </row>
    <row r="1304" spans="1:20">
      <c r="A1304">
        <f>'Raw Data'!B1304</f>
        <v>0</v>
      </c>
      <c r="B1304">
        <f>'Raw Data'!A1304</f>
        <v>0</v>
      </c>
      <c r="C1304">
        <f>'Raw Data'!C1304</f>
        <v>0</v>
      </c>
      <c r="D1304">
        <f>'Raw Data'!D1304</f>
        <v>0</v>
      </c>
      <c r="E1304">
        <f>IFERROR(VLOOKUP(D1304,'Lookup Tables'!$A:$B,2,FALSE),"Unknown")</f>
        <v>0</v>
      </c>
      <c r="F1304">
        <f>'Raw Data'!E1304</f>
        <v>0</v>
      </c>
      <c r="G1304">
        <f>IFERROR(VLOOKUP(D1304,'Lookup Tables'!$A:$C,3,FALSE),IF(ISNUMBER(SEARCH("STEEL",F1304)),"Steel","Others"))</f>
        <v>0</v>
      </c>
      <c r="H1304">
        <f>IF(ISNUMBER(SEARCH("scrubber",F1304)) , "Scrubber", IF(ISNUMBER(SEARCH("container",F1304)),"Container", IF(ISNUMBER(SEARCH("basket",F1304)),"Basket", IF(ISNUMBER(SEARCH("lunch",F1304)),"Lunch Box", IF(ISNUMBER(SEARCH("cutlery",F1304)),"Cutlery","Other")))))</f>
        <v>0</v>
      </c>
      <c r="I1304">
        <f>IF('Raw Data'!G1304&lt;&gt;'','Raw Data'!G1304,IFERROR(MID(F1304,SEARCH("MODEL",F1304)+6,20),""))</f>
        <v>0</v>
      </c>
      <c r="J1304">
        <f>'Raw Data'!H1304</f>
        <v>0</v>
      </c>
      <c r="K1304">
        <f>'Raw Data'!I1304</f>
        <v>0</v>
      </c>
      <c r="L1304">
        <f>IF('Raw Data'!N1304&lt;&gt;0,'Raw Data'!N1304,IFERROR(VALUE(MID(F1304,SEARCH("QTY",F1304)+4,IFERROR(FIND(" ",F1304,SEARCH("QTY",F1304)+4)-(SEARCH("QTY",F1304)+4),3))),""))</f>
        <v>0</v>
      </c>
      <c r="M1304">
        <f>'Raw Data'!O1304</f>
        <v>0</v>
      </c>
      <c r="N1304">
        <f>'Raw Data'!P1304</f>
        <v>0</v>
      </c>
      <c r="O1304">
        <f>'Raw Data'!Q1304</f>
        <v>0</v>
      </c>
      <c r="P1304">
        <f>'Raw Data'!R1304</f>
        <v>0</v>
      </c>
      <c r="Q1304">
        <f>'Raw Data'!S1304</f>
        <v>0</v>
      </c>
      <c r="R1304">
        <f>'Raw Data'!T1304</f>
        <v>0</v>
      </c>
      <c r="S1304">
        <f>IFERROR(O1304,0)+IFERROR(R1304,0)</f>
        <v>0</v>
      </c>
      <c r="T1304">
        <f>IF(A1304="","",YEAR(A1304))</f>
        <v>0</v>
      </c>
    </row>
    <row r="1305" spans="1:20">
      <c r="A1305">
        <f>'Raw Data'!B1305</f>
        <v>0</v>
      </c>
      <c r="B1305">
        <f>'Raw Data'!A1305</f>
        <v>0</v>
      </c>
      <c r="C1305">
        <f>'Raw Data'!C1305</f>
        <v>0</v>
      </c>
      <c r="D1305">
        <f>'Raw Data'!D1305</f>
        <v>0</v>
      </c>
      <c r="E1305">
        <f>IFERROR(VLOOKUP(D1305,'Lookup Tables'!$A:$B,2,FALSE),"Unknown")</f>
        <v>0</v>
      </c>
      <c r="F1305">
        <f>'Raw Data'!E1305</f>
        <v>0</v>
      </c>
      <c r="G1305">
        <f>IFERROR(VLOOKUP(D1305,'Lookup Tables'!$A:$C,3,FALSE),IF(ISNUMBER(SEARCH("STEEL",F1305)),"Steel","Others"))</f>
        <v>0</v>
      </c>
      <c r="H1305">
        <f>IF(ISNUMBER(SEARCH("scrubber",F1305)) , "Scrubber", IF(ISNUMBER(SEARCH("container",F1305)),"Container", IF(ISNUMBER(SEARCH("basket",F1305)),"Basket", IF(ISNUMBER(SEARCH("lunch",F1305)),"Lunch Box", IF(ISNUMBER(SEARCH("cutlery",F1305)),"Cutlery","Other")))))</f>
        <v>0</v>
      </c>
      <c r="I1305">
        <f>IF('Raw Data'!G1305&lt;&gt;'','Raw Data'!G1305,IFERROR(MID(F1305,SEARCH("MODEL",F1305)+6,20),""))</f>
        <v>0</v>
      </c>
      <c r="J1305">
        <f>'Raw Data'!H1305</f>
        <v>0</v>
      </c>
      <c r="K1305">
        <f>'Raw Data'!I1305</f>
        <v>0</v>
      </c>
      <c r="L1305">
        <f>IF('Raw Data'!N1305&lt;&gt;0,'Raw Data'!N1305,IFERROR(VALUE(MID(F1305,SEARCH("QTY",F1305)+4,IFERROR(FIND(" ",F1305,SEARCH("QTY",F1305)+4)-(SEARCH("QTY",F1305)+4),3))),""))</f>
        <v>0</v>
      </c>
      <c r="M1305">
        <f>'Raw Data'!O1305</f>
        <v>0</v>
      </c>
      <c r="N1305">
        <f>'Raw Data'!P1305</f>
        <v>0</v>
      </c>
      <c r="O1305">
        <f>'Raw Data'!Q1305</f>
        <v>0</v>
      </c>
      <c r="P1305">
        <f>'Raw Data'!R1305</f>
        <v>0</v>
      </c>
      <c r="Q1305">
        <f>'Raw Data'!S1305</f>
        <v>0</v>
      </c>
      <c r="R1305">
        <f>'Raw Data'!T1305</f>
        <v>0</v>
      </c>
      <c r="S1305">
        <f>IFERROR(O1305,0)+IFERROR(R1305,0)</f>
        <v>0</v>
      </c>
      <c r="T1305">
        <f>IF(A1305="","",YEAR(A1305))</f>
        <v>0</v>
      </c>
    </row>
    <row r="1306" spans="1:20">
      <c r="A1306">
        <f>'Raw Data'!B1306</f>
        <v>0</v>
      </c>
      <c r="B1306">
        <f>'Raw Data'!A1306</f>
        <v>0</v>
      </c>
      <c r="C1306">
        <f>'Raw Data'!C1306</f>
        <v>0</v>
      </c>
      <c r="D1306">
        <f>'Raw Data'!D1306</f>
        <v>0</v>
      </c>
      <c r="E1306">
        <f>IFERROR(VLOOKUP(D1306,'Lookup Tables'!$A:$B,2,FALSE),"Unknown")</f>
        <v>0</v>
      </c>
      <c r="F1306">
        <f>'Raw Data'!E1306</f>
        <v>0</v>
      </c>
      <c r="G1306">
        <f>IFERROR(VLOOKUP(D1306,'Lookup Tables'!$A:$C,3,FALSE),IF(ISNUMBER(SEARCH("STEEL",F1306)),"Steel","Others"))</f>
        <v>0</v>
      </c>
      <c r="H1306">
        <f>IF(ISNUMBER(SEARCH("scrubber",F1306)) , "Scrubber", IF(ISNUMBER(SEARCH("container",F1306)),"Container", IF(ISNUMBER(SEARCH("basket",F1306)),"Basket", IF(ISNUMBER(SEARCH("lunch",F1306)),"Lunch Box", IF(ISNUMBER(SEARCH("cutlery",F1306)),"Cutlery","Other")))))</f>
        <v>0</v>
      </c>
      <c r="I1306">
        <f>IF('Raw Data'!G1306&lt;&gt;'','Raw Data'!G1306,IFERROR(MID(F1306,SEARCH("MODEL",F1306)+6,20),""))</f>
        <v>0</v>
      </c>
      <c r="J1306">
        <f>'Raw Data'!H1306</f>
        <v>0</v>
      </c>
      <c r="K1306">
        <f>'Raw Data'!I1306</f>
        <v>0</v>
      </c>
      <c r="L1306">
        <f>IF('Raw Data'!N1306&lt;&gt;0,'Raw Data'!N1306,IFERROR(VALUE(MID(F1306,SEARCH("QTY",F1306)+4,IFERROR(FIND(" ",F1306,SEARCH("QTY",F1306)+4)-(SEARCH("QTY",F1306)+4),3))),""))</f>
        <v>0</v>
      </c>
      <c r="M1306">
        <f>'Raw Data'!O1306</f>
        <v>0</v>
      </c>
      <c r="N1306">
        <f>'Raw Data'!P1306</f>
        <v>0</v>
      </c>
      <c r="O1306">
        <f>'Raw Data'!Q1306</f>
        <v>0</v>
      </c>
      <c r="P1306">
        <f>'Raw Data'!R1306</f>
        <v>0</v>
      </c>
      <c r="Q1306">
        <f>'Raw Data'!S1306</f>
        <v>0</v>
      </c>
      <c r="R1306">
        <f>'Raw Data'!T1306</f>
        <v>0</v>
      </c>
      <c r="S1306">
        <f>IFERROR(O1306,0)+IFERROR(R1306,0)</f>
        <v>0</v>
      </c>
      <c r="T1306">
        <f>IF(A1306="","",YEAR(A1306))</f>
        <v>0</v>
      </c>
    </row>
    <row r="1307" spans="1:20">
      <c r="A1307">
        <f>'Raw Data'!B1307</f>
        <v>0</v>
      </c>
      <c r="B1307">
        <f>'Raw Data'!A1307</f>
        <v>0</v>
      </c>
      <c r="C1307">
        <f>'Raw Data'!C1307</f>
        <v>0</v>
      </c>
      <c r="D1307">
        <f>'Raw Data'!D1307</f>
        <v>0</v>
      </c>
      <c r="E1307">
        <f>IFERROR(VLOOKUP(D1307,'Lookup Tables'!$A:$B,2,FALSE),"Unknown")</f>
        <v>0</v>
      </c>
      <c r="F1307">
        <f>'Raw Data'!E1307</f>
        <v>0</v>
      </c>
      <c r="G1307">
        <f>IFERROR(VLOOKUP(D1307,'Lookup Tables'!$A:$C,3,FALSE),IF(ISNUMBER(SEARCH("STEEL",F1307)),"Steel","Others"))</f>
        <v>0</v>
      </c>
      <c r="H1307">
        <f>IF(ISNUMBER(SEARCH("scrubber",F1307)) , "Scrubber", IF(ISNUMBER(SEARCH("container",F1307)),"Container", IF(ISNUMBER(SEARCH("basket",F1307)),"Basket", IF(ISNUMBER(SEARCH("lunch",F1307)),"Lunch Box", IF(ISNUMBER(SEARCH("cutlery",F1307)),"Cutlery","Other")))))</f>
        <v>0</v>
      </c>
      <c r="I1307">
        <f>IF('Raw Data'!G1307&lt;&gt;'','Raw Data'!G1307,IFERROR(MID(F1307,SEARCH("MODEL",F1307)+6,20),""))</f>
        <v>0</v>
      </c>
      <c r="J1307">
        <f>'Raw Data'!H1307</f>
        <v>0</v>
      </c>
      <c r="K1307">
        <f>'Raw Data'!I1307</f>
        <v>0</v>
      </c>
      <c r="L1307">
        <f>IF('Raw Data'!N1307&lt;&gt;0,'Raw Data'!N1307,IFERROR(VALUE(MID(F1307,SEARCH("QTY",F1307)+4,IFERROR(FIND(" ",F1307,SEARCH("QTY",F1307)+4)-(SEARCH("QTY",F1307)+4),3))),""))</f>
        <v>0</v>
      </c>
      <c r="M1307">
        <f>'Raw Data'!O1307</f>
        <v>0</v>
      </c>
      <c r="N1307">
        <f>'Raw Data'!P1307</f>
        <v>0</v>
      </c>
      <c r="O1307">
        <f>'Raw Data'!Q1307</f>
        <v>0</v>
      </c>
      <c r="P1307">
        <f>'Raw Data'!R1307</f>
        <v>0</v>
      </c>
      <c r="Q1307">
        <f>'Raw Data'!S1307</f>
        <v>0</v>
      </c>
      <c r="R1307">
        <f>'Raw Data'!T1307</f>
        <v>0</v>
      </c>
      <c r="S1307">
        <f>IFERROR(O1307,0)+IFERROR(R1307,0)</f>
        <v>0</v>
      </c>
      <c r="T1307">
        <f>IF(A1307="","",YEAR(A1307))</f>
        <v>0</v>
      </c>
    </row>
    <row r="1308" spans="1:20">
      <c r="A1308">
        <f>'Raw Data'!B1308</f>
        <v>0</v>
      </c>
      <c r="B1308">
        <f>'Raw Data'!A1308</f>
        <v>0</v>
      </c>
      <c r="C1308">
        <f>'Raw Data'!C1308</f>
        <v>0</v>
      </c>
      <c r="D1308">
        <f>'Raw Data'!D1308</f>
        <v>0</v>
      </c>
      <c r="E1308">
        <f>IFERROR(VLOOKUP(D1308,'Lookup Tables'!$A:$B,2,FALSE),"Unknown")</f>
        <v>0</v>
      </c>
      <c r="F1308">
        <f>'Raw Data'!E1308</f>
        <v>0</v>
      </c>
      <c r="G1308">
        <f>IFERROR(VLOOKUP(D1308,'Lookup Tables'!$A:$C,3,FALSE),IF(ISNUMBER(SEARCH("STEEL",F1308)),"Steel","Others"))</f>
        <v>0</v>
      </c>
      <c r="H1308">
        <f>IF(ISNUMBER(SEARCH("scrubber",F1308)) , "Scrubber", IF(ISNUMBER(SEARCH("container",F1308)),"Container", IF(ISNUMBER(SEARCH("basket",F1308)),"Basket", IF(ISNUMBER(SEARCH("lunch",F1308)),"Lunch Box", IF(ISNUMBER(SEARCH("cutlery",F1308)),"Cutlery","Other")))))</f>
        <v>0</v>
      </c>
      <c r="I1308">
        <f>IF('Raw Data'!G1308&lt;&gt;'','Raw Data'!G1308,IFERROR(MID(F1308,SEARCH("MODEL",F1308)+6,20),""))</f>
        <v>0</v>
      </c>
      <c r="J1308">
        <f>'Raw Data'!H1308</f>
        <v>0</v>
      </c>
      <c r="K1308">
        <f>'Raw Data'!I1308</f>
        <v>0</v>
      </c>
      <c r="L1308">
        <f>IF('Raw Data'!N1308&lt;&gt;0,'Raw Data'!N1308,IFERROR(VALUE(MID(F1308,SEARCH("QTY",F1308)+4,IFERROR(FIND(" ",F1308,SEARCH("QTY",F1308)+4)-(SEARCH("QTY",F1308)+4),3))),""))</f>
        <v>0</v>
      </c>
      <c r="M1308">
        <f>'Raw Data'!O1308</f>
        <v>0</v>
      </c>
      <c r="N1308">
        <f>'Raw Data'!P1308</f>
        <v>0</v>
      </c>
      <c r="O1308">
        <f>'Raw Data'!Q1308</f>
        <v>0</v>
      </c>
      <c r="P1308">
        <f>'Raw Data'!R1308</f>
        <v>0</v>
      </c>
      <c r="Q1308">
        <f>'Raw Data'!S1308</f>
        <v>0</v>
      </c>
      <c r="R1308">
        <f>'Raw Data'!T1308</f>
        <v>0</v>
      </c>
      <c r="S1308">
        <f>IFERROR(O1308,0)+IFERROR(R1308,0)</f>
        <v>0</v>
      </c>
      <c r="T1308">
        <f>IF(A1308="","",YEAR(A1308))</f>
        <v>0</v>
      </c>
    </row>
    <row r="1309" spans="1:20">
      <c r="A1309">
        <f>'Raw Data'!B1309</f>
        <v>0</v>
      </c>
      <c r="B1309">
        <f>'Raw Data'!A1309</f>
        <v>0</v>
      </c>
      <c r="C1309">
        <f>'Raw Data'!C1309</f>
        <v>0</v>
      </c>
      <c r="D1309">
        <f>'Raw Data'!D1309</f>
        <v>0</v>
      </c>
      <c r="E1309">
        <f>IFERROR(VLOOKUP(D1309,'Lookup Tables'!$A:$B,2,FALSE),"Unknown")</f>
        <v>0</v>
      </c>
      <c r="F1309">
        <f>'Raw Data'!E1309</f>
        <v>0</v>
      </c>
      <c r="G1309">
        <f>IFERROR(VLOOKUP(D1309,'Lookup Tables'!$A:$C,3,FALSE),IF(ISNUMBER(SEARCH("STEEL",F1309)),"Steel","Others"))</f>
        <v>0</v>
      </c>
      <c r="H1309">
        <f>IF(ISNUMBER(SEARCH("scrubber",F1309)) , "Scrubber", IF(ISNUMBER(SEARCH("container",F1309)),"Container", IF(ISNUMBER(SEARCH("basket",F1309)),"Basket", IF(ISNUMBER(SEARCH("lunch",F1309)),"Lunch Box", IF(ISNUMBER(SEARCH("cutlery",F1309)),"Cutlery","Other")))))</f>
        <v>0</v>
      </c>
      <c r="I1309">
        <f>IF('Raw Data'!G1309&lt;&gt;'','Raw Data'!G1309,IFERROR(MID(F1309,SEARCH("MODEL",F1309)+6,20),""))</f>
        <v>0</v>
      </c>
      <c r="J1309">
        <f>'Raw Data'!H1309</f>
        <v>0</v>
      </c>
      <c r="K1309">
        <f>'Raw Data'!I1309</f>
        <v>0</v>
      </c>
      <c r="L1309">
        <f>IF('Raw Data'!N1309&lt;&gt;0,'Raw Data'!N1309,IFERROR(VALUE(MID(F1309,SEARCH("QTY",F1309)+4,IFERROR(FIND(" ",F1309,SEARCH("QTY",F1309)+4)-(SEARCH("QTY",F1309)+4),3))),""))</f>
        <v>0</v>
      </c>
      <c r="M1309">
        <f>'Raw Data'!O1309</f>
        <v>0</v>
      </c>
      <c r="N1309">
        <f>'Raw Data'!P1309</f>
        <v>0</v>
      </c>
      <c r="O1309">
        <f>'Raw Data'!Q1309</f>
        <v>0</v>
      </c>
      <c r="P1309">
        <f>'Raw Data'!R1309</f>
        <v>0</v>
      </c>
      <c r="Q1309">
        <f>'Raw Data'!S1309</f>
        <v>0</v>
      </c>
      <c r="R1309">
        <f>'Raw Data'!T1309</f>
        <v>0</v>
      </c>
      <c r="S1309">
        <f>IFERROR(O1309,0)+IFERROR(R1309,0)</f>
        <v>0</v>
      </c>
      <c r="T1309">
        <f>IF(A1309="","",YEAR(A1309))</f>
        <v>0</v>
      </c>
    </row>
    <row r="1310" spans="1:20">
      <c r="A1310">
        <f>'Raw Data'!B1310</f>
        <v>0</v>
      </c>
      <c r="B1310">
        <f>'Raw Data'!A1310</f>
        <v>0</v>
      </c>
      <c r="C1310">
        <f>'Raw Data'!C1310</f>
        <v>0</v>
      </c>
      <c r="D1310">
        <f>'Raw Data'!D1310</f>
        <v>0</v>
      </c>
      <c r="E1310">
        <f>IFERROR(VLOOKUP(D1310,'Lookup Tables'!$A:$B,2,FALSE),"Unknown")</f>
        <v>0</v>
      </c>
      <c r="F1310">
        <f>'Raw Data'!E1310</f>
        <v>0</v>
      </c>
      <c r="G1310">
        <f>IFERROR(VLOOKUP(D1310,'Lookup Tables'!$A:$C,3,FALSE),IF(ISNUMBER(SEARCH("STEEL",F1310)),"Steel","Others"))</f>
        <v>0</v>
      </c>
      <c r="H1310">
        <f>IF(ISNUMBER(SEARCH("scrubber",F1310)) , "Scrubber", IF(ISNUMBER(SEARCH("container",F1310)),"Container", IF(ISNUMBER(SEARCH("basket",F1310)),"Basket", IF(ISNUMBER(SEARCH("lunch",F1310)),"Lunch Box", IF(ISNUMBER(SEARCH("cutlery",F1310)),"Cutlery","Other")))))</f>
        <v>0</v>
      </c>
      <c r="I1310">
        <f>IF('Raw Data'!G1310&lt;&gt;'','Raw Data'!G1310,IFERROR(MID(F1310,SEARCH("MODEL",F1310)+6,20),""))</f>
        <v>0</v>
      </c>
      <c r="J1310">
        <f>'Raw Data'!H1310</f>
        <v>0</v>
      </c>
      <c r="K1310">
        <f>'Raw Data'!I1310</f>
        <v>0</v>
      </c>
      <c r="L1310">
        <f>IF('Raw Data'!N1310&lt;&gt;0,'Raw Data'!N1310,IFERROR(VALUE(MID(F1310,SEARCH("QTY",F1310)+4,IFERROR(FIND(" ",F1310,SEARCH("QTY",F1310)+4)-(SEARCH("QTY",F1310)+4),3))),""))</f>
        <v>0</v>
      </c>
      <c r="M1310">
        <f>'Raw Data'!O1310</f>
        <v>0</v>
      </c>
      <c r="N1310">
        <f>'Raw Data'!P1310</f>
        <v>0</v>
      </c>
      <c r="O1310">
        <f>'Raw Data'!Q1310</f>
        <v>0</v>
      </c>
      <c r="P1310">
        <f>'Raw Data'!R1310</f>
        <v>0</v>
      </c>
      <c r="Q1310">
        <f>'Raw Data'!S1310</f>
        <v>0</v>
      </c>
      <c r="R1310">
        <f>'Raw Data'!T1310</f>
        <v>0</v>
      </c>
      <c r="S1310">
        <f>IFERROR(O1310,0)+IFERROR(R1310,0)</f>
        <v>0</v>
      </c>
      <c r="T1310">
        <f>IF(A1310="","",YEAR(A1310))</f>
        <v>0</v>
      </c>
    </row>
    <row r="1311" spans="1:20">
      <c r="A1311">
        <f>'Raw Data'!B1311</f>
        <v>0</v>
      </c>
      <c r="B1311">
        <f>'Raw Data'!A1311</f>
        <v>0</v>
      </c>
      <c r="C1311">
        <f>'Raw Data'!C1311</f>
        <v>0</v>
      </c>
      <c r="D1311">
        <f>'Raw Data'!D1311</f>
        <v>0</v>
      </c>
      <c r="E1311">
        <f>IFERROR(VLOOKUP(D1311,'Lookup Tables'!$A:$B,2,FALSE),"Unknown")</f>
        <v>0</v>
      </c>
      <c r="F1311">
        <f>'Raw Data'!E1311</f>
        <v>0</v>
      </c>
      <c r="G1311">
        <f>IFERROR(VLOOKUP(D1311,'Lookup Tables'!$A:$C,3,FALSE),IF(ISNUMBER(SEARCH("STEEL",F1311)),"Steel","Others"))</f>
        <v>0</v>
      </c>
      <c r="H1311">
        <f>IF(ISNUMBER(SEARCH("scrubber",F1311)) , "Scrubber", IF(ISNUMBER(SEARCH("container",F1311)),"Container", IF(ISNUMBER(SEARCH("basket",F1311)),"Basket", IF(ISNUMBER(SEARCH("lunch",F1311)),"Lunch Box", IF(ISNUMBER(SEARCH("cutlery",F1311)),"Cutlery","Other")))))</f>
        <v>0</v>
      </c>
      <c r="I1311">
        <f>IF('Raw Data'!G1311&lt;&gt;'','Raw Data'!G1311,IFERROR(MID(F1311,SEARCH("MODEL",F1311)+6,20),""))</f>
        <v>0</v>
      </c>
      <c r="J1311">
        <f>'Raw Data'!H1311</f>
        <v>0</v>
      </c>
      <c r="K1311">
        <f>'Raw Data'!I1311</f>
        <v>0</v>
      </c>
      <c r="L1311">
        <f>IF('Raw Data'!N1311&lt;&gt;0,'Raw Data'!N1311,IFERROR(VALUE(MID(F1311,SEARCH("QTY",F1311)+4,IFERROR(FIND(" ",F1311,SEARCH("QTY",F1311)+4)-(SEARCH("QTY",F1311)+4),3))),""))</f>
        <v>0</v>
      </c>
      <c r="M1311">
        <f>'Raw Data'!O1311</f>
        <v>0</v>
      </c>
      <c r="N1311">
        <f>'Raw Data'!P1311</f>
        <v>0</v>
      </c>
      <c r="O1311">
        <f>'Raw Data'!Q1311</f>
        <v>0</v>
      </c>
      <c r="P1311">
        <f>'Raw Data'!R1311</f>
        <v>0</v>
      </c>
      <c r="Q1311">
        <f>'Raw Data'!S1311</f>
        <v>0</v>
      </c>
      <c r="R1311">
        <f>'Raw Data'!T1311</f>
        <v>0</v>
      </c>
      <c r="S1311">
        <f>IFERROR(O1311,0)+IFERROR(R1311,0)</f>
        <v>0</v>
      </c>
      <c r="T1311">
        <f>IF(A1311="","",YEAR(A1311))</f>
        <v>0</v>
      </c>
    </row>
    <row r="1312" spans="1:20">
      <c r="A1312">
        <f>'Raw Data'!B1312</f>
        <v>0</v>
      </c>
      <c r="B1312">
        <f>'Raw Data'!A1312</f>
        <v>0</v>
      </c>
      <c r="C1312">
        <f>'Raw Data'!C1312</f>
        <v>0</v>
      </c>
      <c r="D1312">
        <f>'Raw Data'!D1312</f>
        <v>0</v>
      </c>
      <c r="E1312">
        <f>IFERROR(VLOOKUP(D1312,'Lookup Tables'!$A:$B,2,FALSE),"Unknown")</f>
        <v>0</v>
      </c>
      <c r="F1312">
        <f>'Raw Data'!E1312</f>
        <v>0</v>
      </c>
      <c r="G1312">
        <f>IFERROR(VLOOKUP(D1312,'Lookup Tables'!$A:$C,3,FALSE),IF(ISNUMBER(SEARCH("STEEL",F1312)),"Steel","Others"))</f>
        <v>0</v>
      </c>
      <c r="H1312">
        <f>IF(ISNUMBER(SEARCH("scrubber",F1312)) , "Scrubber", IF(ISNUMBER(SEARCH("container",F1312)),"Container", IF(ISNUMBER(SEARCH("basket",F1312)),"Basket", IF(ISNUMBER(SEARCH("lunch",F1312)),"Lunch Box", IF(ISNUMBER(SEARCH("cutlery",F1312)),"Cutlery","Other")))))</f>
        <v>0</v>
      </c>
      <c r="I1312">
        <f>IF('Raw Data'!G1312&lt;&gt;'','Raw Data'!G1312,IFERROR(MID(F1312,SEARCH("MODEL",F1312)+6,20),""))</f>
        <v>0</v>
      </c>
      <c r="J1312">
        <f>'Raw Data'!H1312</f>
        <v>0</v>
      </c>
      <c r="K1312">
        <f>'Raw Data'!I1312</f>
        <v>0</v>
      </c>
      <c r="L1312">
        <f>IF('Raw Data'!N1312&lt;&gt;0,'Raw Data'!N1312,IFERROR(VALUE(MID(F1312,SEARCH("QTY",F1312)+4,IFERROR(FIND(" ",F1312,SEARCH("QTY",F1312)+4)-(SEARCH("QTY",F1312)+4),3))),""))</f>
        <v>0</v>
      </c>
      <c r="M1312">
        <f>'Raw Data'!O1312</f>
        <v>0</v>
      </c>
      <c r="N1312">
        <f>'Raw Data'!P1312</f>
        <v>0</v>
      </c>
      <c r="O1312">
        <f>'Raw Data'!Q1312</f>
        <v>0</v>
      </c>
      <c r="P1312">
        <f>'Raw Data'!R1312</f>
        <v>0</v>
      </c>
      <c r="Q1312">
        <f>'Raw Data'!S1312</f>
        <v>0</v>
      </c>
      <c r="R1312">
        <f>'Raw Data'!T1312</f>
        <v>0</v>
      </c>
      <c r="S1312">
        <f>IFERROR(O1312,0)+IFERROR(R1312,0)</f>
        <v>0</v>
      </c>
      <c r="T1312">
        <f>IF(A1312="","",YEAR(A1312))</f>
        <v>0</v>
      </c>
    </row>
    <row r="1313" spans="1:20">
      <c r="A1313">
        <f>'Raw Data'!B1313</f>
        <v>0</v>
      </c>
      <c r="B1313">
        <f>'Raw Data'!A1313</f>
        <v>0</v>
      </c>
      <c r="C1313">
        <f>'Raw Data'!C1313</f>
        <v>0</v>
      </c>
      <c r="D1313">
        <f>'Raw Data'!D1313</f>
        <v>0</v>
      </c>
      <c r="E1313">
        <f>IFERROR(VLOOKUP(D1313,'Lookup Tables'!$A:$B,2,FALSE),"Unknown")</f>
        <v>0</v>
      </c>
      <c r="F1313">
        <f>'Raw Data'!E1313</f>
        <v>0</v>
      </c>
      <c r="G1313">
        <f>IFERROR(VLOOKUP(D1313,'Lookup Tables'!$A:$C,3,FALSE),IF(ISNUMBER(SEARCH("STEEL",F1313)),"Steel","Others"))</f>
        <v>0</v>
      </c>
      <c r="H1313">
        <f>IF(ISNUMBER(SEARCH("scrubber",F1313)) , "Scrubber", IF(ISNUMBER(SEARCH("container",F1313)),"Container", IF(ISNUMBER(SEARCH("basket",F1313)),"Basket", IF(ISNUMBER(SEARCH("lunch",F1313)),"Lunch Box", IF(ISNUMBER(SEARCH("cutlery",F1313)),"Cutlery","Other")))))</f>
        <v>0</v>
      </c>
      <c r="I1313">
        <f>IF('Raw Data'!G1313&lt;&gt;'','Raw Data'!G1313,IFERROR(MID(F1313,SEARCH("MODEL",F1313)+6,20),""))</f>
        <v>0</v>
      </c>
      <c r="J1313">
        <f>'Raw Data'!H1313</f>
        <v>0</v>
      </c>
      <c r="K1313">
        <f>'Raw Data'!I1313</f>
        <v>0</v>
      </c>
      <c r="L1313">
        <f>IF('Raw Data'!N1313&lt;&gt;0,'Raw Data'!N1313,IFERROR(VALUE(MID(F1313,SEARCH("QTY",F1313)+4,IFERROR(FIND(" ",F1313,SEARCH("QTY",F1313)+4)-(SEARCH("QTY",F1313)+4),3))),""))</f>
        <v>0</v>
      </c>
      <c r="M1313">
        <f>'Raw Data'!O1313</f>
        <v>0</v>
      </c>
      <c r="N1313">
        <f>'Raw Data'!P1313</f>
        <v>0</v>
      </c>
      <c r="O1313">
        <f>'Raw Data'!Q1313</f>
        <v>0</v>
      </c>
      <c r="P1313">
        <f>'Raw Data'!R1313</f>
        <v>0</v>
      </c>
      <c r="Q1313">
        <f>'Raw Data'!S1313</f>
        <v>0</v>
      </c>
      <c r="R1313">
        <f>'Raw Data'!T1313</f>
        <v>0</v>
      </c>
      <c r="S1313">
        <f>IFERROR(O1313,0)+IFERROR(R1313,0)</f>
        <v>0</v>
      </c>
      <c r="T1313">
        <f>IF(A1313="","",YEAR(A1313))</f>
        <v>0</v>
      </c>
    </row>
    <row r="1314" spans="1:20">
      <c r="A1314">
        <f>'Raw Data'!B1314</f>
        <v>0</v>
      </c>
      <c r="B1314">
        <f>'Raw Data'!A1314</f>
        <v>0</v>
      </c>
      <c r="C1314">
        <f>'Raw Data'!C1314</f>
        <v>0</v>
      </c>
      <c r="D1314">
        <f>'Raw Data'!D1314</f>
        <v>0</v>
      </c>
      <c r="E1314">
        <f>IFERROR(VLOOKUP(D1314,'Lookup Tables'!$A:$B,2,FALSE),"Unknown")</f>
        <v>0</v>
      </c>
      <c r="F1314">
        <f>'Raw Data'!E1314</f>
        <v>0</v>
      </c>
      <c r="G1314">
        <f>IFERROR(VLOOKUP(D1314,'Lookup Tables'!$A:$C,3,FALSE),IF(ISNUMBER(SEARCH("STEEL",F1314)),"Steel","Others"))</f>
        <v>0</v>
      </c>
      <c r="H1314">
        <f>IF(ISNUMBER(SEARCH("scrubber",F1314)) , "Scrubber", IF(ISNUMBER(SEARCH("container",F1314)),"Container", IF(ISNUMBER(SEARCH("basket",F1314)),"Basket", IF(ISNUMBER(SEARCH("lunch",F1314)),"Lunch Box", IF(ISNUMBER(SEARCH("cutlery",F1314)),"Cutlery","Other")))))</f>
        <v>0</v>
      </c>
      <c r="I1314">
        <f>IF('Raw Data'!G1314&lt;&gt;'','Raw Data'!G1314,IFERROR(MID(F1314,SEARCH("MODEL",F1314)+6,20),""))</f>
        <v>0</v>
      </c>
      <c r="J1314">
        <f>'Raw Data'!H1314</f>
        <v>0</v>
      </c>
      <c r="K1314">
        <f>'Raw Data'!I1314</f>
        <v>0</v>
      </c>
      <c r="L1314">
        <f>IF('Raw Data'!N1314&lt;&gt;0,'Raw Data'!N1314,IFERROR(VALUE(MID(F1314,SEARCH("QTY",F1314)+4,IFERROR(FIND(" ",F1314,SEARCH("QTY",F1314)+4)-(SEARCH("QTY",F1314)+4),3))),""))</f>
        <v>0</v>
      </c>
      <c r="M1314">
        <f>'Raw Data'!O1314</f>
        <v>0</v>
      </c>
      <c r="N1314">
        <f>'Raw Data'!P1314</f>
        <v>0</v>
      </c>
      <c r="O1314">
        <f>'Raw Data'!Q1314</f>
        <v>0</v>
      </c>
      <c r="P1314">
        <f>'Raw Data'!R1314</f>
        <v>0</v>
      </c>
      <c r="Q1314">
        <f>'Raw Data'!S1314</f>
        <v>0</v>
      </c>
      <c r="R1314">
        <f>'Raw Data'!T1314</f>
        <v>0</v>
      </c>
      <c r="S1314">
        <f>IFERROR(O1314,0)+IFERROR(R1314,0)</f>
        <v>0</v>
      </c>
      <c r="T1314">
        <f>IF(A1314="","",YEAR(A1314))</f>
        <v>0</v>
      </c>
    </row>
    <row r="1315" spans="1:20">
      <c r="A1315">
        <f>'Raw Data'!B1315</f>
        <v>0</v>
      </c>
      <c r="B1315">
        <f>'Raw Data'!A1315</f>
        <v>0</v>
      </c>
      <c r="C1315">
        <f>'Raw Data'!C1315</f>
        <v>0</v>
      </c>
      <c r="D1315">
        <f>'Raw Data'!D1315</f>
        <v>0</v>
      </c>
      <c r="E1315">
        <f>IFERROR(VLOOKUP(D1315,'Lookup Tables'!$A:$B,2,FALSE),"Unknown")</f>
        <v>0</v>
      </c>
      <c r="F1315">
        <f>'Raw Data'!E1315</f>
        <v>0</v>
      </c>
      <c r="G1315">
        <f>IFERROR(VLOOKUP(D1315,'Lookup Tables'!$A:$C,3,FALSE),IF(ISNUMBER(SEARCH("STEEL",F1315)),"Steel","Others"))</f>
        <v>0</v>
      </c>
      <c r="H1315">
        <f>IF(ISNUMBER(SEARCH("scrubber",F1315)) , "Scrubber", IF(ISNUMBER(SEARCH("container",F1315)),"Container", IF(ISNUMBER(SEARCH("basket",F1315)),"Basket", IF(ISNUMBER(SEARCH("lunch",F1315)),"Lunch Box", IF(ISNUMBER(SEARCH("cutlery",F1315)),"Cutlery","Other")))))</f>
        <v>0</v>
      </c>
      <c r="I1315">
        <f>IF('Raw Data'!G1315&lt;&gt;'','Raw Data'!G1315,IFERROR(MID(F1315,SEARCH("MODEL",F1315)+6,20),""))</f>
        <v>0</v>
      </c>
      <c r="J1315">
        <f>'Raw Data'!H1315</f>
        <v>0</v>
      </c>
      <c r="K1315">
        <f>'Raw Data'!I1315</f>
        <v>0</v>
      </c>
      <c r="L1315">
        <f>IF('Raw Data'!N1315&lt;&gt;0,'Raw Data'!N1315,IFERROR(VALUE(MID(F1315,SEARCH("QTY",F1315)+4,IFERROR(FIND(" ",F1315,SEARCH("QTY",F1315)+4)-(SEARCH("QTY",F1315)+4),3))),""))</f>
        <v>0</v>
      </c>
      <c r="M1315">
        <f>'Raw Data'!O1315</f>
        <v>0</v>
      </c>
      <c r="N1315">
        <f>'Raw Data'!P1315</f>
        <v>0</v>
      </c>
      <c r="O1315">
        <f>'Raw Data'!Q1315</f>
        <v>0</v>
      </c>
      <c r="P1315">
        <f>'Raw Data'!R1315</f>
        <v>0</v>
      </c>
      <c r="Q1315">
        <f>'Raw Data'!S1315</f>
        <v>0</v>
      </c>
      <c r="R1315">
        <f>'Raw Data'!T1315</f>
        <v>0</v>
      </c>
      <c r="S1315">
        <f>IFERROR(O1315,0)+IFERROR(R1315,0)</f>
        <v>0</v>
      </c>
      <c r="T1315">
        <f>IF(A1315="","",YEAR(A1315))</f>
        <v>0</v>
      </c>
    </row>
    <row r="1316" spans="1:20">
      <c r="A1316">
        <f>'Raw Data'!B1316</f>
        <v>0</v>
      </c>
      <c r="B1316">
        <f>'Raw Data'!A1316</f>
        <v>0</v>
      </c>
      <c r="C1316">
        <f>'Raw Data'!C1316</f>
        <v>0</v>
      </c>
      <c r="D1316">
        <f>'Raw Data'!D1316</f>
        <v>0</v>
      </c>
      <c r="E1316">
        <f>IFERROR(VLOOKUP(D1316,'Lookup Tables'!$A:$B,2,FALSE),"Unknown")</f>
        <v>0</v>
      </c>
      <c r="F1316">
        <f>'Raw Data'!E1316</f>
        <v>0</v>
      </c>
      <c r="G1316">
        <f>IFERROR(VLOOKUP(D1316,'Lookup Tables'!$A:$C,3,FALSE),IF(ISNUMBER(SEARCH("STEEL",F1316)),"Steel","Others"))</f>
        <v>0</v>
      </c>
      <c r="H1316">
        <f>IF(ISNUMBER(SEARCH("scrubber",F1316)) , "Scrubber", IF(ISNUMBER(SEARCH("container",F1316)),"Container", IF(ISNUMBER(SEARCH("basket",F1316)),"Basket", IF(ISNUMBER(SEARCH("lunch",F1316)),"Lunch Box", IF(ISNUMBER(SEARCH("cutlery",F1316)),"Cutlery","Other")))))</f>
        <v>0</v>
      </c>
      <c r="I1316">
        <f>IF('Raw Data'!G1316&lt;&gt;'','Raw Data'!G1316,IFERROR(MID(F1316,SEARCH("MODEL",F1316)+6,20),""))</f>
        <v>0</v>
      </c>
      <c r="J1316">
        <f>'Raw Data'!H1316</f>
        <v>0</v>
      </c>
      <c r="K1316">
        <f>'Raw Data'!I1316</f>
        <v>0</v>
      </c>
      <c r="L1316">
        <f>IF('Raw Data'!N1316&lt;&gt;0,'Raw Data'!N1316,IFERROR(VALUE(MID(F1316,SEARCH("QTY",F1316)+4,IFERROR(FIND(" ",F1316,SEARCH("QTY",F1316)+4)-(SEARCH("QTY",F1316)+4),3))),""))</f>
        <v>0</v>
      </c>
      <c r="M1316">
        <f>'Raw Data'!O1316</f>
        <v>0</v>
      </c>
      <c r="N1316">
        <f>'Raw Data'!P1316</f>
        <v>0</v>
      </c>
      <c r="O1316">
        <f>'Raw Data'!Q1316</f>
        <v>0</v>
      </c>
      <c r="P1316">
        <f>'Raw Data'!R1316</f>
        <v>0</v>
      </c>
      <c r="Q1316">
        <f>'Raw Data'!S1316</f>
        <v>0</v>
      </c>
      <c r="R1316">
        <f>'Raw Data'!T1316</f>
        <v>0</v>
      </c>
      <c r="S1316">
        <f>IFERROR(O1316,0)+IFERROR(R1316,0)</f>
        <v>0</v>
      </c>
      <c r="T1316">
        <f>IF(A1316="","",YEAR(A1316))</f>
        <v>0</v>
      </c>
    </row>
    <row r="1317" spans="1:20">
      <c r="A1317">
        <f>'Raw Data'!B1317</f>
        <v>0</v>
      </c>
      <c r="B1317">
        <f>'Raw Data'!A1317</f>
        <v>0</v>
      </c>
      <c r="C1317">
        <f>'Raw Data'!C1317</f>
        <v>0</v>
      </c>
      <c r="D1317">
        <f>'Raw Data'!D1317</f>
        <v>0</v>
      </c>
      <c r="E1317">
        <f>IFERROR(VLOOKUP(D1317,'Lookup Tables'!$A:$B,2,FALSE),"Unknown")</f>
        <v>0</v>
      </c>
      <c r="F1317">
        <f>'Raw Data'!E1317</f>
        <v>0</v>
      </c>
      <c r="G1317">
        <f>IFERROR(VLOOKUP(D1317,'Lookup Tables'!$A:$C,3,FALSE),IF(ISNUMBER(SEARCH("STEEL",F1317)),"Steel","Others"))</f>
        <v>0</v>
      </c>
      <c r="H1317">
        <f>IF(ISNUMBER(SEARCH("scrubber",F1317)) , "Scrubber", IF(ISNUMBER(SEARCH("container",F1317)),"Container", IF(ISNUMBER(SEARCH("basket",F1317)),"Basket", IF(ISNUMBER(SEARCH("lunch",F1317)),"Lunch Box", IF(ISNUMBER(SEARCH("cutlery",F1317)),"Cutlery","Other")))))</f>
        <v>0</v>
      </c>
      <c r="I1317">
        <f>IF('Raw Data'!G1317&lt;&gt;'','Raw Data'!G1317,IFERROR(MID(F1317,SEARCH("MODEL",F1317)+6,20),""))</f>
        <v>0</v>
      </c>
      <c r="J1317">
        <f>'Raw Data'!H1317</f>
        <v>0</v>
      </c>
      <c r="K1317">
        <f>'Raw Data'!I1317</f>
        <v>0</v>
      </c>
      <c r="L1317">
        <f>IF('Raw Data'!N1317&lt;&gt;0,'Raw Data'!N1317,IFERROR(VALUE(MID(F1317,SEARCH("QTY",F1317)+4,IFERROR(FIND(" ",F1317,SEARCH("QTY",F1317)+4)-(SEARCH("QTY",F1317)+4),3))),""))</f>
        <v>0</v>
      </c>
      <c r="M1317">
        <f>'Raw Data'!O1317</f>
        <v>0</v>
      </c>
      <c r="N1317">
        <f>'Raw Data'!P1317</f>
        <v>0</v>
      </c>
      <c r="O1317">
        <f>'Raw Data'!Q1317</f>
        <v>0</v>
      </c>
      <c r="P1317">
        <f>'Raw Data'!R1317</f>
        <v>0</v>
      </c>
      <c r="Q1317">
        <f>'Raw Data'!S1317</f>
        <v>0</v>
      </c>
      <c r="R1317">
        <f>'Raw Data'!T1317</f>
        <v>0</v>
      </c>
      <c r="S1317">
        <f>IFERROR(O1317,0)+IFERROR(R1317,0)</f>
        <v>0</v>
      </c>
      <c r="T1317">
        <f>IF(A1317="","",YEAR(A1317))</f>
        <v>0</v>
      </c>
    </row>
    <row r="1318" spans="1:20">
      <c r="A1318">
        <f>'Raw Data'!B1318</f>
        <v>0</v>
      </c>
      <c r="B1318">
        <f>'Raw Data'!A1318</f>
        <v>0</v>
      </c>
      <c r="C1318">
        <f>'Raw Data'!C1318</f>
        <v>0</v>
      </c>
      <c r="D1318">
        <f>'Raw Data'!D1318</f>
        <v>0</v>
      </c>
      <c r="E1318">
        <f>IFERROR(VLOOKUP(D1318,'Lookup Tables'!$A:$B,2,FALSE),"Unknown")</f>
        <v>0</v>
      </c>
      <c r="F1318">
        <f>'Raw Data'!E1318</f>
        <v>0</v>
      </c>
      <c r="G1318">
        <f>IFERROR(VLOOKUP(D1318,'Lookup Tables'!$A:$C,3,FALSE),IF(ISNUMBER(SEARCH("STEEL",F1318)),"Steel","Others"))</f>
        <v>0</v>
      </c>
      <c r="H1318">
        <f>IF(ISNUMBER(SEARCH("scrubber",F1318)) , "Scrubber", IF(ISNUMBER(SEARCH("container",F1318)),"Container", IF(ISNUMBER(SEARCH("basket",F1318)),"Basket", IF(ISNUMBER(SEARCH("lunch",F1318)),"Lunch Box", IF(ISNUMBER(SEARCH("cutlery",F1318)),"Cutlery","Other")))))</f>
        <v>0</v>
      </c>
      <c r="I1318">
        <f>IF('Raw Data'!G1318&lt;&gt;'','Raw Data'!G1318,IFERROR(MID(F1318,SEARCH("MODEL",F1318)+6,20),""))</f>
        <v>0</v>
      </c>
      <c r="J1318">
        <f>'Raw Data'!H1318</f>
        <v>0</v>
      </c>
      <c r="K1318">
        <f>'Raw Data'!I1318</f>
        <v>0</v>
      </c>
      <c r="L1318">
        <f>IF('Raw Data'!N1318&lt;&gt;0,'Raw Data'!N1318,IFERROR(VALUE(MID(F1318,SEARCH("QTY",F1318)+4,IFERROR(FIND(" ",F1318,SEARCH("QTY",F1318)+4)-(SEARCH("QTY",F1318)+4),3))),""))</f>
        <v>0</v>
      </c>
      <c r="M1318">
        <f>'Raw Data'!O1318</f>
        <v>0</v>
      </c>
      <c r="N1318">
        <f>'Raw Data'!P1318</f>
        <v>0</v>
      </c>
      <c r="O1318">
        <f>'Raw Data'!Q1318</f>
        <v>0</v>
      </c>
      <c r="P1318">
        <f>'Raw Data'!R1318</f>
        <v>0</v>
      </c>
      <c r="Q1318">
        <f>'Raw Data'!S1318</f>
        <v>0</v>
      </c>
      <c r="R1318">
        <f>'Raw Data'!T1318</f>
        <v>0</v>
      </c>
      <c r="S1318">
        <f>IFERROR(O1318,0)+IFERROR(R1318,0)</f>
        <v>0</v>
      </c>
      <c r="T1318">
        <f>IF(A1318="","",YEAR(A1318))</f>
        <v>0</v>
      </c>
    </row>
    <row r="1319" spans="1:20">
      <c r="A1319">
        <f>'Raw Data'!B1319</f>
        <v>0</v>
      </c>
      <c r="B1319">
        <f>'Raw Data'!A1319</f>
        <v>0</v>
      </c>
      <c r="C1319">
        <f>'Raw Data'!C1319</f>
        <v>0</v>
      </c>
      <c r="D1319">
        <f>'Raw Data'!D1319</f>
        <v>0</v>
      </c>
      <c r="E1319">
        <f>IFERROR(VLOOKUP(D1319,'Lookup Tables'!$A:$B,2,FALSE),"Unknown")</f>
        <v>0</v>
      </c>
      <c r="F1319">
        <f>'Raw Data'!E1319</f>
        <v>0</v>
      </c>
      <c r="G1319">
        <f>IFERROR(VLOOKUP(D1319,'Lookup Tables'!$A:$C,3,FALSE),IF(ISNUMBER(SEARCH("STEEL",F1319)),"Steel","Others"))</f>
        <v>0</v>
      </c>
      <c r="H1319">
        <f>IF(ISNUMBER(SEARCH("scrubber",F1319)) , "Scrubber", IF(ISNUMBER(SEARCH("container",F1319)),"Container", IF(ISNUMBER(SEARCH("basket",F1319)),"Basket", IF(ISNUMBER(SEARCH("lunch",F1319)),"Lunch Box", IF(ISNUMBER(SEARCH("cutlery",F1319)),"Cutlery","Other")))))</f>
        <v>0</v>
      </c>
      <c r="I1319">
        <f>IF('Raw Data'!G1319&lt;&gt;'','Raw Data'!G1319,IFERROR(MID(F1319,SEARCH("MODEL",F1319)+6,20),""))</f>
        <v>0</v>
      </c>
      <c r="J1319">
        <f>'Raw Data'!H1319</f>
        <v>0</v>
      </c>
      <c r="K1319">
        <f>'Raw Data'!I1319</f>
        <v>0</v>
      </c>
      <c r="L1319">
        <f>IF('Raw Data'!N1319&lt;&gt;0,'Raw Data'!N1319,IFERROR(VALUE(MID(F1319,SEARCH("QTY",F1319)+4,IFERROR(FIND(" ",F1319,SEARCH("QTY",F1319)+4)-(SEARCH("QTY",F1319)+4),3))),""))</f>
        <v>0</v>
      </c>
      <c r="M1319">
        <f>'Raw Data'!O1319</f>
        <v>0</v>
      </c>
      <c r="N1319">
        <f>'Raw Data'!P1319</f>
        <v>0</v>
      </c>
      <c r="O1319">
        <f>'Raw Data'!Q1319</f>
        <v>0</v>
      </c>
      <c r="P1319">
        <f>'Raw Data'!R1319</f>
        <v>0</v>
      </c>
      <c r="Q1319">
        <f>'Raw Data'!S1319</f>
        <v>0</v>
      </c>
      <c r="R1319">
        <f>'Raw Data'!T1319</f>
        <v>0</v>
      </c>
      <c r="S1319">
        <f>IFERROR(O1319,0)+IFERROR(R1319,0)</f>
        <v>0</v>
      </c>
      <c r="T1319">
        <f>IF(A1319="","",YEAR(A1319))</f>
        <v>0</v>
      </c>
    </row>
    <row r="1320" spans="1:20">
      <c r="A1320">
        <f>'Raw Data'!B1320</f>
        <v>0</v>
      </c>
      <c r="B1320">
        <f>'Raw Data'!A1320</f>
        <v>0</v>
      </c>
      <c r="C1320">
        <f>'Raw Data'!C1320</f>
        <v>0</v>
      </c>
      <c r="D1320">
        <f>'Raw Data'!D1320</f>
        <v>0</v>
      </c>
      <c r="E1320">
        <f>IFERROR(VLOOKUP(D1320,'Lookup Tables'!$A:$B,2,FALSE),"Unknown")</f>
        <v>0</v>
      </c>
      <c r="F1320">
        <f>'Raw Data'!E1320</f>
        <v>0</v>
      </c>
      <c r="G1320">
        <f>IFERROR(VLOOKUP(D1320,'Lookup Tables'!$A:$C,3,FALSE),IF(ISNUMBER(SEARCH("STEEL",F1320)),"Steel","Others"))</f>
        <v>0</v>
      </c>
      <c r="H1320">
        <f>IF(ISNUMBER(SEARCH("scrubber",F1320)) , "Scrubber", IF(ISNUMBER(SEARCH("container",F1320)),"Container", IF(ISNUMBER(SEARCH("basket",F1320)),"Basket", IF(ISNUMBER(SEARCH("lunch",F1320)),"Lunch Box", IF(ISNUMBER(SEARCH("cutlery",F1320)),"Cutlery","Other")))))</f>
        <v>0</v>
      </c>
      <c r="I1320">
        <f>IF('Raw Data'!G1320&lt;&gt;'','Raw Data'!G1320,IFERROR(MID(F1320,SEARCH("MODEL",F1320)+6,20),""))</f>
        <v>0</v>
      </c>
      <c r="J1320">
        <f>'Raw Data'!H1320</f>
        <v>0</v>
      </c>
      <c r="K1320">
        <f>'Raw Data'!I1320</f>
        <v>0</v>
      </c>
      <c r="L1320">
        <f>IF('Raw Data'!N1320&lt;&gt;0,'Raw Data'!N1320,IFERROR(VALUE(MID(F1320,SEARCH("QTY",F1320)+4,IFERROR(FIND(" ",F1320,SEARCH("QTY",F1320)+4)-(SEARCH("QTY",F1320)+4),3))),""))</f>
        <v>0</v>
      </c>
      <c r="M1320">
        <f>'Raw Data'!O1320</f>
        <v>0</v>
      </c>
      <c r="N1320">
        <f>'Raw Data'!P1320</f>
        <v>0</v>
      </c>
      <c r="O1320">
        <f>'Raw Data'!Q1320</f>
        <v>0</v>
      </c>
      <c r="P1320">
        <f>'Raw Data'!R1320</f>
        <v>0</v>
      </c>
      <c r="Q1320">
        <f>'Raw Data'!S1320</f>
        <v>0</v>
      </c>
      <c r="R1320">
        <f>'Raw Data'!T1320</f>
        <v>0</v>
      </c>
      <c r="S1320">
        <f>IFERROR(O1320,0)+IFERROR(R1320,0)</f>
        <v>0</v>
      </c>
      <c r="T1320">
        <f>IF(A1320="","",YEAR(A1320))</f>
        <v>0</v>
      </c>
    </row>
    <row r="1321" spans="1:20">
      <c r="A1321">
        <f>'Raw Data'!B1321</f>
        <v>0</v>
      </c>
      <c r="B1321">
        <f>'Raw Data'!A1321</f>
        <v>0</v>
      </c>
      <c r="C1321">
        <f>'Raw Data'!C1321</f>
        <v>0</v>
      </c>
      <c r="D1321">
        <f>'Raw Data'!D1321</f>
        <v>0</v>
      </c>
      <c r="E1321">
        <f>IFERROR(VLOOKUP(D1321,'Lookup Tables'!$A:$B,2,FALSE),"Unknown")</f>
        <v>0</v>
      </c>
      <c r="F1321">
        <f>'Raw Data'!E1321</f>
        <v>0</v>
      </c>
      <c r="G1321">
        <f>IFERROR(VLOOKUP(D1321,'Lookup Tables'!$A:$C,3,FALSE),IF(ISNUMBER(SEARCH("STEEL",F1321)),"Steel","Others"))</f>
        <v>0</v>
      </c>
      <c r="H1321">
        <f>IF(ISNUMBER(SEARCH("scrubber",F1321)) , "Scrubber", IF(ISNUMBER(SEARCH("container",F1321)),"Container", IF(ISNUMBER(SEARCH("basket",F1321)),"Basket", IF(ISNUMBER(SEARCH("lunch",F1321)),"Lunch Box", IF(ISNUMBER(SEARCH("cutlery",F1321)),"Cutlery","Other")))))</f>
        <v>0</v>
      </c>
      <c r="I1321">
        <f>IF('Raw Data'!G1321&lt;&gt;'','Raw Data'!G1321,IFERROR(MID(F1321,SEARCH("MODEL",F1321)+6,20),""))</f>
        <v>0</v>
      </c>
      <c r="J1321">
        <f>'Raw Data'!H1321</f>
        <v>0</v>
      </c>
      <c r="K1321">
        <f>'Raw Data'!I1321</f>
        <v>0</v>
      </c>
      <c r="L1321">
        <f>IF('Raw Data'!N1321&lt;&gt;0,'Raw Data'!N1321,IFERROR(VALUE(MID(F1321,SEARCH("QTY",F1321)+4,IFERROR(FIND(" ",F1321,SEARCH("QTY",F1321)+4)-(SEARCH("QTY",F1321)+4),3))),""))</f>
        <v>0</v>
      </c>
      <c r="M1321">
        <f>'Raw Data'!O1321</f>
        <v>0</v>
      </c>
      <c r="N1321">
        <f>'Raw Data'!P1321</f>
        <v>0</v>
      </c>
      <c r="O1321">
        <f>'Raw Data'!Q1321</f>
        <v>0</v>
      </c>
      <c r="P1321">
        <f>'Raw Data'!R1321</f>
        <v>0</v>
      </c>
      <c r="Q1321">
        <f>'Raw Data'!S1321</f>
        <v>0</v>
      </c>
      <c r="R1321">
        <f>'Raw Data'!T1321</f>
        <v>0</v>
      </c>
      <c r="S1321">
        <f>IFERROR(O1321,0)+IFERROR(R1321,0)</f>
        <v>0</v>
      </c>
      <c r="T1321">
        <f>IF(A1321="","",YEAR(A1321))</f>
        <v>0</v>
      </c>
    </row>
    <row r="1322" spans="1:20">
      <c r="A1322">
        <f>'Raw Data'!B1322</f>
        <v>0</v>
      </c>
      <c r="B1322">
        <f>'Raw Data'!A1322</f>
        <v>0</v>
      </c>
      <c r="C1322">
        <f>'Raw Data'!C1322</f>
        <v>0</v>
      </c>
      <c r="D1322">
        <f>'Raw Data'!D1322</f>
        <v>0</v>
      </c>
      <c r="E1322">
        <f>IFERROR(VLOOKUP(D1322,'Lookup Tables'!$A:$B,2,FALSE),"Unknown")</f>
        <v>0</v>
      </c>
      <c r="F1322">
        <f>'Raw Data'!E1322</f>
        <v>0</v>
      </c>
      <c r="G1322">
        <f>IFERROR(VLOOKUP(D1322,'Lookup Tables'!$A:$C,3,FALSE),IF(ISNUMBER(SEARCH("STEEL",F1322)),"Steel","Others"))</f>
        <v>0</v>
      </c>
      <c r="H1322">
        <f>IF(ISNUMBER(SEARCH("scrubber",F1322)) , "Scrubber", IF(ISNUMBER(SEARCH("container",F1322)),"Container", IF(ISNUMBER(SEARCH("basket",F1322)),"Basket", IF(ISNUMBER(SEARCH("lunch",F1322)),"Lunch Box", IF(ISNUMBER(SEARCH("cutlery",F1322)),"Cutlery","Other")))))</f>
        <v>0</v>
      </c>
      <c r="I1322">
        <f>IF('Raw Data'!G1322&lt;&gt;'','Raw Data'!G1322,IFERROR(MID(F1322,SEARCH("MODEL",F1322)+6,20),""))</f>
        <v>0</v>
      </c>
      <c r="J1322">
        <f>'Raw Data'!H1322</f>
        <v>0</v>
      </c>
      <c r="K1322">
        <f>'Raw Data'!I1322</f>
        <v>0</v>
      </c>
      <c r="L1322">
        <f>IF('Raw Data'!N1322&lt;&gt;0,'Raw Data'!N1322,IFERROR(VALUE(MID(F1322,SEARCH("QTY",F1322)+4,IFERROR(FIND(" ",F1322,SEARCH("QTY",F1322)+4)-(SEARCH("QTY",F1322)+4),3))),""))</f>
        <v>0</v>
      </c>
      <c r="M1322">
        <f>'Raw Data'!O1322</f>
        <v>0</v>
      </c>
      <c r="N1322">
        <f>'Raw Data'!P1322</f>
        <v>0</v>
      </c>
      <c r="O1322">
        <f>'Raw Data'!Q1322</f>
        <v>0</v>
      </c>
      <c r="P1322">
        <f>'Raw Data'!R1322</f>
        <v>0</v>
      </c>
      <c r="Q1322">
        <f>'Raw Data'!S1322</f>
        <v>0</v>
      </c>
      <c r="R1322">
        <f>'Raw Data'!T1322</f>
        <v>0</v>
      </c>
      <c r="S1322">
        <f>IFERROR(O1322,0)+IFERROR(R1322,0)</f>
        <v>0</v>
      </c>
      <c r="T1322">
        <f>IF(A1322="","",YEAR(A1322))</f>
        <v>0</v>
      </c>
    </row>
    <row r="1323" spans="1:20">
      <c r="A1323">
        <f>'Raw Data'!B1323</f>
        <v>0</v>
      </c>
      <c r="B1323">
        <f>'Raw Data'!A1323</f>
        <v>0</v>
      </c>
      <c r="C1323">
        <f>'Raw Data'!C1323</f>
        <v>0</v>
      </c>
      <c r="D1323">
        <f>'Raw Data'!D1323</f>
        <v>0</v>
      </c>
      <c r="E1323">
        <f>IFERROR(VLOOKUP(D1323,'Lookup Tables'!$A:$B,2,FALSE),"Unknown")</f>
        <v>0</v>
      </c>
      <c r="F1323">
        <f>'Raw Data'!E1323</f>
        <v>0</v>
      </c>
      <c r="G1323">
        <f>IFERROR(VLOOKUP(D1323,'Lookup Tables'!$A:$C,3,FALSE),IF(ISNUMBER(SEARCH("STEEL",F1323)),"Steel","Others"))</f>
        <v>0</v>
      </c>
      <c r="H1323">
        <f>IF(ISNUMBER(SEARCH("scrubber",F1323)) , "Scrubber", IF(ISNUMBER(SEARCH("container",F1323)),"Container", IF(ISNUMBER(SEARCH("basket",F1323)),"Basket", IF(ISNUMBER(SEARCH("lunch",F1323)),"Lunch Box", IF(ISNUMBER(SEARCH("cutlery",F1323)),"Cutlery","Other")))))</f>
        <v>0</v>
      </c>
      <c r="I1323">
        <f>IF('Raw Data'!G1323&lt;&gt;'','Raw Data'!G1323,IFERROR(MID(F1323,SEARCH("MODEL",F1323)+6,20),""))</f>
        <v>0</v>
      </c>
      <c r="J1323">
        <f>'Raw Data'!H1323</f>
        <v>0</v>
      </c>
      <c r="K1323">
        <f>'Raw Data'!I1323</f>
        <v>0</v>
      </c>
      <c r="L1323">
        <f>IF('Raw Data'!N1323&lt;&gt;0,'Raw Data'!N1323,IFERROR(VALUE(MID(F1323,SEARCH("QTY",F1323)+4,IFERROR(FIND(" ",F1323,SEARCH("QTY",F1323)+4)-(SEARCH("QTY",F1323)+4),3))),""))</f>
        <v>0</v>
      </c>
      <c r="M1323">
        <f>'Raw Data'!O1323</f>
        <v>0</v>
      </c>
      <c r="N1323">
        <f>'Raw Data'!P1323</f>
        <v>0</v>
      </c>
      <c r="O1323">
        <f>'Raw Data'!Q1323</f>
        <v>0</v>
      </c>
      <c r="P1323">
        <f>'Raw Data'!R1323</f>
        <v>0</v>
      </c>
      <c r="Q1323">
        <f>'Raw Data'!S1323</f>
        <v>0</v>
      </c>
      <c r="R1323">
        <f>'Raw Data'!T1323</f>
        <v>0</v>
      </c>
      <c r="S1323">
        <f>IFERROR(O1323,0)+IFERROR(R1323,0)</f>
        <v>0</v>
      </c>
      <c r="T1323">
        <f>IF(A1323="","",YEAR(A1323))</f>
        <v>0</v>
      </c>
    </row>
    <row r="1324" spans="1:20">
      <c r="A1324">
        <f>'Raw Data'!B1324</f>
        <v>0</v>
      </c>
      <c r="B1324">
        <f>'Raw Data'!A1324</f>
        <v>0</v>
      </c>
      <c r="C1324">
        <f>'Raw Data'!C1324</f>
        <v>0</v>
      </c>
      <c r="D1324">
        <f>'Raw Data'!D1324</f>
        <v>0</v>
      </c>
      <c r="E1324">
        <f>IFERROR(VLOOKUP(D1324,'Lookup Tables'!$A:$B,2,FALSE),"Unknown")</f>
        <v>0</v>
      </c>
      <c r="F1324">
        <f>'Raw Data'!E1324</f>
        <v>0</v>
      </c>
      <c r="G1324">
        <f>IFERROR(VLOOKUP(D1324,'Lookup Tables'!$A:$C,3,FALSE),IF(ISNUMBER(SEARCH("STEEL",F1324)),"Steel","Others"))</f>
        <v>0</v>
      </c>
      <c r="H1324">
        <f>IF(ISNUMBER(SEARCH("scrubber",F1324)) , "Scrubber", IF(ISNUMBER(SEARCH("container",F1324)),"Container", IF(ISNUMBER(SEARCH("basket",F1324)),"Basket", IF(ISNUMBER(SEARCH("lunch",F1324)),"Lunch Box", IF(ISNUMBER(SEARCH("cutlery",F1324)),"Cutlery","Other")))))</f>
        <v>0</v>
      </c>
      <c r="I1324">
        <f>IF('Raw Data'!G1324&lt;&gt;'','Raw Data'!G1324,IFERROR(MID(F1324,SEARCH("MODEL",F1324)+6,20),""))</f>
        <v>0</v>
      </c>
      <c r="J1324">
        <f>'Raw Data'!H1324</f>
        <v>0</v>
      </c>
      <c r="K1324">
        <f>'Raw Data'!I1324</f>
        <v>0</v>
      </c>
      <c r="L1324">
        <f>IF('Raw Data'!N1324&lt;&gt;0,'Raw Data'!N1324,IFERROR(VALUE(MID(F1324,SEARCH("QTY",F1324)+4,IFERROR(FIND(" ",F1324,SEARCH("QTY",F1324)+4)-(SEARCH("QTY",F1324)+4),3))),""))</f>
        <v>0</v>
      </c>
      <c r="M1324">
        <f>'Raw Data'!O1324</f>
        <v>0</v>
      </c>
      <c r="N1324">
        <f>'Raw Data'!P1324</f>
        <v>0</v>
      </c>
      <c r="O1324">
        <f>'Raw Data'!Q1324</f>
        <v>0</v>
      </c>
      <c r="P1324">
        <f>'Raw Data'!R1324</f>
        <v>0</v>
      </c>
      <c r="Q1324">
        <f>'Raw Data'!S1324</f>
        <v>0</v>
      </c>
      <c r="R1324">
        <f>'Raw Data'!T1324</f>
        <v>0</v>
      </c>
      <c r="S1324">
        <f>IFERROR(O1324,0)+IFERROR(R1324,0)</f>
        <v>0</v>
      </c>
      <c r="T1324">
        <f>IF(A1324="","",YEAR(A1324))</f>
        <v>0</v>
      </c>
    </row>
    <row r="1325" spans="1:20">
      <c r="A1325">
        <f>'Raw Data'!B1325</f>
        <v>0</v>
      </c>
      <c r="B1325">
        <f>'Raw Data'!A1325</f>
        <v>0</v>
      </c>
      <c r="C1325">
        <f>'Raw Data'!C1325</f>
        <v>0</v>
      </c>
      <c r="D1325">
        <f>'Raw Data'!D1325</f>
        <v>0</v>
      </c>
      <c r="E1325">
        <f>IFERROR(VLOOKUP(D1325,'Lookup Tables'!$A:$B,2,FALSE),"Unknown")</f>
        <v>0</v>
      </c>
      <c r="F1325">
        <f>'Raw Data'!E1325</f>
        <v>0</v>
      </c>
      <c r="G1325">
        <f>IFERROR(VLOOKUP(D1325,'Lookup Tables'!$A:$C,3,FALSE),IF(ISNUMBER(SEARCH("STEEL",F1325)),"Steel","Others"))</f>
        <v>0</v>
      </c>
      <c r="H1325">
        <f>IF(ISNUMBER(SEARCH("scrubber",F1325)) , "Scrubber", IF(ISNUMBER(SEARCH("container",F1325)),"Container", IF(ISNUMBER(SEARCH("basket",F1325)),"Basket", IF(ISNUMBER(SEARCH("lunch",F1325)),"Lunch Box", IF(ISNUMBER(SEARCH("cutlery",F1325)),"Cutlery","Other")))))</f>
        <v>0</v>
      </c>
      <c r="I1325">
        <f>IF('Raw Data'!G1325&lt;&gt;'','Raw Data'!G1325,IFERROR(MID(F1325,SEARCH("MODEL",F1325)+6,20),""))</f>
        <v>0</v>
      </c>
      <c r="J1325">
        <f>'Raw Data'!H1325</f>
        <v>0</v>
      </c>
      <c r="K1325">
        <f>'Raw Data'!I1325</f>
        <v>0</v>
      </c>
      <c r="L1325">
        <f>IF('Raw Data'!N1325&lt;&gt;0,'Raw Data'!N1325,IFERROR(VALUE(MID(F1325,SEARCH("QTY",F1325)+4,IFERROR(FIND(" ",F1325,SEARCH("QTY",F1325)+4)-(SEARCH("QTY",F1325)+4),3))),""))</f>
        <v>0</v>
      </c>
      <c r="M1325">
        <f>'Raw Data'!O1325</f>
        <v>0</v>
      </c>
      <c r="N1325">
        <f>'Raw Data'!P1325</f>
        <v>0</v>
      </c>
      <c r="O1325">
        <f>'Raw Data'!Q1325</f>
        <v>0</v>
      </c>
      <c r="P1325">
        <f>'Raw Data'!R1325</f>
        <v>0</v>
      </c>
      <c r="Q1325">
        <f>'Raw Data'!S1325</f>
        <v>0</v>
      </c>
      <c r="R1325">
        <f>'Raw Data'!T1325</f>
        <v>0</v>
      </c>
      <c r="S1325">
        <f>IFERROR(O1325,0)+IFERROR(R1325,0)</f>
        <v>0</v>
      </c>
      <c r="T1325">
        <f>IF(A1325="","",YEAR(A1325))</f>
        <v>0</v>
      </c>
    </row>
    <row r="1326" spans="1:20">
      <c r="A1326">
        <f>'Raw Data'!B1326</f>
        <v>0</v>
      </c>
      <c r="B1326">
        <f>'Raw Data'!A1326</f>
        <v>0</v>
      </c>
      <c r="C1326">
        <f>'Raw Data'!C1326</f>
        <v>0</v>
      </c>
      <c r="D1326">
        <f>'Raw Data'!D1326</f>
        <v>0</v>
      </c>
      <c r="E1326">
        <f>IFERROR(VLOOKUP(D1326,'Lookup Tables'!$A:$B,2,FALSE),"Unknown")</f>
        <v>0</v>
      </c>
      <c r="F1326">
        <f>'Raw Data'!E1326</f>
        <v>0</v>
      </c>
      <c r="G1326">
        <f>IFERROR(VLOOKUP(D1326,'Lookup Tables'!$A:$C,3,FALSE),IF(ISNUMBER(SEARCH("STEEL",F1326)),"Steel","Others"))</f>
        <v>0</v>
      </c>
      <c r="H1326">
        <f>IF(ISNUMBER(SEARCH("scrubber",F1326)) , "Scrubber", IF(ISNUMBER(SEARCH("container",F1326)),"Container", IF(ISNUMBER(SEARCH("basket",F1326)),"Basket", IF(ISNUMBER(SEARCH("lunch",F1326)),"Lunch Box", IF(ISNUMBER(SEARCH("cutlery",F1326)),"Cutlery","Other")))))</f>
        <v>0</v>
      </c>
      <c r="I1326">
        <f>IF('Raw Data'!G1326&lt;&gt;'','Raw Data'!G1326,IFERROR(MID(F1326,SEARCH("MODEL",F1326)+6,20),""))</f>
        <v>0</v>
      </c>
      <c r="J1326">
        <f>'Raw Data'!H1326</f>
        <v>0</v>
      </c>
      <c r="K1326">
        <f>'Raw Data'!I1326</f>
        <v>0</v>
      </c>
      <c r="L1326">
        <f>IF('Raw Data'!N1326&lt;&gt;0,'Raw Data'!N1326,IFERROR(VALUE(MID(F1326,SEARCH("QTY",F1326)+4,IFERROR(FIND(" ",F1326,SEARCH("QTY",F1326)+4)-(SEARCH("QTY",F1326)+4),3))),""))</f>
        <v>0</v>
      </c>
      <c r="M1326">
        <f>'Raw Data'!O1326</f>
        <v>0</v>
      </c>
      <c r="N1326">
        <f>'Raw Data'!P1326</f>
        <v>0</v>
      </c>
      <c r="O1326">
        <f>'Raw Data'!Q1326</f>
        <v>0</v>
      </c>
      <c r="P1326">
        <f>'Raw Data'!R1326</f>
        <v>0</v>
      </c>
      <c r="Q1326">
        <f>'Raw Data'!S1326</f>
        <v>0</v>
      </c>
      <c r="R1326">
        <f>'Raw Data'!T1326</f>
        <v>0</v>
      </c>
      <c r="S1326">
        <f>IFERROR(O1326,0)+IFERROR(R1326,0)</f>
        <v>0</v>
      </c>
      <c r="T1326">
        <f>IF(A1326="","",YEAR(A1326))</f>
        <v>0</v>
      </c>
    </row>
    <row r="1327" spans="1:20">
      <c r="A1327">
        <f>'Raw Data'!B1327</f>
        <v>0</v>
      </c>
      <c r="B1327">
        <f>'Raw Data'!A1327</f>
        <v>0</v>
      </c>
      <c r="C1327">
        <f>'Raw Data'!C1327</f>
        <v>0</v>
      </c>
      <c r="D1327">
        <f>'Raw Data'!D1327</f>
        <v>0</v>
      </c>
      <c r="E1327">
        <f>IFERROR(VLOOKUP(D1327,'Lookup Tables'!$A:$B,2,FALSE),"Unknown")</f>
        <v>0</v>
      </c>
      <c r="F1327">
        <f>'Raw Data'!E1327</f>
        <v>0</v>
      </c>
      <c r="G1327">
        <f>IFERROR(VLOOKUP(D1327,'Lookup Tables'!$A:$C,3,FALSE),IF(ISNUMBER(SEARCH("STEEL",F1327)),"Steel","Others"))</f>
        <v>0</v>
      </c>
      <c r="H1327">
        <f>IF(ISNUMBER(SEARCH("scrubber",F1327)) , "Scrubber", IF(ISNUMBER(SEARCH("container",F1327)),"Container", IF(ISNUMBER(SEARCH("basket",F1327)),"Basket", IF(ISNUMBER(SEARCH("lunch",F1327)),"Lunch Box", IF(ISNUMBER(SEARCH("cutlery",F1327)),"Cutlery","Other")))))</f>
        <v>0</v>
      </c>
      <c r="I1327">
        <f>IF('Raw Data'!G1327&lt;&gt;'','Raw Data'!G1327,IFERROR(MID(F1327,SEARCH("MODEL",F1327)+6,20),""))</f>
        <v>0</v>
      </c>
      <c r="J1327">
        <f>'Raw Data'!H1327</f>
        <v>0</v>
      </c>
      <c r="K1327">
        <f>'Raw Data'!I1327</f>
        <v>0</v>
      </c>
      <c r="L1327">
        <f>IF('Raw Data'!N1327&lt;&gt;0,'Raw Data'!N1327,IFERROR(VALUE(MID(F1327,SEARCH("QTY",F1327)+4,IFERROR(FIND(" ",F1327,SEARCH("QTY",F1327)+4)-(SEARCH("QTY",F1327)+4),3))),""))</f>
        <v>0</v>
      </c>
      <c r="M1327">
        <f>'Raw Data'!O1327</f>
        <v>0</v>
      </c>
      <c r="N1327">
        <f>'Raw Data'!P1327</f>
        <v>0</v>
      </c>
      <c r="O1327">
        <f>'Raw Data'!Q1327</f>
        <v>0</v>
      </c>
      <c r="P1327">
        <f>'Raw Data'!R1327</f>
        <v>0</v>
      </c>
      <c r="Q1327">
        <f>'Raw Data'!S1327</f>
        <v>0</v>
      </c>
      <c r="R1327">
        <f>'Raw Data'!T1327</f>
        <v>0</v>
      </c>
      <c r="S1327">
        <f>IFERROR(O1327,0)+IFERROR(R1327,0)</f>
        <v>0</v>
      </c>
      <c r="T1327">
        <f>IF(A1327="","",YEAR(A1327))</f>
        <v>0</v>
      </c>
    </row>
    <row r="1328" spans="1:20">
      <c r="A1328">
        <f>'Raw Data'!B1328</f>
        <v>0</v>
      </c>
      <c r="B1328">
        <f>'Raw Data'!A1328</f>
        <v>0</v>
      </c>
      <c r="C1328">
        <f>'Raw Data'!C1328</f>
        <v>0</v>
      </c>
      <c r="D1328">
        <f>'Raw Data'!D1328</f>
        <v>0</v>
      </c>
      <c r="E1328">
        <f>IFERROR(VLOOKUP(D1328,'Lookup Tables'!$A:$B,2,FALSE),"Unknown")</f>
        <v>0</v>
      </c>
      <c r="F1328">
        <f>'Raw Data'!E1328</f>
        <v>0</v>
      </c>
      <c r="G1328">
        <f>IFERROR(VLOOKUP(D1328,'Lookup Tables'!$A:$C,3,FALSE),IF(ISNUMBER(SEARCH("STEEL",F1328)),"Steel","Others"))</f>
        <v>0</v>
      </c>
      <c r="H1328">
        <f>IF(ISNUMBER(SEARCH("scrubber",F1328)) , "Scrubber", IF(ISNUMBER(SEARCH("container",F1328)),"Container", IF(ISNUMBER(SEARCH("basket",F1328)),"Basket", IF(ISNUMBER(SEARCH("lunch",F1328)),"Lunch Box", IF(ISNUMBER(SEARCH("cutlery",F1328)),"Cutlery","Other")))))</f>
        <v>0</v>
      </c>
      <c r="I1328">
        <f>IF('Raw Data'!G1328&lt;&gt;'','Raw Data'!G1328,IFERROR(MID(F1328,SEARCH("MODEL",F1328)+6,20),""))</f>
        <v>0</v>
      </c>
      <c r="J1328">
        <f>'Raw Data'!H1328</f>
        <v>0</v>
      </c>
      <c r="K1328">
        <f>'Raw Data'!I1328</f>
        <v>0</v>
      </c>
      <c r="L1328">
        <f>IF('Raw Data'!N1328&lt;&gt;0,'Raw Data'!N1328,IFERROR(VALUE(MID(F1328,SEARCH("QTY",F1328)+4,IFERROR(FIND(" ",F1328,SEARCH("QTY",F1328)+4)-(SEARCH("QTY",F1328)+4),3))),""))</f>
        <v>0</v>
      </c>
      <c r="M1328">
        <f>'Raw Data'!O1328</f>
        <v>0</v>
      </c>
      <c r="N1328">
        <f>'Raw Data'!P1328</f>
        <v>0</v>
      </c>
      <c r="O1328">
        <f>'Raw Data'!Q1328</f>
        <v>0</v>
      </c>
      <c r="P1328">
        <f>'Raw Data'!R1328</f>
        <v>0</v>
      </c>
      <c r="Q1328">
        <f>'Raw Data'!S1328</f>
        <v>0</v>
      </c>
      <c r="R1328">
        <f>'Raw Data'!T1328</f>
        <v>0</v>
      </c>
      <c r="S1328">
        <f>IFERROR(O1328,0)+IFERROR(R1328,0)</f>
        <v>0</v>
      </c>
      <c r="T1328">
        <f>IF(A1328="","",YEAR(A1328))</f>
        <v>0</v>
      </c>
    </row>
    <row r="1329" spans="1:20">
      <c r="A1329">
        <f>'Raw Data'!B1329</f>
        <v>0</v>
      </c>
      <c r="B1329">
        <f>'Raw Data'!A1329</f>
        <v>0</v>
      </c>
      <c r="C1329">
        <f>'Raw Data'!C1329</f>
        <v>0</v>
      </c>
      <c r="D1329">
        <f>'Raw Data'!D1329</f>
        <v>0</v>
      </c>
      <c r="E1329">
        <f>IFERROR(VLOOKUP(D1329,'Lookup Tables'!$A:$B,2,FALSE),"Unknown")</f>
        <v>0</v>
      </c>
      <c r="F1329">
        <f>'Raw Data'!E1329</f>
        <v>0</v>
      </c>
      <c r="G1329">
        <f>IFERROR(VLOOKUP(D1329,'Lookup Tables'!$A:$C,3,FALSE),IF(ISNUMBER(SEARCH("STEEL",F1329)),"Steel","Others"))</f>
        <v>0</v>
      </c>
      <c r="H1329">
        <f>IF(ISNUMBER(SEARCH("scrubber",F1329)) , "Scrubber", IF(ISNUMBER(SEARCH("container",F1329)),"Container", IF(ISNUMBER(SEARCH("basket",F1329)),"Basket", IF(ISNUMBER(SEARCH("lunch",F1329)),"Lunch Box", IF(ISNUMBER(SEARCH("cutlery",F1329)),"Cutlery","Other")))))</f>
        <v>0</v>
      </c>
      <c r="I1329">
        <f>IF('Raw Data'!G1329&lt;&gt;'','Raw Data'!G1329,IFERROR(MID(F1329,SEARCH("MODEL",F1329)+6,20),""))</f>
        <v>0</v>
      </c>
      <c r="J1329">
        <f>'Raw Data'!H1329</f>
        <v>0</v>
      </c>
      <c r="K1329">
        <f>'Raw Data'!I1329</f>
        <v>0</v>
      </c>
      <c r="L1329">
        <f>IF('Raw Data'!N1329&lt;&gt;0,'Raw Data'!N1329,IFERROR(VALUE(MID(F1329,SEARCH("QTY",F1329)+4,IFERROR(FIND(" ",F1329,SEARCH("QTY",F1329)+4)-(SEARCH("QTY",F1329)+4),3))),""))</f>
        <v>0</v>
      </c>
      <c r="M1329">
        <f>'Raw Data'!O1329</f>
        <v>0</v>
      </c>
      <c r="N1329">
        <f>'Raw Data'!P1329</f>
        <v>0</v>
      </c>
      <c r="O1329">
        <f>'Raw Data'!Q1329</f>
        <v>0</v>
      </c>
      <c r="P1329">
        <f>'Raw Data'!R1329</f>
        <v>0</v>
      </c>
      <c r="Q1329">
        <f>'Raw Data'!S1329</f>
        <v>0</v>
      </c>
      <c r="R1329">
        <f>'Raw Data'!T1329</f>
        <v>0</v>
      </c>
      <c r="S1329">
        <f>IFERROR(O1329,0)+IFERROR(R1329,0)</f>
        <v>0</v>
      </c>
      <c r="T1329">
        <f>IF(A1329="","",YEAR(A1329))</f>
        <v>0</v>
      </c>
    </row>
    <row r="1330" spans="1:20">
      <c r="A1330">
        <f>'Raw Data'!B1330</f>
        <v>0</v>
      </c>
      <c r="B1330">
        <f>'Raw Data'!A1330</f>
        <v>0</v>
      </c>
      <c r="C1330">
        <f>'Raw Data'!C1330</f>
        <v>0</v>
      </c>
      <c r="D1330">
        <f>'Raw Data'!D1330</f>
        <v>0</v>
      </c>
      <c r="E1330">
        <f>IFERROR(VLOOKUP(D1330,'Lookup Tables'!$A:$B,2,FALSE),"Unknown")</f>
        <v>0</v>
      </c>
      <c r="F1330">
        <f>'Raw Data'!E1330</f>
        <v>0</v>
      </c>
      <c r="G1330">
        <f>IFERROR(VLOOKUP(D1330,'Lookup Tables'!$A:$C,3,FALSE),IF(ISNUMBER(SEARCH("STEEL",F1330)),"Steel","Others"))</f>
        <v>0</v>
      </c>
      <c r="H1330">
        <f>IF(ISNUMBER(SEARCH("scrubber",F1330)) , "Scrubber", IF(ISNUMBER(SEARCH("container",F1330)),"Container", IF(ISNUMBER(SEARCH("basket",F1330)),"Basket", IF(ISNUMBER(SEARCH("lunch",F1330)),"Lunch Box", IF(ISNUMBER(SEARCH("cutlery",F1330)),"Cutlery","Other")))))</f>
        <v>0</v>
      </c>
      <c r="I1330">
        <f>IF('Raw Data'!G1330&lt;&gt;'','Raw Data'!G1330,IFERROR(MID(F1330,SEARCH("MODEL",F1330)+6,20),""))</f>
        <v>0</v>
      </c>
      <c r="J1330">
        <f>'Raw Data'!H1330</f>
        <v>0</v>
      </c>
      <c r="K1330">
        <f>'Raw Data'!I1330</f>
        <v>0</v>
      </c>
      <c r="L1330">
        <f>IF('Raw Data'!N1330&lt;&gt;0,'Raw Data'!N1330,IFERROR(VALUE(MID(F1330,SEARCH("QTY",F1330)+4,IFERROR(FIND(" ",F1330,SEARCH("QTY",F1330)+4)-(SEARCH("QTY",F1330)+4),3))),""))</f>
        <v>0</v>
      </c>
      <c r="M1330">
        <f>'Raw Data'!O1330</f>
        <v>0</v>
      </c>
      <c r="N1330">
        <f>'Raw Data'!P1330</f>
        <v>0</v>
      </c>
      <c r="O1330">
        <f>'Raw Data'!Q1330</f>
        <v>0</v>
      </c>
      <c r="P1330">
        <f>'Raw Data'!R1330</f>
        <v>0</v>
      </c>
      <c r="Q1330">
        <f>'Raw Data'!S1330</f>
        <v>0</v>
      </c>
      <c r="R1330">
        <f>'Raw Data'!T1330</f>
        <v>0</v>
      </c>
      <c r="S1330">
        <f>IFERROR(O1330,0)+IFERROR(R1330,0)</f>
        <v>0</v>
      </c>
      <c r="T1330">
        <f>IF(A1330="","",YEAR(A1330))</f>
        <v>0</v>
      </c>
    </row>
    <row r="1331" spans="1:20">
      <c r="A1331">
        <f>'Raw Data'!B1331</f>
        <v>0</v>
      </c>
      <c r="B1331">
        <f>'Raw Data'!A1331</f>
        <v>0</v>
      </c>
      <c r="C1331">
        <f>'Raw Data'!C1331</f>
        <v>0</v>
      </c>
      <c r="D1331">
        <f>'Raw Data'!D1331</f>
        <v>0</v>
      </c>
      <c r="E1331">
        <f>IFERROR(VLOOKUP(D1331,'Lookup Tables'!$A:$B,2,FALSE),"Unknown")</f>
        <v>0</v>
      </c>
      <c r="F1331">
        <f>'Raw Data'!E1331</f>
        <v>0</v>
      </c>
      <c r="G1331">
        <f>IFERROR(VLOOKUP(D1331,'Lookup Tables'!$A:$C,3,FALSE),IF(ISNUMBER(SEARCH("STEEL",F1331)),"Steel","Others"))</f>
        <v>0</v>
      </c>
      <c r="H1331">
        <f>IF(ISNUMBER(SEARCH("scrubber",F1331)) , "Scrubber", IF(ISNUMBER(SEARCH("container",F1331)),"Container", IF(ISNUMBER(SEARCH("basket",F1331)),"Basket", IF(ISNUMBER(SEARCH("lunch",F1331)),"Lunch Box", IF(ISNUMBER(SEARCH("cutlery",F1331)),"Cutlery","Other")))))</f>
        <v>0</v>
      </c>
      <c r="I1331">
        <f>IF('Raw Data'!G1331&lt;&gt;'','Raw Data'!G1331,IFERROR(MID(F1331,SEARCH("MODEL",F1331)+6,20),""))</f>
        <v>0</v>
      </c>
      <c r="J1331">
        <f>'Raw Data'!H1331</f>
        <v>0</v>
      </c>
      <c r="K1331">
        <f>'Raw Data'!I1331</f>
        <v>0</v>
      </c>
      <c r="L1331">
        <f>IF('Raw Data'!N1331&lt;&gt;0,'Raw Data'!N1331,IFERROR(VALUE(MID(F1331,SEARCH("QTY",F1331)+4,IFERROR(FIND(" ",F1331,SEARCH("QTY",F1331)+4)-(SEARCH("QTY",F1331)+4),3))),""))</f>
        <v>0</v>
      </c>
      <c r="M1331">
        <f>'Raw Data'!O1331</f>
        <v>0</v>
      </c>
      <c r="N1331">
        <f>'Raw Data'!P1331</f>
        <v>0</v>
      </c>
      <c r="O1331">
        <f>'Raw Data'!Q1331</f>
        <v>0</v>
      </c>
      <c r="P1331">
        <f>'Raw Data'!R1331</f>
        <v>0</v>
      </c>
      <c r="Q1331">
        <f>'Raw Data'!S1331</f>
        <v>0</v>
      </c>
      <c r="R1331">
        <f>'Raw Data'!T1331</f>
        <v>0</v>
      </c>
      <c r="S1331">
        <f>IFERROR(O1331,0)+IFERROR(R1331,0)</f>
        <v>0</v>
      </c>
      <c r="T1331">
        <f>IF(A1331="","",YEAR(A1331))</f>
        <v>0</v>
      </c>
    </row>
    <row r="1332" spans="1:20">
      <c r="A1332">
        <f>'Raw Data'!B1332</f>
        <v>0</v>
      </c>
      <c r="B1332">
        <f>'Raw Data'!A1332</f>
        <v>0</v>
      </c>
      <c r="C1332">
        <f>'Raw Data'!C1332</f>
        <v>0</v>
      </c>
      <c r="D1332">
        <f>'Raw Data'!D1332</f>
        <v>0</v>
      </c>
      <c r="E1332">
        <f>IFERROR(VLOOKUP(D1332,'Lookup Tables'!$A:$B,2,FALSE),"Unknown")</f>
        <v>0</v>
      </c>
      <c r="F1332">
        <f>'Raw Data'!E1332</f>
        <v>0</v>
      </c>
      <c r="G1332">
        <f>IFERROR(VLOOKUP(D1332,'Lookup Tables'!$A:$C,3,FALSE),IF(ISNUMBER(SEARCH("STEEL",F1332)),"Steel","Others"))</f>
        <v>0</v>
      </c>
      <c r="H1332">
        <f>IF(ISNUMBER(SEARCH("scrubber",F1332)) , "Scrubber", IF(ISNUMBER(SEARCH("container",F1332)),"Container", IF(ISNUMBER(SEARCH("basket",F1332)),"Basket", IF(ISNUMBER(SEARCH("lunch",F1332)),"Lunch Box", IF(ISNUMBER(SEARCH("cutlery",F1332)),"Cutlery","Other")))))</f>
        <v>0</v>
      </c>
      <c r="I1332">
        <f>IF('Raw Data'!G1332&lt;&gt;'','Raw Data'!G1332,IFERROR(MID(F1332,SEARCH("MODEL",F1332)+6,20),""))</f>
        <v>0</v>
      </c>
      <c r="J1332">
        <f>'Raw Data'!H1332</f>
        <v>0</v>
      </c>
      <c r="K1332">
        <f>'Raw Data'!I1332</f>
        <v>0</v>
      </c>
      <c r="L1332">
        <f>IF('Raw Data'!N1332&lt;&gt;0,'Raw Data'!N1332,IFERROR(VALUE(MID(F1332,SEARCH("QTY",F1332)+4,IFERROR(FIND(" ",F1332,SEARCH("QTY",F1332)+4)-(SEARCH("QTY",F1332)+4),3))),""))</f>
        <v>0</v>
      </c>
      <c r="M1332">
        <f>'Raw Data'!O1332</f>
        <v>0</v>
      </c>
      <c r="N1332">
        <f>'Raw Data'!P1332</f>
        <v>0</v>
      </c>
      <c r="O1332">
        <f>'Raw Data'!Q1332</f>
        <v>0</v>
      </c>
      <c r="P1332">
        <f>'Raw Data'!R1332</f>
        <v>0</v>
      </c>
      <c r="Q1332">
        <f>'Raw Data'!S1332</f>
        <v>0</v>
      </c>
      <c r="R1332">
        <f>'Raw Data'!T1332</f>
        <v>0</v>
      </c>
      <c r="S1332">
        <f>IFERROR(O1332,0)+IFERROR(R1332,0)</f>
        <v>0</v>
      </c>
      <c r="T1332">
        <f>IF(A1332="","",YEAR(A1332))</f>
        <v>0</v>
      </c>
    </row>
    <row r="1333" spans="1:20">
      <c r="A1333">
        <f>'Raw Data'!B1333</f>
        <v>0</v>
      </c>
      <c r="B1333">
        <f>'Raw Data'!A1333</f>
        <v>0</v>
      </c>
      <c r="C1333">
        <f>'Raw Data'!C1333</f>
        <v>0</v>
      </c>
      <c r="D1333">
        <f>'Raw Data'!D1333</f>
        <v>0</v>
      </c>
      <c r="E1333">
        <f>IFERROR(VLOOKUP(D1333,'Lookup Tables'!$A:$B,2,FALSE),"Unknown")</f>
        <v>0</v>
      </c>
      <c r="F1333">
        <f>'Raw Data'!E1333</f>
        <v>0</v>
      </c>
      <c r="G1333">
        <f>IFERROR(VLOOKUP(D1333,'Lookup Tables'!$A:$C,3,FALSE),IF(ISNUMBER(SEARCH("STEEL",F1333)),"Steel","Others"))</f>
        <v>0</v>
      </c>
      <c r="H1333">
        <f>IF(ISNUMBER(SEARCH("scrubber",F1333)) , "Scrubber", IF(ISNUMBER(SEARCH("container",F1333)),"Container", IF(ISNUMBER(SEARCH("basket",F1333)),"Basket", IF(ISNUMBER(SEARCH("lunch",F1333)),"Lunch Box", IF(ISNUMBER(SEARCH("cutlery",F1333)),"Cutlery","Other")))))</f>
        <v>0</v>
      </c>
      <c r="I1333">
        <f>IF('Raw Data'!G1333&lt;&gt;'','Raw Data'!G1333,IFERROR(MID(F1333,SEARCH("MODEL",F1333)+6,20),""))</f>
        <v>0</v>
      </c>
      <c r="J1333">
        <f>'Raw Data'!H1333</f>
        <v>0</v>
      </c>
      <c r="K1333">
        <f>'Raw Data'!I1333</f>
        <v>0</v>
      </c>
      <c r="L1333">
        <f>IF('Raw Data'!N1333&lt;&gt;0,'Raw Data'!N1333,IFERROR(VALUE(MID(F1333,SEARCH("QTY",F1333)+4,IFERROR(FIND(" ",F1333,SEARCH("QTY",F1333)+4)-(SEARCH("QTY",F1333)+4),3))),""))</f>
        <v>0</v>
      </c>
      <c r="M1333">
        <f>'Raw Data'!O1333</f>
        <v>0</v>
      </c>
      <c r="N1333">
        <f>'Raw Data'!P1333</f>
        <v>0</v>
      </c>
      <c r="O1333">
        <f>'Raw Data'!Q1333</f>
        <v>0</v>
      </c>
      <c r="P1333">
        <f>'Raw Data'!R1333</f>
        <v>0</v>
      </c>
      <c r="Q1333">
        <f>'Raw Data'!S1333</f>
        <v>0</v>
      </c>
      <c r="R1333">
        <f>'Raw Data'!T1333</f>
        <v>0</v>
      </c>
      <c r="S1333">
        <f>IFERROR(O1333,0)+IFERROR(R1333,0)</f>
        <v>0</v>
      </c>
      <c r="T1333">
        <f>IF(A1333="","",YEAR(A1333))</f>
        <v>0</v>
      </c>
    </row>
    <row r="1334" spans="1:20">
      <c r="A1334">
        <f>'Raw Data'!B1334</f>
        <v>0</v>
      </c>
      <c r="B1334">
        <f>'Raw Data'!A1334</f>
        <v>0</v>
      </c>
      <c r="C1334">
        <f>'Raw Data'!C1334</f>
        <v>0</v>
      </c>
      <c r="D1334">
        <f>'Raw Data'!D1334</f>
        <v>0</v>
      </c>
      <c r="E1334">
        <f>IFERROR(VLOOKUP(D1334,'Lookup Tables'!$A:$B,2,FALSE),"Unknown")</f>
        <v>0</v>
      </c>
      <c r="F1334">
        <f>'Raw Data'!E1334</f>
        <v>0</v>
      </c>
      <c r="G1334">
        <f>IFERROR(VLOOKUP(D1334,'Lookup Tables'!$A:$C,3,FALSE),IF(ISNUMBER(SEARCH("STEEL",F1334)),"Steel","Others"))</f>
        <v>0</v>
      </c>
      <c r="H1334">
        <f>IF(ISNUMBER(SEARCH("scrubber",F1334)) , "Scrubber", IF(ISNUMBER(SEARCH("container",F1334)),"Container", IF(ISNUMBER(SEARCH("basket",F1334)),"Basket", IF(ISNUMBER(SEARCH("lunch",F1334)),"Lunch Box", IF(ISNUMBER(SEARCH("cutlery",F1334)),"Cutlery","Other")))))</f>
        <v>0</v>
      </c>
      <c r="I1334">
        <f>IF('Raw Data'!G1334&lt;&gt;'','Raw Data'!G1334,IFERROR(MID(F1334,SEARCH("MODEL",F1334)+6,20),""))</f>
        <v>0</v>
      </c>
      <c r="J1334">
        <f>'Raw Data'!H1334</f>
        <v>0</v>
      </c>
      <c r="K1334">
        <f>'Raw Data'!I1334</f>
        <v>0</v>
      </c>
      <c r="L1334">
        <f>IF('Raw Data'!N1334&lt;&gt;0,'Raw Data'!N1334,IFERROR(VALUE(MID(F1334,SEARCH("QTY",F1334)+4,IFERROR(FIND(" ",F1334,SEARCH("QTY",F1334)+4)-(SEARCH("QTY",F1334)+4),3))),""))</f>
        <v>0</v>
      </c>
      <c r="M1334">
        <f>'Raw Data'!O1334</f>
        <v>0</v>
      </c>
      <c r="N1334">
        <f>'Raw Data'!P1334</f>
        <v>0</v>
      </c>
      <c r="O1334">
        <f>'Raw Data'!Q1334</f>
        <v>0</v>
      </c>
      <c r="P1334">
        <f>'Raw Data'!R1334</f>
        <v>0</v>
      </c>
      <c r="Q1334">
        <f>'Raw Data'!S1334</f>
        <v>0</v>
      </c>
      <c r="R1334">
        <f>'Raw Data'!T1334</f>
        <v>0</v>
      </c>
      <c r="S1334">
        <f>IFERROR(O1334,0)+IFERROR(R1334,0)</f>
        <v>0</v>
      </c>
      <c r="T1334">
        <f>IF(A1334="","",YEAR(A1334))</f>
        <v>0</v>
      </c>
    </row>
    <row r="1335" spans="1:20">
      <c r="A1335">
        <f>'Raw Data'!B1335</f>
        <v>0</v>
      </c>
      <c r="B1335">
        <f>'Raw Data'!A1335</f>
        <v>0</v>
      </c>
      <c r="C1335">
        <f>'Raw Data'!C1335</f>
        <v>0</v>
      </c>
      <c r="D1335">
        <f>'Raw Data'!D1335</f>
        <v>0</v>
      </c>
      <c r="E1335">
        <f>IFERROR(VLOOKUP(D1335,'Lookup Tables'!$A:$B,2,FALSE),"Unknown")</f>
        <v>0</v>
      </c>
      <c r="F1335">
        <f>'Raw Data'!E1335</f>
        <v>0</v>
      </c>
      <c r="G1335">
        <f>IFERROR(VLOOKUP(D1335,'Lookup Tables'!$A:$C,3,FALSE),IF(ISNUMBER(SEARCH("STEEL",F1335)),"Steel","Others"))</f>
        <v>0</v>
      </c>
      <c r="H1335">
        <f>IF(ISNUMBER(SEARCH("scrubber",F1335)) , "Scrubber", IF(ISNUMBER(SEARCH("container",F1335)),"Container", IF(ISNUMBER(SEARCH("basket",F1335)),"Basket", IF(ISNUMBER(SEARCH("lunch",F1335)),"Lunch Box", IF(ISNUMBER(SEARCH("cutlery",F1335)),"Cutlery","Other")))))</f>
        <v>0</v>
      </c>
      <c r="I1335">
        <f>IF('Raw Data'!G1335&lt;&gt;'','Raw Data'!G1335,IFERROR(MID(F1335,SEARCH("MODEL",F1335)+6,20),""))</f>
        <v>0</v>
      </c>
      <c r="J1335">
        <f>'Raw Data'!H1335</f>
        <v>0</v>
      </c>
      <c r="K1335">
        <f>'Raw Data'!I1335</f>
        <v>0</v>
      </c>
      <c r="L1335">
        <f>IF('Raw Data'!N1335&lt;&gt;0,'Raw Data'!N1335,IFERROR(VALUE(MID(F1335,SEARCH("QTY",F1335)+4,IFERROR(FIND(" ",F1335,SEARCH("QTY",F1335)+4)-(SEARCH("QTY",F1335)+4),3))),""))</f>
        <v>0</v>
      </c>
      <c r="M1335">
        <f>'Raw Data'!O1335</f>
        <v>0</v>
      </c>
      <c r="N1335">
        <f>'Raw Data'!P1335</f>
        <v>0</v>
      </c>
      <c r="O1335">
        <f>'Raw Data'!Q1335</f>
        <v>0</v>
      </c>
      <c r="P1335">
        <f>'Raw Data'!R1335</f>
        <v>0</v>
      </c>
      <c r="Q1335">
        <f>'Raw Data'!S1335</f>
        <v>0</v>
      </c>
      <c r="R1335">
        <f>'Raw Data'!T1335</f>
        <v>0</v>
      </c>
      <c r="S1335">
        <f>IFERROR(O1335,0)+IFERROR(R1335,0)</f>
        <v>0</v>
      </c>
      <c r="T1335">
        <f>IF(A1335="","",YEAR(A1335))</f>
        <v>0</v>
      </c>
    </row>
    <row r="1336" spans="1:20">
      <c r="A1336">
        <f>'Raw Data'!B1336</f>
        <v>0</v>
      </c>
      <c r="B1336">
        <f>'Raw Data'!A1336</f>
        <v>0</v>
      </c>
      <c r="C1336">
        <f>'Raw Data'!C1336</f>
        <v>0</v>
      </c>
      <c r="D1336">
        <f>'Raw Data'!D1336</f>
        <v>0</v>
      </c>
      <c r="E1336">
        <f>IFERROR(VLOOKUP(D1336,'Lookup Tables'!$A:$B,2,FALSE),"Unknown")</f>
        <v>0</v>
      </c>
      <c r="F1336">
        <f>'Raw Data'!E1336</f>
        <v>0</v>
      </c>
      <c r="G1336">
        <f>IFERROR(VLOOKUP(D1336,'Lookup Tables'!$A:$C,3,FALSE),IF(ISNUMBER(SEARCH("STEEL",F1336)),"Steel","Others"))</f>
        <v>0</v>
      </c>
      <c r="H1336">
        <f>IF(ISNUMBER(SEARCH("scrubber",F1336)) , "Scrubber", IF(ISNUMBER(SEARCH("container",F1336)),"Container", IF(ISNUMBER(SEARCH("basket",F1336)),"Basket", IF(ISNUMBER(SEARCH("lunch",F1336)),"Lunch Box", IF(ISNUMBER(SEARCH("cutlery",F1336)),"Cutlery","Other")))))</f>
        <v>0</v>
      </c>
      <c r="I1336">
        <f>IF('Raw Data'!G1336&lt;&gt;'','Raw Data'!G1336,IFERROR(MID(F1336,SEARCH("MODEL",F1336)+6,20),""))</f>
        <v>0</v>
      </c>
      <c r="J1336">
        <f>'Raw Data'!H1336</f>
        <v>0</v>
      </c>
      <c r="K1336">
        <f>'Raw Data'!I1336</f>
        <v>0</v>
      </c>
      <c r="L1336">
        <f>IF('Raw Data'!N1336&lt;&gt;0,'Raw Data'!N1336,IFERROR(VALUE(MID(F1336,SEARCH("QTY",F1336)+4,IFERROR(FIND(" ",F1336,SEARCH("QTY",F1336)+4)-(SEARCH("QTY",F1336)+4),3))),""))</f>
        <v>0</v>
      </c>
      <c r="M1336">
        <f>'Raw Data'!O1336</f>
        <v>0</v>
      </c>
      <c r="N1336">
        <f>'Raw Data'!P1336</f>
        <v>0</v>
      </c>
      <c r="O1336">
        <f>'Raw Data'!Q1336</f>
        <v>0</v>
      </c>
      <c r="P1336">
        <f>'Raw Data'!R1336</f>
        <v>0</v>
      </c>
      <c r="Q1336">
        <f>'Raw Data'!S1336</f>
        <v>0</v>
      </c>
      <c r="R1336">
        <f>'Raw Data'!T1336</f>
        <v>0</v>
      </c>
      <c r="S1336">
        <f>IFERROR(O1336,0)+IFERROR(R1336,0)</f>
        <v>0</v>
      </c>
      <c r="T1336">
        <f>IF(A1336="","",YEAR(A1336))</f>
        <v>0</v>
      </c>
    </row>
    <row r="1337" spans="1:20">
      <c r="A1337">
        <f>'Raw Data'!B1337</f>
        <v>0</v>
      </c>
      <c r="B1337">
        <f>'Raw Data'!A1337</f>
        <v>0</v>
      </c>
      <c r="C1337">
        <f>'Raw Data'!C1337</f>
        <v>0</v>
      </c>
      <c r="D1337">
        <f>'Raw Data'!D1337</f>
        <v>0</v>
      </c>
      <c r="E1337">
        <f>IFERROR(VLOOKUP(D1337,'Lookup Tables'!$A:$B,2,FALSE),"Unknown")</f>
        <v>0</v>
      </c>
      <c r="F1337">
        <f>'Raw Data'!E1337</f>
        <v>0</v>
      </c>
      <c r="G1337">
        <f>IFERROR(VLOOKUP(D1337,'Lookup Tables'!$A:$C,3,FALSE),IF(ISNUMBER(SEARCH("STEEL",F1337)),"Steel","Others"))</f>
        <v>0</v>
      </c>
      <c r="H1337">
        <f>IF(ISNUMBER(SEARCH("scrubber",F1337)) , "Scrubber", IF(ISNUMBER(SEARCH("container",F1337)),"Container", IF(ISNUMBER(SEARCH("basket",F1337)),"Basket", IF(ISNUMBER(SEARCH("lunch",F1337)),"Lunch Box", IF(ISNUMBER(SEARCH("cutlery",F1337)),"Cutlery","Other")))))</f>
        <v>0</v>
      </c>
      <c r="I1337">
        <f>IF('Raw Data'!G1337&lt;&gt;'','Raw Data'!G1337,IFERROR(MID(F1337,SEARCH("MODEL",F1337)+6,20),""))</f>
        <v>0</v>
      </c>
      <c r="J1337">
        <f>'Raw Data'!H1337</f>
        <v>0</v>
      </c>
      <c r="K1337">
        <f>'Raw Data'!I1337</f>
        <v>0</v>
      </c>
      <c r="L1337">
        <f>IF('Raw Data'!N1337&lt;&gt;0,'Raw Data'!N1337,IFERROR(VALUE(MID(F1337,SEARCH("QTY",F1337)+4,IFERROR(FIND(" ",F1337,SEARCH("QTY",F1337)+4)-(SEARCH("QTY",F1337)+4),3))),""))</f>
        <v>0</v>
      </c>
      <c r="M1337">
        <f>'Raw Data'!O1337</f>
        <v>0</v>
      </c>
      <c r="N1337">
        <f>'Raw Data'!P1337</f>
        <v>0</v>
      </c>
      <c r="O1337">
        <f>'Raw Data'!Q1337</f>
        <v>0</v>
      </c>
      <c r="P1337">
        <f>'Raw Data'!R1337</f>
        <v>0</v>
      </c>
      <c r="Q1337">
        <f>'Raw Data'!S1337</f>
        <v>0</v>
      </c>
      <c r="R1337">
        <f>'Raw Data'!T1337</f>
        <v>0</v>
      </c>
      <c r="S1337">
        <f>IFERROR(O1337,0)+IFERROR(R1337,0)</f>
        <v>0</v>
      </c>
      <c r="T1337">
        <f>IF(A1337="","",YEAR(A1337))</f>
        <v>0</v>
      </c>
    </row>
    <row r="1338" spans="1:20">
      <c r="A1338">
        <f>'Raw Data'!B1338</f>
        <v>0</v>
      </c>
      <c r="B1338">
        <f>'Raw Data'!A1338</f>
        <v>0</v>
      </c>
      <c r="C1338">
        <f>'Raw Data'!C1338</f>
        <v>0</v>
      </c>
      <c r="D1338">
        <f>'Raw Data'!D1338</f>
        <v>0</v>
      </c>
      <c r="E1338">
        <f>IFERROR(VLOOKUP(D1338,'Lookup Tables'!$A:$B,2,FALSE),"Unknown")</f>
        <v>0</v>
      </c>
      <c r="F1338">
        <f>'Raw Data'!E1338</f>
        <v>0</v>
      </c>
      <c r="G1338">
        <f>IFERROR(VLOOKUP(D1338,'Lookup Tables'!$A:$C,3,FALSE),IF(ISNUMBER(SEARCH("STEEL",F1338)),"Steel","Others"))</f>
        <v>0</v>
      </c>
      <c r="H1338">
        <f>IF(ISNUMBER(SEARCH("scrubber",F1338)) , "Scrubber", IF(ISNUMBER(SEARCH("container",F1338)),"Container", IF(ISNUMBER(SEARCH("basket",F1338)),"Basket", IF(ISNUMBER(SEARCH("lunch",F1338)),"Lunch Box", IF(ISNUMBER(SEARCH("cutlery",F1338)),"Cutlery","Other")))))</f>
        <v>0</v>
      </c>
      <c r="I1338">
        <f>IF('Raw Data'!G1338&lt;&gt;'','Raw Data'!G1338,IFERROR(MID(F1338,SEARCH("MODEL",F1338)+6,20),""))</f>
        <v>0</v>
      </c>
      <c r="J1338">
        <f>'Raw Data'!H1338</f>
        <v>0</v>
      </c>
      <c r="K1338">
        <f>'Raw Data'!I1338</f>
        <v>0</v>
      </c>
      <c r="L1338">
        <f>IF('Raw Data'!N1338&lt;&gt;0,'Raw Data'!N1338,IFERROR(VALUE(MID(F1338,SEARCH("QTY",F1338)+4,IFERROR(FIND(" ",F1338,SEARCH("QTY",F1338)+4)-(SEARCH("QTY",F1338)+4),3))),""))</f>
        <v>0</v>
      </c>
      <c r="M1338">
        <f>'Raw Data'!O1338</f>
        <v>0</v>
      </c>
      <c r="N1338">
        <f>'Raw Data'!P1338</f>
        <v>0</v>
      </c>
      <c r="O1338">
        <f>'Raw Data'!Q1338</f>
        <v>0</v>
      </c>
      <c r="P1338">
        <f>'Raw Data'!R1338</f>
        <v>0</v>
      </c>
      <c r="Q1338">
        <f>'Raw Data'!S1338</f>
        <v>0</v>
      </c>
      <c r="R1338">
        <f>'Raw Data'!T1338</f>
        <v>0</v>
      </c>
      <c r="S1338">
        <f>IFERROR(O1338,0)+IFERROR(R1338,0)</f>
        <v>0</v>
      </c>
      <c r="T1338">
        <f>IF(A1338="","",YEAR(A1338))</f>
        <v>0</v>
      </c>
    </row>
    <row r="1339" spans="1:20">
      <c r="A1339">
        <f>'Raw Data'!B1339</f>
        <v>0</v>
      </c>
      <c r="B1339">
        <f>'Raw Data'!A1339</f>
        <v>0</v>
      </c>
      <c r="C1339">
        <f>'Raw Data'!C1339</f>
        <v>0</v>
      </c>
      <c r="D1339">
        <f>'Raw Data'!D1339</f>
        <v>0</v>
      </c>
      <c r="E1339">
        <f>IFERROR(VLOOKUP(D1339,'Lookup Tables'!$A:$B,2,FALSE),"Unknown")</f>
        <v>0</v>
      </c>
      <c r="F1339">
        <f>'Raw Data'!E1339</f>
        <v>0</v>
      </c>
      <c r="G1339">
        <f>IFERROR(VLOOKUP(D1339,'Lookup Tables'!$A:$C,3,FALSE),IF(ISNUMBER(SEARCH("STEEL",F1339)),"Steel","Others"))</f>
        <v>0</v>
      </c>
      <c r="H1339">
        <f>IF(ISNUMBER(SEARCH("scrubber",F1339)) , "Scrubber", IF(ISNUMBER(SEARCH("container",F1339)),"Container", IF(ISNUMBER(SEARCH("basket",F1339)),"Basket", IF(ISNUMBER(SEARCH("lunch",F1339)),"Lunch Box", IF(ISNUMBER(SEARCH("cutlery",F1339)),"Cutlery","Other")))))</f>
        <v>0</v>
      </c>
      <c r="I1339">
        <f>IF('Raw Data'!G1339&lt;&gt;'','Raw Data'!G1339,IFERROR(MID(F1339,SEARCH("MODEL",F1339)+6,20),""))</f>
        <v>0</v>
      </c>
      <c r="J1339">
        <f>'Raw Data'!H1339</f>
        <v>0</v>
      </c>
      <c r="K1339">
        <f>'Raw Data'!I1339</f>
        <v>0</v>
      </c>
      <c r="L1339">
        <f>IF('Raw Data'!N1339&lt;&gt;0,'Raw Data'!N1339,IFERROR(VALUE(MID(F1339,SEARCH("QTY",F1339)+4,IFERROR(FIND(" ",F1339,SEARCH("QTY",F1339)+4)-(SEARCH("QTY",F1339)+4),3))),""))</f>
        <v>0</v>
      </c>
      <c r="M1339">
        <f>'Raw Data'!O1339</f>
        <v>0</v>
      </c>
      <c r="N1339">
        <f>'Raw Data'!P1339</f>
        <v>0</v>
      </c>
      <c r="O1339">
        <f>'Raw Data'!Q1339</f>
        <v>0</v>
      </c>
      <c r="P1339">
        <f>'Raw Data'!R1339</f>
        <v>0</v>
      </c>
      <c r="Q1339">
        <f>'Raw Data'!S1339</f>
        <v>0</v>
      </c>
      <c r="R1339">
        <f>'Raw Data'!T1339</f>
        <v>0</v>
      </c>
      <c r="S1339">
        <f>IFERROR(O1339,0)+IFERROR(R1339,0)</f>
        <v>0</v>
      </c>
      <c r="T1339">
        <f>IF(A1339="","",YEAR(A1339))</f>
        <v>0</v>
      </c>
    </row>
    <row r="1340" spans="1:20">
      <c r="A1340">
        <f>'Raw Data'!B1340</f>
        <v>0</v>
      </c>
      <c r="B1340">
        <f>'Raw Data'!A1340</f>
        <v>0</v>
      </c>
      <c r="C1340">
        <f>'Raw Data'!C1340</f>
        <v>0</v>
      </c>
      <c r="D1340">
        <f>'Raw Data'!D1340</f>
        <v>0</v>
      </c>
      <c r="E1340">
        <f>IFERROR(VLOOKUP(D1340,'Lookup Tables'!$A:$B,2,FALSE),"Unknown")</f>
        <v>0</v>
      </c>
      <c r="F1340">
        <f>'Raw Data'!E1340</f>
        <v>0</v>
      </c>
      <c r="G1340">
        <f>IFERROR(VLOOKUP(D1340,'Lookup Tables'!$A:$C,3,FALSE),IF(ISNUMBER(SEARCH("STEEL",F1340)),"Steel","Others"))</f>
        <v>0</v>
      </c>
      <c r="H1340">
        <f>IF(ISNUMBER(SEARCH("scrubber",F1340)) , "Scrubber", IF(ISNUMBER(SEARCH("container",F1340)),"Container", IF(ISNUMBER(SEARCH("basket",F1340)),"Basket", IF(ISNUMBER(SEARCH("lunch",F1340)),"Lunch Box", IF(ISNUMBER(SEARCH("cutlery",F1340)),"Cutlery","Other")))))</f>
        <v>0</v>
      </c>
      <c r="I1340">
        <f>IF('Raw Data'!G1340&lt;&gt;'','Raw Data'!G1340,IFERROR(MID(F1340,SEARCH("MODEL",F1340)+6,20),""))</f>
        <v>0</v>
      </c>
      <c r="J1340">
        <f>'Raw Data'!H1340</f>
        <v>0</v>
      </c>
      <c r="K1340">
        <f>'Raw Data'!I1340</f>
        <v>0</v>
      </c>
      <c r="L1340">
        <f>IF('Raw Data'!N1340&lt;&gt;0,'Raw Data'!N1340,IFERROR(VALUE(MID(F1340,SEARCH("QTY",F1340)+4,IFERROR(FIND(" ",F1340,SEARCH("QTY",F1340)+4)-(SEARCH("QTY",F1340)+4),3))),""))</f>
        <v>0</v>
      </c>
      <c r="M1340">
        <f>'Raw Data'!O1340</f>
        <v>0</v>
      </c>
      <c r="N1340">
        <f>'Raw Data'!P1340</f>
        <v>0</v>
      </c>
      <c r="O1340">
        <f>'Raw Data'!Q1340</f>
        <v>0</v>
      </c>
      <c r="P1340">
        <f>'Raw Data'!R1340</f>
        <v>0</v>
      </c>
      <c r="Q1340">
        <f>'Raw Data'!S1340</f>
        <v>0</v>
      </c>
      <c r="R1340">
        <f>'Raw Data'!T1340</f>
        <v>0</v>
      </c>
      <c r="S1340">
        <f>IFERROR(O1340,0)+IFERROR(R1340,0)</f>
        <v>0</v>
      </c>
      <c r="T1340">
        <f>IF(A1340="","",YEAR(A1340))</f>
        <v>0</v>
      </c>
    </row>
    <row r="1341" spans="1:20">
      <c r="A1341">
        <f>'Raw Data'!B1341</f>
        <v>0</v>
      </c>
      <c r="B1341">
        <f>'Raw Data'!A1341</f>
        <v>0</v>
      </c>
      <c r="C1341">
        <f>'Raw Data'!C1341</f>
        <v>0</v>
      </c>
      <c r="D1341">
        <f>'Raw Data'!D1341</f>
        <v>0</v>
      </c>
      <c r="E1341">
        <f>IFERROR(VLOOKUP(D1341,'Lookup Tables'!$A:$B,2,FALSE),"Unknown")</f>
        <v>0</v>
      </c>
      <c r="F1341">
        <f>'Raw Data'!E1341</f>
        <v>0</v>
      </c>
      <c r="G1341">
        <f>IFERROR(VLOOKUP(D1341,'Lookup Tables'!$A:$C,3,FALSE),IF(ISNUMBER(SEARCH("STEEL",F1341)),"Steel","Others"))</f>
        <v>0</v>
      </c>
      <c r="H1341">
        <f>IF(ISNUMBER(SEARCH("scrubber",F1341)) , "Scrubber", IF(ISNUMBER(SEARCH("container",F1341)),"Container", IF(ISNUMBER(SEARCH("basket",F1341)),"Basket", IF(ISNUMBER(SEARCH("lunch",F1341)),"Lunch Box", IF(ISNUMBER(SEARCH("cutlery",F1341)),"Cutlery","Other")))))</f>
        <v>0</v>
      </c>
      <c r="I1341">
        <f>IF('Raw Data'!G1341&lt;&gt;'','Raw Data'!G1341,IFERROR(MID(F1341,SEARCH("MODEL",F1341)+6,20),""))</f>
        <v>0</v>
      </c>
      <c r="J1341">
        <f>'Raw Data'!H1341</f>
        <v>0</v>
      </c>
      <c r="K1341">
        <f>'Raw Data'!I1341</f>
        <v>0</v>
      </c>
      <c r="L1341">
        <f>IF('Raw Data'!N1341&lt;&gt;0,'Raw Data'!N1341,IFERROR(VALUE(MID(F1341,SEARCH("QTY",F1341)+4,IFERROR(FIND(" ",F1341,SEARCH("QTY",F1341)+4)-(SEARCH("QTY",F1341)+4),3))),""))</f>
        <v>0</v>
      </c>
      <c r="M1341">
        <f>'Raw Data'!O1341</f>
        <v>0</v>
      </c>
      <c r="N1341">
        <f>'Raw Data'!P1341</f>
        <v>0</v>
      </c>
      <c r="O1341">
        <f>'Raw Data'!Q1341</f>
        <v>0</v>
      </c>
      <c r="P1341">
        <f>'Raw Data'!R1341</f>
        <v>0</v>
      </c>
      <c r="Q1341">
        <f>'Raw Data'!S1341</f>
        <v>0</v>
      </c>
      <c r="R1341">
        <f>'Raw Data'!T1341</f>
        <v>0</v>
      </c>
      <c r="S1341">
        <f>IFERROR(O1341,0)+IFERROR(R1341,0)</f>
        <v>0</v>
      </c>
      <c r="T1341">
        <f>IF(A1341="","",YEAR(A1341))</f>
        <v>0</v>
      </c>
    </row>
    <row r="1342" spans="1:20">
      <c r="A1342">
        <f>'Raw Data'!B1342</f>
        <v>0</v>
      </c>
      <c r="B1342">
        <f>'Raw Data'!A1342</f>
        <v>0</v>
      </c>
      <c r="C1342">
        <f>'Raw Data'!C1342</f>
        <v>0</v>
      </c>
      <c r="D1342">
        <f>'Raw Data'!D1342</f>
        <v>0</v>
      </c>
      <c r="E1342">
        <f>IFERROR(VLOOKUP(D1342,'Lookup Tables'!$A:$B,2,FALSE),"Unknown")</f>
        <v>0</v>
      </c>
      <c r="F1342">
        <f>'Raw Data'!E1342</f>
        <v>0</v>
      </c>
      <c r="G1342">
        <f>IFERROR(VLOOKUP(D1342,'Lookup Tables'!$A:$C,3,FALSE),IF(ISNUMBER(SEARCH("STEEL",F1342)),"Steel","Others"))</f>
        <v>0</v>
      </c>
      <c r="H1342">
        <f>IF(ISNUMBER(SEARCH("scrubber",F1342)) , "Scrubber", IF(ISNUMBER(SEARCH("container",F1342)),"Container", IF(ISNUMBER(SEARCH("basket",F1342)),"Basket", IF(ISNUMBER(SEARCH("lunch",F1342)),"Lunch Box", IF(ISNUMBER(SEARCH("cutlery",F1342)),"Cutlery","Other")))))</f>
        <v>0</v>
      </c>
      <c r="I1342">
        <f>IF('Raw Data'!G1342&lt;&gt;'','Raw Data'!G1342,IFERROR(MID(F1342,SEARCH("MODEL",F1342)+6,20),""))</f>
        <v>0</v>
      </c>
      <c r="J1342">
        <f>'Raw Data'!H1342</f>
        <v>0</v>
      </c>
      <c r="K1342">
        <f>'Raw Data'!I1342</f>
        <v>0</v>
      </c>
      <c r="L1342">
        <f>IF('Raw Data'!N1342&lt;&gt;0,'Raw Data'!N1342,IFERROR(VALUE(MID(F1342,SEARCH("QTY",F1342)+4,IFERROR(FIND(" ",F1342,SEARCH("QTY",F1342)+4)-(SEARCH("QTY",F1342)+4),3))),""))</f>
        <v>0</v>
      </c>
      <c r="M1342">
        <f>'Raw Data'!O1342</f>
        <v>0</v>
      </c>
      <c r="N1342">
        <f>'Raw Data'!P1342</f>
        <v>0</v>
      </c>
      <c r="O1342">
        <f>'Raw Data'!Q1342</f>
        <v>0</v>
      </c>
      <c r="P1342">
        <f>'Raw Data'!R1342</f>
        <v>0</v>
      </c>
      <c r="Q1342">
        <f>'Raw Data'!S1342</f>
        <v>0</v>
      </c>
      <c r="R1342">
        <f>'Raw Data'!T1342</f>
        <v>0</v>
      </c>
      <c r="S1342">
        <f>IFERROR(O1342,0)+IFERROR(R1342,0)</f>
        <v>0</v>
      </c>
      <c r="T1342">
        <f>IF(A1342="","",YEAR(A1342))</f>
        <v>0</v>
      </c>
    </row>
    <row r="1343" spans="1:20">
      <c r="A1343">
        <f>'Raw Data'!B1343</f>
        <v>0</v>
      </c>
      <c r="B1343">
        <f>'Raw Data'!A1343</f>
        <v>0</v>
      </c>
      <c r="C1343">
        <f>'Raw Data'!C1343</f>
        <v>0</v>
      </c>
      <c r="D1343">
        <f>'Raw Data'!D1343</f>
        <v>0</v>
      </c>
      <c r="E1343">
        <f>IFERROR(VLOOKUP(D1343,'Lookup Tables'!$A:$B,2,FALSE),"Unknown")</f>
        <v>0</v>
      </c>
      <c r="F1343">
        <f>'Raw Data'!E1343</f>
        <v>0</v>
      </c>
      <c r="G1343">
        <f>IFERROR(VLOOKUP(D1343,'Lookup Tables'!$A:$C,3,FALSE),IF(ISNUMBER(SEARCH("STEEL",F1343)),"Steel","Others"))</f>
        <v>0</v>
      </c>
      <c r="H1343">
        <f>IF(ISNUMBER(SEARCH("scrubber",F1343)) , "Scrubber", IF(ISNUMBER(SEARCH("container",F1343)),"Container", IF(ISNUMBER(SEARCH("basket",F1343)),"Basket", IF(ISNUMBER(SEARCH("lunch",F1343)),"Lunch Box", IF(ISNUMBER(SEARCH("cutlery",F1343)),"Cutlery","Other")))))</f>
        <v>0</v>
      </c>
      <c r="I1343">
        <f>IF('Raw Data'!G1343&lt;&gt;'','Raw Data'!G1343,IFERROR(MID(F1343,SEARCH("MODEL",F1343)+6,20),""))</f>
        <v>0</v>
      </c>
      <c r="J1343">
        <f>'Raw Data'!H1343</f>
        <v>0</v>
      </c>
      <c r="K1343">
        <f>'Raw Data'!I1343</f>
        <v>0</v>
      </c>
      <c r="L1343">
        <f>IF('Raw Data'!N1343&lt;&gt;0,'Raw Data'!N1343,IFERROR(VALUE(MID(F1343,SEARCH("QTY",F1343)+4,IFERROR(FIND(" ",F1343,SEARCH("QTY",F1343)+4)-(SEARCH("QTY",F1343)+4),3))),""))</f>
        <v>0</v>
      </c>
      <c r="M1343">
        <f>'Raw Data'!O1343</f>
        <v>0</v>
      </c>
      <c r="N1343">
        <f>'Raw Data'!P1343</f>
        <v>0</v>
      </c>
      <c r="O1343">
        <f>'Raw Data'!Q1343</f>
        <v>0</v>
      </c>
      <c r="P1343">
        <f>'Raw Data'!R1343</f>
        <v>0</v>
      </c>
      <c r="Q1343">
        <f>'Raw Data'!S1343</f>
        <v>0</v>
      </c>
      <c r="R1343">
        <f>'Raw Data'!T1343</f>
        <v>0</v>
      </c>
      <c r="S1343">
        <f>IFERROR(O1343,0)+IFERROR(R1343,0)</f>
        <v>0</v>
      </c>
      <c r="T1343">
        <f>IF(A1343="","",YEAR(A1343))</f>
        <v>0</v>
      </c>
    </row>
    <row r="1344" spans="1:20">
      <c r="A1344">
        <f>'Raw Data'!B1344</f>
        <v>0</v>
      </c>
      <c r="B1344">
        <f>'Raw Data'!A1344</f>
        <v>0</v>
      </c>
      <c r="C1344">
        <f>'Raw Data'!C1344</f>
        <v>0</v>
      </c>
      <c r="D1344">
        <f>'Raw Data'!D1344</f>
        <v>0</v>
      </c>
      <c r="E1344">
        <f>IFERROR(VLOOKUP(D1344,'Lookup Tables'!$A:$B,2,FALSE),"Unknown")</f>
        <v>0</v>
      </c>
      <c r="F1344">
        <f>'Raw Data'!E1344</f>
        <v>0</v>
      </c>
      <c r="G1344">
        <f>IFERROR(VLOOKUP(D1344,'Lookup Tables'!$A:$C,3,FALSE),IF(ISNUMBER(SEARCH("STEEL",F1344)),"Steel","Others"))</f>
        <v>0</v>
      </c>
      <c r="H1344">
        <f>IF(ISNUMBER(SEARCH("scrubber",F1344)) , "Scrubber", IF(ISNUMBER(SEARCH("container",F1344)),"Container", IF(ISNUMBER(SEARCH("basket",F1344)),"Basket", IF(ISNUMBER(SEARCH("lunch",F1344)),"Lunch Box", IF(ISNUMBER(SEARCH("cutlery",F1344)),"Cutlery","Other")))))</f>
        <v>0</v>
      </c>
      <c r="I1344">
        <f>IF('Raw Data'!G1344&lt;&gt;'','Raw Data'!G1344,IFERROR(MID(F1344,SEARCH("MODEL",F1344)+6,20),""))</f>
        <v>0</v>
      </c>
      <c r="J1344">
        <f>'Raw Data'!H1344</f>
        <v>0</v>
      </c>
      <c r="K1344">
        <f>'Raw Data'!I1344</f>
        <v>0</v>
      </c>
      <c r="L1344">
        <f>IF('Raw Data'!N1344&lt;&gt;0,'Raw Data'!N1344,IFERROR(VALUE(MID(F1344,SEARCH("QTY",F1344)+4,IFERROR(FIND(" ",F1344,SEARCH("QTY",F1344)+4)-(SEARCH("QTY",F1344)+4),3))),""))</f>
        <v>0</v>
      </c>
      <c r="M1344">
        <f>'Raw Data'!O1344</f>
        <v>0</v>
      </c>
      <c r="N1344">
        <f>'Raw Data'!P1344</f>
        <v>0</v>
      </c>
      <c r="O1344">
        <f>'Raw Data'!Q1344</f>
        <v>0</v>
      </c>
      <c r="P1344">
        <f>'Raw Data'!R1344</f>
        <v>0</v>
      </c>
      <c r="Q1344">
        <f>'Raw Data'!S1344</f>
        <v>0</v>
      </c>
      <c r="R1344">
        <f>'Raw Data'!T1344</f>
        <v>0</v>
      </c>
      <c r="S1344">
        <f>IFERROR(O1344,0)+IFERROR(R1344,0)</f>
        <v>0</v>
      </c>
      <c r="T1344">
        <f>IF(A1344="","",YEAR(A1344))</f>
        <v>0</v>
      </c>
    </row>
    <row r="1345" spans="1:20">
      <c r="A1345">
        <f>'Raw Data'!B1345</f>
        <v>0</v>
      </c>
      <c r="B1345">
        <f>'Raw Data'!A1345</f>
        <v>0</v>
      </c>
      <c r="C1345">
        <f>'Raw Data'!C1345</f>
        <v>0</v>
      </c>
      <c r="D1345">
        <f>'Raw Data'!D1345</f>
        <v>0</v>
      </c>
      <c r="E1345">
        <f>IFERROR(VLOOKUP(D1345,'Lookup Tables'!$A:$B,2,FALSE),"Unknown")</f>
        <v>0</v>
      </c>
      <c r="F1345">
        <f>'Raw Data'!E1345</f>
        <v>0</v>
      </c>
      <c r="G1345">
        <f>IFERROR(VLOOKUP(D1345,'Lookup Tables'!$A:$C,3,FALSE),IF(ISNUMBER(SEARCH("STEEL",F1345)),"Steel","Others"))</f>
        <v>0</v>
      </c>
      <c r="H1345">
        <f>IF(ISNUMBER(SEARCH("scrubber",F1345)) , "Scrubber", IF(ISNUMBER(SEARCH("container",F1345)),"Container", IF(ISNUMBER(SEARCH("basket",F1345)),"Basket", IF(ISNUMBER(SEARCH("lunch",F1345)),"Lunch Box", IF(ISNUMBER(SEARCH("cutlery",F1345)),"Cutlery","Other")))))</f>
        <v>0</v>
      </c>
      <c r="I1345">
        <f>IF('Raw Data'!G1345&lt;&gt;'','Raw Data'!G1345,IFERROR(MID(F1345,SEARCH("MODEL",F1345)+6,20),""))</f>
        <v>0</v>
      </c>
      <c r="J1345">
        <f>'Raw Data'!H1345</f>
        <v>0</v>
      </c>
      <c r="K1345">
        <f>'Raw Data'!I1345</f>
        <v>0</v>
      </c>
      <c r="L1345">
        <f>IF('Raw Data'!N1345&lt;&gt;0,'Raw Data'!N1345,IFERROR(VALUE(MID(F1345,SEARCH("QTY",F1345)+4,IFERROR(FIND(" ",F1345,SEARCH("QTY",F1345)+4)-(SEARCH("QTY",F1345)+4),3))),""))</f>
        <v>0</v>
      </c>
      <c r="M1345">
        <f>'Raw Data'!O1345</f>
        <v>0</v>
      </c>
      <c r="N1345">
        <f>'Raw Data'!P1345</f>
        <v>0</v>
      </c>
      <c r="O1345">
        <f>'Raw Data'!Q1345</f>
        <v>0</v>
      </c>
      <c r="P1345">
        <f>'Raw Data'!R1345</f>
        <v>0</v>
      </c>
      <c r="Q1345">
        <f>'Raw Data'!S1345</f>
        <v>0</v>
      </c>
      <c r="R1345">
        <f>'Raw Data'!T1345</f>
        <v>0</v>
      </c>
      <c r="S1345">
        <f>IFERROR(O1345,0)+IFERROR(R1345,0)</f>
        <v>0</v>
      </c>
      <c r="T1345">
        <f>IF(A1345="","",YEAR(A1345))</f>
        <v>0</v>
      </c>
    </row>
    <row r="1346" spans="1:20">
      <c r="A1346">
        <f>'Raw Data'!B1346</f>
        <v>0</v>
      </c>
      <c r="B1346">
        <f>'Raw Data'!A1346</f>
        <v>0</v>
      </c>
      <c r="C1346">
        <f>'Raw Data'!C1346</f>
        <v>0</v>
      </c>
      <c r="D1346">
        <f>'Raw Data'!D1346</f>
        <v>0</v>
      </c>
      <c r="E1346">
        <f>IFERROR(VLOOKUP(D1346,'Lookup Tables'!$A:$B,2,FALSE),"Unknown")</f>
        <v>0</v>
      </c>
      <c r="F1346">
        <f>'Raw Data'!E1346</f>
        <v>0</v>
      </c>
      <c r="G1346">
        <f>IFERROR(VLOOKUP(D1346,'Lookup Tables'!$A:$C,3,FALSE),IF(ISNUMBER(SEARCH("STEEL",F1346)),"Steel","Others"))</f>
        <v>0</v>
      </c>
      <c r="H1346">
        <f>IF(ISNUMBER(SEARCH("scrubber",F1346)) , "Scrubber", IF(ISNUMBER(SEARCH("container",F1346)),"Container", IF(ISNUMBER(SEARCH("basket",F1346)),"Basket", IF(ISNUMBER(SEARCH("lunch",F1346)),"Lunch Box", IF(ISNUMBER(SEARCH("cutlery",F1346)),"Cutlery","Other")))))</f>
        <v>0</v>
      </c>
      <c r="I1346">
        <f>IF('Raw Data'!G1346&lt;&gt;'','Raw Data'!G1346,IFERROR(MID(F1346,SEARCH("MODEL",F1346)+6,20),""))</f>
        <v>0</v>
      </c>
      <c r="J1346">
        <f>'Raw Data'!H1346</f>
        <v>0</v>
      </c>
      <c r="K1346">
        <f>'Raw Data'!I1346</f>
        <v>0</v>
      </c>
      <c r="L1346">
        <f>IF('Raw Data'!N1346&lt;&gt;0,'Raw Data'!N1346,IFERROR(VALUE(MID(F1346,SEARCH("QTY",F1346)+4,IFERROR(FIND(" ",F1346,SEARCH("QTY",F1346)+4)-(SEARCH("QTY",F1346)+4),3))),""))</f>
        <v>0</v>
      </c>
      <c r="M1346">
        <f>'Raw Data'!O1346</f>
        <v>0</v>
      </c>
      <c r="N1346">
        <f>'Raw Data'!P1346</f>
        <v>0</v>
      </c>
      <c r="O1346">
        <f>'Raw Data'!Q1346</f>
        <v>0</v>
      </c>
      <c r="P1346">
        <f>'Raw Data'!R1346</f>
        <v>0</v>
      </c>
      <c r="Q1346">
        <f>'Raw Data'!S1346</f>
        <v>0</v>
      </c>
      <c r="R1346">
        <f>'Raw Data'!T1346</f>
        <v>0</v>
      </c>
      <c r="S1346">
        <f>IFERROR(O1346,0)+IFERROR(R1346,0)</f>
        <v>0</v>
      </c>
      <c r="T1346">
        <f>IF(A1346="","",YEAR(A1346))</f>
        <v>0</v>
      </c>
    </row>
    <row r="1347" spans="1:20">
      <c r="A1347">
        <f>'Raw Data'!B1347</f>
        <v>0</v>
      </c>
      <c r="B1347">
        <f>'Raw Data'!A1347</f>
        <v>0</v>
      </c>
      <c r="C1347">
        <f>'Raw Data'!C1347</f>
        <v>0</v>
      </c>
      <c r="D1347">
        <f>'Raw Data'!D1347</f>
        <v>0</v>
      </c>
      <c r="E1347">
        <f>IFERROR(VLOOKUP(D1347,'Lookup Tables'!$A:$B,2,FALSE),"Unknown")</f>
        <v>0</v>
      </c>
      <c r="F1347">
        <f>'Raw Data'!E1347</f>
        <v>0</v>
      </c>
      <c r="G1347">
        <f>IFERROR(VLOOKUP(D1347,'Lookup Tables'!$A:$C,3,FALSE),IF(ISNUMBER(SEARCH("STEEL",F1347)),"Steel","Others"))</f>
        <v>0</v>
      </c>
      <c r="H1347">
        <f>IF(ISNUMBER(SEARCH("scrubber",F1347)) , "Scrubber", IF(ISNUMBER(SEARCH("container",F1347)),"Container", IF(ISNUMBER(SEARCH("basket",F1347)),"Basket", IF(ISNUMBER(SEARCH("lunch",F1347)),"Lunch Box", IF(ISNUMBER(SEARCH("cutlery",F1347)),"Cutlery","Other")))))</f>
        <v>0</v>
      </c>
      <c r="I1347">
        <f>IF('Raw Data'!G1347&lt;&gt;'','Raw Data'!G1347,IFERROR(MID(F1347,SEARCH("MODEL",F1347)+6,20),""))</f>
        <v>0</v>
      </c>
      <c r="J1347">
        <f>'Raw Data'!H1347</f>
        <v>0</v>
      </c>
      <c r="K1347">
        <f>'Raw Data'!I1347</f>
        <v>0</v>
      </c>
      <c r="L1347">
        <f>IF('Raw Data'!N1347&lt;&gt;0,'Raw Data'!N1347,IFERROR(VALUE(MID(F1347,SEARCH("QTY",F1347)+4,IFERROR(FIND(" ",F1347,SEARCH("QTY",F1347)+4)-(SEARCH("QTY",F1347)+4),3))),""))</f>
        <v>0</v>
      </c>
      <c r="M1347">
        <f>'Raw Data'!O1347</f>
        <v>0</v>
      </c>
      <c r="N1347">
        <f>'Raw Data'!P1347</f>
        <v>0</v>
      </c>
      <c r="O1347">
        <f>'Raw Data'!Q1347</f>
        <v>0</v>
      </c>
      <c r="P1347">
        <f>'Raw Data'!R1347</f>
        <v>0</v>
      </c>
      <c r="Q1347">
        <f>'Raw Data'!S1347</f>
        <v>0</v>
      </c>
      <c r="R1347">
        <f>'Raw Data'!T1347</f>
        <v>0</v>
      </c>
      <c r="S1347">
        <f>IFERROR(O1347,0)+IFERROR(R1347,0)</f>
        <v>0</v>
      </c>
      <c r="T1347">
        <f>IF(A1347="","",YEAR(A1347))</f>
        <v>0</v>
      </c>
    </row>
    <row r="1348" spans="1:20">
      <c r="A1348">
        <f>'Raw Data'!B1348</f>
        <v>0</v>
      </c>
      <c r="B1348">
        <f>'Raw Data'!A1348</f>
        <v>0</v>
      </c>
      <c r="C1348">
        <f>'Raw Data'!C1348</f>
        <v>0</v>
      </c>
      <c r="D1348">
        <f>'Raw Data'!D1348</f>
        <v>0</v>
      </c>
      <c r="E1348">
        <f>IFERROR(VLOOKUP(D1348,'Lookup Tables'!$A:$B,2,FALSE),"Unknown")</f>
        <v>0</v>
      </c>
      <c r="F1348">
        <f>'Raw Data'!E1348</f>
        <v>0</v>
      </c>
      <c r="G1348">
        <f>IFERROR(VLOOKUP(D1348,'Lookup Tables'!$A:$C,3,FALSE),IF(ISNUMBER(SEARCH("STEEL",F1348)),"Steel","Others"))</f>
        <v>0</v>
      </c>
      <c r="H1348">
        <f>IF(ISNUMBER(SEARCH("scrubber",F1348)) , "Scrubber", IF(ISNUMBER(SEARCH("container",F1348)),"Container", IF(ISNUMBER(SEARCH("basket",F1348)),"Basket", IF(ISNUMBER(SEARCH("lunch",F1348)),"Lunch Box", IF(ISNUMBER(SEARCH("cutlery",F1348)),"Cutlery","Other")))))</f>
        <v>0</v>
      </c>
      <c r="I1348">
        <f>IF('Raw Data'!G1348&lt;&gt;'','Raw Data'!G1348,IFERROR(MID(F1348,SEARCH("MODEL",F1348)+6,20),""))</f>
        <v>0</v>
      </c>
      <c r="J1348">
        <f>'Raw Data'!H1348</f>
        <v>0</v>
      </c>
      <c r="K1348">
        <f>'Raw Data'!I1348</f>
        <v>0</v>
      </c>
      <c r="L1348">
        <f>IF('Raw Data'!N1348&lt;&gt;0,'Raw Data'!N1348,IFERROR(VALUE(MID(F1348,SEARCH("QTY",F1348)+4,IFERROR(FIND(" ",F1348,SEARCH("QTY",F1348)+4)-(SEARCH("QTY",F1348)+4),3))),""))</f>
        <v>0</v>
      </c>
      <c r="M1348">
        <f>'Raw Data'!O1348</f>
        <v>0</v>
      </c>
      <c r="N1348">
        <f>'Raw Data'!P1348</f>
        <v>0</v>
      </c>
      <c r="O1348">
        <f>'Raw Data'!Q1348</f>
        <v>0</v>
      </c>
      <c r="P1348">
        <f>'Raw Data'!R1348</f>
        <v>0</v>
      </c>
      <c r="Q1348">
        <f>'Raw Data'!S1348</f>
        <v>0</v>
      </c>
      <c r="R1348">
        <f>'Raw Data'!T1348</f>
        <v>0</v>
      </c>
      <c r="S1348">
        <f>IFERROR(O1348,0)+IFERROR(R1348,0)</f>
        <v>0</v>
      </c>
      <c r="T1348">
        <f>IF(A1348="","",YEAR(A1348))</f>
        <v>0</v>
      </c>
    </row>
    <row r="1349" spans="1:20">
      <c r="A1349">
        <f>'Raw Data'!B1349</f>
        <v>0</v>
      </c>
      <c r="B1349">
        <f>'Raw Data'!A1349</f>
        <v>0</v>
      </c>
      <c r="C1349">
        <f>'Raw Data'!C1349</f>
        <v>0</v>
      </c>
      <c r="D1349">
        <f>'Raw Data'!D1349</f>
        <v>0</v>
      </c>
      <c r="E1349">
        <f>IFERROR(VLOOKUP(D1349,'Lookup Tables'!$A:$B,2,FALSE),"Unknown")</f>
        <v>0</v>
      </c>
      <c r="F1349">
        <f>'Raw Data'!E1349</f>
        <v>0</v>
      </c>
      <c r="G1349">
        <f>IFERROR(VLOOKUP(D1349,'Lookup Tables'!$A:$C,3,FALSE),IF(ISNUMBER(SEARCH("STEEL",F1349)),"Steel","Others"))</f>
        <v>0</v>
      </c>
      <c r="H1349">
        <f>IF(ISNUMBER(SEARCH("scrubber",F1349)) , "Scrubber", IF(ISNUMBER(SEARCH("container",F1349)),"Container", IF(ISNUMBER(SEARCH("basket",F1349)),"Basket", IF(ISNUMBER(SEARCH("lunch",F1349)),"Lunch Box", IF(ISNUMBER(SEARCH("cutlery",F1349)),"Cutlery","Other")))))</f>
        <v>0</v>
      </c>
      <c r="I1349">
        <f>IF('Raw Data'!G1349&lt;&gt;'','Raw Data'!G1349,IFERROR(MID(F1349,SEARCH("MODEL",F1349)+6,20),""))</f>
        <v>0</v>
      </c>
      <c r="J1349">
        <f>'Raw Data'!H1349</f>
        <v>0</v>
      </c>
      <c r="K1349">
        <f>'Raw Data'!I1349</f>
        <v>0</v>
      </c>
      <c r="L1349">
        <f>IF('Raw Data'!N1349&lt;&gt;0,'Raw Data'!N1349,IFERROR(VALUE(MID(F1349,SEARCH("QTY",F1349)+4,IFERROR(FIND(" ",F1349,SEARCH("QTY",F1349)+4)-(SEARCH("QTY",F1349)+4),3))),""))</f>
        <v>0</v>
      </c>
      <c r="M1349">
        <f>'Raw Data'!O1349</f>
        <v>0</v>
      </c>
      <c r="N1349">
        <f>'Raw Data'!P1349</f>
        <v>0</v>
      </c>
      <c r="O1349">
        <f>'Raw Data'!Q1349</f>
        <v>0</v>
      </c>
      <c r="P1349">
        <f>'Raw Data'!R1349</f>
        <v>0</v>
      </c>
      <c r="Q1349">
        <f>'Raw Data'!S1349</f>
        <v>0</v>
      </c>
      <c r="R1349">
        <f>'Raw Data'!T1349</f>
        <v>0</v>
      </c>
      <c r="S1349">
        <f>IFERROR(O1349,0)+IFERROR(R1349,0)</f>
        <v>0</v>
      </c>
      <c r="T1349">
        <f>IF(A1349="","",YEAR(A1349))</f>
        <v>0</v>
      </c>
    </row>
    <row r="1350" spans="1:20">
      <c r="A1350">
        <f>'Raw Data'!B1350</f>
        <v>0</v>
      </c>
      <c r="B1350">
        <f>'Raw Data'!A1350</f>
        <v>0</v>
      </c>
      <c r="C1350">
        <f>'Raw Data'!C1350</f>
        <v>0</v>
      </c>
      <c r="D1350">
        <f>'Raw Data'!D1350</f>
        <v>0</v>
      </c>
      <c r="E1350">
        <f>IFERROR(VLOOKUP(D1350,'Lookup Tables'!$A:$B,2,FALSE),"Unknown")</f>
        <v>0</v>
      </c>
      <c r="F1350">
        <f>'Raw Data'!E1350</f>
        <v>0</v>
      </c>
      <c r="G1350">
        <f>IFERROR(VLOOKUP(D1350,'Lookup Tables'!$A:$C,3,FALSE),IF(ISNUMBER(SEARCH("STEEL",F1350)),"Steel","Others"))</f>
        <v>0</v>
      </c>
      <c r="H1350">
        <f>IF(ISNUMBER(SEARCH("scrubber",F1350)) , "Scrubber", IF(ISNUMBER(SEARCH("container",F1350)),"Container", IF(ISNUMBER(SEARCH("basket",F1350)),"Basket", IF(ISNUMBER(SEARCH("lunch",F1350)),"Lunch Box", IF(ISNUMBER(SEARCH("cutlery",F1350)),"Cutlery","Other")))))</f>
        <v>0</v>
      </c>
      <c r="I1350">
        <f>IF('Raw Data'!G1350&lt;&gt;'','Raw Data'!G1350,IFERROR(MID(F1350,SEARCH("MODEL",F1350)+6,20),""))</f>
        <v>0</v>
      </c>
      <c r="J1350">
        <f>'Raw Data'!H1350</f>
        <v>0</v>
      </c>
      <c r="K1350">
        <f>'Raw Data'!I1350</f>
        <v>0</v>
      </c>
      <c r="L1350">
        <f>IF('Raw Data'!N1350&lt;&gt;0,'Raw Data'!N1350,IFERROR(VALUE(MID(F1350,SEARCH("QTY",F1350)+4,IFERROR(FIND(" ",F1350,SEARCH("QTY",F1350)+4)-(SEARCH("QTY",F1350)+4),3))),""))</f>
        <v>0</v>
      </c>
      <c r="M1350">
        <f>'Raw Data'!O1350</f>
        <v>0</v>
      </c>
      <c r="N1350">
        <f>'Raw Data'!P1350</f>
        <v>0</v>
      </c>
      <c r="O1350">
        <f>'Raw Data'!Q1350</f>
        <v>0</v>
      </c>
      <c r="P1350">
        <f>'Raw Data'!R1350</f>
        <v>0</v>
      </c>
      <c r="Q1350">
        <f>'Raw Data'!S1350</f>
        <v>0</v>
      </c>
      <c r="R1350">
        <f>'Raw Data'!T1350</f>
        <v>0</v>
      </c>
      <c r="S1350">
        <f>IFERROR(O1350,0)+IFERROR(R1350,0)</f>
        <v>0</v>
      </c>
      <c r="T1350">
        <f>IF(A1350="","",YEAR(A1350))</f>
        <v>0</v>
      </c>
    </row>
    <row r="1351" spans="1:20">
      <c r="A1351">
        <f>'Raw Data'!B1351</f>
        <v>0</v>
      </c>
      <c r="B1351">
        <f>'Raw Data'!A1351</f>
        <v>0</v>
      </c>
      <c r="C1351">
        <f>'Raw Data'!C1351</f>
        <v>0</v>
      </c>
      <c r="D1351">
        <f>'Raw Data'!D1351</f>
        <v>0</v>
      </c>
      <c r="E1351">
        <f>IFERROR(VLOOKUP(D1351,'Lookup Tables'!$A:$B,2,FALSE),"Unknown")</f>
        <v>0</v>
      </c>
      <c r="F1351">
        <f>'Raw Data'!E1351</f>
        <v>0</v>
      </c>
      <c r="G1351">
        <f>IFERROR(VLOOKUP(D1351,'Lookup Tables'!$A:$C,3,FALSE),IF(ISNUMBER(SEARCH("STEEL",F1351)),"Steel","Others"))</f>
        <v>0</v>
      </c>
      <c r="H1351">
        <f>IF(ISNUMBER(SEARCH("scrubber",F1351)) , "Scrubber", IF(ISNUMBER(SEARCH("container",F1351)),"Container", IF(ISNUMBER(SEARCH("basket",F1351)),"Basket", IF(ISNUMBER(SEARCH("lunch",F1351)),"Lunch Box", IF(ISNUMBER(SEARCH("cutlery",F1351)),"Cutlery","Other")))))</f>
        <v>0</v>
      </c>
      <c r="I1351">
        <f>IF('Raw Data'!G1351&lt;&gt;'','Raw Data'!G1351,IFERROR(MID(F1351,SEARCH("MODEL",F1351)+6,20),""))</f>
        <v>0</v>
      </c>
      <c r="J1351">
        <f>'Raw Data'!H1351</f>
        <v>0</v>
      </c>
      <c r="K1351">
        <f>'Raw Data'!I1351</f>
        <v>0</v>
      </c>
      <c r="L1351">
        <f>IF('Raw Data'!N1351&lt;&gt;0,'Raw Data'!N1351,IFERROR(VALUE(MID(F1351,SEARCH("QTY",F1351)+4,IFERROR(FIND(" ",F1351,SEARCH("QTY",F1351)+4)-(SEARCH("QTY",F1351)+4),3))),""))</f>
        <v>0</v>
      </c>
      <c r="M1351">
        <f>'Raw Data'!O1351</f>
        <v>0</v>
      </c>
      <c r="N1351">
        <f>'Raw Data'!P1351</f>
        <v>0</v>
      </c>
      <c r="O1351">
        <f>'Raw Data'!Q1351</f>
        <v>0</v>
      </c>
      <c r="P1351">
        <f>'Raw Data'!R1351</f>
        <v>0</v>
      </c>
      <c r="Q1351">
        <f>'Raw Data'!S1351</f>
        <v>0</v>
      </c>
      <c r="R1351">
        <f>'Raw Data'!T1351</f>
        <v>0</v>
      </c>
      <c r="S1351">
        <f>IFERROR(O1351,0)+IFERROR(R1351,0)</f>
        <v>0</v>
      </c>
      <c r="T1351">
        <f>IF(A1351="","",YEAR(A1351))</f>
        <v>0</v>
      </c>
    </row>
    <row r="1352" spans="1:20">
      <c r="A1352">
        <f>'Raw Data'!B1352</f>
        <v>0</v>
      </c>
      <c r="B1352">
        <f>'Raw Data'!A1352</f>
        <v>0</v>
      </c>
      <c r="C1352">
        <f>'Raw Data'!C1352</f>
        <v>0</v>
      </c>
      <c r="D1352">
        <f>'Raw Data'!D1352</f>
        <v>0</v>
      </c>
      <c r="E1352">
        <f>IFERROR(VLOOKUP(D1352,'Lookup Tables'!$A:$B,2,FALSE),"Unknown")</f>
        <v>0</v>
      </c>
      <c r="F1352">
        <f>'Raw Data'!E1352</f>
        <v>0</v>
      </c>
      <c r="G1352">
        <f>IFERROR(VLOOKUP(D1352,'Lookup Tables'!$A:$C,3,FALSE),IF(ISNUMBER(SEARCH("STEEL",F1352)),"Steel","Others"))</f>
        <v>0</v>
      </c>
      <c r="H1352">
        <f>IF(ISNUMBER(SEARCH("scrubber",F1352)) , "Scrubber", IF(ISNUMBER(SEARCH("container",F1352)),"Container", IF(ISNUMBER(SEARCH("basket",F1352)),"Basket", IF(ISNUMBER(SEARCH("lunch",F1352)),"Lunch Box", IF(ISNUMBER(SEARCH("cutlery",F1352)),"Cutlery","Other")))))</f>
        <v>0</v>
      </c>
      <c r="I1352">
        <f>IF('Raw Data'!G1352&lt;&gt;'','Raw Data'!G1352,IFERROR(MID(F1352,SEARCH("MODEL",F1352)+6,20),""))</f>
        <v>0</v>
      </c>
      <c r="J1352">
        <f>'Raw Data'!H1352</f>
        <v>0</v>
      </c>
      <c r="K1352">
        <f>'Raw Data'!I1352</f>
        <v>0</v>
      </c>
      <c r="L1352">
        <f>IF('Raw Data'!N1352&lt;&gt;0,'Raw Data'!N1352,IFERROR(VALUE(MID(F1352,SEARCH("QTY",F1352)+4,IFERROR(FIND(" ",F1352,SEARCH("QTY",F1352)+4)-(SEARCH("QTY",F1352)+4),3))),""))</f>
        <v>0</v>
      </c>
      <c r="M1352">
        <f>'Raw Data'!O1352</f>
        <v>0</v>
      </c>
      <c r="N1352">
        <f>'Raw Data'!P1352</f>
        <v>0</v>
      </c>
      <c r="O1352">
        <f>'Raw Data'!Q1352</f>
        <v>0</v>
      </c>
      <c r="P1352">
        <f>'Raw Data'!R1352</f>
        <v>0</v>
      </c>
      <c r="Q1352">
        <f>'Raw Data'!S1352</f>
        <v>0</v>
      </c>
      <c r="R1352">
        <f>'Raw Data'!T1352</f>
        <v>0</v>
      </c>
      <c r="S1352">
        <f>IFERROR(O1352,0)+IFERROR(R1352,0)</f>
        <v>0</v>
      </c>
      <c r="T1352">
        <f>IF(A1352="","",YEAR(A1352))</f>
        <v>0</v>
      </c>
    </row>
    <row r="1353" spans="1:20">
      <c r="A1353">
        <f>'Raw Data'!B1353</f>
        <v>0</v>
      </c>
      <c r="B1353">
        <f>'Raw Data'!A1353</f>
        <v>0</v>
      </c>
      <c r="C1353">
        <f>'Raw Data'!C1353</f>
        <v>0</v>
      </c>
      <c r="D1353">
        <f>'Raw Data'!D1353</f>
        <v>0</v>
      </c>
      <c r="E1353">
        <f>IFERROR(VLOOKUP(D1353,'Lookup Tables'!$A:$B,2,FALSE),"Unknown")</f>
        <v>0</v>
      </c>
      <c r="F1353">
        <f>'Raw Data'!E1353</f>
        <v>0</v>
      </c>
      <c r="G1353">
        <f>IFERROR(VLOOKUP(D1353,'Lookup Tables'!$A:$C,3,FALSE),IF(ISNUMBER(SEARCH("STEEL",F1353)),"Steel","Others"))</f>
        <v>0</v>
      </c>
      <c r="H1353">
        <f>IF(ISNUMBER(SEARCH("scrubber",F1353)) , "Scrubber", IF(ISNUMBER(SEARCH("container",F1353)),"Container", IF(ISNUMBER(SEARCH("basket",F1353)),"Basket", IF(ISNUMBER(SEARCH("lunch",F1353)),"Lunch Box", IF(ISNUMBER(SEARCH("cutlery",F1353)),"Cutlery","Other")))))</f>
        <v>0</v>
      </c>
      <c r="I1353">
        <f>IF('Raw Data'!G1353&lt;&gt;'','Raw Data'!G1353,IFERROR(MID(F1353,SEARCH("MODEL",F1353)+6,20),""))</f>
        <v>0</v>
      </c>
      <c r="J1353">
        <f>'Raw Data'!H1353</f>
        <v>0</v>
      </c>
      <c r="K1353">
        <f>'Raw Data'!I1353</f>
        <v>0</v>
      </c>
      <c r="L1353">
        <f>IF('Raw Data'!N1353&lt;&gt;0,'Raw Data'!N1353,IFERROR(VALUE(MID(F1353,SEARCH("QTY",F1353)+4,IFERROR(FIND(" ",F1353,SEARCH("QTY",F1353)+4)-(SEARCH("QTY",F1353)+4),3))),""))</f>
        <v>0</v>
      </c>
      <c r="M1353">
        <f>'Raw Data'!O1353</f>
        <v>0</v>
      </c>
      <c r="N1353">
        <f>'Raw Data'!P1353</f>
        <v>0</v>
      </c>
      <c r="O1353">
        <f>'Raw Data'!Q1353</f>
        <v>0</v>
      </c>
      <c r="P1353">
        <f>'Raw Data'!R1353</f>
        <v>0</v>
      </c>
      <c r="Q1353">
        <f>'Raw Data'!S1353</f>
        <v>0</v>
      </c>
      <c r="R1353">
        <f>'Raw Data'!T1353</f>
        <v>0</v>
      </c>
      <c r="S1353">
        <f>IFERROR(O1353,0)+IFERROR(R1353,0)</f>
        <v>0</v>
      </c>
      <c r="T1353">
        <f>IF(A1353="","",YEAR(A1353))</f>
        <v>0</v>
      </c>
    </row>
    <row r="1354" spans="1:20">
      <c r="A1354">
        <f>'Raw Data'!B1354</f>
        <v>0</v>
      </c>
      <c r="B1354">
        <f>'Raw Data'!A1354</f>
        <v>0</v>
      </c>
      <c r="C1354">
        <f>'Raw Data'!C1354</f>
        <v>0</v>
      </c>
      <c r="D1354">
        <f>'Raw Data'!D1354</f>
        <v>0</v>
      </c>
      <c r="E1354">
        <f>IFERROR(VLOOKUP(D1354,'Lookup Tables'!$A:$B,2,FALSE),"Unknown")</f>
        <v>0</v>
      </c>
      <c r="F1354">
        <f>'Raw Data'!E1354</f>
        <v>0</v>
      </c>
      <c r="G1354">
        <f>IFERROR(VLOOKUP(D1354,'Lookup Tables'!$A:$C,3,FALSE),IF(ISNUMBER(SEARCH("STEEL",F1354)),"Steel","Others"))</f>
        <v>0</v>
      </c>
      <c r="H1354">
        <f>IF(ISNUMBER(SEARCH("scrubber",F1354)) , "Scrubber", IF(ISNUMBER(SEARCH("container",F1354)),"Container", IF(ISNUMBER(SEARCH("basket",F1354)),"Basket", IF(ISNUMBER(SEARCH("lunch",F1354)),"Lunch Box", IF(ISNUMBER(SEARCH("cutlery",F1354)),"Cutlery","Other")))))</f>
        <v>0</v>
      </c>
      <c r="I1354">
        <f>IF('Raw Data'!G1354&lt;&gt;'','Raw Data'!G1354,IFERROR(MID(F1354,SEARCH("MODEL",F1354)+6,20),""))</f>
        <v>0</v>
      </c>
      <c r="J1354">
        <f>'Raw Data'!H1354</f>
        <v>0</v>
      </c>
      <c r="K1354">
        <f>'Raw Data'!I1354</f>
        <v>0</v>
      </c>
      <c r="L1354">
        <f>IF('Raw Data'!N1354&lt;&gt;0,'Raw Data'!N1354,IFERROR(VALUE(MID(F1354,SEARCH("QTY",F1354)+4,IFERROR(FIND(" ",F1354,SEARCH("QTY",F1354)+4)-(SEARCH("QTY",F1354)+4),3))),""))</f>
        <v>0</v>
      </c>
      <c r="M1354">
        <f>'Raw Data'!O1354</f>
        <v>0</v>
      </c>
      <c r="N1354">
        <f>'Raw Data'!P1354</f>
        <v>0</v>
      </c>
      <c r="O1354">
        <f>'Raw Data'!Q1354</f>
        <v>0</v>
      </c>
      <c r="P1354">
        <f>'Raw Data'!R1354</f>
        <v>0</v>
      </c>
      <c r="Q1354">
        <f>'Raw Data'!S1354</f>
        <v>0</v>
      </c>
      <c r="R1354">
        <f>'Raw Data'!T1354</f>
        <v>0</v>
      </c>
      <c r="S1354">
        <f>IFERROR(O1354,0)+IFERROR(R1354,0)</f>
        <v>0</v>
      </c>
      <c r="T1354">
        <f>IF(A1354="","",YEAR(A1354))</f>
        <v>0</v>
      </c>
    </row>
    <row r="1355" spans="1:20">
      <c r="A1355">
        <f>'Raw Data'!B1355</f>
        <v>0</v>
      </c>
      <c r="B1355">
        <f>'Raw Data'!A1355</f>
        <v>0</v>
      </c>
      <c r="C1355">
        <f>'Raw Data'!C1355</f>
        <v>0</v>
      </c>
      <c r="D1355">
        <f>'Raw Data'!D1355</f>
        <v>0</v>
      </c>
      <c r="E1355">
        <f>IFERROR(VLOOKUP(D1355,'Lookup Tables'!$A:$B,2,FALSE),"Unknown")</f>
        <v>0</v>
      </c>
      <c r="F1355">
        <f>'Raw Data'!E1355</f>
        <v>0</v>
      </c>
      <c r="G1355">
        <f>IFERROR(VLOOKUP(D1355,'Lookup Tables'!$A:$C,3,FALSE),IF(ISNUMBER(SEARCH("STEEL",F1355)),"Steel","Others"))</f>
        <v>0</v>
      </c>
      <c r="H1355">
        <f>IF(ISNUMBER(SEARCH("scrubber",F1355)) , "Scrubber", IF(ISNUMBER(SEARCH("container",F1355)),"Container", IF(ISNUMBER(SEARCH("basket",F1355)),"Basket", IF(ISNUMBER(SEARCH("lunch",F1355)),"Lunch Box", IF(ISNUMBER(SEARCH("cutlery",F1355)),"Cutlery","Other")))))</f>
        <v>0</v>
      </c>
      <c r="I1355">
        <f>IF('Raw Data'!G1355&lt;&gt;'','Raw Data'!G1355,IFERROR(MID(F1355,SEARCH("MODEL",F1355)+6,20),""))</f>
        <v>0</v>
      </c>
      <c r="J1355">
        <f>'Raw Data'!H1355</f>
        <v>0</v>
      </c>
      <c r="K1355">
        <f>'Raw Data'!I1355</f>
        <v>0</v>
      </c>
      <c r="L1355">
        <f>IF('Raw Data'!N1355&lt;&gt;0,'Raw Data'!N1355,IFERROR(VALUE(MID(F1355,SEARCH("QTY",F1355)+4,IFERROR(FIND(" ",F1355,SEARCH("QTY",F1355)+4)-(SEARCH("QTY",F1355)+4),3))),""))</f>
        <v>0</v>
      </c>
      <c r="M1355">
        <f>'Raw Data'!O1355</f>
        <v>0</v>
      </c>
      <c r="N1355">
        <f>'Raw Data'!P1355</f>
        <v>0</v>
      </c>
      <c r="O1355">
        <f>'Raw Data'!Q1355</f>
        <v>0</v>
      </c>
      <c r="P1355">
        <f>'Raw Data'!R1355</f>
        <v>0</v>
      </c>
      <c r="Q1355">
        <f>'Raw Data'!S1355</f>
        <v>0</v>
      </c>
      <c r="R1355">
        <f>'Raw Data'!T1355</f>
        <v>0</v>
      </c>
      <c r="S1355">
        <f>IFERROR(O1355,0)+IFERROR(R1355,0)</f>
        <v>0</v>
      </c>
      <c r="T1355">
        <f>IF(A1355="","",YEAR(A1355))</f>
        <v>0</v>
      </c>
    </row>
    <row r="1356" spans="1:20">
      <c r="A1356">
        <f>'Raw Data'!B1356</f>
        <v>0</v>
      </c>
      <c r="B1356">
        <f>'Raw Data'!A1356</f>
        <v>0</v>
      </c>
      <c r="C1356">
        <f>'Raw Data'!C1356</f>
        <v>0</v>
      </c>
      <c r="D1356">
        <f>'Raw Data'!D1356</f>
        <v>0</v>
      </c>
      <c r="E1356">
        <f>IFERROR(VLOOKUP(D1356,'Lookup Tables'!$A:$B,2,FALSE),"Unknown")</f>
        <v>0</v>
      </c>
      <c r="F1356">
        <f>'Raw Data'!E1356</f>
        <v>0</v>
      </c>
      <c r="G1356">
        <f>IFERROR(VLOOKUP(D1356,'Lookup Tables'!$A:$C,3,FALSE),IF(ISNUMBER(SEARCH("STEEL",F1356)),"Steel","Others"))</f>
        <v>0</v>
      </c>
      <c r="H1356">
        <f>IF(ISNUMBER(SEARCH("scrubber",F1356)) , "Scrubber", IF(ISNUMBER(SEARCH("container",F1356)),"Container", IF(ISNUMBER(SEARCH("basket",F1356)),"Basket", IF(ISNUMBER(SEARCH("lunch",F1356)),"Lunch Box", IF(ISNUMBER(SEARCH("cutlery",F1356)),"Cutlery","Other")))))</f>
        <v>0</v>
      </c>
      <c r="I1356">
        <f>IF('Raw Data'!G1356&lt;&gt;'','Raw Data'!G1356,IFERROR(MID(F1356,SEARCH("MODEL",F1356)+6,20),""))</f>
        <v>0</v>
      </c>
      <c r="J1356">
        <f>'Raw Data'!H1356</f>
        <v>0</v>
      </c>
      <c r="K1356">
        <f>'Raw Data'!I1356</f>
        <v>0</v>
      </c>
      <c r="L1356">
        <f>IF('Raw Data'!N1356&lt;&gt;0,'Raw Data'!N1356,IFERROR(VALUE(MID(F1356,SEARCH("QTY",F1356)+4,IFERROR(FIND(" ",F1356,SEARCH("QTY",F1356)+4)-(SEARCH("QTY",F1356)+4),3))),""))</f>
        <v>0</v>
      </c>
      <c r="M1356">
        <f>'Raw Data'!O1356</f>
        <v>0</v>
      </c>
      <c r="N1356">
        <f>'Raw Data'!P1356</f>
        <v>0</v>
      </c>
      <c r="O1356">
        <f>'Raw Data'!Q1356</f>
        <v>0</v>
      </c>
      <c r="P1356">
        <f>'Raw Data'!R1356</f>
        <v>0</v>
      </c>
      <c r="Q1356">
        <f>'Raw Data'!S1356</f>
        <v>0</v>
      </c>
      <c r="R1356">
        <f>'Raw Data'!T1356</f>
        <v>0</v>
      </c>
      <c r="S1356">
        <f>IFERROR(O1356,0)+IFERROR(R1356,0)</f>
        <v>0</v>
      </c>
      <c r="T1356">
        <f>IF(A1356="","",YEAR(A1356))</f>
        <v>0</v>
      </c>
    </row>
    <row r="1357" spans="1:20">
      <c r="A1357">
        <f>'Raw Data'!B1357</f>
        <v>0</v>
      </c>
      <c r="B1357">
        <f>'Raw Data'!A1357</f>
        <v>0</v>
      </c>
      <c r="C1357">
        <f>'Raw Data'!C1357</f>
        <v>0</v>
      </c>
      <c r="D1357">
        <f>'Raw Data'!D1357</f>
        <v>0</v>
      </c>
      <c r="E1357">
        <f>IFERROR(VLOOKUP(D1357,'Lookup Tables'!$A:$B,2,FALSE),"Unknown")</f>
        <v>0</v>
      </c>
      <c r="F1357">
        <f>'Raw Data'!E1357</f>
        <v>0</v>
      </c>
      <c r="G1357">
        <f>IFERROR(VLOOKUP(D1357,'Lookup Tables'!$A:$C,3,FALSE),IF(ISNUMBER(SEARCH("STEEL",F1357)),"Steel","Others"))</f>
        <v>0</v>
      </c>
      <c r="H1357">
        <f>IF(ISNUMBER(SEARCH("scrubber",F1357)) , "Scrubber", IF(ISNUMBER(SEARCH("container",F1357)),"Container", IF(ISNUMBER(SEARCH("basket",F1357)),"Basket", IF(ISNUMBER(SEARCH("lunch",F1357)),"Lunch Box", IF(ISNUMBER(SEARCH("cutlery",F1357)),"Cutlery","Other")))))</f>
        <v>0</v>
      </c>
      <c r="I1357">
        <f>IF('Raw Data'!G1357&lt;&gt;'','Raw Data'!G1357,IFERROR(MID(F1357,SEARCH("MODEL",F1357)+6,20),""))</f>
        <v>0</v>
      </c>
      <c r="J1357">
        <f>'Raw Data'!H1357</f>
        <v>0</v>
      </c>
      <c r="K1357">
        <f>'Raw Data'!I1357</f>
        <v>0</v>
      </c>
      <c r="L1357">
        <f>IF('Raw Data'!N1357&lt;&gt;0,'Raw Data'!N1357,IFERROR(VALUE(MID(F1357,SEARCH("QTY",F1357)+4,IFERROR(FIND(" ",F1357,SEARCH("QTY",F1357)+4)-(SEARCH("QTY",F1357)+4),3))),""))</f>
        <v>0</v>
      </c>
      <c r="M1357">
        <f>'Raw Data'!O1357</f>
        <v>0</v>
      </c>
      <c r="N1357">
        <f>'Raw Data'!P1357</f>
        <v>0</v>
      </c>
      <c r="O1357">
        <f>'Raw Data'!Q1357</f>
        <v>0</v>
      </c>
      <c r="P1357">
        <f>'Raw Data'!R1357</f>
        <v>0</v>
      </c>
      <c r="Q1357">
        <f>'Raw Data'!S1357</f>
        <v>0</v>
      </c>
      <c r="R1357">
        <f>'Raw Data'!T1357</f>
        <v>0</v>
      </c>
      <c r="S1357">
        <f>IFERROR(O1357,0)+IFERROR(R1357,0)</f>
        <v>0</v>
      </c>
      <c r="T1357">
        <f>IF(A1357="","",YEAR(A1357))</f>
        <v>0</v>
      </c>
    </row>
    <row r="1358" spans="1:20">
      <c r="A1358">
        <f>'Raw Data'!B1358</f>
        <v>0</v>
      </c>
      <c r="B1358">
        <f>'Raw Data'!A1358</f>
        <v>0</v>
      </c>
      <c r="C1358">
        <f>'Raw Data'!C1358</f>
        <v>0</v>
      </c>
      <c r="D1358">
        <f>'Raw Data'!D1358</f>
        <v>0</v>
      </c>
      <c r="E1358">
        <f>IFERROR(VLOOKUP(D1358,'Lookup Tables'!$A:$B,2,FALSE),"Unknown")</f>
        <v>0</v>
      </c>
      <c r="F1358">
        <f>'Raw Data'!E1358</f>
        <v>0</v>
      </c>
      <c r="G1358">
        <f>IFERROR(VLOOKUP(D1358,'Lookup Tables'!$A:$C,3,FALSE),IF(ISNUMBER(SEARCH("STEEL",F1358)),"Steel","Others"))</f>
        <v>0</v>
      </c>
      <c r="H1358">
        <f>IF(ISNUMBER(SEARCH("scrubber",F1358)) , "Scrubber", IF(ISNUMBER(SEARCH("container",F1358)),"Container", IF(ISNUMBER(SEARCH("basket",F1358)),"Basket", IF(ISNUMBER(SEARCH("lunch",F1358)),"Lunch Box", IF(ISNUMBER(SEARCH("cutlery",F1358)),"Cutlery","Other")))))</f>
        <v>0</v>
      </c>
      <c r="I1358">
        <f>IF('Raw Data'!G1358&lt;&gt;'','Raw Data'!G1358,IFERROR(MID(F1358,SEARCH("MODEL",F1358)+6,20),""))</f>
        <v>0</v>
      </c>
      <c r="J1358">
        <f>'Raw Data'!H1358</f>
        <v>0</v>
      </c>
      <c r="K1358">
        <f>'Raw Data'!I1358</f>
        <v>0</v>
      </c>
      <c r="L1358">
        <f>IF('Raw Data'!N1358&lt;&gt;0,'Raw Data'!N1358,IFERROR(VALUE(MID(F1358,SEARCH("QTY",F1358)+4,IFERROR(FIND(" ",F1358,SEARCH("QTY",F1358)+4)-(SEARCH("QTY",F1358)+4),3))),""))</f>
        <v>0</v>
      </c>
      <c r="M1358">
        <f>'Raw Data'!O1358</f>
        <v>0</v>
      </c>
      <c r="N1358">
        <f>'Raw Data'!P1358</f>
        <v>0</v>
      </c>
      <c r="O1358">
        <f>'Raw Data'!Q1358</f>
        <v>0</v>
      </c>
      <c r="P1358">
        <f>'Raw Data'!R1358</f>
        <v>0</v>
      </c>
      <c r="Q1358">
        <f>'Raw Data'!S1358</f>
        <v>0</v>
      </c>
      <c r="R1358">
        <f>'Raw Data'!T1358</f>
        <v>0</v>
      </c>
      <c r="S1358">
        <f>IFERROR(O1358,0)+IFERROR(R1358,0)</f>
        <v>0</v>
      </c>
      <c r="T1358">
        <f>IF(A1358="","",YEAR(A1358))</f>
        <v>0</v>
      </c>
    </row>
    <row r="1359" spans="1:20">
      <c r="A1359">
        <f>'Raw Data'!B1359</f>
        <v>0</v>
      </c>
      <c r="B1359">
        <f>'Raw Data'!A1359</f>
        <v>0</v>
      </c>
      <c r="C1359">
        <f>'Raw Data'!C1359</f>
        <v>0</v>
      </c>
      <c r="D1359">
        <f>'Raw Data'!D1359</f>
        <v>0</v>
      </c>
      <c r="E1359">
        <f>IFERROR(VLOOKUP(D1359,'Lookup Tables'!$A:$B,2,FALSE),"Unknown")</f>
        <v>0</v>
      </c>
      <c r="F1359">
        <f>'Raw Data'!E1359</f>
        <v>0</v>
      </c>
      <c r="G1359">
        <f>IFERROR(VLOOKUP(D1359,'Lookup Tables'!$A:$C,3,FALSE),IF(ISNUMBER(SEARCH("STEEL",F1359)),"Steel","Others"))</f>
        <v>0</v>
      </c>
      <c r="H1359">
        <f>IF(ISNUMBER(SEARCH("scrubber",F1359)) , "Scrubber", IF(ISNUMBER(SEARCH("container",F1359)),"Container", IF(ISNUMBER(SEARCH("basket",F1359)),"Basket", IF(ISNUMBER(SEARCH("lunch",F1359)),"Lunch Box", IF(ISNUMBER(SEARCH("cutlery",F1359)),"Cutlery","Other")))))</f>
        <v>0</v>
      </c>
      <c r="I1359">
        <f>IF('Raw Data'!G1359&lt;&gt;'','Raw Data'!G1359,IFERROR(MID(F1359,SEARCH("MODEL",F1359)+6,20),""))</f>
        <v>0</v>
      </c>
      <c r="J1359">
        <f>'Raw Data'!H1359</f>
        <v>0</v>
      </c>
      <c r="K1359">
        <f>'Raw Data'!I1359</f>
        <v>0</v>
      </c>
      <c r="L1359">
        <f>IF('Raw Data'!N1359&lt;&gt;0,'Raw Data'!N1359,IFERROR(VALUE(MID(F1359,SEARCH("QTY",F1359)+4,IFERROR(FIND(" ",F1359,SEARCH("QTY",F1359)+4)-(SEARCH("QTY",F1359)+4),3))),""))</f>
        <v>0</v>
      </c>
      <c r="M1359">
        <f>'Raw Data'!O1359</f>
        <v>0</v>
      </c>
      <c r="N1359">
        <f>'Raw Data'!P1359</f>
        <v>0</v>
      </c>
      <c r="O1359">
        <f>'Raw Data'!Q1359</f>
        <v>0</v>
      </c>
      <c r="P1359">
        <f>'Raw Data'!R1359</f>
        <v>0</v>
      </c>
      <c r="Q1359">
        <f>'Raw Data'!S1359</f>
        <v>0</v>
      </c>
      <c r="R1359">
        <f>'Raw Data'!T1359</f>
        <v>0</v>
      </c>
      <c r="S1359">
        <f>IFERROR(O1359,0)+IFERROR(R1359,0)</f>
        <v>0</v>
      </c>
      <c r="T1359">
        <f>IF(A1359="","",YEAR(A1359))</f>
        <v>0</v>
      </c>
    </row>
    <row r="1360" spans="1:20">
      <c r="A1360">
        <f>'Raw Data'!B1360</f>
        <v>0</v>
      </c>
      <c r="B1360">
        <f>'Raw Data'!A1360</f>
        <v>0</v>
      </c>
      <c r="C1360">
        <f>'Raw Data'!C1360</f>
        <v>0</v>
      </c>
      <c r="D1360">
        <f>'Raw Data'!D1360</f>
        <v>0</v>
      </c>
      <c r="E1360">
        <f>IFERROR(VLOOKUP(D1360,'Lookup Tables'!$A:$B,2,FALSE),"Unknown")</f>
        <v>0</v>
      </c>
      <c r="F1360">
        <f>'Raw Data'!E1360</f>
        <v>0</v>
      </c>
      <c r="G1360">
        <f>IFERROR(VLOOKUP(D1360,'Lookup Tables'!$A:$C,3,FALSE),IF(ISNUMBER(SEARCH("STEEL",F1360)),"Steel","Others"))</f>
        <v>0</v>
      </c>
      <c r="H1360">
        <f>IF(ISNUMBER(SEARCH("scrubber",F1360)) , "Scrubber", IF(ISNUMBER(SEARCH("container",F1360)),"Container", IF(ISNUMBER(SEARCH("basket",F1360)),"Basket", IF(ISNUMBER(SEARCH("lunch",F1360)),"Lunch Box", IF(ISNUMBER(SEARCH("cutlery",F1360)),"Cutlery","Other")))))</f>
        <v>0</v>
      </c>
      <c r="I1360">
        <f>IF('Raw Data'!G1360&lt;&gt;'','Raw Data'!G1360,IFERROR(MID(F1360,SEARCH("MODEL",F1360)+6,20),""))</f>
        <v>0</v>
      </c>
      <c r="J1360">
        <f>'Raw Data'!H1360</f>
        <v>0</v>
      </c>
      <c r="K1360">
        <f>'Raw Data'!I1360</f>
        <v>0</v>
      </c>
      <c r="L1360">
        <f>IF('Raw Data'!N1360&lt;&gt;0,'Raw Data'!N1360,IFERROR(VALUE(MID(F1360,SEARCH("QTY",F1360)+4,IFERROR(FIND(" ",F1360,SEARCH("QTY",F1360)+4)-(SEARCH("QTY",F1360)+4),3))),""))</f>
        <v>0</v>
      </c>
      <c r="M1360">
        <f>'Raw Data'!O1360</f>
        <v>0</v>
      </c>
      <c r="N1360">
        <f>'Raw Data'!P1360</f>
        <v>0</v>
      </c>
      <c r="O1360">
        <f>'Raw Data'!Q1360</f>
        <v>0</v>
      </c>
      <c r="P1360">
        <f>'Raw Data'!R1360</f>
        <v>0</v>
      </c>
      <c r="Q1360">
        <f>'Raw Data'!S1360</f>
        <v>0</v>
      </c>
      <c r="R1360">
        <f>'Raw Data'!T1360</f>
        <v>0</v>
      </c>
      <c r="S1360">
        <f>IFERROR(O1360,0)+IFERROR(R1360,0)</f>
        <v>0</v>
      </c>
      <c r="T1360">
        <f>IF(A1360="","",YEAR(A1360))</f>
        <v>0</v>
      </c>
    </row>
    <row r="1361" spans="1:20">
      <c r="A1361">
        <f>'Raw Data'!B1361</f>
        <v>0</v>
      </c>
      <c r="B1361">
        <f>'Raw Data'!A1361</f>
        <v>0</v>
      </c>
      <c r="C1361">
        <f>'Raw Data'!C1361</f>
        <v>0</v>
      </c>
      <c r="D1361">
        <f>'Raw Data'!D1361</f>
        <v>0</v>
      </c>
      <c r="E1361">
        <f>IFERROR(VLOOKUP(D1361,'Lookup Tables'!$A:$B,2,FALSE),"Unknown")</f>
        <v>0</v>
      </c>
      <c r="F1361">
        <f>'Raw Data'!E1361</f>
        <v>0</v>
      </c>
      <c r="G1361">
        <f>IFERROR(VLOOKUP(D1361,'Lookup Tables'!$A:$C,3,FALSE),IF(ISNUMBER(SEARCH("STEEL",F1361)),"Steel","Others"))</f>
        <v>0</v>
      </c>
      <c r="H1361">
        <f>IF(ISNUMBER(SEARCH("scrubber",F1361)) , "Scrubber", IF(ISNUMBER(SEARCH("container",F1361)),"Container", IF(ISNUMBER(SEARCH("basket",F1361)),"Basket", IF(ISNUMBER(SEARCH("lunch",F1361)),"Lunch Box", IF(ISNUMBER(SEARCH("cutlery",F1361)),"Cutlery","Other")))))</f>
        <v>0</v>
      </c>
      <c r="I1361">
        <f>IF('Raw Data'!G1361&lt;&gt;'','Raw Data'!G1361,IFERROR(MID(F1361,SEARCH("MODEL",F1361)+6,20),""))</f>
        <v>0</v>
      </c>
      <c r="J1361">
        <f>'Raw Data'!H1361</f>
        <v>0</v>
      </c>
      <c r="K1361">
        <f>'Raw Data'!I1361</f>
        <v>0</v>
      </c>
      <c r="L1361">
        <f>IF('Raw Data'!N1361&lt;&gt;0,'Raw Data'!N1361,IFERROR(VALUE(MID(F1361,SEARCH("QTY",F1361)+4,IFERROR(FIND(" ",F1361,SEARCH("QTY",F1361)+4)-(SEARCH("QTY",F1361)+4),3))),""))</f>
        <v>0</v>
      </c>
      <c r="M1361">
        <f>'Raw Data'!O1361</f>
        <v>0</v>
      </c>
      <c r="N1361">
        <f>'Raw Data'!P1361</f>
        <v>0</v>
      </c>
      <c r="O1361">
        <f>'Raw Data'!Q1361</f>
        <v>0</v>
      </c>
      <c r="P1361">
        <f>'Raw Data'!R1361</f>
        <v>0</v>
      </c>
      <c r="Q1361">
        <f>'Raw Data'!S1361</f>
        <v>0</v>
      </c>
      <c r="R1361">
        <f>'Raw Data'!T1361</f>
        <v>0</v>
      </c>
      <c r="S1361">
        <f>IFERROR(O1361,0)+IFERROR(R1361,0)</f>
        <v>0</v>
      </c>
      <c r="T1361">
        <f>IF(A1361="","",YEAR(A1361))</f>
        <v>0</v>
      </c>
    </row>
    <row r="1362" spans="1:20">
      <c r="A1362">
        <f>'Raw Data'!B1362</f>
        <v>0</v>
      </c>
      <c r="B1362">
        <f>'Raw Data'!A1362</f>
        <v>0</v>
      </c>
      <c r="C1362">
        <f>'Raw Data'!C1362</f>
        <v>0</v>
      </c>
      <c r="D1362">
        <f>'Raw Data'!D1362</f>
        <v>0</v>
      </c>
      <c r="E1362">
        <f>IFERROR(VLOOKUP(D1362,'Lookup Tables'!$A:$B,2,FALSE),"Unknown")</f>
        <v>0</v>
      </c>
      <c r="F1362">
        <f>'Raw Data'!E1362</f>
        <v>0</v>
      </c>
      <c r="G1362">
        <f>IFERROR(VLOOKUP(D1362,'Lookup Tables'!$A:$C,3,FALSE),IF(ISNUMBER(SEARCH("STEEL",F1362)),"Steel","Others"))</f>
        <v>0</v>
      </c>
      <c r="H1362">
        <f>IF(ISNUMBER(SEARCH("scrubber",F1362)) , "Scrubber", IF(ISNUMBER(SEARCH("container",F1362)),"Container", IF(ISNUMBER(SEARCH("basket",F1362)),"Basket", IF(ISNUMBER(SEARCH("lunch",F1362)),"Lunch Box", IF(ISNUMBER(SEARCH("cutlery",F1362)),"Cutlery","Other")))))</f>
        <v>0</v>
      </c>
      <c r="I1362">
        <f>IF('Raw Data'!G1362&lt;&gt;'','Raw Data'!G1362,IFERROR(MID(F1362,SEARCH("MODEL",F1362)+6,20),""))</f>
        <v>0</v>
      </c>
      <c r="J1362">
        <f>'Raw Data'!H1362</f>
        <v>0</v>
      </c>
      <c r="K1362">
        <f>'Raw Data'!I1362</f>
        <v>0</v>
      </c>
      <c r="L1362">
        <f>IF('Raw Data'!N1362&lt;&gt;0,'Raw Data'!N1362,IFERROR(VALUE(MID(F1362,SEARCH("QTY",F1362)+4,IFERROR(FIND(" ",F1362,SEARCH("QTY",F1362)+4)-(SEARCH("QTY",F1362)+4),3))),""))</f>
        <v>0</v>
      </c>
      <c r="M1362">
        <f>'Raw Data'!O1362</f>
        <v>0</v>
      </c>
      <c r="N1362">
        <f>'Raw Data'!P1362</f>
        <v>0</v>
      </c>
      <c r="O1362">
        <f>'Raw Data'!Q1362</f>
        <v>0</v>
      </c>
      <c r="P1362">
        <f>'Raw Data'!R1362</f>
        <v>0</v>
      </c>
      <c r="Q1362">
        <f>'Raw Data'!S1362</f>
        <v>0</v>
      </c>
      <c r="R1362">
        <f>'Raw Data'!T1362</f>
        <v>0</v>
      </c>
      <c r="S1362">
        <f>IFERROR(O1362,0)+IFERROR(R1362,0)</f>
        <v>0</v>
      </c>
      <c r="T1362">
        <f>IF(A1362="","",YEAR(A1362))</f>
        <v>0</v>
      </c>
    </row>
    <row r="1363" spans="1:20">
      <c r="A1363">
        <f>'Raw Data'!B1363</f>
        <v>0</v>
      </c>
      <c r="B1363">
        <f>'Raw Data'!A1363</f>
        <v>0</v>
      </c>
      <c r="C1363">
        <f>'Raw Data'!C1363</f>
        <v>0</v>
      </c>
      <c r="D1363">
        <f>'Raw Data'!D1363</f>
        <v>0</v>
      </c>
      <c r="E1363">
        <f>IFERROR(VLOOKUP(D1363,'Lookup Tables'!$A:$B,2,FALSE),"Unknown")</f>
        <v>0</v>
      </c>
      <c r="F1363">
        <f>'Raw Data'!E1363</f>
        <v>0</v>
      </c>
      <c r="G1363">
        <f>IFERROR(VLOOKUP(D1363,'Lookup Tables'!$A:$C,3,FALSE),IF(ISNUMBER(SEARCH("STEEL",F1363)),"Steel","Others"))</f>
        <v>0</v>
      </c>
      <c r="H1363">
        <f>IF(ISNUMBER(SEARCH("scrubber",F1363)) , "Scrubber", IF(ISNUMBER(SEARCH("container",F1363)),"Container", IF(ISNUMBER(SEARCH("basket",F1363)),"Basket", IF(ISNUMBER(SEARCH("lunch",F1363)),"Lunch Box", IF(ISNUMBER(SEARCH("cutlery",F1363)),"Cutlery","Other")))))</f>
        <v>0</v>
      </c>
      <c r="I1363">
        <f>IF('Raw Data'!G1363&lt;&gt;'','Raw Data'!G1363,IFERROR(MID(F1363,SEARCH("MODEL",F1363)+6,20),""))</f>
        <v>0</v>
      </c>
      <c r="J1363">
        <f>'Raw Data'!H1363</f>
        <v>0</v>
      </c>
      <c r="K1363">
        <f>'Raw Data'!I1363</f>
        <v>0</v>
      </c>
      <c r="L1363">
        <f>IF('Raw Data'!N1363&lt;&gt;0,'Raw Data'!N1363,IFERROR(VALUE(MID(F1363,SEARCH("QTY",F1363)+4,IFERROR(FIND(" ",F1363,SEARCH("QTY",F1363)+4)-(SEARCH("QTY",F1363)+4),3))),""))</f>
        <v>0</v>
      </c>
      <c r="M1363">
        <f>'Raw Data'!O1363</f>
        <v>0</v>
      </c>
      <c r="N1363">
        <f>'Raw Data'!P1363</f>
        <v>0</v>
      </c>
      <c r="O1363">
        <f>'Raw Data'!Q1363</f>
        <v>0</v>
      </c>
      <c r="P1363">
        <f>'Raw Data'!R1363</f>
        <v>0</v>
      </c>
      <c r="Q1363">
        <f>'Raw Data'!S1363</f>
        <v>0</v>
      </c>
      <c r="R1363">
        <f>'Raw Data'!T1363</f>
        <v>0</v>
      </c>
      <c r="S1363">
        <f>IFERROR(O1363,0)+IFERROR(R1363,0)</f>
        <v>0</v>
      </c>
      <c r="T1363">
        <f>IF(A1363="","",YEAR(A1363))</f>
        <v>0</v>
      </c>
    </row>
    <row r="1364" spans="1:20">
      <c r="A1364">
        <f>'Raw Data'!B1364</f>
        <v>0</v>
      </c>
      <c r="B1364">
        <f>'Raw Data'!A1364</f>
        <v>0</v>
      </c>
      <c r="C1364">
        <f>'Raw Data'!C1364</f>
        <v>0</v>
      </c>
      <c r="D1364">
        <f>'Raw Data'!D1364</f>
        <v>0</v>
      </c>
      <c r="E1364">
        <f>IFERROR(VLOOKUP(D1364,'Lookup Tables'!$A:$B,2,FALSE),"Unknown")</f>
        <v>0</v>
      </c>
      <c r="F1364">
        <f>'Raw Data'!E1364</f>
        <v>0</v>
      </c>
      <c r="G1364">
        <f>IFERROR(VLOOKUP(D1364,'Lookup Tables'!$A:$C,3,FALSE),IF(ISNUMBER(SEARCH("STEEL",F1364)),"Steel","Others"))</f>
        <v>0</v>
      </c>
      <c r="H1364">
        <f>IF(ISNUMBER(SEARCH("scrubber",F1364)) , "Scrubber", IF(ISNUMBER(SEARCH("container",F1364)),"Container", IF(ISNUMBER(SEARCH("basket",F1364)),"Basket", IF(ISNUMBER(SEARCH("lunch",F1364)),"Lunch Box", IF(ISNUMBER(SEARCH("cutlery",F1364)),"Cutlery","Other")))))</f>
        <v>0</v>
      </c>
      <c r="I1364">
        <f>IF('Raw Data'!G1364&lt;&gt;'','Raw Data'!G1364,IFERROR(MID(F1364,SEARCH("MODEL",F1364)+6,20),""))</f>
        <v>0</v>
      </c>
      <c r="J1364">
        <f>'Raw Data'!H1364</f>
        <v>0</v>
      </c>
      <c r="K1364">
        <f>'Raw Data'!I1364</f>
        <v>0</v>
      </c>
      <c r="L1364">
        <f>IF('Raw Data'!N1364&lt;&gt;0,'Raw Data'!N1364,IFERROR(VALUE(MID(F1364,SEARCH("QTY",F1364)+4,IFERROR(FIND(" ",F1364,SEARCH("QTY",F1364)+4)-(SEARCH("QTY",F1364)+4),3))),""))</f>
        <v>0</v>
      </c>
      <c r="M1364">
        <f>'Raw Data'!O1364</f>
        <v>0</v>
      </c>
      <c r="N1364">
        <f>'Raw Data'!P1364</f>
        <v>0</v>
      </c>
      <c r="O1364">
        <f>'Raw Data'!Q1364</f>
        <v>0</v>
      </c>
      <c r="P1364">
        <f>'Raw Data'!R1364</f>
        <v>0</v>
      </c>
      <c r="Q1364">
        <f>'Raw Data'!S1364</f>
        <v>0</v>
      </c>
      <c r="R1364">
        <f>'Raw Data'!T1364</f>
        <v>0</v>
      </c>
      <c r="S1364">
        <f>IFERROR(O1364,0)+IFERROR(R1364,0)</f>
        <v>0</v>
      </c>
      <c r="T1364">
        <f>IF(A1364="","",YEAR(A1364))</f>
        <v>0</v>
      </c>
    </row>
    <row r="1365" spans="1:20">
      <c r="A1365">
        <f>'Raw Data'!B1365</f>
        <v>0</v>
      </c>
      <c r="B1365">
        <f>'Raw Data'!A1365</f>
        <v>0</v>
      </c>
      <c r="C1365">
        <f>'Raw Data'!C1365</f>
        <v>0</v>
      </c>
      <c r="D1365">
        <f>'Raw Data'!D1365</f>
        <v>0</v>
      </c>
      <c r="E1365">
        <f>IFERROR(VLOOKUP(D1365,'Lookup Tables'!$A:$B,2,FALSE),"Unknown")</f>
        <v>0</v>
      </c>
      <c r="F1365">
        <f>'Raw Data'!E1365</f>
        <v>0</v>
      </c>
      <c r="G1365">
        <f>IFERROR(VLOOKUP(D1365,'Lookup Tables'!$A:$C,3,FALSE),IF(ISNUMBER(SEARCH("STEEL",F1365)),"Steel","Others"))</f>
        <v>0</v>
      </c>
      <c r="H1365">
        <f>IF(ISNUMBER(SEARCH("scrubber",F1365)) , "Scrubber", IF(ISNUMBER(SEARCH("container",F1365)),"Container", IF(ISNUMBER(SEARCH("basket",F1365)),"Basket", IF(ISNUMBER(SEARCH("lunch",F1365)),"Lunch Box", IF(ISNUMBER(SEARCH("cutlery",F1365)),"Cutlery","Other")))))</f>
        <v>0</v>
      </c>
      <c r="I1365">
        <f>IF('Raw Data'!G1365&lt;&gt;'','Raw Data'!G1365,IFERROR(MID(F1365,SEARCH("MODEL",F1365)+6,20),""))</f>
        <v>0</v>
      </c>
      <c r="J1365">
        <f>'Raw Data'!H1365</f>
        <v>0</v>
      </c>
      <c r="K1365">
        <f>'Raw Data'!I1365</f>
        <v>0</v>
      </c>
      <c r="L1365">
        <f>IF('Raw Data'!N1365&lt;&gt;0,'Raw Data'!N1365,IFERROR(VALUE(MID(F1365,SEARCH("QTY",F1365)+4,IFERROR(FIND(" ",F1365,SEARCH("QTY",F1365)+4)-(SEARCH("QTY",F1365)+4),3))),""))</f>
        <v>0</v>
      </c>
      <c r="M1365">
        <f>'Raw Data'!O1365</f>
        <v>0</v>
      </c>
      <c r="N1365">
        <f>'Raw Data'!P1365</f>
        <v>0</v>
      </c>
      <c r="O1365">
        <f>'Raw Data'!Q1365</f>
        <v>0</v>
      </c>
      <c r="P1365">
        <f>'Raw Data'!R1365</f>
        <v>0</v>
      </c>
      <c r="Q1365">
        <f>'Raw Data'!S1365</f>
        <v>0</v>
      </c>
      <c r="R1365">
        <f>'Raw Data'!T1365</f>
        <v>0</v>
      </c>
      <c r="S1365">
        <f>IFERROR(O1365,0)+IFERROR(R1365,0)</f>
        <v>0</v>
      </c>
      <c r="T1365">
        <f>IF(A1365="","",YEAR(A1365))</f>
        <v>0</v>
      </c>
    </row>
    <row r="1366" spans="1:20">
      <c r="A1366">
        <f>'Raw Data'!B1366</f>
        <v>0</v>
      </c>
      <c r="B1366">
        <f>'Raw Data'!A1366</f>
        <v>0</v>
      </c>
      <c r="C1366">
        <f>'Raw Data'!C1366</f>
        <v>0</v>
      </c>
      <c r="D1366">
        <f>'Raw Data'!D1366</f>
        <v>0</v>
      </c>
      <c r="E1366">
        <f>IFERROR(VLOOKUP(D1366,'Lookup Tables'!$A:$B,2,FALSE),"Unknown")</f>
        <v>0</v>
      </c>
      <c r="F1366">
        <f>'Raw Data'!E1366</f>
        <v>0</v>
      </c>
      <c r="G1366">
        <f>IFERROR(VLOOKUP(D1366,'Lookup Tables'!$A:$C,3,FALSE),IF(ISNUMBER(SEARCH("STEEL",F1366)),"Steel","Others"))</f>
        <v>0</v>
      </c>
      <c r="H1366">
        <f>IF(ISNUMBER(SEARCH("scrubber",F1366)) , "Scrubber", IF(ISNUMBER(SEARCH("container",F1366)),"Container", IF(ISNUMBER(SEARCH("basket",F1366)),"Basket", IF(ISNUMBER(SEARCH("lunch",F1366)),"Lunch Box", IF(ISNUMBER(SEARCH("cutlery",F1366)),"Cutlery","Other")))))</f>
        <v>0</v>
      </c>
      <c r="I1366">
        <f>IF('Raw Data'!G1366&lt;&gt;'','Raw Data'!G1366,IFERROR(MID(F1366,SEARCH("MODEL",F1366)+6,20),""))</f>
        <v>0</v>
      </c>
      <c r="J1366">
        <f>'Raw Data'!H1366</f>
        <v>0</v>
      </c>
      <c r="K1366">
        <f>'Raw Data'!I1366</f>
        <v>0</v>
      </c>
      <c r="L1366">
        <f>IF('Raw Data'!N1366&lt;&gt;0,'Raw Data'!N1366,IFERROR(VALUE(MID(F1366,SEARCH("QTY",F1366)+4,IFERROR(FIND(" ",F1366,SEARCH("QTY",F1366)+4)-(SEARCH("QTY",F1366)+4),3))),""))</f>
        <v>0</v>
      </c>
      <c r="M1366">
        <f>'Raw Data'!O1366</f>
        <v>0</v>
      </c>
      <c r="N1366">
        <f>'Raw Data'!P1366</f>
        <v>0</v>
      </c>
      <c r="O1366">
        <f>'Raw Data'!Q1366</f>
        <v>0</v>
      </c>
      <c r="P1366">
        <f>'Raw Data'!R1366</f>
        <v>0</v>
      </c>
      <c r="Q1366">
        <f>'Raw Data'!S1366</f>
        <v>0</v>
      </c>
      <c r="R1366">
        <f>'Raw Data'!T1366</f>
        <v>0</v>
      </c>
      <c r="S1366">
        <f>IFERROR(O1366,0)+IFERROR(R1366,0)</f>
        <v>0</v>
      </c>
      <c r="T1366">
        <f>IF(A1366="","",YEAR(A1366))</f>
        <v>0</v>
      </c>
    </row>
    <row r="1367" spans="1:20">
      <c r="A1367">
        <f>'Raw Data'!B1367</f>
        <v>0</v>
      </c>
      <c r="B1367">
        <f>'Raw Data'!A1367</f>
        <v>0</v>
      </c>
      <c r="C1367">
        <f>'Raw Data'!C1367</f>
        <v>0</v>
      </c>
      <c r="D1367">
        <f>'Raw Data'!D1367</f>
        <v>0</v>
      </c>
      <c r="E1367">
        <f>IFERROR(VLOOKUP(D1367,'Lookup Tables'!$A:$B,2,FALSE),"Unknown")</f>
        <v>0</v>
      </c>
      <c r="F1367">
        <f>'Raw Data'!E1367</f>
        <v>0</v>
      </c>
      <c r="G1367">
        <f>IFERROR(VLOOKUP(D1367,'Lookup Tables'!$A:$C,3,FALSE),IF(ISNUMBER(SEARCH("STEEL",F1367)),"Steel","Others"))</f>
        <v>0</v>
      </c>
      <c r="H1367">
        <f>IF(ISNUMBER(SEARCH("scrubber",F1367)) , "Scrubber", IF(ISNUMBER(SEARCH("container",F1367)),"Container", IF(ISNUMBER(SEARCH("basket",F1367)),"Basket", IF(ISNUMBER(SEARCH("lunch",F1367)),"Lunch Box", IF(ISNUMBER(SEARCH("cutlery",F1367)),"Cutlery","Other")))))</f>
        <v>0</v>
      </c>
      <c r="I1367">
        <f>IF('Raw Data'!G1367&lt;&gt;'','Raw Data'!G1367,IFERROR(MID(F1367,SEARCH("MODEL",F1367)+6,20),""))</f>
        <v>0</v>
      </c>
      <c r="J1367">
        <f>'Raw Data'!H1367</f>
        <v>0</v>
      </c>
      <c r="K1367">
        <f>'Raw Data'!I1367</f>
        <v>0</v>
      </c>
      <c r="L1367">
        <f>IF('Raw Data'!N1367&lt;&gt;0,'Raw Data'!N1367,IFERROR(VALUE(MID(F1367,SEARCH("QTY",F1367)+4,IFERROR(FIND(" ",F1367,SEARCH("QTY",F1367)+4)-(SEARCH("QTY",F1367)+4),3))),""))</f>
        <v>0</v>
      </c>
      <c r="M1367">
        <f>'Raw Data'!O1367</f>
        <v>0</v>
      </c>
      <c r="N1367">
        <f>'Raw Data'!P1367</f>
        <v>0</v>
      </c>
      <c r="O1367">
        <f>'Raw Data'!Q1367</f>
        <v>0</v>
      </c>
      <c r="P1367">
        <f>'Raw Data'!R1367</f>
        <v>0</v>
      </c>
      <c r="Q1367">
        <f>'Raw Data'!S1367</f>
        <v>0</v>
      </c>
      <c r="R1367">
        <f>'Raw Data'!T1367</f>
        <v>0</v>
      </c>
      <c r="S1367">
        <f>IFERROR(O1367,0)+IFERROR(R1367,0)</f>
        <v>0</v>
      </c>
      <c r="T1367">
        <f>IF(A1367="","",YEAR(A1367))</f>
        <v>0</v>
      </c>
    </row>
    <row r="1368" spans="1:20">
      <c r="A1368">
        <f>'Raw Data'!B1368</f>
        <v>0</v>
      </c>
      <c r="B1368">
        <f>'Raw Data'!A1368</f>
        <v>0</v>
      </c>
      <c r="C1368">
        <f>'Raw Data'!C1368</f>
        <v>0</v>
      </c>
      <c r="D1368">
        <f>'Raw Data'!D1368</f>
        <v>0</v>
      </c>
      <c r="E1368">
        <f>IFERROR(VLOOKUP(D1368,'Lookup Tables'!$A:$B,2,FALSE),"Unknown")</f>
        <v>0</v>
      </c>
      <c r="F1368">
        <f>'Raw Data'!E1368</f>
        <v>0</v>
      </c>
      <c r="G1368">
        <f>IFERROR(VLOOKUP(D1368,'Lookup Tables'!$A:$C,3,FALSE),IF(ISNUMBER(SEARCH("STEEL",F1368)),"Steel","Others"))</f>
        <v>0</v>
      </c>
      <c r="H1368">
        <f>IF(ISNUMBER(SEARCH("scrubber",F1368)) , "Scrubber", IF(ISNUMBER(SEARCH("container",F1368)),"Container", IF(ISNUMBER(SEARCH("basket",F1368)),"Basket", IF(ISNUMBER(SEARCH("lunch",F1368)),"Lunch Box", IF(ISNUMBER(SEARCH("cutlery",F1368)),"Cutlery","Other")))))</f>
        <v>0</v>
      </c>
      <c r="I1368">
        <f>IF('Raw Data'!G1368&lt;&gt;'','Raw Data'!G1368,IFERROR(MID(F1368,SEARCH("MODEL",F1368)+6,20),""))</f>
        <v>0</v>
      </c>
      <c r="J1368">
        <f>'Raw Data'!H1368</f>
        <v>0</v>
      </c>
      <c r="K1368">
        <f>'Raw Data'!I1368</f>
        <v>0</v>
      </c>
      <c r="L1368">
        <f>IF('Raw Data'!N1368&lt;&gt;0,'Raw Data'!N1368,IFERROR(VALUE(MID(F1368,SEARCH("QTY",F1368)+4,IFERROR(FIND(" ",F1368,SEARCH("QTY",F1368)+4)-(SEARCH("QTY",F1368)+4),3))),""))</f>
        <v>0</v>
      </c>
      <c r="M1368">
        <f>'Raw Data'!O1368</f>
        <v>0</v>
      </c>
      <c r="N1368">
        <f>'Raw Data'!P1368</f>
        <v>0</v>
      </c>
      <c r="O1368">
        <f>'Raw Data'!Q1368</f>
        <v>0</v>
      </c>
      <c r="P1368">
        <f>'Raw Data'!R1368</f>
        <v>0</v>
      </c>
      <c r="Q1368">
        <f>'Raw Data'!S1368</f>
        <v>0</v>
      </c>
      <c r="R1368">
        <f>'Raw Data'!T1368</f>
        <v>0</v>
      </c>
      <c r="S1368">
        <f>IFERROR(O1368,0)+IFERROR(R1368,0)</f>
        <v>0</v>
      </c>
      <c r="T1368">
        <f>IF(A1368="","",YEAR(A1368))</f>
        <v>0</v>
      </c>
    </row>
    <row r="1369" spans="1:20">
      <c r="A1369">
        <f>'Raw Data'!B1369</f>
        <v>0</v>
      </c>
      <c r="B1369">
        <f>'Raw Data'!A1369</f>
        <v>0</v>
      </c>
      <c r="C1369">
        <f>'Raw Data'!C1369</f>
        <v>0</v>
      </c>
      <c r="D1369">
        <f>'Raw Data'!D1369</f>
        <v>0</v>
      </c>
      <c r="E1369">
        <f>IFERROR(VLOOKUP(D1369,'Lookup Tables'!$A:$B,2,FALSE),"Unknown")</f>
        <v>0</v>
      </c>
      <c r="F1369">
        <f>'Raw Data'!E1369</f>
        <v>0</v>
      </c>
      <c r="G1369">
        <f>IFERROR(VLOOKUP(D1369,'Lookup Tables'!$A:$C,3,FALSE),IF(ISNUMBER(SEARCH("STEEL",F1369)),"Steel","Others"))</f>
        <v>0</v>
      </c>
      <c r="H1369">
        <f>IF(ISNUMBER(SEARCH("scrubber",F1369)) , "Scrubber", IF(ISNUMBER(SEARCH("container",F1369)),"Container", IF(ISNUMBER(SEARCH("basket",F1369)),"Basket", IF(ISNUMBER(SEARCH("lunch",F1369)),"Lunch Box", IF(ISNUMBER(SEARCH("cutlery",F1369)),"Cutlery","Other")))))</f>
        <v>0</v>
      </c>
      <c r="I1369">
        <f>IF('Raw Data'!G1369&lt;&gt;'','Raw Data'!G1369,IFERROR(MID(F1369,SEARCH("MODEL",F1369)+6,20),""))</f>
        <v>0</v>
      </c>
      <c r="J1369">
        <f>'Raw Data'!H1369</f>
        <v>0</v>
      </c>
      <c r="K1369">
        <f>'Raw Data'!I1369</f>
        <v>0</v>
      </c>
      <c r="L1369">
        <f>IF('Raw Data'!N1369&lt;&gt;0,'Raw Data'!N1369,IFERROR(VALUE(MID(F1369,SEARCH("QTY",F1369)+4,IFERROR(FIND(" ",F1369,SEARCH("QTY",F1369)+4)-(SEARCH("QTY",F1369)+4),3))),""))</f>
        <v>0</v>
      </c>
      <c r="M1369">
        <f>'Raw Data'!O1369</f>
        <v>0</v>
      </c>
      <c r="N1369">
        <f>'Raw Data'!P1369</f>
        <v>0</v>
      </c>
      <c r="O1369">
        <f>'Raw Data'!Q1369</f>
        <v>0</v>
      </c>
      <c r="P1369">
        <f>'Raw Data'!R1369</f>
        <v>0</v>
      </c>
      <c r="Q1369">
        <f>'Raw Data'!S1369</f>
        <v>0</v>
      </c>
      <c r="R1369">
        <f>'Raw Data'!T1369</f>
        <v>0</v>
      </c>
      <c r="S1369">
        <f>IFERROR(O1369,0)+IFERROR(R1369,0)</f>
        <v>0</v>
      </c>
      <c r="T1369">
        <f>IF(A1369="","",YEAR(A1369))</f>
        <v>0</v>
      </c>
    </row>
    <row r="1370" spans="1:20">
      <c r="A1370">
        <f>'Raw Data'!B1370</f>
        <v>0</v>
      </c>
      <c r="B1370">
        <f>'Raw Data'!A1370</f>
        <v>0</v>
      </c>
      <c r="C1370">
        <f>'Raw Data'!C1370</f>
        <v>0</v>
      </c>
      <c r="D1370">
        <f>'Raw Data'!D1370</f>
        <v>0</v>
      </c>
      <c r="E1370">
        <f>IFERROR(VLOOKUP(D1370,'Lookup Tables'!$A:$B,2,FALSE),"Unknown")</f>
        <v>0</v>
      </c>
      <c r="F1370">
        <f>'Raw Data'!E1370</f>
        <v>0</v>
      </c>
      <c r="G1370">
        <f>IFERROR(VLOOKUP(D1370,'Lookup Tables'!$A:$C,3,FALSE),IF(ISNUMBER(SEARCH("STEEL",F1370)),"Steel","Others"))</f>
        <v>0</v>
      </c>
      <c r="H1370">
        <f>IF(ISNUMBER(SEARCH("scrubber",F1370)) , "Scrubber", IF(ISNUMBER(SEARCH("container",F1370)),"Container", IF(ISNUMBER(SEARCH("basket",F1370)),"Basket", IF(ISNUMBER(SEARCH("lunch",F1370)),"Lunch Box", IF(ISNUMBER(SEARCH("cutlery",F1370)),"Cutlery","Other")))))</f>
        <v>0</v>
      </c>
      <c r="I1370">
        <f>IF('Raw Data'!G1370&lt;&gt;'','Raw Data'!G1370,IFERROR(MID(F1370,SEARCH("MODEL",F1370)+6,20),""))</f>
        <v>0</v>
      </c>
      <c r="J1370">
        <f>'Raw Data'!H1370</f>
        <v>0</v>
      </c>
      <c r="K1370">
        <f>'Raw Data'!I1370</f>
        <v>0</v>
      </c>
      <c r="L1370">
        <f>IF('Raw Data'!N1370&lt;&gt;0,'Raw Data'!N1370,IFERROR(VALUE(MID(F1370,SEARCH("QTY",F1370)+4,IFERROR(FIND(" ",F1370,SEARCH("QTY",F1370)+4)-(SEARCH("QTY",F1370)+4),3))),""))</f>
        <v>0</v>
      </c>
      <c r="M1370">
        <f>'Raw Data'!O1370</f>
        <v>0</v>
      </c>
      <c r="N1370">
        <f>'Raw Data'!P1370</f>
        <v>0</v>
      </c>
      <c r="O1370">
        <f>'Raw Data'!Q1370</f>
        <v>0</v>
      </c>
      <c r="P1370">
        <f>'Raw Data'!R1370</f>
        <v>0</v>
      </c>
      <c r="Q1370">
        <f>'Raw Data'!S1370</f>
        <v>0</v>
      </c>
      <c r="R1370">
        <f>'Raw Data'!T1370</f>
        <v>0</v>
      </c>
      <c r="S1370">
        <f>IFERROR(O1370,0)+IFERROR(R1370,0)</f>
        <v>0</v>
      </c>
      <c r="T1370">
        <f>IF(A1370="","",YEAR(A1370))</f>
        <v>0</v>
      </c>
    </row>
    <row r="1371" spans="1:20">
      <c r="A1371">
        <f>'Raw Data'!B1371</f>
        <v>0</v>
      </c>
      <c r="B1371">
        <f>'Raw Data'!A1371</f>
        <v>0</v>
      </c>
      <c r="C1371">
        <f>'Raw Data'!C1371</f>
        <v>0</v>
      </c>
      <c r="D1371">
        <f>'Raw Data'!D1371</f>
        <v>0</v>
      </c>
      <c r="E1371">
        <f>IFERROR(VLOOKUP(D1371,'Lookup Tables'!$A:$B,2,FALSE),"Unknown")</f>
        <v>0</v>
      </c>
      <c r="F1371">
        <f>'Raw Data'!E1371</f>
        <v>0</v>
      </c>
      <c r="G1371">
        <f>IFERROR(VLOOKUP(D1371,'Lookup Tables'!$A:$C,3,FALSE),IF(ISNUMBER(SEARCH("STEEL",F1371)),"Steel","Others"))</f>
        <v>0</v>
      </c>
      <c r="H1371">
        <f>IF(ISNUMBER(SEARCH("scrubber",F1371)) , "Scrubber", IF(ISNUMBER(SEARCH("container",F1371)),"Container", IF(ISNUMBER(SEARCH("basket",F1371)),"Basket", IF(ISNUMBER(SEARCH("lunch",F1371)),"Lunch Box", IF(ISNUMBER(SEARCH("cutlery",F1371)),"Cutlery","Other")))))</f>
        <v>0</v>
      </c>
      <c r="I1371">
        <f>IF('Raw Data'!G1371&lt;&gt;'','Raw Data'!G1371,IFERROR(MID(F1371,SEARCH("MODEL",F1371)+6,20),""))</f>
        <v>0</v>
      </c>
      <c r="J1371">
        <f>'Raw Data'!H1371</f>
        <v>0</v>
      </c>
      <c r="K1371">
        <f>'Raw Data'!I1371</f>
        <v>0</v>
      </c>
      <c r="L1371">
        <f>IF('Raw Data'!N1371&lt;&gt;0,'Raw Data'!N1371,IFERROR(VALUE(MID(F1371,SEARCH("QTY",F1371)+4,IFERROR(FIND(" ",F1371,SEARCH("QTY",F1371)+4)-(SEARCH("QTY",F1371)+4),3))),""))</f>
        <v>0</v>
      </c>
      <c r="M1371">
        <f>'Raw Data'!O1371</f>
        <v>0</v>
      </c>
      <c r="N1371">
        <f>'Raw Data'!P1371</f>
        <v>0</v>
      </c>
      <c r="O1371">
        <f>'Raw Data'!Q1371</f>
        <v>0</v>
      </c>
      <c r="P1371">
        <f>'Raw Data'!R1371</f>
        <v>0</v>
      </c>
      <c r="Q1371">
        <f>'Raw Data'!S1371</f>
        <v>0</v>
      </c>
      <c r="R1371">
        <f>'Raw Data'!T1371</f>
        <v>0</v>
      </c>
      <c r="S1371">
        <f>IFERROR(O1371,0)+IFERROR(R1371,0)</f>
        <v>0</v>
      </c>
      <c r="T1371">
        <f>IF(A1371="","",YEAR(A1371))</f>
        <v>0</v>
      </c>
    </row>
    <row r="1372" spans="1:20">
      <c r="A1372">
        <f>'Raw Data'!B1372</f>
        <v>0</v>
      </c>
      <c r="B1372">
        <f>'Raw Data'!A1372</f>
        <v>0</v>
      </c>
      <c r="C1372">
        <f>'Raw Data'!C1372</f>
        <v>0</v>
      </c>
      <c r="D1372">
        <f>'Raw Data'!D1372</f>
        <v>0</v>
      </c>
      <c r="E1372">
        <f>IFERROR(VLOOKUP(D1372,'Lookup Tables'!$A:$B,2,FALSE),"Unknown")</f>
        <v>0</v>
      </c>
      <c r="F1372">
        <f>'Raw Data'!E1372</f>
        <v>0</v>
      </c>
      <c r="G1372">
        <f>IFERROR(VLOOKUP(D1372,'Lookup Tables'!$A:$C,3,FALSE),IF(ISNUMBER(SEARCH("STEEL",F1372)),"Steel","Others"))</f>
        <v>0</v>
      </c>
      <c r="H1372">
        <f>IF(ISNUMBER(SEARCH("scrubber",F1372)) , "Scrubber", IF(ISNUMBER(SEARCH("container",F1372)),"Container", IF(ISNUMBER(SEARCH("basket",F1372)),"Basket", IF(ISNUMBER(SEARCH("lunch",F1372)),"Lunch Box", IF(ISNUMBER(SEARCH("cutlery",F1372)),"Cutlery","Other")))))</f>
        <v>0</v>
      </c>
      <c r="I1372">
        <f>IF('Raw Data'!G1372&lt;&gt;'','Raw Data'!G1372,IFERROR(MID(F1372,SEARCH("MODEL",F1372)+6,20),""))</f>
        <v>0</v>
      </c>
      <c r="J1372">
        <f>'Raw Data'!H1372</f>
        <v>0</v>
      </c>
      <c r="K1372">
        <f>'Raw Data'!I1372</f>
        <v>0</v>
      </c>
      <c r="L1372">
        <f>IF('Raw Data'!N1372&lt;&gt;0,'Raw Data'!N1372,IFERROR(VALUE(MID(F1372,SEARCH("QTY",F1372)+4,IFERROR(FIND(" ",F1372,SEARCH("QTY",F1372)+4)-(SEARCH("QTY",F1372)+4),3))),""))</f>
        <v>0</v>
      </c>
      <c r="M1372">
        <f>'Raw Data'!O1372</f>
        <v>0</v>
      </c>
      <c r="N1372">
        <f>'Raw Data'!P1372</f>
        <v>0</v>
      </c>
      <c r="O1372">
        <f>'Raw Data'!Q1372</f>
        <v>0</v>
      </c>
      <c r="P1372">
        <f>'Raw Data'!R1372</f>
        <v>0</v>
      </c>
      <c r="Q1372">
        <f>'Raw Data'!S1372</f>
        <v>0</v>
      </c>
      <c r="R1372">
        <f>'Raw Data'!T1372</f>
        <v>0</v>
      </c>
      <c r="S1372">
        <f>IFERROR(O1372,0)+IFERROR(R1372,0)</f>
        <v>0</v>
      </c>
      <c r="T1372">
        <f>IF(A1372="","",YEAR(A1372))</f>
        <v>0</v>
      </c>
    </row>
    <row r="1373" spans="1:20">
      <c r="A1373">
        <f>'Raw Data'!B1373</f>
        <v>0</v>
      </c>
      <c r="B1373">
        <f>'Raw Data'!A1373</f>
        <v>0</v>
      </c>
      <c r="C1373">
        <f>'Raw Data'!C1373</f>
        <v>0</v>
      </c>
      <c r="D1373">
        <f>'Raw Data'!D1373</f>
        <v>0</v>
      </c>
      <c r="E1373">
        <f>IFERROR(VLOOKUP(D1373,'Lookup Tables'!$A:$B,2,FALSE),"Unknown")</f>
        <v>0</v>
      </c>
      <c r="F1373">
        <f>'Raw Data'!E1373</f>
        <v>0</v>
      </c>
      <c r="G1373">
        <f>IFERROR(VLOOKUP(D1373,'Lookup Tables'!$A:$C,3,FALSE),IF(ISNUMBER(SEARCH("STEEL",F1373)),"Steel","Others"))</f>
        <v>0</v>
      </c>
      <c r="H1373">
        <f>IF(ISNUMBER(SEARCH("scrubber",F1373)) , "Scrubber", IF(ISNUMBER(SEARCH("container",F1373)),"Container", IF(ISNUMBER(SEARCH("basket",F1373)),"Basket", IF(ISNUMBER(SEARCH("lunch",F1373)),"Lunch Box", IF(ISNUMBER(SEARCH("cutlery",F1373)),"Cutlery","Other")))))</f>
        <v>0</v>
      </c>
      <c r="I1373">
        <f>IF('Raw Data'!G1373&lt;&gt;'','Raw Data'!G1373,IFERROR(MID(F1373,SEARCH("MODEL",F1373)+6,20),""))</f>
        <v>0</v>
      </c>
      <c r="J1373">
        <f>'Raw Data'!H1373</f>
        <v>0</v>
      </c>
      <c r="K1373">
        <f>'Raw Data'!I1373</f>
        <v>0</v>
      </c>
      <c r="L1373">
        <f>IF('Raw Data'!N1373&lt;&gt;0,'Raw Data'!N1373,IFERROR(VALUE(MID(F1373,SEARCH("QTY",F1373)+4,IFERROR(FIND(" ",F1373,SEARCH("QTY",F1373)+4)-(SEARCH("QTY",F1373)+4),3))),""))</f>
        <v>0</v>
      </c>
      <c r="M1373">
        <f>'Raw Data'!O1373</f>
        <v>0</v>
      </c>
      <c r="N1373">
        <f>'Raw Data'!P1373</f>
        <v>0</v>
      </c>
      <c r="O1373">
        <f>'Raw Data'!Q1373</f>
        <v>0</v>
      </c>
      <c r="P1373">
        <f>'Raw Data'!R1373</f>
        <v>0</v>
      </c>
      <c r="Q1373">
        <f>'Raw Data'!S1373</f>
        <v>0</v>
      </c>
      <c r="R1373">
        <f>'Raw Data'!T1373</f>
        <v>0</v>
      </c>
      <c r="S1373">
        <f>IFERROR(O1373,0)+IFERROR(R1373,0)</f>
        <v>0</v>
      </c>
      <c r="T1373">
        <f>IF(A1373="","",YEAR(A1373))</f>
        <v>0</v>
      </c>
    </row>
    <row r="1374" spans="1:20">
      <c r="A1374">
        <f>'Raw Data'!B1374</f>
        <v>0</v>
      </c>
      <c r="B1374">
        <f>'Raw Data'!A1374</f>
        <v>0</v>
      </c>
      <c r="C1374">
        <f>'Raw Data'!C1374</f>
        <v>0</v>
      </c>
      <c r="D1374">
        <f>'Raw Data'!D1374</f>
        <v>0</v>
      </c>
      <c r="E1374">
        <f>IFERROR(VLOOKUP(D1374,'Lookup Tables'!$A:$B,2,FALSE),"Unknown")</f>
        <v>0</v>
      </c>
      <c r="F1374">
        <f>'Raw Data'!E1374</f>
        <v>0</v>
      </c>
      <c r="G1374">
        <f>IFERROR(VLOOKUP(D1374,'Lookup Tables'!$A:$C,3,FALSE),IF(ISNUMBER(SEARCH("STEEL",F1374)),"Steel","Others"))</f>
        <v>0</v>
      </c>
      <c r="H1374">
        <f>IF(ISNUMBER(SEARCH("scrubber",F1374)) , "Scrubber", IF(ISNUMBER(SEARCH("container",F1374)),"Container", IF(ISNUMBER(SEARCH("basket",F1374)),"Basket", IF(ISNUMBER(SEARCH("lunch",F1374)),"Lunch Box", IF(ISNUMBER(SEARCH("cutlery",F1374)),"Cutlery","Other")))))</f>
        <v>0</v>
      </c>
      <c r="I1374">
        <f>IF('Raw Data'!G1374&lt;&gt;'','Raw Data'!G1374,IFERROR(MID(F1374,SEARCH("MODEL",F1374)+6,20),""))</f>
        <v>0</v>
      </c>
      <c r="J1374">
        <f>'Raw Data'!H1374</f>
        <v>0</v>
      </c>
      <c r="K1374">
        <f>'Raw Data'!I1374</f>
        <v>0</v>
      </c>
      <c r="L1374">
        <f>IF('Raw Data'!N1374&lt;&gt;0,'Raw Data'!N1374,IFERROR(VALUE(MID(F1374,SEARCH("QTY",F1374)+4,IFERROR(FIND(" ",F1374,SEARCH("QTY",F1374)+4)-(SEARCH("QTY",F1374)+4),3))),""))</f>
        <v>0</v>
      </c>
      <c r="M1374">
        <f>'Raw Data'!O1374</f>
        <v>0</v>
      </c>
      <c r="N1374">
        <f>'Raw Data'!P1374</f>
        <v>0</v>
      </c>
      <c r="O1374">
        <f>'Raw Data'!Q1374</f>
        <v>0</v>
      </c>
      <c r="P1374">
        <f>'Raw Data'!R1374</f>
        <v>0</v>
      </c>
      <c r="Q1374">
        <f>'Raw Data'!S1374</f>
        <v>0</v>
      </c>
      <c r="R1374">
        <f>'Raw Data'!T1374</f>
        <v>0</v>
      </c>
      <c r="S1374">
        <f>IFERROR(O1374,0)+IFERROR(R1374,0)</f>
        <v>0</v>
      </c>
      <c r="T1374">
        <f>IF(A1374="","",YEAR(A1374))</f>
        <v>0</v>
      </c>
    </row>
    <row r="1375" spans="1:20">
      <c r="A1375">
        <f>'Raw Data'!B1375</f>
        <v>0</v>
      </c>
      <c r="B1375">
        <f>'Raw Data'!A1375</f>
        <v>0</v>
      </c>
      <c r="C1375">
        <f>'Raw Data'!C1375</f>
        <v>0</v>
      </c>
      <c r="D1375">
        <f>'Raw Data'!D1375</f>
        <v>0</v>
      </c>
      <c r="E1375">
        <f>IFERROR(VLOOKUP(D1375,'Lookup Tables'!$A:$B,2,FALSE),"Unknown")</f>
        <v>0</v>
      </c>
      <c r="F1375">
        <f>'Raw Data'!E1375</f>
        <v>0</v>
      </c>
      <c r="G1375">
        <f>IFERROR(VLOOKUP(D1375,'Lookup Tables'!$A:$C,3,FALSE),IF(ISNUMBER(SEARCH("STEEL",F1375)),"Steel","Others"))</f>
        <v>0</v>
      </c>
      <c r="H1375">
        <f>IF(ISNUMBER(SEARCH("scrubber",F1375)) , "Scrubber", IF(ISNUMBER(SEARCH("container",F1375)),"Container", IF(ISNUMBER(SEARCH("basket",F1375)),"Basket", IF(ISNUMBER(SEARCH("lunch",F1375)),"Lunch Box", IF(ISNUMBER(SEARCH("cutlery",F1375)),"Cutlery","Other")))))</f>
        <v>0</v>
      </c>
      <c r="I1375">
        <f>IF('Raw Data'!G1375&lt;&gt;'','Raw Data'!G1375,IFERROR(MID(F1375,SEARCH("MODEL",F1375)+6,20),""))</f>
        <v>0</v>
      </c>
      <c r="J1375">
        <f>'Raw Data'!H1375</f>
        <v>0</v>
      </c>
      <c r="K1375">
        <f>'Raw Data'!I1375</f>
        <v>0</v>
      </c>
      <c r="L1375">
        <f>IF('Raw Data'!N1375&lt;&gt;0,'Raw Data'!N1375,IFERROR(VALUE(MID(F1375,SEARCH("QTY",F1375)+4,IFERROR(FIND(" ",F1375,SEARCH("QTY",F1375)+4)-(SEARCH("QTY",F1375)+4),3))),""))</f>
        <v>0</v>
      </c>
      <c r="M1375">
        <f>'Raw Data'!O1375</f>
        <v>0</v>
      </c>
      <c r="N1375">
        <f>'Raw Data'!P1375</f>
        <v>0</v>
      </c>
      <c r="O1375">
        <f>'Raw Data'!Q1375</f>
        <v>0</v>
      </c>
      <c r="P1375">
        <f>'Raw Data'!R1375</f>
        <v>0</v>
      </c>
      <c r="Q1375">
        <f>'Raw Data'!S1375</f>
        <v>0</v>
      </c>
      <c r="R1375">
        <f>'Raw Data'!T1375</f>
        <v>0</v>
      </c>
      <c r="S1375">
        <f>IFERROR(O1375,0)+IFERROR(R1375,0)</f>
        <v>0</v>
      </c>
      <c r="T1375">
        <f>IF(A1375="","",YEAR(A1375))</f>
        <v>0</v>
      </c>
    </row>
    <row r="1376" spans="1:20">
      <c r="A1376">
        <f>'Raw Data'!B1376</f>
        <v>0</v>
      </c>
      <c r="B1376">
        <f>'Raw Data'!A1376</f>
        <v>0</v>
      </c>
      <c r="C1376">
        <f>'Raw Data'!C1376</f>
        <v>0</v>
      </c>
      <c r="D1376">
        <f>'Raw Data'!D1376</f>
        <v>0</v>
      </c>
      <c r="E1376">
        <f>IFERROR(VLOOKUP(D1376,'Lookup Tables'!$A:$B,2,FALSE),"Unknown")</f>
        <v>0</v>
      </c>
      <c r="F1376">
        <f>'Raw Data'!E1376</f>
        <v>0</v>
      </c>
      <c r="G1376">
        <f>IFERROR(VLOOKUP(D1376,'Lookup Tables'!$A:$C,3,FALSE),IF(ISNUMBER(SEARCH("STEEL",F1376)),"Steel","Others"))</f>
        <v>0</v>
      </c>
      <c r="H1376">
        <f>IF(ISNUMBER(SEARCH("scrubber",F1376)) , "Scrubber", IF(ISNUMBER(SEARCH("container",F1376)),"Container", IF(ISNUMBER(SEARCH("basket",F1376)),"Basket", IF(ISNUMBER(SEARCH("lunch",F1376)),"Lunch Box", IF(ISNUMBER(SEARCH("cutlery",F1376)),"Cutlery","Other")))))</f>
        <v>0</v>
      </c>
      <c r="I1376">
        <f>IF('Raw Data'!G1376&lt;&gt;'','Raw Data'!G1376,IFERROR(MID(F1376,SEARCH("MODEL",F1376)+6,20),""))</f>
        <v>0</v>
      </c>
      <c r="J1376">
        <f>'Raw Data'!H1376</f>
        <v>0</v>
      </c>
      <c r="K1376">
        <f>'Raw Data'!I1376</f>
        <v>0</v>
      </c>
      <c r="L1376">
        <f>IF('Raw Data'!N1376&lt;&gt;0,'Raw Data'!N1376,IFERROR(VALUE(MID(F1376,SEARCH("QTY",F1376)+4,IFERROR(FIND(" ",F1376,SEARCH("QTY",F1376)+4)-(SEARCH("QTY",F1376)+4),3))),""))</f>
        <v>0</v>
      </c>
      <c r="M1376">
        <f>'Raw Data'!O1376</f>
        <v>0</v>
      </c>
      <c r="N1376">
        <f>'Raw Data'!P1376</f>
        <v>0</v>
      </c>
      <c r="O1376">
        <f>'Raw Data'!Q1376</f>
        <v>0</v>
      </c>
      <c r="P1376">
        <f>'Raw Data'!R1376</f>
        <v>0</v>
      </c>
      <c r="Q1376">
        <f>'Raw Data'!S1376</f>
        <v>0</v>
      </c>
      <c r="R1376">
        <f>'Raw Data'!T1376</f>
        <v>0</v>
      </c>
      <c r="S1376">
        <f>IFERROR(O1376,0)+IFERROR(R1376,0)</f>
        <v>0</v>
      </c>
      <c r="T1376">
        <f>IF(A1376="","",YEAR(A1376))</f>
        <v>0</v>
      </c>
    </row>
    <row r="1377" spans="1:20">
      <c r="A1377">
        <f>'Raw Data'!B1377</f>
        <v>0</v>
      </c>
      <c r="B1377">
        <f>'Raw Data'!A1377</f>
        <v>0</v>
      </c>
      <c r="C1377">
        <f>'Raw Data'!C1377</f>
        <v>0</v>
      </c>
      <c r="D1377">
        <f>'Raw Data'!D1377</f>
        <v>0</v>
      </c>
      <c r="E1377">
        <f>IFERROR(VLOOKUP(D1377,'Lookup Tables'!$A:$B,2,FALSE),"Unknown")</f>
        <v>0</v>
      </c>
      <c r="F1377">
        <f>'Raw Data'!E1377</f>
        <v>0</v>
      </c>
      <c r="G1377">
        <f>IFERROR(VLOOKUP(D1377,'Lookup Tables'!$A:$C,3,FALSE),IF(ISNUMBER(SEARCH("STEEL",F1377)),"Steel","Others"))</f>
        <v>0</v>
      </c>
      <c r="H1377">
        <f>IF(ISNUMBER(SEARCH("scrubber",F1377)) , "Scrubber", IF(ISNUMBER(SEARCH("container",F1377)),"Container", IF(ISNUMBER(SEARCH("basket",F1377)),"Basket", IF(ISNUMBER(SEARCH("lunch",F1377)),"Lunch Box", IF(ISNUMBER(SEARCH("cutlery",F1377)),"Cutlery","Other")))))</f>
        <v>0</v>
      </c>
      <c r="I1377">
        <f>IF('Raw Data'!G1377&lt;&gt;'','Raw Data'!G1377,IFERROR(MID(F1377,SEARCH("MODEL",F1377)+6,20),""))</f>
        <v>0</v>
      </c>
      <c r="J1377">
        <f>'Raw Data'!H1377</f>
        <v>0</v>
      </c>
      <c r="K1377">
        <f>'Raw Data'!I1377</f>
        <v>0</v>
      </c>
      <c r="L1377">
        <f>IF('Raw Data'!N1377&lt;&gt;0,'Raw Data'!N1377,IFERROR(VALUE(MID(F1377,SEARCH("QTY",F1377)+4,IFERROR(FIND(" ",F1377,SEARCH("QTY",F1377)+4)-(SEARCH("QTY",F1377)+4),3))),""))</f>
        <v>0</v>
      </c>
      <c r="M1377">
        <f>'Raw Data'!O1377</f>
        <v>0</v>
      </c>
      <c r="N1377">
        <f>'Raw Data'!P1377</f>
        <v>0</v>
      </c>
      <c r="O1377">
        <f>'Raw Data'!Q1377</f>
        <v>0</v>
      </c>
      <c r="P1377">
        <f>'Raw Data'!R1377</f>
        <v>0</v>
      </c>
      <c r="Q1377">
        <f>'Raw Data'!S1377</f>
        <v>0</v>
      </c>
      <c r="R1377">
        <f>'Raw Data'!T1377</f>
        <v>0</v>
      </c>
      <c r="S1377">
        <f>IFERROR(O1377,0)+IFERROR(R1377,0)</f>
        <v>0</v>
      </c>
      <c r="T1377">
        <f>IF(A1377="","",YEAR(A1377))</f>
        <v>0</v>
      </c>
    </row>
    <row r="1378" spans="1:20">
      <c r="A1378">
        <f>'Raw Data'!B1378</f>
        <v>0</v>
      </c>
      <c r="B1378">
        <f>'Raw Data'!A1378</f>
        <v>0</v>
      </c>
      <c r="C1378">
        <f>'Raw Data'!C1378</f>
        <v>0</v>
      </c>
      <c r="D1378">
        <f>'Raw Data'!D1378</f>
        <v>0</v>
      </c>
      <c r="E1378">
        <f>IFERROR(VLOOKUP(D1378,'Lookup Tables'!$A:$B,2,FALSE),"Unknown")</f>
        <v>0</v>
      </c>
      <c r="F1378">
        <f>'Raw Data'!E1378</f>
        <v>0</v>
      </c>
      <c r="G1378">
        <f>IFERROR(VLOOKUP(D1378,'Lookup Tables'!$A:$C,3,FALSE),IF(ISNUMBER(SEARCH("STEEL",F1378)),"Steel","Others"))</f>
        <v>0</v>
      </c>
      <c r="H1378">
        <f>IF(ISNUMBER(SEARCH("scrubber",F1378)) , "Scrubber", IF(ISNUMBER(SEARCH("container",F1378)),"Container", IF(ISNUMBER(SEARCH("basket",F1378)),"Basket", IF(ISNUMBER(SEARCH("lunch",F1378)),"Lunch Box", IF(ISNUMBER(SEARCH("cutlery",F1378)),"Cutlery","Other")))))</f>
        <v>0</v>
      </c>
      <c r="I1378">
        <f>IF('Raw Data'!G1378&lt;&gt;'','Raw Data'!G1378,IFERROR(MID(F1378,SEARCH("MODEL",F1378)+6,20),""))</f>
        <v>0</v>
      </c>
      <c r="J1378">
        <f>'Raw Data'!H1378</f>
        <v>0</v>
      </c>
      <c r="K1378">
        <f>'Raw Data'!I1378</f>
        <v>0</v>
      </c>
      <c r="L1378">
        <f>IF('Raw Data'!N1378&lt;&gt;0,'Raw Data'!N1378,IFERROR(VALUE(MID(F1378,SEARCH("QTY",F1378)+4,IFERROR(FIND(" ",F1378,SEARCH("QTY",F1378)+4)-(SEARCH("QTY",F1378)+4),3))),""))</f>
        <v>0</v>
      </c>
      <c r="M1378">
        <f>'Raw Data'!O1378</f>
        <v>0</v>
      </c>
      <c r="N1378">
        <f>'Raw Data'!P1378</f>
        <v>0</v>
      </c>
      <c r="O1378">
        <f>'Raw Data'!Q1378</f>
        <v>0</v>
      </c>
      <c r="P1378">
        <f>'Raw Data'!R1378</f>
        <v>0</v>
      </c>
      <c r="Q1378">
        <f>'Raw Data'!S1378</f>
        <v>0</v>
      </c>
      <c r="R1378">
        <f>'Raw Data'!T1378</f>
        <v>0</v>
      </c>
      <c r="S1378">
        <f>IFERROR(O1378,0)+IFERROR(R1378,0)</f>
        <v>0</v>
      </c>
      <c r="T1378">
        <f>IF(A1378="","",YEAR(A1378))</f>
        <v>0</v>
      </c>
    </row>
    <row r="1379" spans="1:20">
      <c r="A1379">
        <f>'Raw Data'!B1379</f>
        <v>0</v>
      </c>
      <c r="B1379">
        <f>'Raw Data'!A1379</f>
        <v>0</v>
      </c>
      <c r="C1379">
        <f>'Raw Data'!C1379</f>
        <v>0</v>
      </c>
      <c r="D1379">
        <f>'Raw Data'!D1379</f>
        <v>0</v>
      </c>
      <c r="E1379">
        <f>IFERROR(VLOOKUP(D1379,'Lookup Tables'!$A:$B,2,FALSE),"Unknown")</f>
        <v>0</v>
      </c>
      <c r="F1379">
        <f>'Raw Data'!E1379</f>
        <v>0</v>
      </c>
      <c r="G1379">
        <f>IFERROR(VLOOKUP(D1379,'Lookup Tables'!$A:$C,3,FALSE),IF(ISNUMBER(SEARCH("STEEL",F1379)),"Steel","Others"))</f>
        <v>0</v>
      </c>
      <c r="H1379">
        <f>IF(ISNUMBER(SEARCH("scrubber",F1379)) , "Scrubber", IF(ISNUMBER(SEARCH("container",F1379)),"Container", IF(ISNUMBER(SEARCH("basket",F1379)),"Basket", IF(ISNUMBER(SEARCH("lunch",F1379)),"Lunch Box", IF(ISNUMBER(SEARCH("cutlery",F1379)),"Cutlery","Other")))))</f>
        <v>0</v>
      </c>
      <c r="I1379">
        <f>IF('Raw Data'!G1379&lt;&gt;'','Raw Data'!G1379,IFERROR(MID(F1379,SEARCH("MODEL",F1379)+6,20),""))</f>
        <v>0</v>
      </c>
      <c r="J1379">
        <f>'Raw Data'!H1379</f>
        <v>0</v>
      </c>
      <c r="K1379">
        <f>'Raw Data'!I1379</f>
        <v>0</v>
      </c>
      <c r="L1379">
        <f>IF('Raw Data'!N1379&lt;&gt;0,'Raw Data'!N1379,IFERROR(VALUE(MID(F1379,SEARCH("QTY",F1379)+4,IFERROR(FIND(" ",F1379,SEARCH("QTY",F1379)+4)-(SEARCH("QTY",F1379)+4),3))),""))</f>
        <v>0</v>
      </c>
      <c r="M1379">
        <f>'Raw Data'!O1379</f>
        <v>0</v>
      </c>
      <c r="N1379">
        <f>'Raw Data'!P1379</f>
        <v>0</v>
      </c>
      <c r="O1379">
        <f>'Raw Data'!Q1379</f>
        <v>0</v>
      </c>
      <c r="P1379">
        <f>'Raw Data'!R1379</f>
        <v>0</v>
      </c>
      <c r="Q1379">
        <f>'Raw Data'!S1379</f>
        <v>0</v>
      </c>
      <c r="R1379">
        <f>'Raw Data'!T1379</f>
        <v>0</v>
      </c>
      <c r="S1379">
        <f>IFERROR(O1379,0)+IFERROR(R1379,0)</f>
        <v>0</v>
      </c>
      <c r="T1379">
        <f>IF(A1379="","",YEAR(A1379))</f>
        <v>0</v>
      </c>
    </row>
    <row r="1380" spans="1:20">
      <c r="A1380">
        <f>'Raw Data'!B1380</f>
        <v>0</v>
      </c>
      <c r="B1380">
        <f>'Raw Data'!A1380</f>
        <v>0</v>
      </c>
      <c r="C1380">
        <f>'Raw Data'!C1380</f>
        <v>0</v>
      </c>
      <c r="D1380">
        <f>'Raw Data'!D1380</f>
        <v>0</v>
      </c>
      <c r="E1380">
        <f>IFERROR(VLOOKUP(D1380,'Lookup Tables'!$A:$B,2,FALSE),"Unknown")</f>
        <v>0</v>
      </c>
      <c r="F1380">
        <f>'Raw Data'!E1380</f>
        <v>0</v>
      </c>
      <c r="G1380">
        <f>IFERROR(VLOOKUP(D1380,'Lookup Tables'!$A:$C,3,FALSE),IF(ISNUMBER(SEARCH("STEEL",F1380)),"Steel","Others"))</f>
        <v>0</v>
      </c>
      <c r="H1380">
        <f>IF(ISNUMBER(SEARCH("scrubber",F1380)) , "Scrubber", IF(ISNUMBER(SEARCH("container",F1380)),"Container", IF(ISNUMBER(SEARCH("basket",F1380)),"Basket", IF(ISNUMBER(SEARCH("lunch",F1380)),"Lunch Box", IF(ISNUMBER(SEARCH("cutlery",F1380)),"Cutlery","Other")))))</f>
        <v>0</v>
      </c>
      <c r="I1380">
        <f>IF('Raw Data'!G1380&lt;&gt;'','Raw Data'!G1380,IFERROR(MID(F1380,SEARCH("MODEL",F1380)+6,20),""))</f>
        <v>0</v>
      </c>
      <c r="J1380">
        <f>'Raw Data'!H1380</f>
        <v>0</v>
      </c>
      <c r="K1380">
        <f>'Raw Data'!I1380</f>
        <v>0</v>
      </c>
      <c r="L1380">
        <f>IF('Raw Data'!N1380&lt;&gt;0,'Raw Data'!N1380,IFERROR(VALUE(MID(F1380,SEARCH("QTY",F1380)+4,IFERROR(FIND(" ",F1380,SEARCH("QTY",F1380)+4)-(SEARCH("QTY",F1380)+4),3))),""))</f>
        <v>0</v>
      </c>
      <c r="M1380">
        <f>'Raw Data'!O1380</f>
        <v>0</v>
      </c>
      <c r="N1380">
        <f>'Raw Data'!P1380</f>
        <v>0</v>
      </c>
      <c r="O1380">
        <f>'Raw Data'!Q1380</f>
        <v>0</v>
      </c>
      <c r="P1380">
        <f>'Raw Data'!R1380</f>
        <v>0</v>
      </c>
      <c r="Q1380">
        <f>'Raw Data'!S1380</f>
        <v>0</v>
      </c>
      <c r="R1380">
        <f>'Raw Data'!T1380</f>
        <v>0</v>
      </c>
      <c r="S1380">
        <f>IFERROR(O1380,0)+IFERROR(R1380,0)</f>
        <v>0</v>
      </c>
      <c r="T1380">
        <f>IF(A1380="","",YEAR(A1380))</f>
        <v>0</v>
      </c>
    </row>
    <row r="1381" spans="1:20">
      <c r="A1381">
        <f>'Raw Data'!B1381</f>
        <v>0</v>
      </c>
      <c r="B1381">
        <f>'Raw Data'!A1381</f>
        <v>0</v>
      </c>
      <c r="C1381">
        <f>'Raw Data'!C1381</f>
        <v>0</v>
      </c>
      <c r="D1381">
        <f>'Raw Data'!D1381</f>
        <v>0</v>
      </c>
      <c r="E1381">
        <f>IFERROR(VLOOKUP(D1381,'Lookup Tables'!$A:$B,2,FALSE),"Unknown")</f>
        <v>0</v>
      </c>
      <c r="F1381">
        <f>'Raw Data'!E1381</f>
        <v>0</v>
      </c>
      <c r="G1381">
        <f>IFERROR(VLOOKUP(D1381,'Lookup Tables'!$A:$C,3,FALSE),IF(ISNUMBER(SEARCH("STEEL",F1381)),"Steel","Others"))</f>
        <v>0</v>
      </c>
      <c r="H1381">
        <f>IF(ISNUMBER(SEARCH("scrubber",F1381)) , "Scrubber", IF(ISNUMBER(SEARCH("container",F1381)),"Container", IF(ISNUMBER(SEARCH("basket",F1381)),"Basket", IF(ISNUMBER(SEARCH("lunch",F1381)),"Lunch Box", IF(ISNUMBER(SEARCH("cutlery",F1381)),"Cutlery","Other")))))</f>
        <v>0</v>
      </c>
      <c r="I1381">
        <f>IF('Raw Data'!G1381&lt;&gt;'','Raw Data'!G1381,IFERROR(MID(F1381,SEARCH("MODEL",F1381)+6,20),""))</f>
        <v>0</v>
      </c>
      <c r="J1381">
        <f>'Raw Data'!H1381</f>
        <v>0</v>
      </c>
      <c r="K1381">
        <f>'Raw Data'!I1381</f>
        <v>0</v>
      </c>
      <c r="L1381">
        <f>IF('Raw Data'!N1381&lt;&gt;0,'Raw Data'!N1381,IFERROR(VALUE(MID(F1381,SEARCH("QTY",F1381)+4,IFERROR(FIND(" ",F1381,SEARCH("QTY",F1381)+4)-(SEARCH("QTY",F1381)+4),3))),""))</f>
        <v>0</v>
      </c>
      <c r="M1381">
        <f>'Raw Data'!O1381</f>
        <v>0</v>
      </c>
      <c r="N1381">
        <f>'Raw Data'!P1381</f>
        <v>0</v>
      </c>
      <c r="O1381">
        <f>'Raw Data'!Q1381</f>
        <v>0</v>
      </c>
      <c r="P1381">
        <f>'Raw Data'!R1381</f>
        <v>0</v>
      </c>
      <c r="Q1381">
        <f>'Raw Data'!S1381</f>
        <v>0</v>
      </c>
      <c r="R1381">
        <f>'Raw Data'!T1381</f>
        <v>0</v>
      </c>
      <c r="S1381">
        <f>IFERROR(O1381,0)+IFERROR(R1381,0)</f>
        <v>0</v>
      </c>
      <c r="T1381">
        <f>IF(A1381="","",YEAR(A1381))</f>
        <v>0</v>
      </c>
    </row>
    <row r="1382" spans="1:20">
      <c r="A1382">
        <f>'Raw Data'!B1382</f>
        <v>0</v>
      </c>
      <c r="B1382">
        <f>'Raw Data'!A1382</f>
        <v>0</v>
      </c>
      <c r="C1382">
        <f>'Raw Data'!C1382</f>
        <v>0</v>
      </c>
      <c r="D1382">
        <f>'Raw Data'!D1382</f>
        <v>0</v>
      </c>
      <c r="E1382">
        <f>IFERROR(VLOOKUP(D1382,'Lookup Tables'!$A:$B,2,FALSE),"Unknown")</f>
        <v>0</v>
      </c>
      <c r="F1382">
        <f>'Raw Data'!E1382</f>
        <v>0</v>
      </c>
      <c r="G1382">
        <f>IFERROR(VLOOKUP(D1382,'Lookup Tables'!$A:$C,3,FALSE),IF(ISNUMBER(SEARCH("STEEL",F1382)),"Steel","Others"))</f>
        <v>0</v>
      </c>
      <c r="H1382">
        <f>IF(ISNUMBER(SEARCH("scrubber",F1382)) , "Scrubber", IF(ISNUMBER(SEARCH("container",F1382)),"Container", IF(ISNUMBER(SEARCH("basket",F1382)),"Basket", IF(ISNUMBER(SEARCH("lunch",F1382)),"Lunch Box", IF(ISNUMBER(SEARCH("cutlery",F1382)),"Cutlery","Other")))))</f>
        <v>0</v>
      </c>
      <c r="I1382">
        <f>IF('Raw Data'!G1382&lt;&gt;'','Raw Data'!G1382,IFERROR(MID(F1382,SEARCH("MODEL",F1382)+6,20),""))</f>
        <v>0</v>
      </c>
      <c r="J1382">
        <f>'Raw Data'!H1382</f>
        <v>0</v>
      </c>
      <c r="K1382">
        <f>'Raw Data'!I1382</f>
        <v>0</v>
      </c>
      <c r="L1382">
        <f>IF('Raw Data'!N1382&lt;&gt;0,'Raw Data'!N1382,IFERROR(VALUE(MID(F1382,SEARCH("QTY",F1382)+4,IFERROR(FIND(" ",F1382,SEARCH("QTY",F1382)+4)-(SEARCH("QTY",F1382)+4),3))),""))</f>
        <v>0</v>
      </c>
      <c r="M1382">
        <f>'Raw Data'!O1382</f>
        <v>0</v>
      </c>
      <c r="N1382">
        <f>'Raw Data'!P1382</f>
        <v>0</v>
      </c>
      <c r="O1382">
        <f>'Raw Data'!Q1382</f>
        <v>0</v>
      </c>
      <c r="P1382">
        <f>'Raw Data'!R1382</f>
        <v>0</v>
      </c>
      <c r="Q1382">
        <f>'Raw Data'!S1382</f>
        <v>0</v>
      </c>
      <c r="R1382">
        <f>'Raw Data'!T1382</f>
        <v>0</v>
      </c>
      <c r="S1382">
        <f>IFERROR(O1382,0)+IFERROR(R1382,0)</f>
        <v>0</v>
      </c>
      <c r="T1382">
        <f>IF(A1382="","",YEAR(A1382))</f>
        <v>0</v>
      </c>
    </row>
    <row r="1383" spans="1:20">
      <c r="A1383">
        <f>'Raw Data'!B1383</f>
        <v>0</v>
      </c>
      <c r="B1383">
        <f>'Raw Data'!A1383</f>
        <v>0</v>
      </c>
      <c r="C1383">
        <f>'Raw Data'!C1383</f>
        <v>0</v>
      </c>
      <c r="D1383">
        <f>'Raw Data'!D1383</f>
        <v>0</v>
      </c>
      <c r="E1383">
        <f>IFERROR(VLOOKUP(D1383,'Lookup Tables'!$A:$B,2,FALSE),"Unknown")</f>
        <v>0</v>
      </c>
      <c r="F1383">
        <f>'Raw Data'!E1383</f>
        <v>0</v>
      </c>
      <c r="G1383">
        <f>IFERROR(VLOOKUP(D1383,'Lookup Tables'!$A:$C,3,FALSE),IF(ISNUMBER(SEARCH("STEEL",F1383)),"Steel","Others"))</f>
        <v>0</v>
      </c>
      <c r="H1383">
        <f>IF(ISNUMBER(SEARCH("scrubber",F1383)) , "Scrubber", IF(ISNUMBER(SEARCH("container",F1383)),"Container", IF(ISNUMBER(SEARCH("basket",F1383)),"Basket", IF(ISNUMBER(SEARCH("lunch",F1383)),"Lunch Box", IF(ISNUMBER(SEARCH("cutlery",F1383)),"Cutlery","Other")))))</f>
        <v>0</v>
      </c>
      <c r="I1383">
        <f>IF('Raw Data'!G1383&lt;&gt;'','Raw Data'!G1383,IFERROR(MID(F1383,SEARCH("MODEL",F1383)+6,20),""))</f>
        <v>0</v>
      </c>
      <c r="J1383">
        <f>'Raw Data'!H1383</f>
        <v>0</v>
      </c>
      <c r="K1383">
        <f>'Raw Data'!I1383</f>
        <v>0</v>
      </c>
      <c r="L1383">
        <f>IF('Raw Data'!N1383&lt;&gt;0,'Raw Data'!N1383,IFERROR(VALUE(MID(F1383,SEARCH("QTY",F1383)+4,IFERROR(FIND(" ",F1383,SEARCH("QTY",F1383)+4)-(SEARCH("QTY",F1383)+4),3))),""))</f>
        <v>0</v>
      </c>
      <c r="M1383">
        <f>'Raw Data'!O1383</f>
        <v>0</v>
      </c>
      <c r="N1383">
        <f>'Raw Data'!P1383</f>
        <v>0</v>
      </c>
      <c r="O1383">
        <f>'Raw Data'!Q1383</f>
        <v>0</v>
      </c>
      <c r="P1383">
        <f>'Raw Data'!R1383</f>
        <v>0</v>
      </c>
      <c r="Q1383">
        <f>'Raw Data'!S1383</f>
        <v>0</v>
      </c>
      <c r="R1383">
        <f>'Raw Data'!T1383</f>
        <v>0</v>
      </c>
      <c r="S1383">
        <f>IFERROR(O1383,0)+IFERROR(R1383,0)</f>
        <v>0</v>
      </c>
      <c r="T1383">
        <f>IF(A1383="","",YEAR(A1383))</f>
        <v>0</v>
      </c>
    </row>
    <row r="1384" spans="1:20">
      <c r="A1384">
        <f>'Raw Data'!B1384</f>
        <v>0</v>
      </c>
      <c r="B1384">
        <f>'Raw Data'!A1384</f>
        <v>0</v>
      </c>
      <c r="C1384">
        <f>'Raw Data'!C1384</f>
        <v>0</v>
      </c>
      <c r="D1384">
        <f>'Raw Data'!D1384</f>
        <v>0</v>
      </c>
      <c r="E1384">
        <f>IFERROR(VLOOKUP(D1384,'Lookup Tables'!$A:$B,2,FALSE),"Unknown")</f>
        <v>0</v>
      </c>
      <c r="F1384">
        <f>'Raw Data'!E1384</f>
        <v>0</v>
      </c>
      <c r="G1384">
        <f>IFERROR(VLOOKUP(D1384,'Lookup Tables'!$A:$C,3,FALSE),IF(ISNUMBER(SEARCH("STEEL",F1384)),"Steel","Others"))</f>
        <v>0</v>
      </c>
      <c r="H1384">
        <f>IF(ISNUMBER(SEARCH("scrubber",F1384)) , "Scrubber", IF(ISNUMBER(SEARCH("container",F1384)),"Container", IF(ISNUMBER(SEARCH("basket",F1384)),"Basket", IF(ISNUMBER(SEARCH("lunch",F1384)),"Lunch Box", IF(ISNUMBER(SEARCH("cutlery",F1384)),"Cutlery","Other")))))</f>
        <v>0</v>
      </c>
      <c r="I1384">
        <f>IF('Raw Data'!G1384&lt;&gt;'','Raw Data'!G1384,IFERROR(MID(F1384,SEARCH("MODEL",F1384)+6,20),""))</f>
        <v>0</v>
      </c>
      <c r="J1384">
        <f>'Raw Data'!H1384</f>
        <v>0</v>
      </c>
      <c r="K1384">
        <f>'Raw Data'!I1384</f>
        <v>0</v>
      </c>
      <c r="L1384">
        <f>IF('Raw Data'!N1384&lt;&gt;0,'Raw Data'!N1384,IFERROR(VALUE(MID(F1384,SEARCH("QTY",F1384)+4,IFERROR(FIND(" ",F1384,SEARCH("QTY",F1384)+4)-(SEARCH("QTY",F1384)+4),3))),""))</f>
        <v>0</v>
      </c>
      <c r="M1384">
        <f>'Raw Data'!O1384</f>
        <v>0</v>
      </c>
      <c r="N1384">
        <f>'Raw Data'!P1384</f>
        <v>0</v>
      </c>
      <c r="O1384">
        <f>'Raw Data'!Q1384</f>
        <v>0</v>
      </c>
      <c r="P1384">
        <f>'Raw Data'!R1384</f>
        <v>0</v>
      </c>
      <c r="Q1384">
        <f>'Raw Data'!S1384</f>
        <v>0</v>
      </c>
      <c r="R1384">
        <f>'Raw Data'!T1384</f>
        <v>0</v>
      </c>
      <c r="S1384">
        <f>IFERROR(O1384,0)+IFERROR(R1384,0)</f>
        <v>0</v>
      </c>
      <c r="T1384">
        <f>IF(A1384="","",YEAR(A1384))</f>
        <v>0</v>
      </c>
    </row>
    <row r="1385" spans="1:20">
      <c r="A1385">
        <f>'Raw Data'!B1385</f>
        <v>0</v>
      </c>
      <c r="B1385">
        <f>'Raw Data'!A1385</f>
        <v>0</v>
      </c>
      <c r="C1385">
        <f>'Raw Data'!C1385</f>
        <v>0</v>
      </c>
      <c r="D1385">
        <f>'Raw Data'!D1385</f>
        <v>0</v>
      </c>
      <c r="E1385">
        <f>IFERROR(VLOOKUP(D1385,'Lookup Tables'!$A:$B,2,FALSE),"Unknown")</f>
        <v>0</v>
      </c>
      <c r="F1385">
        <f>'Raw Data'!E1385</f>
        <v>0</v>
      </c>
      <c r="G1385">
        <f>IFERROR(VLOOKUP(D1385,'Lookup Tables'!$A:$C,3,FALSE),IF(ISNUMBER(SEARCH("STEEL",F1385)),"Steel","Others"))</f>
        <v>0</v>
      </c>
      <c r="H1385">
        <f>IF(ISNUMBER(SEARCH("scrubber",F1385)) , "Scrubber", IF(ISNUMBER(SEARCH("container",F1385)),"Container", IF(ISNUMBER(SEARCH("basket",F1385)),"Basket", IF(ISNUMBER(SEARCH("lunch",F1385)),"Lunch Box", IF(ISNUMBER(SEARCH("cutlery",F1385)),"Cutlery","Other")))))</f>
        <v>0</v>
      </c>
      <c r="I1385">
        <f>IF('Raw Data'!G1385&lt;&gt;'','Raw Data'!G1385,IFERROR(MID(F1385,SEARCH("MODEL",F1385)+6,20),""))</f>
        <v>0</v>
      </c>
      <c r="J1385">
        <f>'Raw Data'!H1385</f>
        <v>0</v>
      </c>
      <c r="K1385">
        <f>'Raw Data'!I1385</f>
        <v>0</v>
      </c>
      <c r="L1385">
        <f>IF('Raw Data'!N1385&lt;&gt;0,'Raw Data'!N1385,IFERROR(VALUE(MID(F1385,SEARCH("QTY",F1385)+4,IFERROR(FIND(" ",F1385,SEARCH("QTY",F1385)+4)-(SEARCH("QTY",F1385)+4),3))),""))</f>
        <v>0</v>
      </c>
      <c r="M1385">
        <f>'Raw Data'!O1385</f>
        <v>0</v>
      </c>
      <c r="N1385">
        <f>'Raw Data'!P1385</f>
        <v>0</v>
      </c>
      <c r="O1385">
        <f>'Raw Data'!Q1385</f>
        <v>0</v>
      </c>
      <c r="P1385">
        <f>'Raw Data'!R1385</f>
        <v>0</v>
      </c>
      <c r="Q1385">
        <f>'Raw Data'!S1385</f>
        <v>0</v>
      </c>
      <c r="R1385">
        <f>'Raw Data'!T1385</f>
        <v>0</v>
      </c>
      <c r="S1385">
        <f>IFERROR(O1385,0)+IFERROR(R1385,0)</f>
        <v>0</v>
      </c>
      <c r="T1385">
        <f>IF(A1385="","",YEAR(A1385))</f>
        <v>0</v>
      </c>
    </row>
    <row r="1386" spans="1:20">
      <c r="A1386">
        <f>'Raw Data'!B1386</f>
        <v>0</v>
      </c>
      <c r="B1386">
        <f>'Raw Data'!A1386</f>
        <v>0</v>
      </c>
      <c r="C1386">
        <f>'Raw Data'!C1386</f>
        <v>0</v>
      </c>
      <c r="D1386">
        <f>'Raw Data'!D1386</f>
        <v>0</v>
      </c>
      <c r="E1386">
        <f>IFERROR(VLOOKUP(D1386,'Lookup Tables'!$A:$B,2,FALSE),"Unknown")</f>
        <v>0</v>
      </c>
      <c r="F1386">
        <f>'Raw Data'!E1386</f>
        <v>0</v>
      </c>
      <c r="G1386">
        <f>IFERROR(VLOOKUP(D1386,'Lookup Tables'!$A:$C,3,FALSE),IF(ISNUMBER(SEARCH("STEEL",F1386)),"Steel","Others"))</f>
        <v>0</v>
      </c>
      <c r="H1386">
        <f>IF(ISNUMBER(SEARCH("scrubber",F1386)) , "Scrubber", IF(ISNUMBER(SEARCH("container",F1386)),"Container", IF(ISNUMBER(SEARCH("basket",F1386)),"Basket", IF(ISNUMBER(SEARCH("lunch",F1386)),"Lunch Box", IF(ISNUMBER(SEARCH("cutlery",F1386)),"Cutlery","Other")))))</f>
        <v>0</v>
      </c>
      <c r="I1386">
        <f>IF('Raw Data'!G1386&lt;&gt;'','Raw Data'!G1386,IFERROR(MID(F1386,SEARCH("MODEL",F1386)+6,20),""))</f>
        <v>0</v>
      </c>
      <c r="J1386">
        <f>'Raw Data'!H1386</f>
        <v>0</v>
      </c>
      <c r="K1386">
        <f>'Raw Data'!I1386</f>
        <v>0</v>
      </c>
      <c r="L1386">
        <f>IF('Raw Data'!N1386&lt;&gt;0,'Raw Data'!N1386,IFERROR(VALUE(MID(F1386,SEARCH("QTY",F1386)+4,IFERROR(FIND(" ",F1386,SEARCH("QTY",F1386)+4)-(SEARCH("QTY",F1386)+4),3))),""))</f>
        <v>0</v>
      </c>
      <c r="M1386">
        <f>'Raw Data'!O1386</f>
        <v>0</v>
      </c>
      <c r="N1386">
        <f>'Raw Data'!P1386</f>
        <v>0</v>
      </c>
      <c r="O1386">
        <f>'Raw Data'!Q1386</f>
        <v>0</v>
      </c>
      <c r="P1386">
        <f>'Raw Data'!R1386</f>
        <v>0</v>
      </c>
      <c r="Q1386">
        <f>'Raw Data'!S1386</f>
        <v>0</v>
      </c>
      <c r="R1386">
        <f>'Raw Data'!T1386</f>
        <v>0</v>
      </c>
      <c r="S1386">
        <f>IFERROR(O1386,0)+IFERROR(R1386,0)</f>
        <v>0</v>
      </c>
      <c r="T1386">
        <f>IF(A1386="","",YEAR(A1386))</f>
        <v>0</v>
      </c>
    </row>
    <row r="1387" spans="1:20">
      <c r="A1387">
        <f>'Raw Data'!B1387</f>
        <v>0</v>
      </c>
      <c r="B1387">
        <f>'Raw Data'!A1387</f>
        <v>0</v>
      </c>
      <c r="C1387">
        <f>'Raw Data'!C1387</f>
        <v>0</v>
      </c>
      <c r="D1387">
        <f>'Raw Data'!D1387</f>
        <v>0</v>
      </c>
      <c r="E1387">
        <f>IFERROR(VLOOKUP(D1387,'Lookup Tables'!$A:$B,2,FALSE),"Unknown")</f>
        <v>0</v>
      </c>
      <c r="F1387">
        <f>'Raw Data'!E1387</f>
        <v>0</v>
      </c>
      <c r="G1387">
        <f>IFERROR(VLOOKUP(D1387,'Lookup Tables'!$A:$C,3,FALSE),IF(ISNUMBER(SEARCH("STEEL",F1387)),"Steel","Others"))</f>
        <v>0</v>
      </c>
      <c r="H1387">
        <f>IF(ISNUMBER(SEARCH("scrubber",F1387)) , "Scrubber", IF(ISNUMBER(SEARCH("container",F1387)),"Container", IF(ISNUMBER(SEARCH("basket",F1387)),"Basket", IF(ISNUMBER(SEARCH("lunch",F1387)),"Lunch Box", IF(ISNUMBER(SEARCH("cutlery",F1387)),"Cutlery","Other")))))</f>
        <v>0</v>
      </c>
      <c r="I1387">
        <f>IF('Raw Data'!G1387&lt;&gt;'','Raw Data'!G1387,IFERROR(MID(F1387,SEARCH("MODEL",F1387)+6,20),""))</f>
        <v>0</v>
      </c>
      <c r="J1387">
        <f>'Raw Data'!H1387</f>
        <v>0</v>
      </c>
      <c r="K1387">
        <f>'Raw Data'!I1387</f>
        <v>0</v>
      </c>
      <c r="L1387">
        <f>IF('Raw Data'!N1387&lt;&gt;0,'Raw Data'!N1387,IFERROR(VALUE(MID(F1387,SEARCH("QTY",F1387)+4,IFERROR(FIND(" ",F1387,SEARCH("QTY",F1387)+4)-(SEARCH("QTY",F1387)+4),3))),""))</f>
        <v>0</v>
      </c>
      <c r="M1387">
        <f>'Raw Data'!O1387</f>
        <v>0</v>
      </c>
      <c r="N1387">
        <f>'Raw Data'!P1387</f>
        <v>0</v>
      </c>
      <c r="O1387">
        <f>'Raw Data'!Q1387</f>
        <v>0</v>
      </c>
      <c r="P1387">
        <f>'Raw Data'!R1387</f>
        <v>0</v>
      </c>
      <c r="Q1387">
        <f>'Raw Data'!S1387</f>
        <v>0</v>
      </c>
      <c r="R1387">
        <f>'Raw Data'!T1387</f>
        <v>0</v>
      </c>
      <c r="S1387">
        <f>IFERROR(O1387,0)+IFERROR(R1387,0)</f>
        <v>0</v>
      </c>
      <c r="T1387">
        <f>IF(A1387="","",YEAR(A1387))</f>
        <v>0</v>
      </c>
    </row>
    <row r="1388" spans="1:20">
      <c r="A1388">
        <f>'Raw Data'!B1388</f>
        <v>0</v>
      </c>
      <c r="B1388">
        <f>'Raw Data'!A1388</f>
        <v>0</v>
      </c>
      <c r="C1388">
        <f>'Raw Data'!C1388</f>
        <v>0</v>
      </c>
      <c r="D1388">
        <f>'Raw Data'!D1388</f>
        <v>0</v>
      </c>
      <c r="E1388">
        <f>IFERROR(VLOOKUP(D1388,'Lookup Tables'!$A:$B,2,FALSE),"Unknown")</f>
        <v>0</v>
      </c>
      <c r="F1388">
        <f>'Raw Data'!E1388</f>
        <v>0</v>
      </c>
      <c r="G1388">
        <f>IFERROR(VLOOKUP(D1388,'Lookup Tables'!$A:$C,3,FALSE),IF(ISNUMBER(SEARCH("STEEL",F1388)),"Steel","Others"))</f>
        <v>0</v>
      </c>
      <c r="H1388">
        <f>IF(ISNUMBER(SEARCH("scrubber",F1388)) , "Scrubber", IF(ISNUMBER(SEARCH("container",F1388)),"Container", IF(ISNUMBER(SEARCH("basket",F1388)),"Basket", IF(ISNUMBER(SEARCH("lunch",F1388)),"Lunch Box", IF(ISNUMBER(SEARCH("cutlery",F1388)),"Cutlery","Other")))))</f>
        <v>0</v>
      </c>
      <c r="I1388">
        <f>IF('Raw Data'!G1388&lt;&gt;'','Raw Data'!G1388,IFERROR(MID(F1388,SEARCH("MODEL",F1388)+6,20),""))</f>
        <v>0</v>
      </c>
      <c r="J1388">
        <f>'Raw Data'!H1388</f>
        <v>0</v>
      </c>
      <c r="K1388">
        <f>'Raw Data'!I1388</f>
        <v>0</v>
      </c>
      <c r="L1388">
        <f>IF('Raw Data'!N1388&lt;&gt;0,'Raw Data'!N1388,IFERROR(VALUE(MID(F1388,SEARCH("QTY",F1388)+4,IFERROR(FIND(" ",F1388,SEARCH("QTY",F1388)+4)-(SEARCH("QTY",F1388)+4),3))),""))</f>
        <v>0</v>
      </c>
      <c r="M1388">
        <f>'Raw Data'!O1388</f>
        <v>0</v>
      </c>
      <c r="N1388">
        <f>'Raw Data'!P1388</f>
        <v>0</v>
      </c>
      <c r="O1388">
        <f>'Raw Data'!Q1388</f>
        <v>0</v>
      </c>
      <c r="P1388">
        <f>'Raw Data'!R1388</f>
        <v>0</v>
      </c>
      <c r="Q1388">
        <f>'Raw Data'!S1388</f>
        <v>0</v>
      </c>
      <c r="R1388">
        <f>'Raw Data'!T1388</f>
        <v>0</v>
      </c>
      <c r="S1388">
        <f>IFERROR(O1388,0)+IFERROR(R1388,0)</f>
        <v>0</v>
      </c>
      <c r="T1388">
        <f>IF(A1388="","",YEAR(A1388))</f>
        <v>0</v>
      </c>
    </row>
    <row r="1389" spans="1:20">
      <c r="A1389">
        <f>'Raw Data'!B1389</f>
        <v>0</v>
      </c>
      <c r="B1389">
        <f>'Raw Data'!A1389</f>
        <v>0</v>
      </c>
      <c r="C1389">
        <f>'Raw Data'!C1389</f>
        <v>0</v>
      </c>
      <c r="D1389">
        <f>'Raw Data'!D1389</f>
        <v>0</v>
      </c>
      <c r="E1389">
        <f>IFERROR(VLOOKUP(D1389,'Lookup Tables'!$A:$B,2,FALSE),"Unknown")</f>
        <v>0</v>
      </c>
      <c r="F1389">
        <f>'Raw Data'!E1389</f>
        <v>0</v>
      </c>
      <c r="G1389">
        <f>IFERROR(VLOOKUP(D1389,'Lookup Tables'!$A:$C,3,FALSE),IF(ISNUMBER(SEARCH("STEEL",F1389)),"Steel","Others"))</f>
        <v>0</v>
      </c>
      <c r="H1389">
        <f>IF(ISNUMBER(SEARCH("scrubber",F1389)) , "Scrubber", IF(ISNUMBER(SEARCH("container",F1389)),"Container", IF(ISNUMBER(SEARCH("basket",F1389)),"Basket", IF(ISNUMBER(SEARCH("lunch",F1389)),"Lunch Box", IF(ISNUMBER(SEARCH("cutlery",F1389)),"Cutlery","Other")))))</f>
        <v>0</v>
      </c>
      <c r="I1389">
        <f>IF('Raw Data'!G1389&lt;&gt;'','Raw Data'!G1389,IFERROR(MID(F1389,SEARCH("MODEL",F1389)+6,20),""))</f>
        <v>0</v>
      </c>
      <c r="J1389">
        <f>'Raw Data'!H1389</f>
        <v>0</v>
      </c>
      <c r="K1389">
        <f>'Raw Data'!I1389</f>
        <v>0</v>
      </c>
      <c r="L1389">
        <f>IF('Raw Data'!N1389&lt;&gt;0,'Raw Data'!N1389,IFERROR(VALUE(MID(F1389,SEARCH("QTY",F1389)+4,IFERROR(FIND(" ",F1389,SEARCH("QTY",F1389)+4)-(SEARCH("QTY",F1389)+4),3))),""))</f>
        <v>0</v>
      </c>
      <c r="M1389">
        <f>'Raw Data'!O1389</f>
        <v>0</v>
      </c>
      <c r="N1389">
        <f>'Raw Data'!P1389</f>
        <v>0</v>
      </c>
      <c r="O1389">
        <f>'Raw Data'!Q1389</f>
        <v>0</v>
      </c>
      <c r="P1389">
        <f>'Raw Data'!R1389</f>
        <v>0</v>
      </c>
      <c r="Q1389">
        <f>'Raw Data'!S1389</f>
        <v>0</v>
      </c>
      <c r="R1389">
        <f>'Raw Data'!T1389</f>
        <v>0</v>
      </c>
      <c r="S1389">
        <f>IFERROR(O1389,0)+IFERROR(R1389,0)</f>
        <v>0</v>
      </c>
      <c r="T1389">
        <f>IF(A1389="","",YEAR(A1389))</f>
        <v>0</v>
      </c>
    </row>
    <row r="1390" spans="1:20">
      <c r="A1390">
        <f>'Raw Data'!B1390</f>
        <v>0</v>
      </c>
      <c r="B1390">
        <f>'Raw Data'!A1390</f>
        <v>0</v>
      </c>
      <c r="C1390">
        <f>'Raw Data'!C1390</f>
        <v>0</v>
      </c>
      <c r="D1390">
        <f>'Raw Data'!D1390</f>
        <v>0</v>
      </c>
      <c r="E1390">
        <f>IFERROR(VLOOKUP(D1390,'Lookup Tables'!$A:$B,2,FALSE),"Unknown")</f>
        <v>0</v>
      </c>
      <c r="F1390">
        <f>'Raw Data'!E1390</f>
        <v>0</v>
      </c>
      <c r="G1390">
        <f>IFERROR(VLOOKUP(D1390,'Lookup Tables'!$A:$C,3,FALSE),IF(ISNUMBER(SEARCH("STEEL",F1390)),"Steel","Others"))</f>
        <v>0</v>
      </c>
      <c r="H1390">
        <f>IF(ISNUMBER(SEARCH("scrubber",F1390)) , "Scrubber", IF(ISNUMBER(SEARCH("container",F1390)),"Container", IF(ISNUMBER(SEARCH("basket",F1390)),"Basket", IF(ISNUMBER(SEARCH("lunch",F1390)),"Lunch Box", IF(ISNUMBER(SEARCH("cutlery",F1390)),"Cutlery","Other")))))</f>
        <v>0</v>
      </c>
      <c r="I1390">
        <f>IF('Raw Data'!G1390&lt;&gt;'','Raw Data'!G1390,IFERROR(MID(F1390,SEARCH("MODEL",F1390)+6,20),""))</f>
        <v>0</v>
      </c>
      <c r="J1390">
        <f>'Raw Data'!H1390</f>
        <v>0</v>
      </c>
      <c r="K1390">
        <f>'Raw Data'!I1390</f>
        <v>0</v>
      </c>
      <c r="L1390">
        <f>IF('Raw Data'!N1390&lt;&gt;0,'Raw Data'!N1390,IFERROR(VALUE(MID(F1390,SEARCH("QTY",F1390)+4,IFERROR(FIND(" ",F1390,SEARCH("QTY",F1390)+4)-(SEARCH("QTY",F1390)+4),3))),""))</f>
        <v>0</v>
      </c>
      <c r="M1390">
        <f>'Raw Data'!O1390</f>
        <v>0</v>
      </c>
      <c r="N1390">
        <f>'Raw Data'!P1390</f>
        <v>0</v>
      </c>
      <c r="O1390">
        <f>'Raw Data'!Q1390</f>
        <v>0</v>
      </c>
      <c r="P1390">
        <f>'Raw Data'!R1390</f>
        <v>0</v>
      </c>
      <c r="Q1390">
        <f>'Raw Data'!S1390</f>
        <v>0</v>
      </c>
      <c r="R1390">
        <f>'Raw Data'!T1390</f>
        <v>0</v>
      </c>
      <c r="S1390">
        <f>IFERROR(O1390,0)+IFERROR(R1390,0)</f>
        <v>0</v>
      </c>
      <c r="T1390">
        <f>IF(A1390="","",YEAR(A1390))</f>
        <v>0</v>
      </c>
    </row>
    <row r="1391" spans="1:20">
      <c r="A1391">
        <f>'Raw Data'!B1391</f>
        <v>0</v>
      </c>
      <c r="B1391">
        <f>'Raw Data'!A1391</f>
        <v>0</v>
      </c>
      <c r="C1391">
        <f>'Raw Data'!C1391</f>
        <v>0</v>
      </c>
      <c r="D1391">
        <f>'Raw Data'!D1391</f>
        <v>0</v>
      </c>
      <c r="E1391">
        <f>IFERROR(VLOOKUP(D1391,'Lookup Tables'!$A:$B,2,FALSE),"Unknown")</f>
        <v>0</v>
      </c>
      <c r="F1391">
        <f>'Raw Data'!E1391</f>
        <v>0</v>
      </c>
      <c r="G1391">
        <f>IFERROR(VLOOKUP(D1391,'Lookup Tables'!$A:$C,3,FALSE),IF(ISNUMBER(SEARCH("STEEL",F1391)),"Steel","Others"))</f>
        <v>0</v>
      </c>
      <c r="H1391">
        <f>IF(ISNUMBER(SEARCH("scrubber",F1391)) , "Scrubber", IF(ISNUMBER(SEARCH("container",F1391)),"Container", IF(ISNUMBER(SEARCH("basket",F1391)),"Basket", IF(ISNUMBER(SEARCH("lunch",F1391)),"Lunch Box", IF(ISNUMBER(SEARCH("cutlery",F1391)),"Cutlery","Other")))))</f>
        <v>0</v>
      </c>
      <c r="I1391">
        <f>IF('Raw Data'!G1391&lt;&gt;'','Raw Data'!G1391,IFERROR(MID(F1391,SEARCH("MODEL",F1391)+6,20),""))</f>
        <v>0</v>
      </c>
      <c r="J1391">
        <f>'Raw Data'!H1391</f>
        <v>0</v>
      </c>
      <c r="K1391">
        <f>'Raw Data'!I1391</f>
        <v>0</v>
      </c>
      <c r="L1391">
        <f>IF('Raw Data'!N1391&lt;&gt;0,'Raw Data'!N1391,IFERROR(VALUE(MID(F1391,SEARCH("QTY",F1391)+4,IFERROR(FIND(" ",F1391,SEARCH("QTY",F1391)+4)-(SEARCH("QTY",F1391)+4),3))),""))</f>
        <v>0</v>
      </c>
      <c r="M1391">
        <f>'Raw Data'!O1391</f>
        <v>0</v>
      </c>
      <c r="N1391">
        <f>'Raw Data'!P1391</f>
        <v>0</v>
      </c>
      <c r="O1391">
        <f>'Raw Data'!Q1391</f>
        <v>0</v>
      </c>
      <c r="P1391">
        <f>'Raw Data'!R1391</f>
        <v>0</v>
      </c>
      <c r="Q1391">
        <f>'Raw Data'!S1391</f>
        <v>0</v>
      </c>
      <c r="R1391">
        <f>'Raw Data'!T1391</f>
        <v>0</v>
      </c>
      <c r="S1391">
        <f>IFERROR(O1391,0)+IFERROR(R1391,0)</f>
        <v>0</v>
      </c>
      <c r="T1391">
        <f>IF(A1391="","",YEAR(A1391))</f>
        <v>0</v>
      </c>
    </row>
    <row r="1392" spans="1:20">
      <c r="A1392">
        <f>'Raw Data'!B1392</f>
        <v>0</v>
      </c>
      <c r="B1392">
        <f>'Raw Data'!A1392</f>
        <v>0</v>
      </c>
      <c r="C1392">
        <f>'Raw Data'!C1392</f>
        <v>0</v>
      </c>
      <c r="D1392">
        <f>'Raw Data'!D1392</f>
        <v>0</v>
      </c>
      <c r="E1392">
        <f>IFERROR(VLOOKUP(D1392,'Lookup Tables'!$A:$B,2,FALSE),"Unknown")</f>
        <v>0</v>
      </c>
      <c r="F1392">
        <f>'Raw Data'!E1392</f>
        <v>0</v>
      </c>
      <c r="G1392">
        <f>IFERROR(VLOOKUP(D1392,'Lookup Tables'!$A:$C,3,FALSE),IF(ISNUMBER(SEARCH("STEEL",F1392)),"Steel","Others"))</f>
        <v>0</v>
      </c>
      <c r="H1392">
        <f>IF(ISNUMBER(SEARCH("scrubber",F1392)) , "Scrubber", IF(ISNUMBER(SEARCH("container",F1392)),"Container", IF(ISNUMBER(SEARCH("basket",F1392)),"Basket", IF(ISNUMBER(SEARCH("lunch",F1392)),"Lunch Box", IF(ISNUMBER(SEARCH("cutlery",F1392)),"Cutlery","Other")))))</f>
        <v>0</v>
      </c>
      <c r="I1392">
        <f>IF('Raw Data'!G1392&lt;&gt;'','Raw Data'!G1392,IFERROR(MID(F1392,SEARCH("MODEL",F1392)+6,20),""))</f>
        <v>0</v>
      </c>
      <c r="J1392">
        <f>'Raw Data'!H1392</f>
        <v>0</v>
      </c>
      <c r="K1392">
        <f>'Raw Data'!I1392</f>
        <v>0</v>
      </c>
      <c r="L1392">
        <f>IF('Raw Data'!N1392&lt;&gt;0,'Raw Data'!N1392,IFERROR(VALUE(MID(F1392,SEARCH("QTY",F1392)+4,IFERROR(FIND(" ",F1392,SEARCH("QTY",F1392)+4)-(SEARCH("QTY",F1392)+4),3))),""))</f>
        <v>0</v>
      </c>
      <c r="M1392">
        <f>'Raw Data'!O1392</f>
        <v>0</v>
      </c>
      <c r="N1392">
        <f>'Raw Data'!P1392</f>
        <v>0</v>
      </c>
      <c r="O1392">
        <f>'Raw Data'!Q1392</f>
        <v>0</v>
      </c>
      <c r="P1392">
        <f>'Raw Data'!R1392</f>
        <v>0</v>
      </c>
      <c r="Q1392">
        <f>'Raw Data'!S1392</f>
        <v>0</v>
      </c>
      <c r="R1392">
        <f>'Raw Data'!T1392</f>
        <v>0</v>
      </c>
      <c r="S1392">
        <f>IFERROR(O1392,0)+IFERROR(R1392,0)</f>
        <v>0</v>
      </c>
      <c r="T1392">
        <f>IF(A1392="","",YEAR(A1392))</f>
        <v>0</v>
      </c>
    </row>
    <row r="1393" spans="1:20">
      <c r="A1393">
        <f>'Raw Data'!B1393</f>
        <v>0</v>
      </c>
      <c r="B1393">
        <f>'Raw Data'!A1393</f>
        <v>0</v>
      </c>
      <c r="C1393">
        <f>'Raw Data'!C1393</f>
        <v>0</v>
      </c>
      <c r="D1393">
        <f>'Raw Data'!D1393</f>
        <v>0</v>
      </c>
      <c r="E1393">
        <f>IFERROR(VLOOKUP(D1393,'Lookup Tables'!$A:$B,2,FALSE),"Unknown")</f>
        <v>0</v>
      </c>
      <c r="F1393">
        <f>'Raw Data'!E1393</f>
        <v>0</v>
      </c>
      <c r="G1393">
        <f>IFERROR(VLOOKUP(D1393,'Lookup Tables'!$A:$C,3,FALSE),IF(ISNUMBER(SEARCH("STEEL",F1393)),"Steel","Others"))</f>
        <v>0</v>
      </c>
      <c r="H1393">
        <f>IF(ISNUMBER(SEARCH("scrubber",F1393)) , "Scrubber", IF(ISNUMBER(SEARCH("container",F1393)),"Container", IF(ISNUMBER(SEARCH("basket",F1393)),"Basket", IF(ISNUMBER(SEARCH("lunch",F1393)),"Lunch Box", IF(ISNUMBER(SEARCH("cutlery",F1393)),"Cutlery","Other")))))</f>
        <v>0</v>
      </c>
      <c r="I1393">
        <f>IF('Raw Data'!G1393&lt;&gt;'','Raw Data'!G1393,IFERROR(MID(F1393,SEARCH("MODEL",F1393)+6,20),""))</f>
        <v>0</v>
      </c>
      <c r="J1393">
        <f>'Raw Data'!H1393</f>
        <v>0</v>
      </c>
      <c r="K1393">
        <f>'Raw Data'!I1393</f>
        <v>0</v>
      </c>
      <c r="L1393">
        <f>IF('Raw Data'!N1393&lt;&gt;0,'Raw Data'!N1393,IFERROR(VALUE(MID(F1393,SEARCH("QTY",F1393)+4,IFERROR(FIND(" ",F1393,SEARCH("QTY",F1393)+4)-(SEARCH("QTY",F1393)+4),3))),""))</f>
        <v>0</v>
      </c>
      <c r="M1393">
        <f>'Raw Data'!O1393</f>
        <v>0</v>
      </c>
      <c r="N1393">
        <f>'Raw Data'!P1393</f>
        <v>0</v>
      </c>
      <c r="O1393">
        <f>'Raw Data'!Q1393</f>
        <v>0</v>
      </c>
      <c r="P1393">
        <f>'Raw Data'!R1393</f>
        <v>0</v>
      </c>
      <c r="Q1393">
        <f>'Raw Data'!S1393</f>
        <v>0</v>
      </c>
      <c r="R1393">
        <f>'Raw Data'!T1393</f>
        <v>0</v>
      </c>
      <c r="S1393">
        <f>IFERROR(O1393,0)+IFERROR(R1393,0)</f>
        <v>0</v>
      </c>
      <c r="T1393">
        <f>IF(A1393="","",YEAR(A1393))</f>
        <v>0</v>
      </c>
    </row>
    <row r="1394" spans="1:20">
      <c r="A1394">
        <f>'Raw Data'!B1394</f>
        <v>0</v>
      </c>
      <c r="B1394">
        <f>'Raw Data'!A1394</f>
        <v>0</v>
      </c>
      <c r="C1394">
        <f>'Raw Data'!C1394</f>
        <v>0</v>
      </c>
      <c r="D1394">
        <f>'Raw Data'!D1394</f>
        <v>0</v>
      </c>
      <c r="E1394">
        <f>IFERROR(VLOOKUP(D1394,'Lookup Tables'!$A:$B,2,FALSE),"Unknown")</f>
        <v>0</v>
      </c>
      <c r="F1394">
        <f>'Raw Data'!E1394</f>
        <v>0</v>
      </c>
      <c r="G1394">
        <f>IFERROR(VLOOKUP(D1394,'Lookup Tables'!$A:$C,3,FALSE),IF(ISNUMBER(SEARCH("STEEL",F1394)),"Steel","Others"))</f>
        <v>0</v>
      </c>
      <c r="H1394">
        <f>IF(ISNUMBER(SEARCH("scrubber",F1394)) , "Scrubber", IF(ISNUMBER(SEARCH("container",F1394)),"Container", IF(ISNUMBER(SEARCH("basket",F1394)),"Basket", IF(ISNUMBER(SEARCH("lunch",F1394)),"Lunch Box", IF(ISNUMBER(SEARCH("cutlery",F1394)),"Cutlery","Other")))))</f>
        <v>0</v>
      </c>
      <c r="I1394">
        <f>IF('Raw Data'!G1394&lt;&gt;'','Raw Data'!G1394,IFERROR(MID(F1394,SEARCH("MODEL",F1394)+6,20),""))</f>
        <v>0</v>
      </c>
      <c r="J1394">
        <f>'Raw Data'!H1394</f>
        <v>0</v>
      </c>
      <c r="K1394">
        <f>'Raw Data'!I1394</f>
        <v>0</v>
      </c>
      <c r="L1394">
        <f>IF('Raw Data'!N1394&lt;&gt;0,'Raw Data'!N1394,IFERROR(VALUE(MID(F1394,SEARCH("QTY",F1394)+4,IFERROR(FIND(" ",F1394,SEARCH("QTY",F1394)+4)-(SEARCH("QTY",F1394)+4),3))),""))</f>
        <v>0</v>
      </c>
      <c r="M1394">
        <f>'Raw Data'!O1394</f>
        <v>0</v>
      </c>
      <c r="N1394">
        <f>'Raw Data'!P1394</f>
        <v>0</v>
      </c>
      <c r="O1394">
        <f>'Raw Data'!Q1394</f>
        <v>0</v>
      </c>
      <c r="P1394">
        <f>'Raw Data'!R1394</f>
        <v>0</v>
      </c>
      <c r="Q1394">
        <f>'Raw Data'!S1394</f>
        <v>0</v>
      </c>
      <c r="R1394">
        <f>'Raw Data'!T1394</f>
        <v>0</v>
      </c>
      <c r="S1394">
        <f>IFERROR(O1394,0)+IFERROR(R1394,0)</f>
        <v>0</v>
      </c>
      <c r="T1394">
        <f>IF(A1394="","",YEAR(A1394))</f>
        <v>0</v>
      </c>
    </row>
    <row r="1395" spans="1:20">
      <c r="A1395">
        <f>'Raw Data'!B1395</f>
        <v>0</v>
      </c>
      <c r="B1395">
        <f>'Raw Data'!A1395</f>
        <v>0</v>
      </c>
      <c r="C1395">
        <f>'Raw Data'!C1395</f>
        <v>0</v>
      </c>
      <c r="D1395">
        <f>'Raw Data'!D1395</f>
        <v>0</v>
      </c>
      <c r="E1395">
        <f>IFERROR(VLOOKUP(D1395,'Lookup Tables'!$A:$B,2,FALSE),"Unknown")</f>
        <v>0</v>
      </c>
      <c r="F1395">
        <f>'Raw Data'!E1395</f>
        <v>0</v>
      </c>
      <c r="G1395">
        <f>IFERROR(VLOOKUP(D1395,'Lookup Tables'!$A:$C,3,FALSE),IF(ISNUMBER(SEARCH("STEEL",F1395)),"Steel","Others"))</f>
        <v>0</v>
      </c>
      <c r="H1395">
        <f>IF(ISNUMBER(SEARCH("scrubber",F1395)) , "Scrubber", IF(ISNUMBER(SEARCH("container",F1395)),"Container", IF(ISNUMBER(SEARCH("basket",F1395)),"Basket", IF(ISNUMBER(SEARCH("lunch",F1395)),"Lunch Box", IF(ISNUMBER(SEARCH("cutlery",F1395)),"Cutlery","Other")))))</f>
        <v>0</v>
      </c>
      <c r="I1395">
        <f>IF('Raw Data'!G1395&lt;&gt;'','Raw Data'!G1395,IFERROR(MID(F1395,SEARCH("MODEL",F1395)+6,20),""))</f>
        <v>0</v>
      </c>
      <c r="J1395">
        <f>'Raw Data'!H1395</f>
        <v>0</v>
      </c>
      <c r="K1395">
        <f>'Raw Data'!I1395</f>
        <v>0</v>
      </c>
      <c r="L1395">
        <f>IF('Raw Data'!N1395&lt;&gt;0,'Raw Data'!N1395,IFERROR(VALUE(MID(F1395,SEARCH("QTY",F1395)+4,IFERROR(FIND(" ",F1395,SEARCH("QTY",F1395)+4)-(SEARCH("QTY",F1395)+4),3))),""))</f>
        <v>0</v>
      </c>
      <c r="M1395">
        <f>'Raw Data'!O1395</f>
        <v>0</v>
      </c>
      <c r="N1395">
        <f>'Raw Data'!P1395</f>
        <v>0</v>
      </c>
      <c r="O1395">
        <f>'Raw Data'!Q1395</f>
        <v>0</v>
      </c>
      <c r="P1395">
        <f>'Raw Data'!R1395</f>
        <v>0</v>
      </c>
      <c r="Q1395">
        <f>'Raw Data'!S1395</f>
        <v>0</v>
      </c>
      <c r="R1395">
        <f>'Raw Data'!T1395</f>
        <v>0</v>
      </c>
      <c r="S1395">
        <f>IFERROR(O1395,0)+IFERROR(R1395,0)</f>
        <v>0</v>
      </c>
      <c r="T1395">
        <f>IF(A1395="","",YEAR(A1395))</f>
        <v>0</v>
      </c>
    </row>
    <row r="1396" spans="1:20">
      <c r="A1396">
        <f>'Raw Data'!B1396</f>
        <v>0</v>
      </c>
      <c r="B1396">
        <f>'Raw Data'!A1396</f>
        <v>0</v>
      </c>
      <c r="C1396">
        <f>'Raw Data'!C1396</f>
        <v>0</v>
      </c>
      <c r="D1396">
        <f>'Raw Data'!D1396</f>
        <v>0</v>
      </c>
      <c r="E1396">
        <f>IFERROR(VLOOKUP(D1396,'Lookup Tables'!$A:$B,2,FALSE),"Unknown")</f>
        <v>0</v>
      </c>
      <c r="F1396">
        <f>'Raw Data'!E1396</f>
        <v>0</v>
      </c>
      <c r="G1396">
        <f>IFERROR(VLOOKUP(D1396,'Lookup Tables'!$A:$C,3,FALSE),IF(ISNUMBER(SEARCH("STEEL",F1396)),"Steel","Others"))</f>
        <v>0</v>
      </c>
      <c r="H1396">
        <f>IF(ISNUMBER(SEARCH("scrubber",F1396)) , "Scrubber", IF(ISNUMBER(SEARCH("container",F1396)),"Container", IF(ISNUMBER(SEARCH("basket",F1396)),"Basket", IF(ISNUMBER(SEARCH("lunch",F1396)),"Lunch Box", IF(ISNUMBER(SEARCH("cutlery",F1396)),"Cutlery","Other")))))</f>
        <v>0</v>
      </c>
      <c r="I1396">
        <f>IF('Raw Data'!G1396&lt;&gt;'','Raw Data'!G1396,IFERROR(MID(F1396,SEARCH("MODEL",F1396)+6,20),""))</f>
        <v>0</v>
      </c>
      <c r="J1396">
        <f>'Raw Data'!H1396</f>
        <v>0</v>
      </c>
      <c r="K1396">
        <f>'Raw Data'!I1396</f>
        <v>0</v>
      </c>
      <c r="L1396">
        <f>IF('Raw Data'!N1396&lt;&gt;0,'Raw Data'!N1396,IFERROR(VALUE(MID(F1396,SEARCH("QTY",F1396)+4,IFERROR(FIND(" ",F1396,SEARCH("QTY",F1396)+4)-(SEARCH("QTY",F1396)+4),3))),""))</f>
        <v>0</v>
      </c>
      <c r="M1396">
        <f>'Raw Data'!O1396</f>
        <v>0</v>
      </c>
      <c r="N1396">
        <f>'Raw Data'!P1396</f>
        <v>0</v>
      </c>
      <c r="O1396">
        <f>'Raw Data'!Q1396</f>
        <v>0</v>
      </c>
      <c r="P1396">
        <f>'Raw Data'!R1396</f>
        <v>0</v>
      </c>
      <c r="Q1396">
        <f>'Raw Data'!S1396</f>
        <v>0</v>
      </c>
      <c r="R1396">
        <f>'Raw Data'!T1396</f>
        <v>0</v>
      </c>
      <c r="S1396">
        <f>IFERROR(O1396,0)+IFERROR(R1396,0)</f>
        <v>0</v>
      </c>
      <c r="T1396">
        <f>IF(A1396="","",YEAR(A1396))</f>
        <v>0</v>
      </c>
    </row>
    <row r="1397" spans="1:20">
      <c r="A1397">
        <f>'Raw Data'!B1397</f>
        <v>0</v>
      </c>
      <c r="B1397">
        <f>'Raw Data'!A1397</f>
        <v>0</v>
      </c>
      <c r="C1397">
        <f>'Raw Data'!C1397</f>
        <v>0</v>
      </c>
      <c r="D1397">
        <f>'Raw Data'!D1397</f>
        <v>0</v>
      </c>
      <c r="E1397">
        <f>IFERROR(VLOOKUP(D1397,'Lookup Tables'!$A:$B,2,FALSE),"Unknown")</f>
        <v>0</v>
      </c>
      <c r="F1397">
        <f>'Raw Data'!E1397</f>
        <v>0</v>
      </c>
      <c r="G1397">
        <f>IFERROR(VLOOKUP(D1397,'Lookup Tables'!$A:$C,3,FALSE),IF(ISNUMBER(SEARCH("STEEL",F1397)),"Steel","Others"))</f>
        <v>0</v>
      </c>
      <c r="H1397">
        <f>IF(ISNUMBER(SEARCH("scrubber",F1397)) , "Scrubber", IF(ISNUMBER(SEARCH("container",F1397)),"Container", IF(ISNUMBER(SEARCH("basket",F1397)),"Basket", IF(ISNUMBER(SEARCH("lunch",F1397)),"Lunch Box", IF(ISNUMBER(SEARCH("cutlery",F1397)),"Cutlery","Other")))))</f>
        <v>0</v>
      </c>
      <c r="I1397">
        <f>IF('Raw Data'!G1397&lt;&gt;'','Raw Data'!G1397,IFERROR(MID(F1397,SEARCH("MODEL",F1397)+6,20),""))</f>
        <v>0</v>
      </c>
      <c r="J1397">
        <f>'Raw Data'!H1397</f>
        <v>0</v>
      </c>
      <c r="K1397">
        <f>'Raw Data'!I1397</f>
        <v>0</v>
      </c>
      <c r="L1397">
        <f>IF('Raw Data'!N1397&lt;&gt;0,'Raw Data'!N1397,IFERROR(VALUE(MID(F1397,SEARCH("QTY",F1397)+4,IFERROR(FIND(" ",F1397,SEARCH("QTY",F1397)+4)-(SEARCH("QTY",F1397)+4),3))),""))</f>
        <v>0</v>
      </c>
      <c r="M1397">
        <f>'Raw Data'!O1397</f>
        <v>0</v>
      </c>
      <c r="N1397">
        <f>'Raw Data'!P1397</f>
        <v>0</v>
      </c>
      <c r="O1397">
        <f>'Raw Data'!Q1397</f>
        <v>0</v>
      </c>
      <c r="P1397">
        <f>'Raw Data'!R1397</f>
        <v>0</v>
      </c>
      <c r="Q1397">
        <f>'Raw Data'!S1397</f>
        <v>0</v>
      </c>
      <c r="R1397">
        <f>'Raw Data'!T1397</f>
        <v>0</v>
      </c>
      <c r="S1397">
        <f>IFERROR(O1397,0)+IFERROR(R1397,0)</f>
        <v>0</v>
      </c>
      <c r="T1397">
        <f>IF(A1397="","",YEAR(A1397))</f>
        <v>0</v>
      </c>
    </row>
    <row r="1398" spans="1:20">
      <c r="A1398">
        <f>'Raw Data'!B1398</f>
        <v>0</v>
      </c>
      <c r="B1398">
        <f>'Raw Data'!A1398</f>
        <v>0</v>
      </c>
      <c r="C1398">
        <f>'Raw Data'!C1398</f>
        <v>0</v>
      </c>
      <c r="D1398">
        <f>'Raw Data'!D1398</f>
        <v>0</v>
      </c>
      <c r="E1398">
        <f>IFERROR(VLOOKUP(D1398,'Lookup Tables'!$A:$B,2,FALSE),"Unknown")</f>
        <v>0</v>
      </c>
      <c r="F1398">
        <f>'Raw Data'!E1398</f>
        <v>0</v>
      </c>
      <c r="G1398">
        <f>IFERROR(VLOOKUP(D1398,'Lookup Tables'!$A:$C,3,FALSE),IF(ISNUMBER(SEARCH("STEEL",F1398)),"Steel","Others"))</f>
        <v>0</v>
      </c>
      <c r="H1398">
        <f>IF(ISNUMBER(SEARCH("scrubber",F1398)) , "Scrubber", IF(ISNUMBER(SEARCH("container",F1398)),"Container", IF(ISNUMBER(SEARCH("basket",F1398)),"Basket", IF(ISNUMBER(SEARCH("lunch",F1398)),"Lunch Box", IF(ISNUMBER(SEARCH("cutlery",F1398)),"Cutlery","Other")))))</f>
        <v>0</v>
      </c>
      <c r="I1398">
        <f>IF('Raw Data'!G1398&lt;&gt;'','Raw Data'!G1398,IFERROR(MID(F1398,SEARCH("MODEL",F1398)+6,20),""))</f>
        <v>0</v>
      </c>
      <c r="J1398">
        <f>'Raw Data'!H1398</f>
        <v>0</v>
      </c>
      <c r="K1398">
        <f>'Raw Data'!I1398</f>
        <v>0</v>
      </c>
      <c r="L1398">
        <f>IF('Raw Data'!N1398&lt;&gt;0,'Raw Data'!N1398,IFERROR(VALUE(MID(F1398,SEARCH("QTY",F1398)+4,IFERROR(FIND(" ",F1398,SEARCH("QTY",F1398)+4)-(SEARCH("QTY",F1398)+4),3))),""))</f>
        <v>0</v>
      </c>
      <c r="M1398">
        <f>'Raw Data'!O1398</f>
        <v>0</v>
      </c>
      <c r="N1398">
        <f>'Raw Data'!P1398</f>
        <v>0</v>
      </c>
      <c r="O1398">
        <f>'Raw Data'!Q1398</f>
        <v>0</v>
      </c>
      <c r="P1398">
        <f>'Raw Data'!R1398</f>
        <v>0</v>
      </c>
      <c r="Q1398">
        <f>'Raw Data'!S1398</f>
        <v>0</v>
      </c>
      <c r="R1398">
        <f>'Raw Data'!T1398</f>
        <v>0</v>
      </c>
      <c r="S1398">
        <f>IFERROR(O1398,0)+IFERROR(R1398,0)</f>
        <v>0</v>
      </c>
      <c r="T1398">
        <f>IF(A1398="","",YEAR(A1398))</f>
        <v>0</v>
      </c>
    </row>
    <row r="1399" spans="1:20">
      <c r="A1399">
        <f>'Raw Data'!B1399</f>
        <v>0</v>
      </c>
      <c r="B1399">
        <f>'Raw Data'!A1399</f>
        <v>0</v>
      </c>
      <c r="C1399">
        <f>'Raw Data'!C1399</f>
        <v>0</v>
      </c>
      <c r="D1399">
        <f>'Raw Data'!D1399</f>
        <v>0</v>
      </c>
      <c r="E1399">
        <f>IFERROR(VLOOKUP(D1399,'Lookup Tables'!$A:$B,2,FALSE),"Unknown")</f>
        <v>0</v>
      </c>
      <c r="F1399">
        <f>'Raw Data'!E1399</f>
        <v>0</v>
      </c>
      <c r="G1399">
        <f>IFERROR(VLOOKUP(D1399,'Lookup Tables'!$A:$C,3,FALSE),IF(ISNUMBER(SEARCH("STEEL",F1399)),"Steel","Others"))</f>
        <v>0</v>
      </c>
      <c r="H1399">
        <f>IF(ISNUMBER(SEARCH("scrubber",F1399)) , "Scrubber", IF(ISNUMBER(SEARCH("container",F1399)),"Container", IF(ISNUMBER(SEARCH("basket",F1399)),"Basket", IF(ISNUMBER(SEARCH("lunch",F1399)),"Lunch Box", IF(ISNUMBER(SEARCH("cutlery",F1399)),"Cutlery","Other")))))</f>
        <v>0</v>
      </c>
      <c r="I1399">
        <f>IF('Raw Data'!G1399&lt;&gt;'','Raw Data'!G1399,IFERROR(MID(F1399,SEARCH("MODEL",F1399)+6,20),""))</f>
        <v>0</v>
      </c>
      <c r="J1399">
        <f>'Raw Data'!H1399</f>
        <v>0</v>
      </c>
      <c r="K1399">
        <f>'Raw Data'!I1399</f>
        <v>0</v>
      </c>
      <c r="L1399">
        <f>IF('Raw Data'!N1399&lt;&gt;0,'Raw Data'!N1399,IFERROR(VALUE(MID(F1399,SEARCH("QTY",F1399)+4,IFERROR(FIND(" ",F1399,SEARCH("QTY",F1399)+4)-(SEARCH("QTY",F1399)+4),3))),""))</f>
        <v>0</v>
      </c>
      <c r="M1399">
        <f>'Raw Data'!O1399</f>
        <v>0</v>
      </c>
      <c r="N1399">
        <f>'Raw Data'!P1399</f>
        <v>0</v>
      </c>
      <c r="O1399">
        <f>'Raw Data'!Q1399</f>
        <v>0</v>
      </c>
      <c r="P1399">
        <f>'Raw Data'!R1399</f>
        <v>0</v>
      </c>
      <c r="Q1399">
        <f>'Raw Data'!S1399</f>
        <v>0</v>
      </c>
      <c r="R1399">
        <f>'Raw Data'!T1399</f>
        <v>0</v>
      </c>
      <c r="S1399">
        <f>IFERROR(O1399,0)+IFERROR(R1399,0)</f>
        <v>0</v>
      </c>
      <c r="T1399">
        <f>IF(A1399="","",YEAR(A1399))</f>
        <v>0</v>
      </c>
    </row>
    <row r="1400" spans="1:20">
      <c r="A1400">
        <f>'Raw Data'!B1400</f>
        <v>0</v>
      </c>
      <c r="B1400">
        <f>'Raw Data'!A1400</f>
        <v>0</v>
      </c>
      <c r="C1400">
        <f>'Raw Data'!C1400</f>
        <v>0</v>
      </c>
      <c r="D1400">
        <f>'Raw Data'!D1400</f>
        <v>0</v>
      </c>
      <c r="E1400">
        <f>IFERROR(VLOOKUP(D1400,'Lookup Tables'!$A:$B,2,FALSE),"Unknown")</f>
        <v>0</v>
      </c>
      <c r="F1400">
        <f>'Raw Data'!E1400</f>
        <v>0</v>
      </c>
      <c r="G1400">
        <f>IFERROR(VLOOKUP(D1400,'Lookup Tables'!$A:$C,3,FALSE),IF(ISNUMBER(SEARCH("STEEL",F1400)),"Steel","Others"))</f>
        <v>0</v>
      </c>
      <c r="H1400">
        <f>IF(ISNUMBER(SEARCH("scrubber",F1400)) , "Scrubber", IF(ISNUMBER(SEARCH("container",F1400)),"Container", IF(ISNUMBER(SEARCH("basket",F1400)),"Basket", IF(ISNUMBER(SEARCH("lunch",F1400)),"Lunch Box", IF(ISNUMBER(SEARCH("cutlery",F1400)),"Cutlery","Other")))))</f>
        <v>0</v>
      </c>
      <c r="I1400">
        <f>IF('Raw Data'!G1400&lt;&gt;'','Raw Data'!G1400,IFERROR(MID(F1400,SEARCH("MODEL",F1400)+6,20),""))</f>
        <v>0</v>
      </c>
      <c r="J1400">
        <f>'Raw Data'!H1400</f>
        <v>0</v>
      </c>
      <c r="K1400">
        <f>'Raw Data'!I1400</f>
        <v>0</v>
      </c>
      <c r="L1400">
        <f>IF('Raw Data'!N1400&lt;&gt;0,'Raw Data'!N1400,IFERROR(VALUE(MID(F1400,SEARCH("QTY",F1400)+4,IFERROR(FIND(" ",F1400,SEARCH("QTY",F1400)+4)-(SEARCH("QTY",F1400)+4),3))),""))</f>
        <v>0</v>
      </c>
      <c r="M1400">
        <f>'Raw Data'!O1400</f>
        <v>0</v>
      </c>
      <c r="N1400">
        <f>'Raw Data'!P1400</f>
        <v>0</v>
      </c>
      <c r="O1400">
        <f>'Raw Data'!Q1400</f>
        <v>0</v>
      </c>
      <c r="P1400">
        <f>'Raw Data'!R1400</f>
        <v>0</v>
      </c>
      <c r="Q1400">
        <f>'Raw Data'!S1400</f>
        <v>0</v>
      </c>
      <c r="R1400">
        <f>'Raw Data'!T1400</f>
        <v>0</v>
      </c>
      <c r="S1400">
        <f>IFERROR(O1400,0)+IFERROR(R1400,0)</f>
        <v>0</v>
      </c>
      <c r="T1400">
        <f>IF(A1400="","",YEAR(A1400))</f>
        <v>0</v>
      </c>
    </row>
    <row r="1401" spans="1:20">
      <c r="A1401">
        <f>'Raw Data'!B1401</f>
        <v>0</v>
      </c>
      <c r="B1401">
        <f>'Raw Data'!A1401</f>
        <v>0</v>
      </c>
      <c r="C1401">
        <f>'Raw Data'!C1401</f>
        <v>0</v>
      </c>
      <c r="D1401">
        <f>'Raw Data'!D1401</f>
        <v>0</v>
      </c>
      <c r="E1401">
        <f>IFERROR(VLOOKUP(D1401,'Lookup Tables'!$A:$B,2,FALSE),"Unknown")</f>
        <v>0</v>
      </c>
      <c r="F1401">
        <f>'Raw Data'!E1401</f>
        <v>0</v>
      </c>
      <c r="G1401">
        <f>IFERROR(VLOOKUP(D1401,'Lookup Tables'!$A:$C,3,FALSE),IF(ISNUMBER(SEARCH("STEEL",F1401)),"Steel","Others"))</f>
        <v>0</v>
      </c>
      <c r="H1401">
        <f>IF(ISNUMBER(SEARCH("scrubber",F1401)) , "Scrubber", IF(ISNUMBER(SEARCH("container",F1401)),"Container", IF(ISNUMBER(SEARCH("basket",F1401)),"Basket", IF(ISNUMBER(SEARCH("lunch",F1401)),"Lunch Box", IF(ISNUMBER(SEARCH("cutlery",F1401)),"Cutlery","Other")))))</f>
        <v>0</v>
      </c>
      <c r="I1401">
        <f>IF('Raw Data'!G1401&lt;&gt;'','Raw Data'!G1401,IFERROR(MID(F1401,SEARCH("MODEL",F1401)+6,20),""))</f>
        <v>0</v>
      </c>
      <c r="J1401">
        <f>'Raw Data'!H1401</f>
        <v>0</v>
      </c>
      <c r="K1401">
        <f>'Raw Data'!I1401</f>
        <v>0</v>
      </c>
      <c r="L1401">
        <f>IF('Raw Data'!N1401&lt;&gt;0,'Raw Data'!N1401,IFERROR(VALUE(MID(F1401,SEARCH("QTY",F1401)+4,IFERROR(FIND(" ",F1401,SEARCH("QTY",F1401)+4)-(SEARCH("QTY",F1401)+4),3))),""))</f>
        <v>0</v>
      </c>
      <c r="M1401">
        <f>'Raw Data'!O1401</f>
        <v>0</v>
      </c>
      <c r="N1401">
        <f>'Raw Data'!P1401</f>
        <v>0</v>
      </c>
      <c r="O1401">
        <f>'Raw Data'!Q1401</f>
        <v>0</v>
      </c>
      <c r="P1401">
        <f>'Raw Data'!R1401</f>
        <v>0</v>
      </c>
      <c r="Q1401">
        <f>'Raw Data'!S1401</f>
        <v>0</v>
      </c>
      <c r="R1401">
        <f>'Raw Data'!T1401</f>
        <v>0</v>
      </c>
      <c r="S1401">
        <f>IFERROR(O1401,0)+IFERROR(R1401,0)</f>
        <v>0</v>
      </c>
      <c r="T1401">
        <f>IF(A1401="","",YEAR(A1401))</f>
        <v>0</v>
      </c>
    </row>
    <row r="1402" spans="1:20">
      <c r="A1402">
        <f>'Raw Data'!B1402</f>
        <v>0</v>
      </c>
      <c r="B1402">
        <f>'Raw Data'!A1402</f>
        <v>0</v>
      </c>
      <c r="C1402">
        <f>'Raw Data'!C1402</f>
        <v>0</v>
      </c>
      <c r="D1402">
        <f>'Raw Data'!D1402</f>
        <v>0</v>
      </c>
      <c r="E1402">
        <f>IFERROR(VLOOKUP(D1402,'Lookup Tables'!$A:$B,2,FALSE),"Unknown")</f>
        <v>0</v>
      </c>
      <c r="F1402">
        <f>'Raw Data'!E1402</f>
        <v>0</v>
      </c>
      <c r="G1402">
        <f>IFERROR(VLOOKUP(D1402,'Lookup Tables'!$A:$C,3,FALSE),IF(ISNUMBER(SEARCH("STEEL",F1402)),"Steel","Others"))</f>
        <v>0</v>
      </c>
      <c r="H1402">
        <f>IF(ISNUMBER(SEARCH("scrubber",F1402)) , "Scrubber", IF(ISNUMBER(SEARCH("container",F1402)),"Container", IF(ISNUMBER(SEARCH("basket",F1402)),"Basket", IF(ISNUMBER(SEARCH("lunch",F1402)),"Lunch Box", IF(ISNUMBER(SEARCH("cutlery",F1402)),"Cutlery","Other")))))</f>
        <v>0</v>
      </c>
      <c r="I1402">
        <f>IF('Raw Data'!G1402&lt;&gt;'','Raw Data'!G1402,IFERROR(MID(F1402,SEARCH("MODEL",F1402)+6,20),""))</f>
        <v>0</v>
      </c>
      <c r="J1402">
        <f>'Raw Data'!H1402</f>
        <v>0</v>
      </c>
      <c r="K1402">
        <f>'Raw Data'!I1402</f>
        <v>0</v>
      </c>
      <c r="L1402">
        <f>IF('Raw Data'!N1402&lt;&gt;0,'Raw Data'!N1402,IFERROR(VALUE(MID(F1402,SEARCH("QTY",F1402)+4,IFERROR(FIND(" ",F1402,SEARCH("QTY",F1402)+4)-(SEARCH("QTY",F1402)+4),3))),""))</f>
        <v>0</v>
      </c>
      <c r="M1402">
        <f>'Raw Data'!O1402</f>
        <v>0</v>
      </c>
      <c r="N1402">
        <f>'Raw Data'!P1402</f>
        <v>0</v>
      </c>
      <c r="O1402">
        <f>'Raw Data'!Q1402</f>
        <v>0</v>
      </c>
      <c r="P1402">
        <f>'Raw Data'!R1402</f>
        <v>0</v>
      </c>
      <c r="Q1402">
        <f>'Raw Data'!S1402</f>
        <v>0</v>
      </c>
      <c r="R1402">
        <f>'Raw Data'!T1402</f>
        <v>0</v>
      </c>
      <c r="S1402">
        <f>IFERROR(O1402,0)+IFERROR(R1402,0)</f>
        <v>0</v>
      </c>
      <c r="T1402">
        <f>IF(A1402="","",YEAR(A1402))</f>
        <v>0</v>
      </c>
    </row>
    <row r="1403" spans="1:20">
      <c r="A1403">
        <f>'Raw Data'!B1403</f>
        <v>0</v>
      </c>
      <c r="B1403">
        <f>'Raw Data'!A1403</f>
        <v>0</v>
      </c>
      <c r="C1403">
        <f>'Raw Data'!C1403</f>
        <v>0</v>
      </c>
      <c r="D1403">
        <f>'Raw Data'!D1403</f>
        <v>0</v>
      </c>
      <c r="E1403">
        <f>IFERROR(VLOOKUP(D1403,'Lookup Tables'!$A:$B,2,FALSE),"Unknown")</f>
        <v>0</v>
      </c>
      <c r="F1403">
        <f>'Raw Data'!E1403</f>
        <v>0</v>
      </c>
      <c r="G1403">
        <f>IFERROR(VLOOKUP(D1403,'Lookup Tables'!$A:$C,3,FALSE),IF(ISNUMBER(SEARCH("STEEL",F1403)),"Steel","Others"))</f>
        <v>0</v>
      </c>
      <c r="H1403">
        <f>IF(ISNUMBER(SEARCH("scrubber",F1403)) , "Scrubber", IF(ISNUMBER(SEARCH("container",F1403)),"Container", IF(ISNUMBER(SEARCH("basket",F1403)),"Basket", IF(ISNUMBER(SEARCH("lunch",F1403)),"Lunch Box", IF(ISNUMBER(SEARCH("cutlery",F1403)),"Cutlery","Other")))))</f>
        <v>0</v>
      </c>
      <c r="I1403">
        <f>IF('Raw Data'!G1403&lt;&gt;'','Raw Data'!G1403,IFERROR(MID(F1403,SEARCH("MODEL",F1403)+6,20),""))</f>
        <v>0</v>
      </c>
      <c r="J1403">
        <f>'Raw Data'!H1403</f>
        <v>0</v>
      </c>
      <c r="K1403">
        <f>'Raw Data'!I1403</f>
        <v>0</v>
      </c>
      <c r="L1403">
        <f>IF('Raw Data'!N1403&lt;&gt;0,'Raw Data'!N1403,IFERROR(VALUE(MID(F1403,SEARCH("QTY",F1403)+4,IFERROR(FIND(" ",F1403,SEARCH("QTY",F1403)+4)-(SEARCH("QTY",F1403)+4),3))),""))</f>
        <v>0</v>
      </c>
      <c r="M1403">
        <f>'Raw Data'!O1403</f>
        <v>0</v>
      </c>
      <c r="N1403">
        <f>'Raw Data'!P1403</f>
        <v>0</v>
      </c>
      <c r="O1403">
        <f>'Raw Data'!Q1403</f>
        <v>0</v>
      </c>
      <c r="P1403">
        <f>'Raw Data'!R1403</f>
        <v>0</v>
      </c>
      <c r="Q1403">
        <f>'Raw Data'!S1403</f>
        <v>0</v>
      </c>
      <c r="R1403">
        <f>'Raw Data'!T1403</f>
        <v>0</v>
      </c>
      <c r="S1403">
        <f>IFERROR(O1403,0)+IFERROR(R1403,0)</f>
        <v>0</v>
      </c>
      <c r="T1403">
        <f>IF(A1403="","",YEAR(A1403))</f>
        <v>0</v>
      </c>
    </row>
    <row r="1404" spans="1:20">
      <c r="A1404">
        <f>'Raw Data'!B1404</f>
        <v>0</v>
      </c>
      <c r="B1404">
        <f>'Raw Data'!A1404</f>
        <v>0</v>
      </c>
      <c r="C1404">
        <f>'Raw Data'!C1404</f>
        <v>0</v>
      </c>
      <c r="D1404">
        <f>'Raw Data'!D1404</f>
        <v>0</v>
      </c>
      <c r="E1404">
        <f>IFERROR(VLOOKUP(D1404,'Lookup Tables'!$A:$B,2,FALSE),"Unknown")</f>
        <v>0</v>
      </c>
      <c r="F1404">
        <f>'Raw Data'!E1404</f>
        <v>0</v>
      </c>
      <c r="G1404">
        <f>IFERROR(VLOOKUP(D1404,'Lookup Tables'!$A:$C,3,FALSE),IF(ISNUMBER(SEARCH("STEEL",F1404)),"Steel","Others"))</f>
        <v>0</v>
      </c>
      <c r="H1404">
        <f>IF(ISNUMBER(SEARCH("scrubber",F1404)) , "Scrubber", IF(ISNUMBER(SEARCH("container",F1404)),"Container", IF(ISNUMBER(SEARCH("basket",F1404)),"Basket", IF(ISNUMBER(SEARCH("lunch",F1404)),"Lunch Box", IF(ISNUMBER(SEARCH("cutlery",F1404)),"Cutlery","Other")))))</f>
        <v>0</v>
      </c>
      <c r="I1404">
        <f>IF('Raw Data'!G1404&lt;&gt;'','Raw Data'!G1404,IFERROR(MID(F1404,SEARCH("MODEL",F1404)+6,20),""))</f>
        <v>0</v>
      </c>
      <c r="J1404">
        <f>'Raw Data'!H1404</f>
        <v>0</v>
      </c>
      <c r="K1404">
        <f>'Raw Data'!I1404</f>
        <v>0</v>
      </c>
      <c r="L1404">
        <f>IF('Raw Data'!N1404&lt;&gt;0,'Raw Data'!N1404,IFERROR(VALUE(MID(F1404,SEARCH("QTY",F1404)+4,IFERROR(FIND(" ",F1404,SEARCH("QTY",F1404)+4)-(SEARCH("QTY",F1404)+4),3))),""))</f>
        <v>0</v>
      </c>
      <c r="M1404">
        <f>'Raw Data'!O1404</f>
        <v>0</v>
      </c>
      <c r="N1404">
        <f>'Raw Data'!P1404</f>
        <v>0</v>
      </c>
      <c r="O1404">
        <f>'Raw Data'!Q1404</f>
        <v>0</v>
      </c>
      <c r="P1404">
        <f>'Raw Data'!R1404</f>
        <v>0</v>
      </c>
      <c r="Q1404">
        <f>'Raw Data'!S1404</f>
        <v>0</v>
      </c>
      <c r="R1404">
        <f>'Raw Data'!T1404</f>
        <v>0</v>
      </c>
      <c r="S1404">
        <f>IFERROR(O1404,0)+IFERROR(R1404,0)</f>
        <v>0</v>
      </c>
      <c r="T1404">
        <f>IF(A1404="","",YEAR(A1404))</f>
        <v>0</v>
      </c>
    </row>
    <row r="1405" spans="1:20">
      <c r="A1405">
        <f>'Raw Data'!B1405</f>
        <v>0</v>
      </c>
      <c r="B1405">
        <f>'Raw Data'!A1405</f>
        <v>0</v>
      </c>
      <c r="C1405">
        <f>'Raw Data'!C1405</f>
        <v>0</v>
      </c>
      <c r="D1405">
        <f>'Raw Data'!D1405</f>
        <v>0</v>
      </c>
      <c r="E1405">
        <f>IFERROR(VLOOKUP(D1405,'Lookup Tables'!$A:$B,2,FALSE),"Unknown")</f>
        <v>0</v>
      </c>
      <c r="F1405">
        <f>'Raw Data'!E1405</f>
        <v>0</v>
      </c>
      <c r="G1405">
        <f>IFERROR(VLOOKUP(D1405,'Lookup Tables'!$A:$C,3,FALSE),IF(ISNUMBER(SEARCH("STEEL",F1405)),"Steel","Others"))</f>
        <v>0</v>
      </c>
      <c r="H1405">
        <f>IF(ISNUMBER(SEARCH("scrubber",F1405)) , "Scrubber", IF(ISNUMBER(SEARCH("container",F1405)),"Container", IF(ISNUMBER(SEARCH("basket",F1405)),"Basket", IF(ISNUMBER(SEARCH("lunch",F1405)),"Lunch Box", IF(ISNUMBER(SEARCH("cutlery",F1405)),"Cutlery","Other")))))</f>
        <v>0</v>
      </c>
      <c r="I1405">
        <f>IF('Raw Data'!G1405&lt;&gt;'','Raw Data'!G1405,IFERROR(MID(F1405,SEARCH("MODEL",F1405)+6,20),""))</f>
        <v>0</v>
      </c>
      <c r="J1405">
        <f>'Raw Data'!H1405</f>
        <v>0</v>
      </c>
      <c r="K1405">
        <f>'Raw Data'!I1405</f>
        <v>0</v>
      </c>
      <c r="L1405">
        <f>IF('Raw Data'!N1405&lt;&gt;0,'Raw Data'!N1405,IFERROR(VALUE(MID(F1405,SEARCH("QTY",F1405)+4,IFERROR(FIND(" ",F1405,SEARCH("QTY",F1405)+4)-(SEARCH("QTY",F1405)+4),3))),""))</f>
        <v>0</v>
      </c>
      <c r="M1405">
        <f>'Raw Data'!O1405</f>
        <v>0</v>
      </c>
      <c r="N1405">
        <f>'Raw Data'!P1405</f>
        <v>0</v>
      </c>
      <c r="O1405">
        <f>'Raw Data'!Q1405</f>
        <v>0</v>
      </c>
      <c r="P1405">
        <f>'Raw Data'!R1405</f>
        <v>0</v>
      </c>
      <c r="Q1405">
        <f>'Raw Data'!S1405</f>
        <v>0</v>
      </c>
      <c r="R1405">
        <f>'Raw Data'!T1405</f>
        <v>0</v>
      </c>
      <c r="S1405">
        <f>IFERROR(O1405,0)+IFERROR(R1405,0)</f>
        <v>0</v>
      </c>
      <c r="T1405">
        <f>IF(A1405="","",YEAR(A1405))</f>
        <v>0</v>
      </c>
    </row>
    <row r="1406" spans="1:20">
      <c r="A1406">
        <f>'Raw Data'!B1406</f>
        <v>0</v>
      </c>
      <c r="B1406">
        <f>'Raw Data'!A1406</f>
        <v>0</v>
      </c>
      <c r="C1406">
        <f>'Raw Data'!C1406</f>
        <v>0</v>
      </c>
      <c r="D1406">
        <f>'Raw Data'!D1406</f>
        <v>0</v>
      </c>
      <c r="E1406">
        <f>IFERROR(VLOOKUP(D1406,'Lookup Tables'!$A:$B,2,FALSE),"Unknown")</f>
        <v>0</v>
      </c>
      <c r="F1406">
        <f>'Raw Data'!E1406</f>
        <v>0</v>
      </c>
      <c r="G1406">
        <f>IFERROR(VLOOKUP(D1406,'Lookup Tables'!$A:$C,3,FALSE),IF(ISNUMBER(SEARCH("STEEL",F1406)),"Steel","Others"))</f>
        <v>0</v>
      </c>
      <c r="H1406">
        <f>IF(ISNUMBER(SEARCH("scrubber",F1406)) , "Scrubber", IF(ISNUMBER(SEARCH("container",F1406)),"Container", IF(ISNUMBER(SEARCH("basket",F1406)),"Basket", IF(ISNUMBER(SEARCH("lunch",F1406)),"Lunch Box", IF(ISNUMBER(SEARCH("cutlery",F1406)),"Cutlery","Other")))))</f>
        <v>0</v>
      </c>
      <c r="I1406">
        <f>IF('Raw Data'!G1406&lt;&gt;'','Raw Data'!G1406,IFERROR(MID(F1406,SEARCH("MODEL",F1406)+6,20),""))</f>
        <v>0</v>
      </c>
      <c r="J1406">
        <f>'Raw Data'!H1406</f>
        <v>0</v>
      </c>
      <c r="K1406">
        <f>'Raw Data'!I1406</f>
        <v>0</v>
      </c>
      <c r="L1406">
        <f>IF('Raw Data'!N1406&lt;&gt;0,'Raw Data'!N1406,IFERROR(VALUE(MID(F1406,SEARCH("QTY",F1406)+4,IFERROR(FIND(" ",F1406,SEARCH("QTY",F1406)+4)-(SEARCH("QTY",F1406)+4),3))),""))</f>
        <v>0</v>
      </c>
      <c r="M1406">
        <f>'Raw Data'!O1406</f>
        <v>0</v>
      </c>
      <c r="N1406">
        <f>'Raw Data'!P1406</f>
        <v>0</v>
      </c>
      <c r="O1406">
        <f>'Raw Data'!Q1406</f>
        <v>0</v>
      </c>
      <c r="P1406">
        <f>'Raw Data'!R1406</f>
        <v>0</v>
      </c>
      <c r="Q1406">
        <f>'Raw Data'!S1406</f>
        <v>0</v>
      </c>
      <c r="R1406">
        <f>'Raw Data'!T1406</f>
        <v>0</v>
      </c>
      <c r="S1406">
        <f>IFERROR(O1406,0)+IFERROR(R1406,0)</f>
        <v>0</v>
      </c>
      <c r="T1406">
        <f>IF(A1406="","",YEAR(A1406))</f>
        <v>0</v>
      </c>
    </row>
    <row r="1407" spans="1:20">
      <c r="A1407">
        <f>'Raw Data'!B1407</f>
        <v>0</v>
      </c>
      <c r="B1407">
        <f>'Raw Data'!A1407</f>
        <v>0</v>
      </c>
      <c r="C1407">
        <f>'Raw Data'!C1407</f>
        <v>0</v>
      </c>
      <c r="D1407">
        <f>'Raw Data'!D1407</f>
        <v>0</v>
      </c>
      <c r="E1407">
        <f>IFERROR(VLOOKUP(D1407,'Lookup Tables'!$A:$B,2,FALSE),"Unknown")</f>
        <v>0</v>
      </c>
      <c r="F1407">
        <f>'Raw Data'!E1407</f>
        <v>0</v>
      </c>
      <c r="G1407">
        <f>IFERROR(VLOOKUP(D1407,'Lookup Tables'!$A:$C,3,FALSE),IF(ISNUMBER(SEARCH("STEEL",F1407)),"Steel","Others"))</f>
        <v>0</v>
      </c>
      <c r="H1407">
        <f>IF(ISNUMBER(SEARCH("scrubber",F1407)) , "Scrubber", IF(ISNUMBER(SEARCH("container",F1407)),"Container", IF(ISNUMBER(SEARCH("basket",F1407)),"Basket", IF(ISNUMBER(SEARCH("lunch",F1407)),"Lunch Box", IF(ISNUMBER(SEARCH("cutlery",F1407)),"Cutlery","Other")))))</f>
        <v>0</v>
      </c>
      <c r="I1407">
        <f>IF('Raw Data'!G1407&lt;&gt;'','Raw Data'!G1407,IFERROR(MID(F1407,SEARCH("MODEL",F1407)+6,20),""))</f>
        <v>0</v>
      </c>
      <c r="J1407">
        <f>'Raw Data'!H1407</f>
        <v>0</v>
      </c>
      <c r="K1407">
        <f>'Raw Data'!I1407</f>
        <v>0</v>
      </c>
      <c r="L1407">
        <f>IF('Raw Data'!N1407&lt;&gt;0,'Raw Data'!N1407,IFERROR(VALUE(MID(F1407,SEARCH("QTY",F1407)+4,IFERROR(FIND(" ",F1407,SEARCH("QTY",F1407)+4)-(SEARCH("QTY",F1407)+4),3))),""))</f>
        <v>0</v>
      </c>
      <c r="M1407">
        <f>'Raw Data'!O1407</f>
        <v>0</v>
      </c>
      <c r="N1407">
        <f>'Raw Data'!P1407</f>
        <v>0</v>
      </c>
      <c r="O1407">
        <f>'Raw Data'!Q1407</f>
        <v>0</v>
      </c>
      <c r="P1407">
        <f>'Raw Data'!R1407</f>
        <v>0</v>
      </c>
      <c r="Q1407">
        <f>'Raw Data'!S1407</f>
        <v>0</v>
      </c>
      <c r="R1407">
        <f>'Raw Data'!T1407</f>
        <v>0</v>
      </c>
      <c r="S1407">
        <f>IFERROR(O1407,0)+IFERROR(R1407,0)</f>
        <v>0</v>
      </c>
      <c r="T1407">
        <f>IF(A1407="","",YEAR(A1407))</f>
        <v>0</v>
      </c>
    </row>
    <row r="1408" spans="1:20">
      <c r="A1408">
        <f>'Raw Data'!B1408</f>
        <v>0</v>
      </c>
      <c r="B1408">
        <f>'Raw Data'!A1408</f>
        <v>0</v>
      </c>
      <c r="C1408">
        <f>'Raw Data'!C1408</f>
        <v>0</v>
      </c>
      <c r="D1408">
        <f>'Raw Data'!D1408</f>
        <v>0</v>
      </c>
      <c r="E1408">
        <f>IFERROR(VLOOKUP(D1408,'Lookup Tables'!$A:$B,2,FALSE),"Unknown")</f>
        <v>0</v>
      </c>
      <c r="F1408">
        <f>'Raw Data'!E1408</f>
        <v>0</v>
      </c>
      <c r="G1408">
        <f>IFERROR(VLOOKUP(D1408,'Lookup Tables'!$A:$C,3,FALSE),IF(ISNUMBER(SEARCH("STEEL",F1408)),"Steel","Others"))</f>
        <v>0</v>
      </c>
      <c r="H1408">
        <f>IF(ISNUMBER(SEARCH("scrubber",F1408)) , "Scrubber", IF(ISNUMBER(SEARCH("container",F1408)),"Container", IF(ISNUMBER(SEARCH("basket",F1408)),"Basket", IF(ISNUMBER(SEARCH("lunch",F1408)),"Lunch Box", IF(ISNUMBER(SEARCH("cutlery",F1408)),"Cutlery","Other")))))</f>
        <v>0</v>
      </c>
      <c r="I1408">
        <f>IF('Raw Data'!G1408&lt;&gt;'','Raw Data'!G1408,IFERROR(MID(F1408,SEARCH("MODEL",F1408)+6,20),""))</f>
        <v>0</v>
      </c>
      <c r="J1408">
        <f>'Raw Data'!H1408</f>
        <v>0</v>
      </c>
      <c r="K1408">
        <f>'Raw Data'!I1408</f>
        <v>0</v>
      </c>
      <c r="L1408">
        <f>IF('Raw Data'!N1408&lt;&gt;0,'Raw Data'!N1408,IFERROR(VALUE(MID(F1408,SEARCH("QTY",F1408)+4,IFERROR(FIND(" ",F1408,SEARCH("QTY",F1408)+4)-(SEARCH("QTY",F1408)+4),3))),""))</f>
        <v>0</v>
      </c>
      <c r="M1408">
        <f>'Raw Data'!O1408</f>
        <v>0</v>
      </c>
      <c r="N1408">
        <f>'Raw Data'!P1408</f>
        <v>0</v>
      </c>
      <c r="O1408">
        <f>'Raw Data'!Q1408</f>
        <v>0</v>
      </c>
      <c r="P1408">
        <f>'Raw Data'!R1408</f>
        <v>0</v>
      </c>
      <c r="Q1408">
        <f>'Raw Data'!S1408</f>
        <v>0</v>
      </c>
      <c r="R1408">
        <f>'Raw Data'!T1408</f>
        <v>0</v>
      </c>
      <c r="S1408">
        <f>IFERROR(O1408,0)+IFERROR(R1408,0)</f>
        <v>0</v>
      </c>
      <c r="T1408">
        <f>IF(A1408="","",YEAR(A1408))</f>
        <v>0</v>
      </c>
    </row>
    <row r="1409" spans="1:20">
      <c r="A1409">
        <f>'Raw Data'!B1409</f>
        <v>0</v>
      </c>
      <c r="B1409">
        <f>'Raw Data'!A1409</f>
        <v>0</v>
      </c>
      <c r="C1409">
        <f>'Raw Data'!C1409</f>
        <v>0</v>
      </c>
      <c r="D1409">
        <f>'Raw Data'!D1409</f>
        <v>0</v>
      </c>
      <c r="E1409">
        <f>IFERROR(VLOOKUP(D1409,'Lookup Tables'!$A:$B,2,FALSE),"Unknown")</f>
        <v>0</v>
      </c>
      <c r="F1409">
        <f>'Raw Data'!E1409</f>
        <v>0</v>
      </c>
      <c r="G1409">
        <f>IFERROR(VLOOKUP(D1409,'Lookup Tables'!$A:$C,3,FALSE),IF(ISNUMBER(SEARCH("STEEL",F1409)),"Steel","Others"))</f>
        <v>0</v>
      </c>
      <c r="H1409">
        <f>IF(ISNUMBER(SEARCH("scrubber",F1409)) , "Scrubber", IF(ISNUMBER(SEARCH("container",F1409)),"Container", IF(ISNUMBER(SEARCH("basket",F1409)),"Basket", IF(ISNUMBER(SEARCH("lunch",F1409)),"Lunch Box", IF(ISNUMBER(SEARCH("cutlery",F1409)),"Cutlery","Other")))))</f>
        <v>0</v>
      </c>
      <c r="I1409">
        <f>IF('Raw Data'!G1409&lt;&gt;'','Raw Data'!G1409,IFERROR(MID(F1409,SEARCH("MODEL",F1409)+6,20),""))</f>
        <v>0</v>
      </c>
      <c r="J1409">
        <f>'Raw Data'!H1409</f>
        <v>0</v>
      </c>
      <c r="K1409">
        <f>'Raw Data'!I1409</f>
        <v>0</v>
      </c>
      <c r="L1409">
        <f>IF('Raw Data'!N1409&lt;&gt;0,'Raw Data'!N1409,IFERROR(VALUE(MID(F1409,SEARCH("QTY",F1409)+4,IFERROR(FIND(" ",F1409,SEARCH("QTY",F1409)+4)-(SEARCH("QTY",F1409)+4),3))),""))</f>
        <v>0</v>
      </c>
      <c r="M1409">
        <f>'Raw Data'!O1409</f>
        <v>0</v>
      </c>
      <c r="N1409">
        <f>'Raw Data'!P1409</f>
        <v>0</v>
      </c>
      <c r="O1409">
        <f>'Raw Data'!Q1409</f>
        <v>0</v>
      </c>
      <c r="P1409">
        <f>'Raw Data'!R1409</f>
        <v>0</v>
      </c>
      <c r="Q1409">
        <f>'Raw Data'!S1409</f>
        <v>0</v>
      </c>
      <c r="R1409">
        <f>'Raw Data'!T1409</f>
        <v>0</v>
      </c>
      <c r="S1409">
        <f>IFERROR(O1409,0)+IFERROR(R1409,0)</f>
        <v>0</v>
      </c>
      <c r="T1409">
        <f>IF(A1409="","",YEAR(A1409))</f>
        <v>0</v>
      </c>
    </row>
    <row r="1410" spans="1:20">
      <c r="A1410">
        <f>'Raw Data'!B1410</f>
        <v>0</v>
      </c>
      <c r="B1410">
        <f>'Raw Data'!A1410</f>
        <v>0</v>
      </c>
      <c r="C1410">
        <f>'Raw Data'!C1410</f>
        <v>0</v>
      </c>
      <c r="D1410">
        <f>'Raw Data'!D1410</f>
        <v>0</v>
      </c>
      <c r="E1410">
        <f>IFERROR(VLOOKUP(D1410,'Lookup Tables'!$A:$B,2,FALSE),"Unknown")</f>
        <v>0</v>
      </c>
      <c r="F1410">
        <f>'Raw Data'!E1410</f>
        <v>0</v>
      </c>
      <c r="G1410">
        <f>IFERROR(VLOOKUP(D1410,'Lookup Tables'!$A:$C,3,FALSE),IF(ISNUMBER(SEARCH("STEEL",F1410)),"Steel","Others"))</f>
        <v>0</v>
      </c>
      <c r="H1410">
        <f>IF(ISNUMBER(SEARCH("scrubber",F1410)) , "Scrubber", IF(ISNUMBER(SEARCH("container",F1410)),"Container", IF(ISNUMBER(SEARCH("basket",F1410)),"Basket", IF(ISNUMBER(SEARCH("lunch",F1410)),"Lunch Box", IF(ISNUMBER(SEARCH("cutlery",F1410)),"Cutlery","Other")))))</f>
        <v>0</v>
      </c>
      <c r="I1410">
        <f>IF('Raw Data'!G1410&lt;&gt;'','Raw Data'!G1410,IFERROR(MID(F1410,SEARCH("MODEL",F1410)+6,20),""))</f>
        <v>0</v>
      </c>
      <c r="J1410">
        <f>'Raw Data'!H1410</f>
        <v>0</v>
      </c>
      <c r="K1410">
        <f>'Raw Data'!I1410</f>
        <v>0</v>
      </c>
      <c r="L1410">
        <f>IF('Raw Data'!N1410&lt;&gt;0,'Raw Data'!N1410,IFERROR(VALUE(MID(F1410,SEARCH("QTY",F1410)+4,IFERROR(FIND(" ",F1410,SEARCH("QTY",F1410)+4)-(SEARCH("QTY",F1410)+4),3))),""))</f>
        <v>0</v>
      </c>
      <c r="M1410">
        <f>'Raw Data'!O1410</f>
        <v>0</v>
      </c>
      <c r="N1410">
        <f>'Raw Data'!P1410</f>
        <v>0</v>
      </c>
      <c r="O1410">
        <f>'Raw Data'!Q1410</f>
        <v>0</v>
      </c>
      <c r="P1410">
        <f>'Raw Data'!R1410</f>
        <v>0</v>
      </c>
      <c r="Q1410">
        <f>'Raw Data'!S1410</f>
        <v>0</v>
      </c>
      <c r="R1410">
        <f>'Raw Data'!T1410</f>
        <v>0</v>
      </c>
      <c r="S1410">
        <f>IFERROR(O1410,0)+IFERROR(R1410,0)</f>
        <v>0</v>
      </c>
      <c r="T1410">
        <f>IF(A1410="","",YEAR(A1410))</f>
        <v>0</v>
      </c>
    </row>
    <row r="1411" spans="1:20">
      <c r="A1411">
        <f>'Raw Data'!B1411</f>
        <v>0</v>
      </c>
      <c r="B1411">
        <f>'Raw Data'!A1411</f>
        <v>0</v>
      </c>
      <c r="C1411">
        <f>'Raw Data'!C1411</f>
        <v>0</v>
      </c>
      <c r="D1411">
        <f>'Raw Data'!D1411</f>
        <v>0</v>
      </c>
      <c r="E1411">
        <f>IFERROR(VLOOKUP(D1411,'Lookup Tables'!$A:$B,2,FALSE),"Unknown")</f>
        <v>0</v>
      </c>
      <c r="F1411">
        <f>'Raw Data'!E1411</f>
        <v>0</v>
      </c>
      <c r="G1411">
        <f>IFERROR(VLOOKUP(D1411,'Lookup Tables'!$A:$C,3,FALSE),IF(ISNUMBER(SEARCH("STEEL",F1411)),"Steel","Others"))</f>
        <v>0</v>
      </c>
      <c r="H1411">
        <f>IF(ISNUMBER(SEARCH("scrubber",F1411)) , "Scrubber", IF(ISNUMBER(SEARCH("container",F1411)),"Container", IF(ISNUMBER(SEARCH("basket",F1411)),"Basket", IF(ISNUMBER(SEARCH("lunch",F1411)),"Lunch Box", IF(ISNUMBER(SEARCH("cutlery",F1411)),"Cutlery","Other")))))</f>
        <v>0</v>
      </c>
      <c r="I1411">
        <f>IF('Raw Data'!G1411&lt;&gt;'','Raw Data'!G1411,IFERROR(MID(F1411,SEARCH("MODEL",F1411)+6,20),""))</f>
        <v>0</v>
      </c>
      <c r="J1411">
        <f>'Raw Data'!H1411</f>
        <v>0</v>
      </c>
      <c r="K1411">
        <f>'Raw Data'!I1411</f>
        <v>0</v>
      </c>
      <c r="L1411">
        <f>IF('Raw Data'!N1411&lt;&gt;0,'Raw Data'!N1411,IFERROR(VALUE(MID(F1411,SEARCH("QTY",F1411)+4,IFERROR(FIND(" ",F1411,SEARCH("QTY",F1411)+4)-(SEARCH("QTY",F1411)+4),3))),""))</f>
        <v>0</v>
      </c>
      <c r="M1411">
        <f>'Raw Data'!O1411</f>
        <v>0</v>
      </c>
      <c r="N1411">
        <f>'Raw Data'!P1411</f>
        <v>0</v>
      </c>
      <c r="O1411">
        <f>'Raw Data'!Q1411</f>
        <v>0</v>
      </c>
      <c r="P1411">
        <f>'Raw Data'!R1411</f>
        <v>0</v>
      </c>
      <c r="Q1411">
        <f>'Raw Data'!S1411</f>
        <v>0</v>
      </c>
      <c r="R1411">
        <f>'Raw Data'!T1411</f>
        <v>0</v>
      </c>
      <c r="S1411">
        <f>IFERROR(O1411,0)+IFERROR(R1411,0)</f>
        <v>0</v>
      </c>
      <c r="T1411">
        <f>IF(A1411="","",YEAR(A1411))</f>
        <v>0</v>
      </c>
    </row>
    <row r="1412" spans="1:20">
      <c r="A1412">
        <f>'Raw Data'!B1412</f>
        <v>0</v>
      </c>
      <c r="B1412">
        <f>'Raw Data'!A1412</f>
        <v>0</v>
      </c>
      <c r="C1412">
        <f>'Raw Data'!C1412</f>
        <v>0</v>
      </c>
      <c r="D1412">
        <f>'Raw Data'!D1412</f>
        <v>0</v>
      </c>
      <c r="E1412">
        <f>IFERROR(VLOOKUP(D1412,'Lookup Tables'!$A:$B,2,FALSE),"Unknown")</f>
        <v>0</v>
      </c>
      <c r="F1412">
        <f>'Raw Data'!E1412</f>
        <v>0</v>
      </c>
      <c r="G1412">
        <f>IFERROR(VLOOKUP(D1412,'Lookup Tables'!$A:$C,3,FALSE),IF(ISNUMBER(SEARCH("STEEL",F1412)),"Steel","Others"))</f>
        <v>0</v>
      </c>
      <c r="H1412">
        <f>IF(ISNUMBER(SEARCH("scrubber",F1412)) , "Scrubber", IF(ISNUMBER(SEARCH("container",F1412)),"Container", IF(ISNUMBER(SEARCH("basket",F1412)),"Basket", IF(ISNUMBER(SEARCH("lunch",F1412)),"Lunch Box", IF(ISNUMBER(SEARCH("cutlery",F1412)),"Cutlery","Other")))))</f>
        <v>0</v>
      </c>
      <c r="I1412">
        <f>IF('Raw Data'!G1412&lt;&gt;'','Raw Data'!G1412,IFERROR(MID(F1412,SEARCH("MODEL",F1412)+6,20),""))</f>
        <v>0</v>
      </c>
      <c r="J1412">
        <f>'Raw Data'!H1412</f>
        <v>0</v>
      </c>
      <c r="K1412">
        <f>'Raw Data'!I1412</f>
        <v>0</v>
      </c>
      <c r="L1412">
        <f>IF('Raw Data'!N1412&lt;&gt;0,'Raw Data'!N1412,IFERROR(VALUE(MID(F1412,SEARCH("QTY",F1412)+4,IFERROR(FIND(" ",F1412,SEARCH("QTY",F1412)+4)-(SEARCH("QTY",F1412)+4),3))),""))</f>
        <v>0</v>
      </c>
      <c r="M1412">
        <f>'Raw Data'!O1412</f>
        <v>0</v>
      </c>
      <c r="N1412">
        <f>'Raw Data'!P1412</f>
        <v>0</v>
      </c>
      <c r="O1412">
        <f>'Raw Data'!Q1412</f>
        <v>0</v>
      </c>
      <c r="P1412">
        <f>'Raw Data'!R1412</f>
        <v>0</v>
      </c>
      <c r="Q1412">
        <f>'Raw Data'!S1412</f>
        <v>0</v>
      </c>
      <c r="R1412">
        <f>'Raw Data'!T1412</f>
        <v>0</v>
      </c>
      <c r="S1412">
        <f>IFERROR(O1412,0)+IFERROR(R1412,0)</f>
        <v>0</v>
      </c>
      <c r="T1412">
        <f>IF(A1412="","",YEAR(A1412))</f>
        <v>0</v>
      </c>
    </row>
    <row r="1413" spans="1:20">
      <c r="A1413">
        <f>'Raw Data'!B1413</f>
        <v>0</v>
      </c>
      <c r="B1413">
        <f>'Raw Data'!A1413</f>
        <v>0</v>
      </c>
      <c r="C1413">
        <f>'Raw Data'!C1413</f>
        <v>0</v>
      </c>
      <c r="D1413">
        <f>'Raw Data'!D1413</f>
        <v>0</v>
      </c>
      <c r="E1413">
        <f>IFERROR(VLOOKUP(D1413,'Lookup Tables'!$A:$B,2,FALSE),"Unknown")</f>
        <v>0</v>
      </c>
      <c r="F1413">
        <f>'Raw Data'!E1413</f>
        <v>0</v>
      </c>
      <c r="G1413">
        <f>IFERROR(VLOOKUP(D1413,'Lookup Tables'!$A:$C,3,FALSE),IF(ISNUMBER(SEARCH("STEEL",F1413)),"Steel","Others"))</f>
        <v>0</v>
      </c>
      <c r="H1413">
        <f>IF(ISNUMBER(SEARCH("scrubber",F1413)) , "Scrubber", IF(ISNUMBER(SEARCH("container",F1413)),"Container", IF(ISNUMBER(SEARCH("basket",F1413)),"Basket", IF(ISNUMBER(SEARCH("lunch",F1413)),"Lunch Box", IF(ISNUMBER(SEARCH("cutlery",F1413)),"Cutlery","Other")))))</f>
        <v>0</v>
      </c>
      <c r="I1413">
        <f>IF('Raw Data'!G1413&lt;&gt;'','Raw Data'!G1413,IFERROR(MID(F1413,SEARCH("MODEL",F1413)+6,20),""))</f>
        <v>0</v>
      </c>
      <c r="J1413">
        <f>'Raw Data'!H1413</f>
        <v>0</v>
      </c>
      <c r="K1413">
        <f>'Raw Data'!I1413</f>
        <v>0</v>
      </c>
      <c r="L1413">
        <f>IF('Raw Data'!N1413&lt;&gt;0,'Raw Data'!N1413,IFERROR(VALUE(MID(F1413,SEARCH("QTY",F1413)+4,IFERROR(FIND(" ",F1413,SEARCH("QTY",F1413)+4)-(SEARCH("QTY",F1413)+4),3))),""))</f>
        <v>0</v>
      </c>
      <c r="M1413">
        <f>'Raw Data'!O1413</f>
        <v>0</v>
      </c>
      <c r="N1413">
        <f>'Raw Data'!P1413</f>
        <v>0</v>
      </c>
      <c r="O1413">
        <f>'Raw Data'!Q1413</f>
        <v>0</v>
      </c>
      <c r="P1413">
        <f>'Raw Data'!R1413</f>
        <v>0</v>
      </c>
      <c r="Q1413">
        <f>'Raw Data'!S1413</f>
        <v>0</v>
      </c>
      <c r="R1413">
        <f>'Raw Data'!T1413</f>
        <v>0</v>
      </c>
      <c r="S1413">
        <f>IFERROR(O1413,0)+IFERROR(R1413,0)</f>
        <v>0</v>
      </c>
      <c r="T1413">
        <f>IF(A1413="","",YEAR(A1413))</f>
        <v>0</v>
      </c>
    </row>
    <row r="1414" spans="1:20">
      <c r="A1414">
        <f>'Raw Data'!B1414</f>
        <v>0</v>
      </c>
      <c r="B1414">
        <f>'Raw Data'!A1414</f>
        <v>0</v>
      </c>
      <c r="C1414">
        <f>'Raw Data'!C1414</f>
        <v>0</v>
      </c>
      <c r="D1414">
        <f>'Raw Data'!D1414</f>
        <v>0</v>
      </c>
      <c r="E1414">
        <f>IFERROR(VLOOKUP(D1414,'Lookup Tables'!$A:$B,2,FALSE),"Unknown")</f>
        <v>0</v>
      </c>
      <c r="F1414">
        <f>'Raw Data'!E1414</f>
        <v>0</v>
      </c>
      <c r="G1414">
        <f>IFERROR(VLOOKUP(D1414,'Lookup Tables'!$A:$C,3,FALSE),IF(ISNUMBER(SEARCH("STEEL",F1414)),"Steel","Others"))</f>
        <v>0</v>
      </c>
      <c r="H1414">
        <f>IF(ISNUMBER(SEARCH("scrubber",F1414)) , "Scrubber", IF(ISNUMBER(SEARCH("container",F1414)),"Container", IF(ISNUMBER(SEARCH("basket",F1414)),"Basket", IF(ISNUMBER(SEARCH("lunch",F1414)),"Lunch Box", IF(ISNUMBER(SEARCH("cutlery",F1414)),"Cutlery","Other")))))</f>
        <v>0</v>
      </c>
      <c r="I1414">
        <f>IF('Raw Data'!G1414&lt;&gt;'','Raw Data'!G1414,IFERROR(MID(F1414,SEARCH("MODEL",F1414)+6,20),""))</f>
        <v>0</v>
      </c>
      <c r="J1414">
        <f>'Raw Data'!H1414</f>
        <v>0</v>
      </c>
      <c r="K1414">
        <f>'Raw Data'!I1414</f>
        <v>0</v>
      </c>
      <c r="L1414">
        <f>IF('Raw Data'!N1414&lt;&gt;0,'Raw Data'!N1414,IFERROR(VALUE(MID(F1414,SEARCH("QTY",F1414)+4,IFERROR(FIND(" ",F1414,SEARCH("QTY",F1414)+4)-(SEARCH("QTY",F1414)+4),3))),""))</f>
        <v>0</v>
      </c>
      <c r="M1414">
        <f>'Raw Data'!O1414</f>
        <v>0</v>
      </c>
      <c r="N1414">
        <f>'Raw Data'!P1414</f>
        <v>0</v>
      </c>
      <c r="O1414">
        <f>'Raw Data'!Q1414</f>
        <v>0</v>
      </c>
      <c r="P1414">
        <f>'Raw Data'!R1414</f>
        <v>0</v>
      </c>
      <c r="Q1414">
        <f>'Raw Data'!S1414</f>
        <v>0</v>
      </c>
      <c r="R1414">
        <f>'Raw Data'!T1414</f>
        <v>0</v>
      </c>
      <c r="S1414">
        <f>IFERROR(O1414,0)+IFERROR(R1414,0)</f>
        <v>0</v>
      </c>
      <c r="T1414">
        <f>IF(A1414="","",YEAR(A1414))</f>
        <v>0</v>
      </c>
    </row>
    <row r="1415" spans="1:20">
      <c r="A1415">
        <f>'Raw Data'!B1415</f>
        <v>0</v>
      </c>
      <c r="B1415">
        <f>'Raw Data'!A1415</f>
        <v>0</v>
      </c>
      <c r="C1415">
        <f>'Raw Data'!C1415</f>
        <v>0</v>
      </c>
      <c r="D1415">
        <f>'Raw Data'!D1415</f>
        <v>0</v>
      </c>
      <c r="E1415">
        <f>IFERROR(VLOOKUP(D1415,'Lookup Tables'!$A:$B,2,FALSE),"Unknown")</f>
        <v>0</v>
      </c>
      <c r="F1415">
        <f>'Raw Data'!E1415</f>
        <v>0</v>
      </c>
      <c r="G1415">
        <f>IFERROR(VLOOKUP(D1415,'Lookup Tables'!$A:$C,3,FALSE),IF(ISNUMBER(SEARCH("STEEL",F1415)),"Steel","Others"))</f>
        <v>0</v>
      </c>
      <c r="H1415">
        <f>IF(ISNUMBER(SEARCH("scrubber",F1415)) , "Scrubber", IF(ISNUMBER(SEARCH("container",F1415)),"Container", IF(ISNUMBER(SEARCH("basket",F1415)),"Basket", IF(ISNUMBER(SEARCH("lunch",F1415)),"Lunch Box", IF(ISNUMBER(SEARCH("cutlery",F1415)),"Cutlery","Other")))))</f>
        <v>0</v>
      </c>
      <c r="I1415">
        <f>IF('Raw Data'!G1415&lt;&gt;'','Raw Data'!G1415,IFERROR(MID(F1415,SEARCH("MODEL",F1415)+6,20),""))</f>
        <v>0</v>
      </c>
      <c r="J1415">
        <f>'Raw Data'!H1415</f>
        <v>0</v>
      </c>
      <c r="K1415">
        <f>'Raw Data'!I1415</f>
        <v>0</v>
      </c>
      <c r="L1415">
        <f>IF('Raw Data'!N1415&lt;&gt;0,'Raw Data'!N1415,IFERROR(VALUE(MID(F1415,SEARCH("QTY",F1415)+4,IFERROR(FIND(" ",F1415,SEARCH("QTY",F1415)+4)-(SEARCH("QTY",F1415)+4),3))),""))</f>
        <v>0</v>
      </c>
      <c r="M1415">
        <f>'Raw Data'!O1415</f>
        <v>0</v>
      </c>
      <c r="N1415">
        <f>'Raw Data'!P1415</f>
        <v>0</v>
      </c>
      <c r="O1415">
        <f>'Raw Data'!Q1415</f>
        <v>0</v>
      </c>
      <c r="P1415">
        <f>'Raw Data'!R1415</f>
        <v>0</v>
      </c>
      <c r="Q1415">
        <f>'Raw Data'!S1415</f>
        <v>0</v>
      </c>
      <c r="R1415">
        <f>'Raw Data'!T1415</f>
        <v>0</v>
      </c>
      <c r="S1415">
        <f>IFERROR(O1415,0)+IFERROR(R1415,0)</f>
        <v>0</v>
      </c>
      <c r="T1415">
        <f>IF(A1415="","",YEAR(A1415))</f>
        <v>0</v>
      </c>
    </row>
    <row r="1416" spans="1:20">
      <c r="A1416">
        <f>'Raw Data'!B1416</f>
        <v>0</v>
      </c>
      <c r="B1416">
        <f>'Raw Data'!A1416</f>
        <v>0</v>
      </c>
      <c r="C1416">
        <f>'Raw Data'!C1416</f>
        <v>0</v>
      </c>
      <c r="D1416">
        <f>'Raw Data'!D1416</f>
        <v>0</v>
      </c>
      <c r="E1416">
        <f>IFERROR(VLOOKUP(D1416,'Lookup Tables'!$A:$B,2,FALSE),"Unknown")</f>
        <v>0</v>
      </c>
      <c r="F1416">
        <f>'Raw Data'!E1416</f>
        <v>0</v>
      </c>
      <c r="G1416">
        <f>IFERROR(VLOOKUP(D1416,'Lookup Tables'!$A:$C,3,FALSE),IF(ISNUMBER(SEARCH("STEEL",F1416)),"Steel","Others"))</f>
        <v>0</v>
      </c>
      <c r="H1416">
        <f>IF(ISNUMBER(SEARCH("scrubber",F1416)) , "Scrubber", IF(ISNUMBER(SEARCH("container",F1416)),"Container", IF(ISNUMBER(SEARCH("basket",F1416)),"Basket", IF(ISNUMBER(SEARCH("lunch",F1416)),"Lunch Box", IF(ISNUMBER(SEARCH("cutlery",F1416)),"Cutlery","Other")))))</f>
        <v>0</v>
      </c>
      <c r="I1416">
        <f>IF('Raw Data'!G1416&lt;&gt;'','Raw Data'!G1416,IFERROR(MID(F1416,SEARCH("MODEL",F1416)+6,20),""))</f>
        <v>0</v>
      </c>
      <c r="J1416">
        <f>'Raw Data'!H1416</f>
        <v>0</v>
      </c>
      <c r="K1416">
        <f>'Raw Data'!I1416</f>
        <v>0</v>
      </c>
      <c r="L1416">
        <f>IF('Raw Data'!N1416&lt;&gt;0,'Raw Data'!N1416,IFERROR(VALUE(MID(F1416,SEARCH("QTY",F1416)+4,IFERROR(FIND(" ",F1416,SEARCH("QTY",F1416)+4)-(SEARCH("QTY",F1416)+4),3))),""))</f>
        <v>0</v>
      </c>
      <c r="M1416">
        <f>'Raw Data'!O1416</f>
        <v>0</v>
      </c>
      <c r="N1416">
        <f>'Raw Data'!P1416</f>
        <v>0</v>
      </c>
      <c r="O1416">
        <f>'Raw Data'!Q1416</f>
        <v>0</v>
      </c>
      <c r="P1416">
        <f>'Raw Data'!R1416</f>
        <v>0</v>
      </c>
      <c r="Q1416">
        <f>'Raw Data'!S1416</f>
        <v>0</v>
      </c>
      <c r="R1416">
        <f>'Raw Data'!T1416</f>
        <v>0</v>
      </c>
      <c r="S1416">
        <f>IFERROR(O1416,0)+IFERROR(R1416,0)</f>
        <v>0</v>
      </c>
      <c r="T1416">
        <f>IF(A1416="","",YEAR(A1416))</f>
        <v>0</v>
      </c>
    </row>
    <row r="1417" spans="1:20">
      <c r="A1417">
        <f>'Raw Data'!B1417</f>
        <v>0</v>
      </c>
      <c r="B1417">
        <f>'Raw Data'!A1417</f>
        <v>0</v>
      </c>
      <c r="C1417">
        <f>'Raw Data'!C1417</f>
        <v>0</v>
      </c>
      <c r="D1417">
        <f>'Raw Data'!D1417</f>
        <v>0</v>
      </c>
      <c r="E1417">
        <f>IFERROR(VLOOKUP(D1417,'Lookup Tables'!$A:$B,2,FALSE),"Unknown")</f>
        <v>0</v>
      </c>
      <c r="F1417">
        <f>'Raw Data'!E1417</f>
        <v>0</v>
      </c>
      <c r="G1417">
        <f>IFERROR(VLOOKUP(D1417,'Lookup Tables'!$A:$C,3,FALSE),IF(ISNUMBER(SEARCH("STEEL",F1417)),"Steel","Others"))</f>
        <v>0</v>
      </c>
      <c r="H1417">
        <f>IF(ISNUMBER(SEARCH("scrubber",F1417)) , "Scrubber", IF(ISNUMBER(SEARCH("container",F1417)),"Container", IF(ISNUMBER(SEARCH("basket",F1417)),"Basket", IF(ISNUMBER(SEARCH("lunch",F1417)),"Lunch Box", IF(ISNUMBER(SEARCH("cutlery",F1417)),"Cutlery","Other")))))</f>
        <v>0</v>
      </c>
      <c r="I1417">
        <f>IF('Raw Data'!G1417&lt;&gt;'','Raw Data'!G1417,IFERROR(MID(F1417,SEARCH("MODEL",F1417)+6,20),""))</f>
        <v>0</v>
      </c>
      <c r="J1417">
        <f>'Raw Data'!H1417</f>
        <v>0</v>
      </c>
      <c r="K1417">
        <f>'Raw Data'!I1417</f>
        <v>0</v>
      </c>
      <c r="L1417">
        <f>IF('Raw Data'!N1417&lt;&gt;0,'Raw Data'!N1417,IFERROR(VALUE(MID(F1417,SEARCH("QTY",F1417)+4,IFERROR(FIND(" ",F1417,SEARCH("QTY",F1417)+4)-(SEARCH("QTY",F1417)+4),3))),""))</f>
        <v>0</v>
      </c>
      <c r="M1417">
        <f>'Raw Data'!O1417</f>
        <v>0</v>
      </c>
      <c r="N1417">
        <f>'Raw Data'!P1417</f>
        <v>0</v>
      </c>
      <c r="O1417">
        <f>'Raw Data'!Q1417</f>
        <v>0</v>
      </c>
      <c r="P1417">
        <f>'Raw Data'!R1417</f>
        <v>0</v>
      </c>
      <c r="Q1417">
        <f>'Raw Data'!S1417</f>
        <v>0</v>
      </c>
      <c r="R1417">
        <f>'Raw Data'!T1417</f>
        <v>0</v>
      </c>
      <c r="S1417">
        <f>IFERROR(O1417,0)+IFERROR(R1417,0)</f>
        <v>0</v>
      </c>
      <c r="T1417">
        <f>IF(A1417="","",YEAR(A1417))</f>
        <v>0</v>
      </c>
    </row>
    <row r="1418" spans="1:20">
      <c r="A1418">
        <f>'Raw Data'!B1418</f>
        <v>0</v>
      </c>
      <c r="B1418">
        <f>'Raw Data'!A1418</f>
        <v>0</v>
      </c>
      <c r="C1418">
        <f>'Raw Data'!C1418</f>
        <v>0</v>
      </c>
      <c r="D1418">
        <f>'Raw Data'!D1418</f>
        <v>0</v>
      </c>
      <c r="E1418">
        <f>IFERROR(VLOOKUP(D1418,'Lookup Tables'!$A:$B,2,FALSE),"Unknown")</f>
        <v>0</v>
      </c>
      <c r="F1418">
        <f>'Raw Data'!E1418</f>
        <v>0</v>
      </c>
      <c r="G1418">
        <f>IFERROR(VLOOKUP(D1418,'Lookup Tables'!$A:$C,3,FALSE),IF(ISNUMBER(SEARCH("STEEL",F1418)),"Steel","Others"))</f>
        <v>0</v>
      </c>
      <c r="H1418">
        <f>IF(ISNUMBER(SEARCH("scrubber",F1418)) , "Scrubber", IF(ISNUMBER(SEARCH("container",F1418)),"Container", IF(ISNUMBER(SEARCH("basket",F1418)),"Basket", IF(ISNUMBER(SEARCH("lunch",F1418)),"Lunch Box", IF(ISNUMBER(SEARCH("cutlery",F1418)),"Cutlery","Other")))))</f>
        <v>0</v>
      </c>
      <c r="I1418">
        <f>IF('Raw Data'!G1418&lt;&gt;'','Raw Data'!G1418,IFERROR(MID(F1418,SEARCH("MODEL",F1418)+6,20),""))</f>
        <v>0</v>
      </c>
      <c r="J1418">
        <f>'Raw Data'!H1418</f>
        <v>0</v>
      </c>
      <c r="K1418">
        <f>'Raw Data'!I1418</f>
        <v>0</v>
      </c>
      <c r="L1418">
        <f>IF('Raw Data'!N1418&lt;&gt;0,'Raw Data'!N1418,IFERROR(VALUE(MID(F1418,SEARCH("QTY",F1418)+4,IFERROR(FIND(" ",F1418,SEARCH("QTY",F1418)+4)-(SEARCH("QTY",F1418)+4),3))),""))</f>
        <v>0</v>
      </c>
      <c r="M1418">
        <f>'Raw Data'!O1418</f>
        <v>0</v>
      </c>
      <c r="N1418">
        <f>'Raw Data'!P1418</f>
        <v>0</v>
      </c>
      <c r="O1418">
        <f>'Raw Data'!Q1418</f>
        <v>0</v>
      </c>
      <c r="P1418">
        <f>'Raw Data'!R1418</f>
        <v>0</v>
      </c>
      <c r="Q1418">
        <f>'Raw Data'!S1418</f>
        <v>0</v>
      </c>
      <c r="R1418">
        <f>'Raw Data'!T1418</f>
        <v>0</v>
      </c>
      <c r="S1418">
        <f>IFERROR(O1418,0)+IFERROR(R1418,0)</f>
        <v>0</v>
      </c>
      <c r="T1418">
        <f>IF(A1418="","",YEAR(A1418))</f>
        <v>0</v>
      </c>
    </row>
    <row r="1419" spans="1:20">
      <c r="A1419">
        <f>'Raw Data'!B1419</f>
        <v>0</v>
      </c>
      <c r="B1419">
        <f>'Raw Data'!A1419</f>
        <v>0</v>
      </c>
      <c r="C1419">
        <f>'Raw Data'!C1419</f>
        <v>0</v>
      </c>
      <c r="D1419">
        <f>'Raw Data'!D1419</f>
        <v>0</v>
      </c>
      <c r="E1419">
        <f>IFERROR(VLOOKUP(D1419,'Lookup Tables'!$A:$B,2,FALSE),"Unknown")</f>
        <v>0</v>
      </c>
      <c r="F1419">
        <f>'Raw Data'!E1419</f>
        <v>0</v>
      </c>
      <c r="G1419">
        <f>IFERROR(VLOOKUP(D1419,'Lookup Tables'!$A:$C,3,FALSE),IF(ISNUMBER(SEARCH("STEEL",F1419)),"Steel","Others"))</f>
        <v>0</v>
      </c>
      <c r="H1419">
        <f>IF(ISNUMBER(SEARCH("scrubber",F1419)) , "Scrubber", IF(ISNUMBER(SEARCH("container",F1419)),"Container", IF(ISNUMBER(SEARCH("basket",F1419)),"Basket", IF(ISNUMBER(SEARCH("lunch",F1419)),"Lunch Box", IF(ISNUMBER(SEARCH("cutlery",F1419)),"Cutlery","Other")))))</f>
        <v>0</v>
      </c>
      <c r="I1419">
        <f>IF('Raw Data'!G1419&lt;&gt;'','Raw Data'!G1419,IFERROR(MID(F1419,SEARCH("MODEL",F1419)+6,20),""))</f>
        <v>0</v>
      </c>
      <c r="J1419">
        <f>'Raw Data'!H1419</f>
        <v>0</v>
      </c>
      <c r="K1419">
        <f>'Raw Data'!I1419</f>
        <v>0</v>
      </c>
      <c r="L1419">
        <f>IF('Raw Data'!N1419&lt;&gt;0,'Raw Data'!N1419,IFERROR(VALUE(MID(F1419,SEARCH("QTY",F1419)+4,IFERROR(FIND(" ",F1419,SEARCH("QTY",F1419)+4)-(SEARCH("QTY",F1419)+4),3))),""))</f>
        <v>0</v>
      </c>
      <c r="M1419">
        <f>'Raw Data'!O1419</f>
        <v>0</v>
      </c>
      <c r="N1419">
        <f>'Raw Data'!P1419</f>
        <v>0</v>
      </c>
      <c r="O1419">
        <f>'Raw Data'!Q1419</f>
        <v>0</v>
      </c>
      <c r="P1419">
        <f>'Raw Data'!R1419</f>
        <v>0</v>
      </c>
      <c r="Q1419">
        <f>'Raw Data'!S1419</f>
        <v>0</v>
      </c>
      <c r="R1419">
        <f>'Raw Data'!T1419</f>
        <v>0</v>
      </c>
      <c r="S1419">
        <f>IFERROR(O1419,0)+IFERROR(R1419,0)</f>
        <v>0</v>
      </c>
      <c r="T1419">
        <f>IF(A1419="","",YEAR(A1419))</f>
        <v>0</v>
      </c>
    </row>
    <row r="1420" spans="1:20">
      <c r="A1420">
        <f>'Raw Data'!B1420</f>
        <v>0</v>
      </c>
      <c r="B1420">
        <f>'Raw Data'!A1420</f>
        <v>0</v>
      </c>
      <c r="C1420">
        <f>'Raw Data'!C1420</f>
        <v>0</v>
      </c>
      <c r="D1420">
        <f>'Raw Data'!D1420</f>
        <v>0</v>
      </c>
      <c r="E1420">
        <f>IFERROR(VLOOKUP(D1420,'Lookup Tables'!$A:$B,2,FALSE),"Unknown")</f>
        <v>0</v>
      </c>
      <c r="F1420">
        <f>'Raw Data'!E1420</f>
        <v>0</v>
      </c>
      <c r="G1420">
        <f>IFERROR(VLOOKUP(D1420,'Lookup Tables'!$A:$C,3,FALSE),IF(ISNUMBER(SEARCH("STEEL",F1420)),"Steel","Others"))</f>
        <v>0</v>
      </c>
      <c r="H1420">
        <f>IF(ISNUMBER(SEARCH("scrubber",F1420)) , "Scrubber", IF(ISNUMBER(SEARCH("container",F1420)),"Container", IF(ISNUMBER(SEARCH("basket",F1420)),"Basket", IF(ISNUMBER(SEARCH("lunch",F1420)),"Lunch Box", IF(ISNUMBER(SEARCH("cutlery",F1420)),"Cutlery","Other")))))</f>
        <v>0</v>
      </c>
      <c r="I1420">
        <f>IF('Raw Data'!G1420&lt;&gt;'','Raw Data'!G1420,IFERROR(MID(F1420,SEARCH("MODEL",F1420)+6,20),""))</f>
        <v>0</v>
      </c>
      <c r="J1420">
        <f>'Raw Data'!H1420</f>
        <v>0</v>
      </c>
      <c r="K1420">
        <f>'Raw Data'!I1420</f>
        <v>0</v>
      </c>
      <c r="L1420">
        <f>IF('Raw Data'!N1420&lt;&gt;0,'Raw Data'!N1420,IFERROR(VALUE(MID(F1420,SEARCH("QTY",F1420)+4,IFERROR(FIND(" ",F1420,SEARCH("QTY",F1420)+4)-(SEARCH("QTY",F1420)+4),3))),""))</f>
        <v>0</v>
      </c>
      <c r="M1420">
        <f>'Raw Data'!O1420</f>
        <v>0</v>
      </c>
      <c r="N1420">
        <f>'Raw Data'!P1420</f>
        <v>0</v>
      </c>
      <c r="O1420">
        <f>'Raw Data'!Q1420</f>
        <v>0</v>
      </c>
      <c r="P1420">
        <f>'Raw Data'!R1420</f>
        <v>0</v>
      </c>
      <c r="Q1420">
        <f>'Raw Data'!S1420</f>
        <v>0</v>
      </c>
      <c r="R1420">
        <f>'Raw Data'!T1420</f>
        <v>0</v>
      </c>
      <c r="S1420">
        <f>IFERROR(O1420,0)+IFERROR(R1420,0)</f>
        <v>0</v>
      </c>
      <c r="T1420">
        <f>IF(A1420="","",YEAR(A1420))</f>
        <v>0</v>
      </c>
    </row>
    <row r="1421" spans="1:20">
      <c r="A1421">
        <f>'Raw Data'!B1421</f>
        <v>0</v>
      </c>
      <c r="B1421">
        <f>'Raw Data'!A1421</f>
        <v>0</v>
      </c>
      <c r="C1421">
        <f>'Raw Data'!C1421</f>
        <v>0</v>
      </c>
      <c r="D1421">
        <f>'Raw Data'!D1421</f>
        <v>0</v>
      </c>
      <c r="E1421">
        <f>IFERROR(VLOOKUP(D1421,'Lookup Tables'!$A:$B,2,FALSE),"Unknown")</f>
        <v>0</v>
      </c>
      <c r="F1421">
        <f>'Raw Data'!E1421</f>
        <v>0</v>
      </c>
      <c r="G1421">
        <f>IFERROR(VLOOKUP(D1421,'Lookup Tables'!$A:$C,3,FALSE),IF(ISNUMBER(SEARCH("STEEL",F1421)),"Steel","Others"))</f>
        <v>0</v>
      </c>
      <c r="H1421">
        <f>IF(ISNUMBER(SEARCH("scrubber",F1421)) , "Scrubber", IF(ISNUMBER(SEARCH("container",F1421)),"Container", IF(ISNUMBER(SEARCH("basket",F1421)),"Basket", IF(ISNUMBER(SEARCH("lunch",F1421)),"Lunch Box", IF(ISNUMBER(SEARCH("cutlery",F1421)),"Cutlery","Other")))))</f>
        <v>0</v>
      </c>
      <c r="I1421">
        <f>IF('Raw Data'!G1421&lt;&gt;'','Raw Data'!G1421,IFERROR(MID(F1421,SEARCH("MODEL",F1421)+6,20),""))</f>
        <v>0</v>
      </c>
      <c r="J1421">
        <f>'Raw Data'!H1421</f>
        <v>0</v>
      </c>
      <c r="K1421">
        <f>'Raw Data'!I1421</f>
        <v>0</v>
      </c>
      <c r="L1421">
        <f>IF('Raw Data'!N1421&lt;&gt;0,'Raw Data'!N1421,IFERROR(VALUE(MID(F1421,SEARCH("QTY",F1421)+4,IFERROR(FIND(" ",F1421,SEARCH("QTY",F1421)+4)-(SEARCH("QTY",F1421)+4),3))),""))</f>
        <v>0</v>
      </c>
      <c r="M1421">
        <f>'Raw Data'!O1421</f>
        <v>0</v>
      </c>
      <c r="N1421">
        <f>'Raw Data'!P1421</f>
        <v>0</v>
      </c>
      <c r="O1421">
        <f>'Raw Data'!Q1421</f>
        <v>0</v>
      </c>
      <c r="P1421">
        <f>'Raw Data'!R1421</f>
        <v>0</v>
      </c>
      <c r="Q1421">
        <f>'Raw Data'!S1421</f>
        <v>0</v>
      </c>
      <c r="R1421">
        <f>'Raw Data'!T1421</f>
        <v>0</v>
      </c>
      <c r="S1421">
        <f>IFERROR(O1421,0)+IFERROR(R1421,0)</f>
        <v>0</v>
      </c>
      <c r="T1421">
        <f>IF(A1421="","",YEAR(A1421))</f>
        <v>0</v>
      </c>
    </row>
    <row r="1422" spans="1:20">
      <c r="A1422">
        <f>'Raw Data'!B1422</f>
        <v>0</v>
      </c>
      <c r="B1422">
        <f>'Raw Data'!A1422</f>
        <v>0</v>
      </c>
      <c r="C1422">
        <f>'Raw Data'!C1422</f>
        <v>0</v>
      </c>
      <c r="D1422">
        <f>'Raw Data'!D1422</f>
        <v>0</v>
      </c>
      <c r="E1422">
        <f>IFERROR(VLOOKUP(D1422,'Lookup Tables'!$A:$B,2,FALSE),"Unknown")</f>
        <v>0</v>
      </c>
      <c r="F1422">
        <f>'Raw Data'!E1422</f>
        <v>0</v>
      </c>
      <c r="G1422">
        <f>IFERROR(VLOOKUP(D1422,'Lookup Tables'!$A:$C,3,FALSE),IF(ISNUMBER(SEARCH("STEEL",F1422)),"Steel","Others"))</f>
        <v>0</v>
      </c>
      <c r="H1422">
        <f>IF(ISNUMBER(SEARCH("scrubber",F1422)) , "Scrubber", IF(ISNUMBER(SEARCH("container",F1422)),"Container", IF(ISNUMBER(SEARCH("basket",F1422)),"Basket", IF(ISNUMBER(SEARCH("lunch",F1422)),"Lunch Box", IF(ISNUMBER(SEARCH("cutlery",F1422)),"Cutlery","Other")))))</f>
        <v>0</v>
      </c>
      <c r="I1422">
        <f>IF('Raw Data'!G1422&lt;&gt;'','Raw Data'!G1422,IFERROR(MID(F1422,SEARCH("MODEL",F1422)+6,20),""))</f>
        <v>0</v>
      </c>
      <c r="J1422">
        <f>'Raw Data'!H1422</f>
        <v>0</v>
      </c>
      <c r="K1422">
        <f>'Raw Data'!I1422</f>
        <v>0</v>
      </c>
      <c r="L1422">
        <f>IF('Raw Data'!N1422&lt;&gt;0,'Raw Data'!N1422,IFERROR(VALUE(MID(F1422,SEARCH("QTY",F1422)+4,IFERROR(FIND(" ",F1422,SEARCH("QTY",F1422)+4)-(SEARCH("QTY",F1422)+4),3))),""))</f>
        <v>0</v>
      </c>
      <c r="M1422">
        <f>'Raw Data'!O1422</f>
        <v>0</v>
      </c>
      <c r="N1422">
        <f>'Raw Data'!P1422</f>
        <v>0</v>
      </c>
      <c r="O1422">
        <f>'Raw Data'!Q1422</f>
        <v>0</v>
      </c>
      <c r="P1422">
        <f>'Raw Data'!R1422</f>
        <v>0</v>
      </c>
      <c r="Q1422">
        <f>'Raw Data'!S1422</f>
        <v>0</v>
      </c>
      <c r="R1422">
        <f>'Raw Data'!T1422</f>
        <v>0</v>
      </c>
      <c r="S1422">
        <f>IFERROR(O1422,0)+IFERROR(R1422,0)</f>
        <v>0</v>
      </c>
      <c r="T1422">
        <f>IF(A1422="","",YEAR(A1422))</f>
        <v>0</v>
      </c>
    </row>
    <row r="1423" spans="1:20">
      <c r="A1423">
        <f>'Raw Data'!B1423</f>
        <v>0</v>
      </c>
      <c r="B1423">
        <f>'Raw Data'!A1423</f>
        <v>0</v>
      </c>
      <c r="C1423">
        <f>'Raw Data'!C1423</f>
        <v>0</v>
      </c>
      <c r="D1423">
        <f>'Raw Data'!D1423</f>
        <v>0</v>
      </c>
      <c r="E1423">
        <f>IFERROR(VLOOKUP(D1423,'Lookup Tables'!$A:$B,2,FALSE),"Unknown")</f>
        <v>0</v>
      </c>
      <c r="F1423">
        <f>'Raw Data'!E1423</f>
        <v>0</v>
      </c>
      <c r="G1423">
        <f>IFERROR(VLOOKUP(D1423,'Lookup Tables'!$A:$C,3,FALSE),IF(ISNUMBER(SEARCH("STEEL",F1423)),"Steel","Others"))</f>
        <v>0</v>
      </c>
      <c r="H1423">
        <f>IF(ISNUMBER(SEARCH("scrubber",F1423)) , "Scrubber", IF(ISNUMBER(SEARCH("container",F1423)),"Container", IF(ISNUMBER(SEARCH("basket",F1423)),"Basket", IF(ISNUMBER(SEARCH("lunch",F1423)),"Lunch Box", IF(ISNUMBER(SEARCH("cutlery",F1423)),"Cutlery","Other")))))</f>
        <v>0</v>
      </c>
      <c r="I1423">
        <f>IF('Raw Data'!G1423&lt;&gt;'','Raw Data'!G1423,IFERROR(MID(F1423,SEARCH("MODEL",F1423)+6,20),""))</f>
        <v>0</v>
      </c>
      <c r="J1423">
        <f>'Raw Data'!H1423</f>
        <v>0</v>
      </c>
      <c r="K1423">
        <f>'Raw Data'!I1423</f>
        <v>0</v>
      </c>
      <c r="L1423">
        <f>IF('Raw Data'!N1423&lt;&gt;0,'Raw Data'!N1423,IFERROR(VALUE(MID(F1423,SEARCH("QTY",F1423)+4,IFERROR(FIND(" ",F1423,SEARCH("QTY",F1423)+4)-(SEARCH("QTY",F1423)+4),3))),""))</f>
        <v>0</v>
      </c>
      <c r="M1423">
        <f>'Raw Data'!O1423</f>
        <v>0</v>
      </c>
      <c r="N1423">
        <f>'Raw Data'!P1423</f>
        <v>0</v>
      </c>
      <c r="O1423">
        <f>'Raw Data'!Q1423</f>
        <v>0</v>
      </c>
      <c r="P1423">
        <f>'Raw Data'!R1423</f>
        <v>0</v>
      </c>
      <c r="Q1423">
        <f>'Raw Data'!S1423</f>
        <v>0</v>
      </c>
      <c r="R1423">
        <f>'Raw Data'!T1423</f>
        <v>0</v>
      </c>
      <c r="S1423">
        <f>IFERROR(O1423,0)+IFERROR(R1423,0)</f>
        <v>0</v>
      </c>
      <c r="T1423">
        <f>IF(A1423="","",YEAR(A1423))</f>
        <v>0</v>
      </c>
    </row>
    <row r="1424" spans="1:20">
      <c r="A1424">
        <f>'Raw Data'!B1424</f>
        <v>0</v>
      </c>
      <c r="B1424">
        <f>'Raw Data'!A1424</f>
        <v>0</v>
      </c>
      <c r="C1424">
        <f>'Raw Data'!C1424</f>
        <v>0</v>
      </c>
      <c r="D1424">
        <f>'Raw Data'!D1424</f>
        <v>0</v>
      </c>
      <c r="E1424">
        <f>IFERROR(VLOOKUP(D1424,'Lookup Tables'!$A:$B,2,FALSE),"Unknown")</f>
        <v>0</v>
      </c>
      <c r="F1424">
        <f>'Raw Data'!E1424</f>
        <v>0</v>
      </c>
      <c r="G1424">
        <f>IFERROR(VLOOKUP(D1424,'Lookup Tables'!$A:$C,3,FALSE),IF(ISNUMBER(SEARCH("STEEL",F1424)),"Steel","Others"))</f>
        <v>0</v>
      </c>
      <c r="H1424">
        <f>IF(ISNUMBER(SEARCH("scrubber",F1424)) , "Scrubber", IF(ISNUMBER(SEARCH("container",F1424)),"Container", IF(ISNUMBER(SEARCH("basket",F1424)),"Basket", IF(ISNUMBER(SEARCH("lunch",F1424)),"Lunch Box", IF(ISNUMBER(SEARCH("cutlery",F1424)),"Cutlery","Other")))))</f>
        <v>0</v>
      </c>
      <c r="I1424">
        <f>IF('Raw Data'!G1424&lt;&gt;'','Raw Data'!G1424,IFERROR(MID(F1424,SEARCH("MODEL",F1424)+6,20),""))</f>
        <v>0</v>
      </c>
      <c r="J1424">
        <f>'Raw Data'!H1424</f>
        <v>0</v>
      </c>
      <c r="K1424">
        <f>'Raw Data'!I1424</f>
        <v>0</v>
      </c>
      <c r="L1424">
        <f>IF('Raw Data'!N1424&lt;&gt;0,'Raw Data'!N1424,IFERROR(VALUE(MID(F1424,SEARCH("QTY",F1424)+4,IFERROR(FIND(" ",F1424,SEARCH("QTY",F1424)+4)-(SEARCH("QTY",F1424)+4),3))),""))</f>
        <v>0</v>
      </c>
      <c r="M1424">
        <f>'Raw Data'!O1424</f>
        <v>0</v>
      </c>
      <c r="N1424">
        <f>'Raw Data'!P1424</f>
        <v>0</v>
      </c>
      <c r="O1424">
        <f>'Raw Data'!Q1424</f>
        <v>0</v>
      </c>
      <c r="P1424">
        <f>'Raw Data'!R1424</f>
        <v>0</v>
      </c>
      <c r="Q1424">
        <f>'Raw Data'!S1424</f>
        <v>0</v>
      </c>
      <c r="R1424">
        <f>'Raw Data'!T1424</f>
        <v>0</v>
      </c>
      <c r="S1424">
        <f>IFERROR(O1424,0)+IFERROR(R1424,0)</f>
        <v>0</v>
      </c>
      <c r="T1424">
        <f>IF(A1424="","",YEAR(A1424))</f>
        <v>0</v>
      </c>
    </row>
    <row r="1425" spans="1:20">
      <c r="A1425">
        <f>'Raw Data'!B1425</f>
        <v>0</v>
      </c>
      <c r="B1425">
        <f>'Raw Data'!A1425</f>
        <v>0</v>
      </c>
      <c r="C1425">
        <f>'Raw Data'!C1425</f>
        <v>0</v>
      </c>
      <c r="D1425">
        <f>'Raw Data'!D1425</f>
        <v>0</v>
      </c>
      <c r="E1425">
        <f>IFERROR(VLOOKUP(D1425,'Lookup Tables'!$A:$B,2,FALSE),"Unknown")</f>
        <v>0</v>
      </c>
      <c r="F1425">
        <f>'Raw Data'!E1425</f>
        <v>0</v>
      </c>
      <c r="G1425">
        <f>IFERROR(VLOOKUP(D1425,'Lookup Tables'!$A:$C,3,FALSE),IF(ISNUMBER(SEARCH("STEEL",F1425)),"Steel","Others"))</f>
        <v>0</v>
      </c>
      <c r="H1425">
        <f>IF(ISNUMBER(SEARCH("scrubber",F1425)) , "Scrubber", IF(ISNUMBER(SEARCH("container",F1425)),"Container", IF(ISNUMBER(SEARCH("basket",F1425)),"Basket", IF(ISNUMBER(SEARCH("lunch",F1425)),"Lunch Box", IF(ISNUMBER(SEARCH("cutlery",F1425)),"Cutlery","Other")))))</f>
        <v>0</v>
      </c>
      <c r="I1425">
        <f>IF('Raw Data'!G1425&lt;&gt;'','Raw Data'!G1425,IFERROR(MID(F1425,SEARCH("MODEL",F1425)+6,20),""))</f>
        <v>0</v>
      </c>
      <c r="J1425">
        <f>'Raw Data'!H1425</f>
        <v>0</v>
      </c>
      <c r="K1425">
        <f>'Raw Data'!I1425</f>
        <v>0</v>
      </c>
      <c r="L1425">
        <f>IF('Raw Data'!N1425&lt;&gt;0,'Raw Data'!N1425,IFERROR(VALUE(MID(F1425,SEARCH("QTY",F1425)+4,IFERROR(FIND(" ",F1425,SEARCH("QTY",F1425)+4)-(SEARCH("QTY",F1425)+4),3))),""))</f>
        <v>0</v>
      </c>
      <c r="M1425">
        <f>'Raw Data'!O1425</f>
        <v>0</v>
      </c>
      <c r="N1425">
        <f>'Raw Data'!P1425</f>
        <v>0</v>
      </c>
      <c r="O1425">
        <f>'Raw Data'!Q1425</f>
        <v>0</v>
      </c>
      <c r="P1425">
        <f>'Raw Data'!R1425</f>
        <v>0</v>
      </c>
      <c r="Q1425">
        <f>'Raw Data'!S1425</f>
        <v>0</v>
      </c>
      <c r="R1425">
        <f>'Raw Data'!T1425</f>
        <v>0</v>
      </c>
      <c r="S1425">
        <f>IFERROR(O1425,0)+IFERROR(R1425,0)</f>
        <v>0</v>
      </c>
      <c r="T1425">
        <f>IF(A1425="","",YEAR(A1425))</f>
        <v>0</v>
      </c>
    </row>
    <row r="1426" spans="1:20">
      <c r="A1426">
        <f>'Raw Data'!B1426</f>
        <v>0</v>
      </c>
      <c r="B1426">
        <f>'Raw Data'!A1426</f>
        <v>0</v>
      </c>
      <c r="C1426">
        <f>'Raw Data'!C1426</f>
        <v>0</v>
      </c>
      <c r="D1426">
        <f>'Raw Data'!D1426</f>
        <v>0</v>
      </c>
      <c r="E1426">
        <f>IFERROR(VLOOKUP(D1426,'Lookup Tables'!$A:$B,2,FALSE),"Unknown")</f>
        <v>0</v>
      </c>
      <c r="F1426">
        <f>'Raw Data'!E1426</f>
        <v>0</v>
      </c>
      <c r="G1426">
        <f>IFERROR(VLOOKUP(D1426,'Lookup Tables'!$A:$C,3,FALSE),IF(ISNUMBER(SEARCH("STEEL",F1426)),"Steel","Others"))</f>
        <v>0</v>
      </c>
      <c r="H1426">
        <f>IF(ISNUMBER(SEARCH("scrubber",F1426)) , "Scrubber", IF(ISNUMBER(SEARCH("container",F1426)),"Container", IF(ISNUMBER(SEARCH("basket",F1426)),"Basket", IF(ISNUMBER(SEARCH("lunch",F1426)),"Lunch Box", IF(ISNUMBER(SEARCH("cutlery",F1426)),"Cutlery","Other")))))</f>
        <v>0</v>
      </c>
      <c r="I1426">
        <f>IF('Raw Data'!G1426&lt;&gt;'','Raw Data'!G1426,IFERROR(MID(F1426,SEARCH("MODEL",F1426)+6,20),""))</f>
        <v>0</v>
      </c>
      <c r="J1426">
        <f>'Raw Data'!H1426</f>
        <v>0</v>
      </c>
      <c r="K1426">
        <f>'Raw Data'!I1426</f>
        <v>0</v>
      </c>
      <c r="L1426">
        <f>IF('Raw Data'!N1426&lt;&gt;0,'Raw Data'!N1426,IFERROR(VALUE(MID(F1426,SEARCH("QTY",F1426)+4,IFERROR(FIND(" ",F1426,SEARCH("QTY",F1426)+4)-(SEARCH("QTY",F1426)+4),3))),""))</f>
        <v>0</v>
      </c>
      <c r="M1426">
        <f>'Raw Data'!O1426</f>
        <v>0</v>
      </c>
      <c r="N1426">
        <f>'Raw Data'!P1426</f>
        <v>0</v>
      </c>
      <c r="O1426">
        <f>'Raw Data'!Q1426</f>
        <v>0</v>
      </c>
      <c r="P1426">
        <f>'Raw Data'!R1426</f>
        <v>0</v>
      </c>
      <c r="Q1426">
        <f>'Raw Data'!S1426</f>
        <v>0</v>
      </c>
      <c r="R1426">
        <f>'Raw Data'!T1426</f>
        <v>0</v>
      </c>
      <c r="S1426">
        <f>IFERROR(O1426,0)+IFERROR(R1426,0)</f>
        <v>0</v>
      </c>
      <c r="T1426">
        <f>IF(A1426="","",YEAR(A1426))</f>
        <v>0</v>
      </c>
    </row>
    <row r="1427" spans="1:20">
      <c r="A1427">
        <f>'Raw Data'!B1427</f>
        <v>0</v>
      </c>
      <c r="B1427">
        <f>'Raw Data'!A1427</f>
        <v>0</v>
      </c>
      <c r="C1427">
        <f>'Raw Data'!C1427</f>
        <v>0</v>
      </c>
      <c r="D1427">
        <f>'Raw Data'!D1427</f>
        <v>0</v>
      </c>
      <c r="E1427">
        <f>IFERROR(VLOOKUP(D1427,'Lookup Tables'!$A:$B,2,FALSE),"Unknown")</f>
        <v>0</v>
      </c>
      <c r="F1427">
        <f>'Raw Data'!E1427</f>
        <v>0</v>
      </c>
      <c r="G1427">
        <f>IFERROR(VLOOKUP(D1427,'Lookup Tables'!$A:$C,3,FALSE),IF(ISNUMBER(SEARCH("STEEL",F1427)),"Steel","Others"))</f>
        <v>0</v>
      </c>
      <c r="H1427">
        <f>IF(ISNUMBER(SEARCH("scrubber",F1427)) , "Scrubber", IF(ISNUMBER(SEARCH("container",F1427)),"Container", IF(ISNUMBER(SEARCH("basket",F1427)),"Basket", IF(ISNUMBER(SEARCH("lunch",F1427)),"Lunch Box", IF(ISNUMBER(SEARCH("cutlery",F1427)),"Cutlery","Other")))))</f>
        <v>0</v>
      </c>
      <c r="I1427">
        <f>IF('Raw Data'!G1427&lt;&gt;'','Raw Data'!G1427,IFERROR(MID(F1427,SEARCH("MODEL",F1427)+6,20),""))</f>
        <v>0</v>
      </c>
      <c r="J1427">
        <f>'Raw Data'!H1427</f>
        <v>0</v>
      </c>
      <c r="K1427">
        <f>'Raw Data'!I1427</f>
        <v>0</v>
      </c>
      <c r="L1427">
        <f>IF('Raw Data'!N1427&lt;&gt;0,'Raw Data'!N1427,IFERROR(VALUE(MID(F1427,SEARCH("QTY",F1427)+4,IFERROR(FIND(" ",F1427,SEARCH("QTY",F1427)+4)-(SEARCH("QTY",F1427)+4),3))),""))</f>
        <v>0</v>
      </c>
      <c r="M1427">
        <f>'Raw Data'!O1427</f>
        <v>0</v>
      </c>
      <c r="N1427">
        <f>'Raw Data'!P1427</f>
        <v>0</v>
      </c>
      <c r="O1427">
        <f>'Raw Data'!Q1427</f>
        <v>0</v>
      </c>
      <c r="P1427">
        <f>'Raw Data'!R1427</f>
        <v>0</v>
      </c>
      <c r="Q1427">
        <f>'Raw Data'!S1427</f>
        <v>0</v>
      </c>
      <c r="R1427">
        <f>'Raw Data'!T1427</f>
        <v>0</v>
      </c>
      <c r="S1427">
        <f>IFERROR(O1427,0)+IFERROR(R1427,0)</f>
        <v>0</v>
      </c>
      <c r="T1427">
        <f>IF(A1427="","",YEAR(A1427))</f>
        <v>0</v>
      </c>
    </row>
    <row r="1428" spans="1:20">
      <c r="A1428">
        <f>'Raw Data'!B1428</f>
        <v>0</v>
      </c>
      <c r="B1428">
        <f>'Raw Data'!A1428</f>
        <v>0</v>
      </c>
      <c r="C1428">
        <f>'Raw Data'!C1428</f>
        <v>0</v>
      </c>
      <c r="D1428">
        <f>'Raw Data'!D1428</f>
        <v>0</v>
      </c>
      <c r="E1428">
        <f>IFERROR(VLOOKUP(D1428,'Lookup Tables'!$A:$B,2,FALSE),"Unknown")</f>
        <v>0</v>
      </c>
      <c r="F1428">
        <f>'Raw Data'!E1428</f>
        <v>0</v>
      </c>
      <c r="G1428">
        <f>IFERROR(VLOOKUP(D1428,'Lookup Tables'!$A:$C,3,FALSE),IF(ISNUMBER(SEARCH("STEEL",F1428)),"Steel","Others"))</f>
        <v>0</v>
      </c>
      <c r="H1428">
        <f>IF(ISNUMBER(SEARCH("scrubber",F1428)) , "Scrubber", IF(ISNUMBER(SEARCH("container",F1428)),"Container", IF(ISNUMBER(SEARCH("basket",F1428)),"Basket", IF(ISNUMBER(SEARCH("lunch",F1428)),"Lunch Box", IF(ISNUMBER(SEARCH("cutlery",F1428)),"Cutlery","Other")))))</f>
        <v>0</v>
      </c>
      <c r="I1428">
        <f>IF('Raw Data'!G1428&lt;&gt;'','Raw Data'!G1428,IFERROR(MID(F1428,SEARCH("MODEL",F1428)+6,20),""))</f>
        <v>0</v>
      </c>
      <c r="J1428">
        <f>'Raw Data'!H1428</f>
        <v>0</v>
      </c>
      <c r="K1428">
        <f>'Raw Data'!I1428</f>
        <v>0</v>
      </c>
      <c r="L1428">
        <f>IF('Raw Data'!N1428&lt;&gt;0,'Raw Data'!N1428,IFERROR(VALUE(MID(F1428,SEARCH("QTY",F1428)+4,IFERROR(FIND(" ",F1428,SEARCH("QTY",F1428)+4)-(SEARCH("QTY",F1428)+4),3))),""))</f>
        <v>0</v>
      </c>
      <c r="M1428">
        <f>'Raw Data'!O1428</f>
        <v>0</v>
      </c>
      <c r="N1428">
        <f>'Raw Data'!P1428</f>
        <v>0</v>
      </c>
      <c r="O1428">
        <f>'Raw Data'!Q1428</f>
        <v>0</v>
      </c>
      <c r="P1428">
        <f>'Raw Data'!R1428</f>
        <v>0</v>
      </c>
      <c r="Q1428">
        <f>'Raw Data'!S1428</f>
        <v>0</v>
      </c>
      <c r="R1428">
        <f>'Raw Data'!T1428</f>
        <v>0</v>
      </c>
      <c r="S1428">
        <f>IFERROR(O1428,0)+IFERROR(R1428,0)</f>
        <v>0</v>
      </c>
      <c r="T1428">
        <f>IF(A1428="","",YEAR(A1428))</f>
        <v>0</v>
      </c>
    </row>
    <row r="1429" spans="1:20">
      <c r="A1429">
        <f>'Raw Data'!B1429</f>
        <v>0</v>
      </c>
      <c r="B1429">
        <f>'Raw Data'!A1429</f>
        <v>0</v>
      </c>
      <c r="C1429">
        <f>'Raw Data'!C1429</f>
        <v>0</v>
      </c>
      <c r="D1429">
        <f>'Raw Data'!D1429</f>
        <v>0</v>
      </c>
      <c r="E1429">
        <f>IFERROR(VLOOKUP(D1429,'Lookup Tables'!$A:$B,2,FALSE),"Unknown")</f>
        <v>0</v>
      </c>
      <c r="F1429">
        <f>'Raw Data'!E1429</f>
        <v>0</v>
      </c>
      <c r="G1429">
        <f>IFERROR(VLOOKUP(D1429,'Lookup Tables'!$A:$C,3,FALSE),IF(ISNUMBER(SEARCH("STEEL",F1429)),"Steel","Others"))</f>
        <v>0</v>
      </c>
      <c r="H1429">
        <f>IF(ISNUMBER(SEARCH("scrubber",F1429)) , "Scrubber", IF(ISNUMBER(SEARCH("container",F1429)),"Container", IF(ISNUMBER(SEARCH("basket",F1429)),"Basket", IF(ISNUMBER(SEARCH("lunch",F1429)),"Lunch Box", IF(ISNUMBER(SEARCH("cutlery",F1429)),"Cutlery","Other")))))</f>
        <v>0</v>
      </c>
      <c r="I1429">
        <f>IF('Raw Data'!G1429&lt;&gt;'','Raw Data'!G1429,IFERROR(MID(F1429,SEARCH("MODEL",F1429)+6,20),""))</f>
        <v>0</v>
      </c>
      <c r="J1429">
        <f>'Raw Data'!H1429</f>
        <v>0</v>
      </c>
      <c r="K1429">
        <f>'Raw Data'!I1429</f>
        <v>0</v>
      </c>
      <c r="L1429">
        <f>IF('Raw Data'!N1429&lt;&gt;0,'Raw Data'!N1429,IFERROR(VALUE(MID(F1429,SEARCH("QTY",F1429)+4,IFERROR(FIND(" ",F1429,SEARCH("QTY",F1429)+4)-(SEARCH("QTY",F1429)+4),3))),""))</f>
        <v>0</v>
      </c>
      <c r="M1429">
        <f>'Raw Data'!O1429</f>
        <v>0</v>
      </c>
      <c r="N1429">
        <f>'Raw Data'!P1429</f>
        <v>0</v>
      </c>
      <c r="O1429">
        <f>'Raw Data'!Q1429</f>
        <v>0</v>
      </c>
      <c r="P1429">
        <f>'Raw Data'!R1429</f>
        <v>0</v>
      </c>
      <c r="Q1429">
        <f>'Raw Data'!S1429</f>
        <v>0</v>
      </c>
      <c r="R1429">
        <f>'Raw Data'!T1429</f>
        <v>0</v>
      </c>
      <c r="S1429">
        <f>IFERROR(O1429,0)+IFERROR(R1429,0)</f>
        <v>0</v>
      </c>
      <c r="T1429">
        <f>IF(A1429="","",YEAR(A1429))</f>
        <v>0</v>
      </c>
    </row>
    <row r="1430" spans="1:20">
      <c r="A1430">
        <f>'Raw Data'!B1430</f>
        <v>0</v>
      </c>
      <c r="B1430">
        <f>'Raw Data'!A1430</f>
        <v>0</v>
      </c>
      <c r="C1430">
        <f>'Raw Data'!C1430</f>
        <v>0</v>
      </c>
      <c r="D1430">
        <f>'Raw Data'!D1430</f>
        <v>0</v>
      </c>
      <c r="E1430">
        <f>IFERROR(VLOOKUP(D1430,'Lookup Tables'!$A:$B,2,FALSE),"Unknown")</f>
        <v>0</v>
      </c>
      <c r="F1430">
        <f>'Raw Data'!E1430</f>
        <v>0</v>
      </c>
      <c r="G1430">
        <f>IFERROR(VLOOKUP(D1430,'Lookup Tables'!$A:$C,3,FALSE),IF(ISNUMBER(SEARCH("STEEL",F1430)),"Steel","Others"))</f>
        <v>0</v>
      </c>
      <c r="H1430">
        <f>IF(ISNUMBER(SEARCH("scrubber",F1430)) , "Scrubber", IF(ISNUMBER(SEARCH("container",F1430)),"Container", IF(ISNUMBER(SEARCH("basket",F1430)),"Basket", IF(ISNUMBER(SEARCH("lunch",F1430)),"Lunch Box", IF(ISNUMBER(SEARCH("cutlery",F1430)),"Cutlery","Other")))))</f>
        <v>0</v>
      </c>
      <c r="I1430">
        <f>IF('Raw Data'!G1430&lt;&gt;'','Raw Data'!G1430,IFERROR(MID(F1430,SEARCH("MODEL",F1430)+6,20),""))</f>
        <v>0</v>
      </c>
      <c r="J1430">
        <f>'Raw Data'!H1430</f>
        <v>0</v>
      </c>
      <c r="K1430">
        <f>'Raw Data'!I1430</f>
        <v>0</v>
      </c>
      <c r="L1430">
        <f>IF('Raw Data'!N1430&lt;&gt;0,'Raw Data'!N1430,IFERROR(VALUE(MID(F1430,SEARCH("QTY",F1430)+4,IFERROR(FIND(" ",F1430,SEARCH("QTY",F1430)+4)-(SEARCH("QTY",F1430)+4),3))),""))</f>
        <v>0</v>
      </c>
      <c r="M1430">
        <f>'Raw Data'!O1430</f>
        <v>0</v>
      </c>
      <c r="N1430">
        <f>'Raw Data'!P1430</f>
        <v>0</v>
      </c>
      <c r="O1430">
        <f>'Raw Data'!Q1430</f>
        <v>0</v>
      </c>
      <c r="P1430">
        <f>'Raw Data'!R1430</f>
        <v>0</v>
      </c>
      <c r="Q1430">
        <f>'Raw Data'!S1430</f>
        <v>0</v>
      </c>
      <c r="R1430">
        <f>'Raw Data'!T1430</f>
        <v>0</v>
      </c>
      <c r="S1430">
        <f>IFERROR(O1430,0)+IFERROR(R1430,0)</f>
        <v>0</v>
      </c>
      <c r="T1430">
        <f>IF(A1430="","",YEAR(A1430))</f>
        <v>0</v>
      </c>
    </row>
    <row r="1431" spans="1:20">
      <c r="A1431">
        <f>'Raw Data'!B1431</f>
        <v>0</v>
      </c>
      <c r="B1431">
        <f>'Raw Data'!A1431</f>
        <v>0</v>
      </c>
      <c r="C1431">
        <f>'Raw Data'!C1431</f>
        <v>0</v>
      </c>
      <c r="D1431">
        <f>'Raw Data'!D1431</f>
        <v>0</v>
      </c>
      <c r="E1431">
        <f>IFERROR(VLOOKUP(D1431,'Lookup Tables'!$A:$B,2,FALSE),"Unknown")</f>
        <v>0</v>
      </c>
      <c r="F1431">
        <f>'Raw Data'!E1431</f>
        <v>0</v>
      </c>
      <c r="G1431">
        <f>IFERROR(VLOOKUP(D1431,'Lookup Tables'!$A:$C,3,FALSE),IF(ISNUMBER(SEARCH("STEEL",F1431)),"Steel","Others"))</f>
        <v>0</v>
      </c>
      <c r="H1431">
        <f>IF(ISNUMBER(SEARCH("scrubber",F1431)) , "Scrubber", IF(ISNUMBER(SEARCH("container",F1431)),"Container", IF(ISNUMBER(SEARCH("basket",F1431)),"Basket", IF(ISNUMBER(SEARCH("lunch",F1431)),"Lunch Box", IF(ISNUMBER(SEARCH("cutlery",F1431)),"Cutlery","Other")))))</f>
        <v>0</v>
      </c>
      <c r="I1431">
        <f>IF('Raw Data'!G1431&lt;&gt;'','Raw Data'!G1431,IFERROR(MID(F1431,SEARCH("MODEL",F1431)+6,20),""))</f>
        <v>0</v>
      </c>
      <c r="J1431">
        <f>'Raw Data'!H1431</f>
        <v>0</v>
      </c>
      <c r="K1431">
        <f>'Raw Data'!I1431</f>
        <v>0</v>
      </c>
      <c r="L1431">
        <f>IF('Raw Data'!N1431&lt;&gt;0,'Raw Data'!N1431,IFERROR(VALUE(MID(F1431,SEARCH("QTY",F1431)+4,IFERROR(FIND(" ",F1431,SEARCH("QTY",F1431)+4)-(SEARCH("QTY",F1431)+4),3))),""))</f>
        <v>0</v>
      </c>
      <c r="M1431">
        <f>'Raw Data'!O1431</f>
        <v>0</v>
      </c>
      <c r="N1431">
        <f>'Raw Data'!P1431</f>
        <v>0</v>
      </c>
      <c r="O1431">
        <f>'Raw Data'!Q1431</f>
        <v>0</v>
      </c>
      <c r="P1431">
        <f>'Raw Data'!R1431</f>
        <v>0</v>
      </c>
      <c r="Q1431">
        <f>'Raw Data'!S1431</f>
        <v>0</v>
      </c>
      <c r="R1431">
        <f>'Raw Data'!T1431</f>
        <v>0</v>
      </c>
      <c r="S1431">
        <f>IFERROR(O1431,0)+IFERROR(R1431,0)</f>
        <v>0</v>
      </c>
      <c r="T1431">
        <f>IF(A1431="","",YEAR(A1431))</f>
        <v>0</v>
      </c>
    </row>
    <row r="1432" spans="1:20">
      <c r="A1432">
        <f>'Raw Data'!B1432</f>
        <v>0</v>
      </c>
      <c r="B1432">
        <f>'Raw Data'!A1432</f>
        <v>0</v>
      </c>
      <c r="C1432">
        <f>'Raw Data'!C1432</f>
        <v>0</v>
      </c>
      <c r="D1432">
        <f>'Raw Data'!D1432</f>
        <v>0</v>
      </c>
      <c r="E1432">
        <f>IFERROR(VLOOKUP(D1432,'Lookup Tables'!$A:$B,2,FALSE),"Unknown")</f>
        <v>0</v>
      </c>
      <c r="F1432">
        <f>'Raw Data'!E1432</f>
        <v>0</v>
      </c>
      <c r="G1432">
        <f>IFERROR(VLOOKUP(D1432,'Lookup Tables'!$A:$C,3,FALSE),IF(ISNUMBER(SEARCH("STEEL",F1432)),"Steel","Others"))</f>
        <v>0</v>
      </c>
      <c r="H1432">
        <f>IF(ISNUMBER(SEARCH("scrubber",F1432)) , "Scrubber", IF(ISNUMBER(SEARCH("container",F1432)),"Container", IF(ISNUMBER(SEARCH("basket",F1432)),"Basket", IF(ISNUMBER(SEARCH("lunch",F1432)),"Lunch Box", IF(ISNUMBER(SEARCH("cutlery",F1432)),"Cutlery","Other")))))</f>
        <v>0</v>
      </c>
      <c r="I1432">
        <f>IF('Raw Data'!G1432&lt;&gt;'','Raw Data'!G1432,IFERROR(MID(F1432,SEARCH("MODEL",F1432)+6,20),""))</f>
        <v>0</v>
      </c>
      <c r="J1432">
        <f>'Raw Data'!H1432</f>
        <v>0</v>
      </c>
      <c r="K1432">
        <f>'Raw Data'!I1432</f>
        <v>0</v>
      </c>
      <c r="L1432">
        <f>IF('Raw Data'!N1432&lt;&gt;0,'Raw Data'!N1432,IFERROR(VALUE(MID(F1432,SEARCH("QTY",F1432)+4,IFERROR(FIND(" ",F1432,SEARCH("QTY",F1432)+4)-(SEARCH("QTY",F1432)+4),3))),""))</f>
        <v>0</v>
      </c>
      <c r="M1432">
        <f>'Raw Data'!O1432</f>
        <v>0</v>
      </c>
      <c r="N1432">
        <f>'Raw Data'!P1432</f>
        <v>0</v>
      </c>
      <c r="O1432">
        <f>'Raw Data'!Q1432</f>
        <v>0</v>
      </c>
      <c r="P1432">
        <f>'Raw Data'!R1432</f>
        <v>0</v>
      </c>
      <c r="Q1432">
        <f>'Raw Data'!S1432</f>
        <v>0</v>
      </c>
      <c r="R1432">
        <f>'Raw Data'!T1432</f>
        <v>0</v>
      </c>
      <c r="S1432">
        <f>IFERROR(O1432,0)+IFERROR(R1432,0)</f>
        <v>0</v>
      </c>
      <c r="T1432">
        <f>IF(A1432="","",YEAR(A1432))</f>
        <v>0</v>
      </c>
    </row>
    <row r="1433" spans="1:20">
      <c r="A1433">
        <f>'Raw Data'!B1433</f>
        <v>0</v>
      </c>
      <c r="B1433">
        <f>'Raw Data'!A1433</f>
        <v>0</v>
      </c>
      <c r="C1433">
        <f>'Raw Data'!C1433</f>
        <v>0</v>
      </c>
      <c r="D1433">
        <f>'Raw Data'!D1433</f>
        <v>0</v>
      </c>
      <c r="E1433">
        <f>IFERROR(VLOOKUP(D1433,'Lookup Tables'!$A:$B,2,FALSE),"Unknown")</f>
        <v>0</v>
      </c>
      <c r="F1433">
        <f>'Raw Data'!E1433</f>
        <v>0</v>
      </c>
      <c r="G1433">
        <f>IFERROR(VLOOKUP(D1433,'Lookup Tables'!$A:$C,3,FALSE),IF(ISNUMBER(SEARCH("STEEL",F1433)),"Steel","Others"))</f>
        <v>0</v>
      </c>
      <c r="H1433">
        <f>IF(ISNUMBER(SEARCH("scrubber",F1433)) , "Scrubber", IF(ISNUMBER(SEARCH("container",F1433)),"Container", IF(ISNUMBER(SEARCH("basket",F1433)),"Basket", IF(ISNUMBER(SEARCH("lunch",F1433)),"Lunch Box", IF(ISNUMBER(SEARCH("cutlery",F1433)),"Cutlery","Other")))))</f>
        <v>0</v>
      </c>
      <c r="I1433">
        <f>IF('Raw Data'!G1433&lt;&gt;'','Raw Data'!G1433,IFERROR(MID(F1433,SEARCH("MODEL",F1433)+6,20),""))</f>
        <v>0</v>
      </c>
      <c r="J1433">
        <f>'Raw Data'!H1433</f>
        <v>0</v>
      </c>
      <c r="K1433">
        <f>'Raw Data'!I1433</f>
        <v>0</v>
      </c>
      <c r="L1433">
        <f>IF('Raw Data'!N1433&lt;&gt;0,'Raw Data'!N1433,IFERROR(VALUE(MID(F1433,SEARCH("QTY",F1433)+4,IFERROR(FIND(" ",F1433,SEARCH("QTY",F1433)+4)-(SEARCH("QTY",F1433)+4),3))),""))</f>
        <v>0</v>
      </c>
      <c r="M1433">
        <f>'Raw Data'!O1433</f>
        <v>0</v>
      </c>
      <c r="N1433">
        <f>'Raw Data'!P1433</f>
        <v>0</v>
      </c>
      <c r="O1433">
        <f>'Raw Data'!Q1433</f>
        <v>0</v>
      </c>
      <c r="P1433">
        <f>'Raw Data'!R1433</f>
        <v>0</v>
      </c>
      <c r="Q1433">
        <f>'Raw Data'!S1433</f>
        <v>0</v>
      </c>
      <c r="R1433">
        <f>'Raw Data'!T1433</f>
        <v>0</v>
      </c>
      <c r="S1433">
        <f>IFERROR(O1433,0)+IFERROR(R1433,0)</f>
        <v>0</v>
      </c>
      <c r="T1433">
        <f>IF(A1433="","",YEAR(A1433))</f>
        <v>0</v>
      </c>
    </row>
    <row r="1434" spans="1:20">
      <c r="A1434">
        <f>'Raw Data'!B1434</f>
        <v>0</v>
      </c>
      <c r="B1434">
        <f>'Raw Data'!A1434</f>
        <v>0</v>
      </c>
      <c r="C1434">
        <f>'Raw Data'!C1434</f>
        <v>0</v>
      </c>
      <c r="D1434">
        <f>'Raw Data'!D1434</f>
        <v>0</v>
      </c>
      <c r="E1434">
        <f>IFERROR(VLOOKUP(D1434,'Lookup Tables'!$A:$B,2,FALSE),"Unknown")</f>
        <v>0</v>
      </c>
      <c r="F1434">
        <f>'Raw Data'!E1434</f>
        <v>0</v>
      </c>
      <c r="G1434">
        <f>IFERROR(VLOOKUP(D1434,'Lookup Tables'!$A:$C,3,FALSE),IF(ISNUMBER(SEARCH("STEEL",F1434)),"Steel","Others"))</f>
        <v>0</v>
      </c>
      <c r="H1434">
        <f>IF(ISNUMBER(SEARCH("scrubber",F1434)) , "Scrubber", IF(ISNUMBER(SEARCH("container",F1434)),"Container", IF(ISNUMBER(SEARCH("basket",F1434)),"Basket", IF(ISNUMBER(SEARCH("lunch",F1434)),"Lunch Box", IF(ISNUMBER(SEARCH("cutlery",F1434)),"Cutlery","Other")))))</f>
        <v>0</v>
      </c>
      <c r="I1434">
        <f>IF('Raw Data'!G1434&lt;&gt;'','Raw Data'!G1434,IFERROR(MID(F1434,SEARCH("MODEL",F1434)+6,20),""))</f>
        <v>0</v>
      </c>
      <c r="J1434">
        <f>'Raw Data'!H1434</f>
        <v>0</v>
      </c>
      <c r="K1434">
        <f>'Raw Data'!I1434</f>
        <v>0</v>
      </c>
      <c r="L1434">
        <f>IF('Raw Data'!N1434&lt;&gt;0,'Raw Data'!N1434,IFERROR(VALUE(MID(F1434,SEARCH("QTY",F1434)+4,IFERROR(FIND(" ",F1434,SEARCH("QTY",F1434)+4)-(SEARCH("QTY",F1434)+4),3))),""))</f>
        <v>0</v>
      </c>
      <c r="M1434">
        <f>'Raw Data'!O1434</f>
        <v>0</v>
      </c>
      <c r="N1434">
        <f>'Raw Data'!P1434</f>
        <v>0</v>
      </c>
      <c r="O1434">
        <f>'Raw Data'!Q1434</f>
        <v>0</v>
      </c>
      <c r="P1434">
        <f>'Raw Data'!R1434</f>
        <v>0</v>
      </c>
      <c r="Q1434">
        <f>'Raw Data'!S1434</f>
        <v>0</v>
      </c>
      <c r="R1434">
        <f>'Raw Data'!T1434</f>
        <v>0</v>
      </c>
      <c r="S1434">
        <f>IFERROR(O1434,0)+IFERROR(R1434,0)</f>
        <v>0</v>
      </c>
      <c r="T1434">
        <f>IF(A1434="","",YEAR(A1434))</f>
        <v>0</v>
      </c>
    </row>
    <row r="1435" spans="1:20">
      <c r="A1435">
        <f>'Raw Data'!B1435</f>
        <v>0</v>
      </c>
      <c r="B1435">
        <f>'Raw Data'!A1435</f>
        <v>0</v>
      </c>
      <c r="C1435">
        <f>'Raw Data'!C1435</f>
        <v>0</v>
      </c>
      <c r="D1435">
        <f>'Raw Data'!D1435</f>
        <v>0</v>
      </c>
      <c r="E1435">
        <f>IFERROR(VLOOKUP(D1435,'Lookup Tables'!$A:$B,2,FALSE),"Unknown")</f>
        <v>0</v>
      </c>
      <c r="F1435">
        <f>'Raw Data'!E1435</f>
        <v>0</v>
      </c>
      <c r="G1435">
        <f>IFERROR(VLOOKUP(D1435,'Lookup Tables'!$A:$C,3,FALSE),IF(ISNUMBER(SEARCH("STEEL",F1435)),"Steel","Others"))</f>
        <v>0</v>
      </c>
      <c r="H1435">
        <f>IF(ISNUMBER(SEARCH("scrubber",F1435)) , "Scrubber", IF(ISNUMBER(SEARCH("container",F1435)),"Container", IF(ISNUMBER(SEARCH("basket",F1435)),"Basket", IF(ISNUMBER(SEARCH("lunch",F1435)),"Lunch Box", IF(ISNUMBER(SEARCH("cutlery",F1435)),"Cutlery","Other")))))</f>
        <v>0</v>
      </c>
      <c r="I1435">
        <f>IF('Raw Data'!G1435&lt;&gt;'','Raw Data'!G1435,IFERROR(MID(F1435,SEARCH("MODEL",F1435)+6,20),""))</f>
        <v>0</v>
      </c>
      <c r="J1435">
        <f>'Raw Data'!H1435</f>
        <v>0</v>
      </c>
      <c r="K1435">
        <f>'Raw Data'!I1435</f>
        <v>0</v>
      </c>
      <c r="L1435">
        <f>IF('Raw Data'!N1435&lt;&gt;0,'Raw Data'!N1435,IFERROR(VALUE(MID(F1435,SEARCH("QTY",F1435)+4,IFERROR(FIND(" ",F1435,SEARCH("QTY",F1435)+4)-(SEARCH("QTY",F1435)+4),3))),""))</f>
        <v>0</v>
      </c>
      <c r="M1435">
        <f>'Raw Data'!O1435</f>
        <v>0</v>
      </c>
      <c r="N1435">
        <f>'Raw Data'!P1435</f>
        <v>0</v>
      </c>
      <c r="O1435">
        <f>'Raw Data'!Q1435</f>
        <v>0</v>
      </c>
      <c r="P1435">
        <f>'Raw Data'!R1435</f>
        <v>0</v>
      </c>
      <c r="Q1435">
        <f>'Raw Data'!S1435</f>
        <v>0</v>
      </c>
      <c r="R1435">
        <f>'Raw Data'!T1435</f>
        <v>0</v>
      </c>
      <c r="S1435">
        <f>IFERROR(O1435,0)+IFERROR(R1435,0)</f>
        <v>0</v>
      </c>
      <c r="T1435">
        <f>IF(A1435="","",YEAR(A1435))</f>
        <v>0</v>
      </c>
    </row>
    <row r="1436" spans="1:20">
      <c r="A1436">
        <f>'Raw Data'!B1436</f>
        <v>0</v>
      </c>
      <c r="B1436">
        <f>'Raw Data'!A1436</f>
        <v>0</v>
      </c>
      <c r="C1436">
        <f>'Raw Data'!C1436</f>
        <v>0</v>
      </c>
      <c r="D1436">
        <f>'Raw Data'!D1436</f>
        <v>0</v>
      </c>
      <c r="E1436">
        <f>IFERROR(VLOOKUP(D1436,'Lookup Tables'!$A:$B,2,FALSE),"Unknown")</f>
        <v>0</v>
      </c>
      <c r="F1436">
        <f>'Raw Data'!E1436</f>
        <v>0</v>
      </c>
      <c r="G1436">
        <f>IFERROR(VLOOKUP(D1436,'Lookup Tables'!$A:$C,3,FALSE),IF(ISNUMBER(SEARCH("STEEL",F1436)),"Steel","Others"))</f>
        <v>0</v>
      </c>
      <c r="H1436">
        <f>IF(ISNUMBER(SEARCH("scrubber",F1436)) , "Scrubber", IF(ISNUMBER(SEARCH("container",F1436)),"Container", IF(ISNUMBER(SEARCH("basket",F1436)),"Basket", IF(ISNUMBER(SEARCH("lunch",F1436)),"Lunch Box", IF(ISNUMBER(SEARCH("cutlery",F1436)),"Cutlery","Other")))))</f>
        <v>0</v>
      </c>
      <c r="I1436">
        <f>IF('Raw Data'!G1436&lt;&gt;'','Raw Data'!G1436,IFERROR(MID(F1436,SEARCH("MODEL",F1436)+6,20),""))</f>
        <v>0</v>
      </c>
      <c r="J1436">
        <f>'Raw Data'!H1436</f>
        <v>0</v>
      </c>
      <c r="K1436">
        <f>'Raw Data'!I1436</f>
        <v>0</v>
      </c>
      <c r="L1436">
        <f>IF('Raw Data'!N1436&lt;&gt;0,'Raw Data'!N1436,IFERROR(VALUE(MID(F1436,SEARCH("QTY",F1436)+4,IFERROR(FIND(" ",F1436,SEARCH("QTY",F1436)+4)-(SEARCH("QTY",F1436)+4),3))),""))</f>
        <v>0</v>
      </c>
      <c r="M1436">
        <f>'Raw Data'!O1436</f>
        <v>0</v>
      </c>
      <c r="N1436">
        <f>'Raw Data'!P1436</f>
        <v>0</v>
      </c>
      <c r="O1436">
        <f>'Raw Data'!Q1436</f>
        <v>0</v>
      </c>
      <c r="P1436">
        <f>'Raw Data'!R1436</f>
        <v>0</v>
      </c>
      <c r="Q1436">
        <f>'Raw Data'!S1436</f>
        <v>0</v>
      </c>
      <c r="R1436">
        <f>'Raw Data'!T1436</f>
        <v>0</v>
      </c>
      <c r="S1436">
        <f>IFERROR(O1436,0)+IFERROR(R1436,0)</f>
        <v>0</v>
      </c>
      <c r="T1436">
        <f>IF(A1436="","",YEAR(A1436))</f>
        <v>0</v>
      </c>
    </row>
    <row r="1437" spans="1:20">
      <c r="A1437">
        <f>'Raw Data'!B1437</f>
        <v>0</v>
      </c>
      <c r="B1437">
        <f>'Raw Data'!A1437</f>
        <v>0</v>
      </c>
      <c r="C1437">
        <f>'Raw Data'!C1437</f>
        <v>0</v>
      </c>
      <c r="D1437">
        <f>'Raw Data'!D1437</f>
        <v>0</v>
      </c>
      <c r="E1437">
        <f>IFERROR(VLOOKUP(D1437,'Lookup Tables'!$A:$B,2,FALSE),"Unknown")</f>
        <v>0</v>
      </c>
      <c r="F1437">
        <f>'Raw Data'!E1437</f>
        <v>0</v>
      </c>
      <c r="G1437">
        <f>IFERROR(VLOOKUP(D1437,'Lookup Tables'!$A:$C,3,FALSE),IF(ISNUMBER(SEARCH("STEEL",F1437)),"Steel","Others"))</f>
        <v>0</v>
      </c>
      <c r="H1437">
        <f>IF(ISNUMBER(SEARCH("scrubber",F1437)) , "Scrubber", IF(ISNUMBER(SEARCH("container",F1437)),"Container", IF(ISNUMBER(SEARCH("basket",F1437)),"Basket", IF(ISNUMBER(SEARCH("lunch",F1437)),"Lunch Box", IF(ISNUMBER(SEARCH("cutlery",F1437)),"Cutlery","Other")))))</f>
        <v>0</v>
      </c>
      <c r="I1437">
        <f>IF('Raw Data'!G1437&lt;&gt;'','Raw Data'!G1437,IFERROR(MID(F1437,SEARCH("MODEL",F1437)+6,20),""))</f>
        <v>0</v>
      </c>
      <c r="J1437">
        <f>'Raw Data'!H1437</f>
        <v>0</v>
      </c>
      <c r="K1437">
        <f>'Raw Data'!I1437</f>
        <v>0</v>
      </c>
      <c r="L1437">
        <f>IF('Raw Data'!N1437&lt;&gt;0,'Raw Data'!N1437,IFERROR(VALUE(MID(F1437,SEARCH("QTY",F1437)+4,IFERROR(FIND(" ",F1437,SEARCH("QTY",F1437)+4)-(SEARCH("QTY",F1437)+4),3))),""))</f>
        <v>0</v>
      </c>
      <c r="M1437">
        <f>'Raw Data'!O1437</f>
        <v>0</v>
      </c>
      <c r="N1437">
        <f>'Raw Data'!P1437</f>
        <v>0</v>
      </c>
      <c r="O1437">
        <f>'Raw Data'!Q1437</f>
        <v>0</v>
      </c>
      <c r="P1437">
        <f>'Raw Data'!R1437</f>
        <v>0</v>
      </c>
      <c r="Q1437">
        <f>'Raw Data'!S1437</f>
        <v>0</v>
      </c>
      <c r="R1437">
        <f>'Raw Data'!T1437</f>
        <v>0</v>
      </c>
      <c r="S1437">
        <f>IFERROR(O1437,0)+IFERROR(R1437,0)</f>
        <v>0</v>
      </c>
      <c r="T1437">
        <f>IF(A1437="","",YEAR(A1437))</f>
        <v>0</v>
      </c>
    </row>
    <row r="1438" spans="1:20">
      <c r="A1438">
        <f>'Raw Data'!B1438</f>
        <v>0</v>
      </c>
      <c r="B1438">
        <f>'Raw Data'!A1438</f>
        <v>0</v>
      </c>
      <c r="C1438">
        <f>'Raw Data'!C1438</f>
        <v>0</v>
      </c>
      <c r="D1438">
        <f>'Raw Data'!D1438</f>
        <v>0</v>
      </c>
      <c r="E1438">
        <f>IFERROR(VLOOKUP(D1438,'Lookup Tables'!$A:$B,2,FALSE),"Unknown")</f>
        <v>0</v>
      </c>
      <c r="F1438">
        <f>'Raw Data'!E1438</f>
        <v>0</v>
      </c>
      <c r="G1438">
        <f>IFERROR(VLOOKUP(D1438,'Lookup Tables'!$A:$C,3,FALSE),IF(ISNUMBER(SEARCH("STEEL",F1438)),"Steel","Others"))</f>
        <v>0</v>
      </c>
      <c r="H1438">
        <f>IF(ISNUMBER(SEARCH("scrubber",F1438)) , "Scrubber", IF(ISNUMBER(SEARCH("container",F1438)),"Container", IF(ISNUMBER(SEARCH("basket",F1438)),"Basket", IF(ISNUMBER(SEARCH("lunch",F1438)),"Lunch Box", IF(ISNUMBER(SEARCH("cutlery",F1438)),"Cutlery","Other")))))</f>
        <v>0</v>
      </c>
      <c r="I1438">
        <f>IF('Raw Data'!G1438&lt;&gt;'','Raw Data'!G1438,IFERROR(MID(F1438,SEARCH("MODEL",F1438)+6,20),""))</f>
        <v>0</v>
      </c>
      <c r="J1438">
        <f>'Raw Data'!H1438</f>
        <v>0</v>
      </c>
      <c r="K1438">
        <f>'Raw Data'!I1438</f>
        <v>0</v>
      </c>
      <c r="L1438">
        <f>IF('Raw Data'!N1438&lt;&gt;0,'Raw Data'!N1438,IFERROR(VALUE(MID(F1438,SEARCH("QTY",F1438)+4,IFERROR(FIND(" ",F1438,SEARCH("QTY",F1438)+4)-(SEARCH("QTY",F1438)+4),3))),""))</f>
        <v>0</v>
      </c>
      <c r="M1438">
        <f>'Raw Data'!O1438</f>
        <v>0</v>
      </c>
      <c r="N1438">
        <f>'Raw Data'!P1438</f>
        <v>0</v>
      </c>
      <c r="O1438">
        <f>'Raw Data'!Q1438</f>
        <v>0</v>
      </c>
      <c r="P1438">
        <f>'Raw Data'!R1438</f>
        <v>0</v>
      </c>
      <c r="Q1438">
        <f>'Raw Data'!S1438</f>
        <v>0</v>
      </c>
      <c r="R1438">
        <f>'Raw Data'!T1438</f>
        <v>0</v>
      </c>
      <c r="S1438">
        <f>IFERROR(O1438,0)+IFERROR(R1438,0)</f>
        <v>0</v>
      </c>
      <c r="T1438">
        <f>IF(A1438="","",YEAR(A1438))</f>
        <v>0</v>
      </c>
    </row>
    <row r="1439" spans="1:20">
      <c r="A1439">
        <f>'Raw Data'!B1439</f>
        <v>0</v>
      </c>
      <c r="B1439">
        <f>'Raw Data'!A1439</f>
        <v>0</v>
      </c>
      <c r="C1439">
        <f>'Raw Data'!C1439</f>
        <v>0</v>
      </c>
      <c r="D1439">
        <f>'Raw Data'!D1439</f>
        <v>0</v>
      </c>
      <c r="E1439">
        <f>IFERROR(VLOOKUP(D1439,'Lookup Tables'!$A:$B,2,FALSE),"Unknown")</f>
        <v>0</v>
      </c>
      <c r="F1439">
        <f>'Raw Data'!E1439</f>
        <v>0</v>
      </c>
      <c r="G1439">
        <f>IFERROR(VLOOKUP(D1439,'Lookup Tables'!$A:$C,3,FALSE),IF(ISNUMBER(SEARCH("STEEL",F1439)),"Steel","Others"))</f>
        <v>0</v>
      </c>
      <c r="H1439">
        <f>IF(ISNUMBER(SEARCH("scrubber",F1439)) , "Scrubber", IF(ISNUMBER(SEARCH("container",F1439)),"Container", IF(ISNUMBER(SEARCH("basket",F1439)),"Basket", IF(ISNUMBER(SEARCH("lunch",F1439)),"Lunch Box", IF(ISNUMBER(SEARCH("cutlery",F1439)),"Cutlery","Other")))))</f>
        <v>0</v>
      </c>
      <c r="I1439">
        <f>IF('Raw Data'!G1439&lt;&gt;'','Raw Data'!G1439,IFERROR(MID(F1439,SEARCH("MODEL",F1439)+6,20),""))</f>
        <v>0</v>
      </c>
      <c r="J1439">
        <f>'Raw Data'!H1439</f>
        <v>0</v>
      </c>
      <c r="K1439">
        <f>'Raw Data'!I1439</f>
        <v>0</v>
      </c>
      <c r="L1439">
        <f>IF('Raw Data'!N1439&lt;&gt;0,'Raw Data'!N1439,IFERROR(VALUE(MID(F1439,SEARCH("QTY",F1439)+4,IFERROR(FIND(" ",F1439,SEARCH("QTY",F1439)+4)-(SEARCH("QTY",F1439)+4),3))),""))</f>
        <v>0</v>
      </c>
      <c r="M1439">
        <f>'Raw Data'!O1439</f>
        <v>0</v>
      </c>
      <c r="N1439">
        <f>'Raw Data'!P1439</f>
        <v>0</v>
      </c>
      <c r="O1439">
        <f>'Raw Data'!Q1439</f>
        <v>0</v>
      </c>
      <c r="P1439">
        <f>'Raw Data'!R1439</f>
        <v>0</v>
      </c>
      <c r="Q1439">
        <f>'Raw Data'!S1439</f>
        <v>0</v>
      </c>
      <c r="R1439">
        <f>'Raw Data'!T1439</f>
        <v>0</v>
      </c>
      <c r="S1439">
        <f>IFERROR(O1439,0)+IFERROR(R1439,0)</f>
        <v>0</v>
      </c>
      <c r="T1439">
        <f>IF(A1439="","",YEAR(A1439))</f>
        <v>0</v>
      </c>
    </row>
    <row r="1440" spans="1:20">
      <c r="A1440">
        <f>'Raw Data'!B1440</f>
        <v>0</v>
      </c>
      <c r="B1440">
        <f>'Raw Data'!A1440</f>
        <v>0</v>
      </c>
      <c r="C1440">
        <f>'Raw Data'!C1440</f>
        <v>0</v>
      </c>
      <c r="D1440">
        <f>'Raw Data'!D1440</f>
        <v>0</v>
      </c>
      <c r="E1440">
        <f>IFERROR(VLOOKUP(D1440,'Lookup Tables'!$A:$B,2,FALSE),"Unknown")</f>
        <v>0</v>
      </c>
      <c r="F1440">
        <f>'Raw Data'!E1440</f>
        <v>0</v>
      </c>
      <c r="G1440">
        <f>IFERROR(VLOOKUP(D1440,'Lookup Tables'!$A:$C,3,FALSE),IF(ISNUMBER(SEARCH("STEEL",F1440)),"Steel","Others"))</f>
        <v>0</v>
      </c>
      <c r="H1440">
        <f>IF(ISNUMBER(SEARCH("scrubber",F1440)) , "Scrubber", IF(ISNUMBER(SEARCH("container",F1440)),"Container", IF(ISNUMBER(SEARCH("basket",F1440)),"Basket", IF(ISNUMBER(SEARCH("lunch",F1440)),"Lunch Box", IF(ISNUMBER(SEARCH("cutlery",F1440)),"Cutlery","Other")))))</f>
        <v>0</v>
      </c>
      <c r="I1440">
        <f>IF('Raw Data'!G1440&lt;&gt;'','Raw Data'!G1440,IFERROR(MID(F1440,SEARCH("MODEL",F1440)+6,20),""))</f>
        <v>0</v>
      </c>
      <c r="J1440">
        <f>'Raw Data'!H1440</f>
        <v>0</v>
      </c>
      <c r="K1440">
        <f>'Raw Data'!I1440</f>
        <v>0</v>
      </c>
      <c r="L1440">
        <f>IF('Raw Data'!N1440&lt;&gt;0,'Raw Data'!N1440,IFERROR(VALUE(MID(F1440,SEARCH("QTY",F1440)+4,IFERROR(FIND(" ",F1440,SEARCH("QTY",F1440)+4)-(SEARCH("QTY",F1440)+4),3))),""))</f>
        <v>0</v>
      </c>
      <c r="M1440">
        <f>'Raw Data'!O1440</f>
        <v>0</v>
      </c>
      <c r="N1440">
        <f>'Raw Data'!P1440</f>
        <v>0</v>
      </c>
      <c r="O1440">
        <f>'Raw Data'!Q1440</f>
        <v>0</v>
      </c>
      <c r="P1440">
        <f>'Raw Data'!R1440</f>
        <v>0</v>
      </c>
      <c r="Q1440">
        <f>'Raw Data'!S1440</f>
        <v>0</v>
      </c>
      <c r="R1440">
        <f>'Raw Data'!T1440</f>
        <v>0</v>
      </c>
      <c r="S1440">
        <f>IFERROR(O1440,0)+IFERROR(R1440,0)</f>
        <v>0</v>
      </c>
      <c r="T1440">
        <f>IF(A1440="","",YEAR(A1440))</f>
        <v>0</v>
      </c>
    </row>
    <row r="1441" spans="1:20">
      <c r="A1441">
        <f>'Raw Data'!B1441</f>
        <v>0</v>
      </c>
      <c r="B1441">
        <f>'Raw Data'!A1441</f>
        <v>0</v>
      </c>
      <c r="C1441">
        <f>'Raw Data'!C1441</f>
        <v>0</v>
      </c>
      <c r="D1441">
        <f>'Raw Data'!D1441</f>
        <v>0</v>
      </c>
      <c r="E1441">
        <f>IFERROR(VLOOKUP(D1441,'Lookup Tables'!$A:$B,2,FALSE),"Unknown")</f>
        <v>0</v>
      </c>
      <c r="F1441">
        <f>'Raw Data'!E1441</f>
        <v>0</v>
      </c>
      <c r="G1441">
        <f>IFERROR(VLOOKUP(D1441,'Lookup Tables'!$A:$C,3,FALSE),IF(ISNUMBER(SEARCH("STEEL",F1441)),"Steel","Others"))</f>
        <v>0</v>
      </c>
      <c r="H1441">
        <f>IF(ISNUMBER(SEARCH("scrubber",F1441)) , "Scrubber", IF(ISNUMBER(SEARCH("container",F1441)),"Container", IF(ISNUMBER(SEARCH("basket",F1441)),"Basket", IF(ISNUMBER(SEARCH("lunch",F1441)),"Lunch Box", IF(ISNUMBER(SEARCH("cutlery",F1441)),"Cutlery","Other")))))</f>
        <v>0</v>
      </c>
      <c r="I1441">
        <f>IF('Raw Data'!G1441&lt;&gt;'','Raw Data'!G1441,IFERROR(MID(F1441,SEARCH("MODEL",F1441)+6,20),""))</f>
        <v>0</v>
      </c>
      <c r="J1441">
        <f>'Raw Data'!H1441</f>
        <v>0</v>
      </c>
      <c r="K1441">
        <f>'Raw Data'!I1441</f>
        <v>0</v>
      </c>
      <c r="L1441">
        <f>IF('Raw Data'!N1441&lt;&gt;0,'Raw Data'!N1441,IFERROR(VALUE(MID(F1441,SEARCH("QTY",F1441)+4,IFERROR(FIND(" ",F1441,SEARCH("QTY",F1441)+4)-(SEARCH("QTY",F1441)+4),3))),""))</f>
        <v>0</v>
      </c>
      <c r="M1441">
        <f>'Raw Data'!O1441</f>
        <v>0</v>
      </c>
      <c r="N1441">
        <f>'Raw Data'!P1441</f>
        <v>0</v>
      </c>
      <c r="O1441">
        <f>'Raw Data'!Q1441</f>
        <v>0</v>
      </c>
      <c r="P1441">
        <f>'Raw Data'!R1441</f>
        <v>0</v>
      </c>
      <c r="Q1441">
        <f>'Raw Data'!S1441</f>
        <v>0</v>
      </c>
      <c r="R1441">
        <f>'Raw Data'!T1441</f>
        <v>0</v>
      </c>
      <c r="S1441">
        <f>IFERROR(O1441,0)+IFERROR(R1441,0)</f>
        <v>0</v>
      </c>
      <c r="T1441">
        <f>IF(A1441="","",YEAR(A1441))</f>
        <v>0</v>
      </c>
    </row>
    <row r="1442" spans="1:20">
      <c r="A1442">
        <f>'Raw Data'!B1442</f>
        <v>0</v>
      </c>
      <c r="B1442">
        <f>'Raw Data'!A1442</f>
        <v>0</v>
      </c>
      <c r="C1442">
        <f>'Raw Data'!C1442</f>
        <v>0</v>
      </c>
      <c r="D1442">
        <f>'Raw Data'!D1442</f>
        <v>0</v>
      </c>
      <c r="E1442">
        <f>IFERROR(VLOOKUP(D1442,'Lookup Tables'!$A:$B,2,FALSE),"Unknown")</f>
        <v>0</v>
      </c>
      <c r="F1442">
        <f>'Raw Data'!E1442</f>
        <v>0</v>
      </c>
      <c r="G1442">
        <f>IFERROR(VLOOKUP(D1442,'Lookup Tables'!$A:$C,3,FALSE),IF(ISNUMBER(SEARCH("STEEL",F1442)),"Steel","Others"))</f>
        <v>0</v>
      </c>
      <c r="H1442">
        <f>IF(ISNUMBER(SEARCH("scrubber",F1442)) , "Scrubber", IF(ISNUMBER(SEARCH("container",F1442)),"Container", IF(ISNUMBER(SEARCH("basket",F1442)),"Basket", IF(ISNUMBER(SEARCH("lunch",F1442)),"Lunch Box", IF(ISNUMBER(SEARCH("cutlery",F1442)),"Cutlery","Other")))))</f>
        <v>0</v>
      </c>
      <c r="I1442">
        <f>IF('Raw Data'!G1442&lt;&gt;'','Raw Data'!G1442,IFERROR(MID(F1442,SEARCH("MODEL",F1442)+6,20),""))</f>
        <v>0</v>
      </c>
      <c r="J1442">
        <f>'Raw Data'!H1442</f>
        <v>0</v>
      </c>
      <c r="K1442">
        <f>'Raw Data'!I1442</f>
        <v>0</v>
      </c>
      <c r="L1442">
        <f>IF('Raw Data'!N1442&lt;&gt;0,'Raw Data'!N1442,IFERROR(VALUE(MID(F1442,SEARCH("QTY",F1442)+4,IFERROR(FIND(" ",F1442,SEARCH("QTY",F1442)+4)-(SEARCH("QTY",F1442)+4),3))),""))</f>
        <v>0</v>
      </c>
      <c r="M1442">
        <f>'Raw Data'!O1442</f>
        <v>0</v>
      </c>
      <c r="N1442">
        <f>'Raw Data'!P1442</f>
        <v>0</v>
      </c>
      <c r="O1442">
        <f>'Raw Data'!Q1442</f>
        <v>0</v>
      </c>
      <c r="P1442">
        <f>'Raw Data'!R1442</f>
        <v>0</v>
      </c>
      <c r="Q1442">
        <f>'Raw Data'!S1442</f>
        <v>0</v>
      </c>
      <c r="R1442">
        <f>'Raw Data'!T1442</f>
        <v>0</v>
      </c>
      <c r="S1442">
        <f>IFERROR(O1442,0)+IFERROR(R1442,0)</f>
        <v>0</v>
      </c>
      <c r="T1442">
        <f>IF(A1442="","",YEAR(A1442))</f>
        <v>0</v>
      </c>
    </row>
    <row r="1443" spans="1:20">
      <c r="A1443">
        <f>'Raw Data'!B1443</f>
        <v>0</v>
      </c>
      <c r="B1443">
        <f>'Raw Data'!A1443</f>
        <v>0</v>
      </c>
      <c r="C1443">
        <f>'Raw Data'!C1443</f>
        <v>0</v>
      </c>
      <c r="D1443">
        <f>'Raw Data'!D1443</f>
        <v>0</v>
      </c>
      <c r="E1443">
        <f>IFERROR(VLOOKUP(D1443,'Lookup Tables'!$A:$B,2,FALSE),"Unknown")</f>
        <v>0</v>
      </c>
      <c r="F1443">
        <f>'Raw Data'!E1443</f>
        <v>0</v>
      </c>
      <c r="G1443">
        <f>IFERROR(VLOOKUP(D1443,'Lookup Tables'!$A:$C,3,FALSE),IF(ISNUMBER(SEARCH("STEEL",F1443)),"Steel","Others"))</f>
        <v>0</v>
      </c>
      <c r="H1443">
        <f>IF(ISNUMBER(SEARCH("scrubber",F1443)) , "Scrubber", IF(ISNUMBER(SEARCH("container",F1443)),"Container", IF(ISNUMBER(SEARCH("basket",F1443)),"Basket", IF(ISNUMBER(SEARCH("lunch",F1443)),"Lunch Box", IF(ISNUMBER(SEARCH("cutlery",F1443)),"Cutlery","Other")))))</f>
        <v>0</v>
      </c>
      <c r="I1443">
        <f>IF('Raw Data'!G1443&lt;&gt;'','Raw Data'!G1443,IFERROR(MID(F1443,SEARCH("MODEL",F1443)+6,20),""))</f>
        <v>0</v>
      </c>
      <c r="J1443">
        <f>'Raw Data'!H1443</f>
        <v>0</v>
      </c>
      <c r="K1443">
        <f>'Raw Data'!I1443</f>
        <v>0</v>
      </c>
      <c r="L1443">
        <f>IF('Raw Data'!N1443&lt;&gt;0,'Raw Data'!N1443,IFERROR(VALUE(MID(F1443,SEARCH("QTY",F1443)+4,IFERROR(FIND(" ",F1443,SEARCH("QTY",F1443)+4)-(SEARCH("QTY",F1443)+4),3))),""))</f>
        <v>0</v>
      </c>
      <c r="M1443">
        <f>'Raw Data'!O1443</f>
        <v>0</v>
      </c>
      <c r="N1443">
        <f>'Raw Data'!P1443</f>
        <v>0</v>
      </c>
      <c r="O1443">
        <f>'Raw Data'!Q1443</f>
        <v>0</v>
      </c>
      <c r="P1443">
        <f>'Raw Data'!R1443</f>
        <v>0</v>
      </c>
      <c r="Q1443">
        <f>'Raw Data'!S1443</f>
        <v>0</v>
      </c>
      <c r="R1443">
        <f>'Raw Data'!T1443</f>
        <v>0</v>
      </c>
      <c r="S1443">
        <f>IFERROR(O1443,0)+IFERROR(R1443,0)</f>
        <v>0</v>
      </c>
      <c r="T1443">
        <f>IF(A1443="","",YEAR(A1443))</f>
        <v>0</v>
      </c>
    </row>
    <row r="1444" spans="1:20">
      <c r="A1444">
        <f>'Raw Data'!B1444</f>
        <v>0</v>
      </c>
      <c r="B1444">
        <f>'Raw Data'!A1444</f>
        <v>0</v>
      </c>
      <c r="C1444">
        <f>'Raw Data'!C1444</f>
        <v>0</v>
      </c>
      <c r="D1444">
        <f>'Raw Data'!D1444</f>
        <v>0</v>
      </c>
      <c r="E1444">
        <f>IFERROR(VLOOKUP(D1444,'Lookup Tables'!$A:$B,2,FALSE),"Unknown")</f>
        <v>0</v>
      </c>
      <c r="F1444">
        <f>'Raw Data'!E1444</f>
        <v>0</v>
      </c>
      <c r="G1444">
        <f>IFERROR(VLOOKUP(D1444,'Lookup Tables'!$A:$C,3,FALSE),IF(ISNUMBER(SEARCH("STEEL",F1444)),"Steel","Others"))</f>
        <v>0</v>
      </c>
      <c r="H1444">
        <f>IF(ISNUMBER(SEARCH("scrubber",F1444)) , "Scrubber", IF(ISNUMBER(SEARCH("container",F1444)),"Container", IF(ISNUMBER(SEARCH("basket",F1444)),"Basket", IF(ISNUMBER(SEARCH("lunch",F1444)),"Lunch Box", IF(ISNUMBER(SEARCH("cutlery",F1444)),"Cutlery","Other")))))</f>
        <v>0</v>
      </c>
      <c r="I1444">
        <f>IF('Raw Data'!G1444&lt;&gt;'','Raw Data'!G1444,IFERROR(MID(F1444,SEARCH("MODEL",F1444)+6,20),""))</f>
        <v>0</v>
      </c>
      <c r="J1444">
        <f>'Raw Data'!H1444</f>
        <v>0</v>
      </c>
      <c r="K1444">
        <f>'Raw Data'!I1444</f>
        <v>0</v>
      </c>
      <c r="L1444">
        <f>IF('Raw Data'!N1444&lt;&gt;0,'Raw Data'!N1444,IFERROR(VALUE(MID(F1444,SEARCH("QTY",F1444)+4,IFERROR(FIND(" ",F1444,SEARCH("QTY",F1444)+4)-(SEARCH("QTY",F1444)+4),3))),""))</f>
        <v>0</v>
      </c>
      <c r="M1444">
        <f>'Raw Data'!O1444</f>
        <v>0</v>
      </c>
      <c r="N1444">
        <f>'Raw Data'!P1444</f>
        <v>0</v>
      </c>
      <c r="O1444">
        <f>'Raw Data'!Q1444</f>
        <v>0</v>
      </c>
      <c r="P1444">
        <f>'Raw Data'!R1444</f>
        <v>0</v>
      </c>
      <c r="Q1444">
        <f>'Raw Data'!S1444</f>
        <v>0</v>
      </c>
      <c r="R1444">
        <f>'Raw Data'!T1444</f>
        <v>0</v>
      </c>
      <c r="S1444">
        <f>IFERROR(O1444,0)+IFERROR(R1444,0)</f>
        <v>0</v>
      </c>
      <c r="T1444">
        <f>IF(A1444="","",YEAR(A1444))</f>
        <v>0</v>
      </c>
    </row>
    <row r="1445" spans="1:20">
      <c r="A1445">
        <f>'Raw Data'!B1445</f>
        <v>0</v>
      </c>
      <c r="B1445">
        <f>'Raw Data'!A1445</f>
        <v>0</v>
      </c>
      <c r="C1445">
        <f>'Raw Data'!C1445</f>
        <v>0</v>
      </c>
      <c r="D1445">
        <f>'Raw Data'!D1445</f>
        <v>0</v>
      </c>
      <c r="E1445">
        <f>IFERROR(VLOOKUP(D1445,'Lookup Tables'!$A:$B,2,FALSE),"Unknown")</f>
        <v>0</v>
      </c>
      <c r="F1445">
        <f>'Raw Data'!E1445</f>
        <v>0</v>
      </c>
      <c r="G1445">
        <f>IFERROR(VLOOKUP(D1445,'Lookup Tables'!$A:$C,3,FALSE),IF(ISNUMBER(SEARCH("STEEL",F1445)),"Steel","Others"))</f>
        <v>0</v>
      </c>
      <c r="H1445">
        <f>IF(ISNUMBER(SEARCH("scrubber",F1445)) , "Scrubber", IF(ISNUMBER(SEARCH("container",F1445)),"Container", IF(ISNUMBER(SEARCH("basket",F1445)),"Basket", IF(ISNUMBER(SEARCH("lunch",F1445)),"Lunch Box", IF(ISNUMBER(SEARCH("cutlery",F1445)),"Cutlery","Other")))))</f>
        <v>0</v>
      </c>
      <c r="I1445">
        <f>IF('Raw Data'!G1445&lt;&gt;'','Raw Data'!G1445,IFERROR(MID(F1445,SEARCH("MODEL",F1445)+6,20),""))</f>
        <v>0</v>
      </c>
      <c r="J1445">
        <f>'Raw Data'!H1445</f>
        <v>0</v>
      </c>
      <c r="K1445">
        <f>'Raw Data'!I1445</f>
        <v>0</v>
      </c>
      <c r="L1445">
        <f>IF('Raw Data'!N1445&lt;&gt;0,'Raw Data'!N1445,IFERROR(VALUE(MID(F1445,SEARCH("QTY",F1445)+4,IFERROR(FIND(" ",F1445,SEARCH("QTY",F1445)+4)-(SEARCH("QTY",F1445)+4),3))),""))</f>
        <v>0</v>
      </c>
      <c r="M1445">
        <f>'Raw Data'!O1445</f>
        <v>0</v>
      </c>
      <c r="N1445">
        <f>'Raw Data'!P1445</f>
        <v>0</v>
      </c>
      <c r="O1445">
        <f>'Raw Data'!Q1445</f>
        <v>0</v>
      </c>
      <c r="P1445">
        <f>'Raw Data'!R1445</f>
        <v>0</v>
      </c>
      <c r="Q1445">
        <f>'Raw Data'!S1445</f>
        <v>0</v>
      </c>
      <c r="R1445">
        <f>'Raw Data'!T1445</f>
        <v>0</v>
      </c>
      <c r="S1445">
        <f>IFERROR(O1445,0)+IFERROR(R1445,0)</f>
        <v>0</v>
      </c>
      <c r="T1445">
        <f>IF(A1445="","",YEAR(A1445))</f>
        <v>0</v>
      </c>
    </row>
    <row r="1446" spans="1:20">
      <c r="A1446">
        <f>'Raw Data'!B1446</f>
        <v>0</v>
      </c>
      <c r="B1446">
        <f>'Raw Data'!A1446</f>
        <v>0</v>
      </c>
      <c r="C1446">
        <f>'Raw Data'!C1446</f>
        <v>0</v>
      </c>
      <c r="D1446">
        <f>'Raw Data'!D1446</f>
        <v>0</v>
      </c>
      <c r="E1446">
        <f>IFERROR(VLOOKUP(D1446,'Lookup Tables'!$A:$B,2,FALSE),"Unknown")</f>
        <v>0</v>
      </c>
      <c r="F1446">
        <f>'Raw Data'!E1446</f>
        <v>0</v>
      </c>
      <c r="G1446">
        <f>IFERROR(VLOOKUP(D1446,'Lookup Tables'!$A:$C,3,FALSE),IF(ISNUMBER(SEARCH("STEEL",F1446)),"Steel","Others"))</f>
        <v>0</v>
      </c>
      <c r="H1446">
        <f>IF(ISNUMBER(SEARCH("scrubber",F1446)) , "Scrubber", IF(ISNUMBER(SEARCH("container",F1446)),"Container", IF(ISNUMBER(SEARCH("basket",F1446)),"Basket", IF(ISNUMBER(SEARCH("lunch",F1446)),"Lunch Box", IF(ISNUMBER(SEARCH("cutlery",F1446)),"Cutlery","Other")))))</f>
        <v>0</v>
      </c>
      <c r="I1446">
        <f>IF('Raw Data'!G1446&lt;&gt;'','Raw Data'!G1446,IFERROR(MID(F1446,SEARCH("MODEL",F1446)+6,20),""))</f>
        <v>0</v>
      </c>
      <c r="J1446">
        <f>'Raw Data'!H1446</f>
        <v>0</v>
      </c>
      <c r="K1446">
        <f>'Raw Data'!I1446</f>
        <v>0</v>
      </c>
      <c r="L1446">
        <f>IF('Raw Data'!N1446&lt;&gt;0,'Raw Data'!N1446,IFERROR(VALUE(MID(F1446,SEARCH("QTY",F1446)+4,IFERROR(FIND(" ",F1446,SEARCH("QTY",F1446)+4)-(SEARCH("QTY",F1446)+4),3))),""))</f>
        <v>0</v>
      </c>
      <c r="M1446">
        <f>'Raw Data'!O1446</f>
        <v>0</v>
      </c>
      <c r="N1446">
        <f>'Raw Data'!P1446</f>
        <v>0</v>
      </c>
      <c r="O1446">
        <f>'Raw Data'!Q1446</f>
        <v>0</v>
      </c>
      <c r="P1446">
        <f>'Raw Data'!R1446</f>
        <v>0</v>
      </c>
      <c r="Q1446">
        <f>'Raw Data'!S1446</f>
        <v>0</v>
      </c>
      <c r="R1446">
        <f>'Raw Data'!T1446</f>
        <v>0</v>
      </c>
      <c r="S1446">
        <f>IFERROR(O1446,0)+IFERROR(R1446,0)</f>
        <v>0</v>
      </c>
      <c r="T1446">
        <f>IF(A1446="","",YEAR(A1446))</f>
        <v>0</v>
      </c>
    </row>
    <row r="1447" spans="1:20">
      <c r="A1447">
        <f>'Raw Data'!B1447</f>
        <v>0</v>
      </c>
      <c r="B1447">
        <f>'Raw Data'!A1447</f>
        <v>0</v>
      </c>
      <c r="C1447">
        <f>'Raw Data'!C1447</f>
        <v>0</v>
      </c>
      <c r="D1447">
        <f>'Raw Data'!D1447</f>
        <v>0</v>
      </c>
      <c r="E1447">
        <f>IFERROR(VLOOKUP(D1447,'Lookup Tables'!$A:$B,2,FALSE),"Unknown")</f>
        <v>0</v>
      </c>
      <c r="F1447">
        <f>'Raw Data'!E1447</f>
        <v>0</v>
      </c>
      <c r="G1447">
        <f>IFERROR(VLOOKUP(D1447,'Lookup Tables'!$A:$C,3,FALSE),IF(ISNUMBER(SEARCH("STEEL",F1447)),"Steel","Others"))</f>
        <v>0</v>
      </c>
      <c r="H1447">
        <f>IF(ISNUMBER(SEARCH("scrubber",F1447)) , "Scrubber", IF(ISNUMBER(SEARCH("container",F1447)),"Container", IF(ISNUMBER(SEARCH("basket",F1447)),"Basket", IF(ISNUMBER(SEARCH("lunch",F1447)),"Lunch Box", IF(ISNUMBER(SEARCH("cutlery",F1447)),"Cutlery","Other")))))</f>
        <v>0</v>
      </c>
      <c r="I1447">
        <f>IF('Raw Data'!G1447&lt;&gt;'','Raw Data'!G1447,IFERROR(MID(F1447,SEARCH("MODEL",F1447)+6,20),""))</f>
        <v>0</v>
      </c>
      <c r="J1447">
        <f>'Raw Data'!H1447</f>
        <v>0</v>
      </c>
      <c r="K1447">
        <f>'Raw Data'!I1447</f>
        <v>0</v>
      </c>
      <c r="L1447">
        <f>IF('Raw Data'!N1447&lt;&gt;0,'Raw Data'!N1447,IFERROR(VALUE(MID(F1447,SEARCH("QTY",F1447)+4,IFERROR(FIND(" ",F1447,SEARCH("QTY",F1447)+4)-(SEARCH("QTY",F1447)+4),3))),""))</f>
        <v>0</v>
      </c>
      <c r="M1447">
        <f>'Raw Data'!O1447</f>
        <v>0</v>
      </c>
      <c r="N1447">
        <f>'Raw Data'!P1447</f>
        <v>0</v>
      </c>
      <c r="O1447">
        <f>'Raw Data'!Q1447</f>
        <v>0</v>
      </c>
      <c r="P1447">
        <f>'Raw Data'!R1447</f>
        <v>0</v>
      </c>
      <c r="Q1447">
        <f>'Raw Data'!S1447</f>
        <v>0</v>
      </c>
      <c r="R1447">
        <f>'Raw Data'!T1447</f>
        <v>0</v>
      </c>
      <c r="S1447">
        <f>IFERROR(O1447,0)+IFERROR(R1447,0)</f>
        <v>0</v>
      </c>
      <c r="T1447">
        <f>IF(A1447="","",YEAR(A1447))</f>
        <v>0</v>
      </c>
    </row>
    <row r="1448" spans="1:20">
      <c r="A1448">
        <f>'Raw Data'!B1448</f>
        <v>0</v>
      </c>
      <c r="B1448">
        <f>'Raw Data'!A1448</f>
        <v>0</v>
      </c>
      <c r="C1448">
        <f>'Raw Data'!C1448</f>
        <v>0</v>
      </c>
      <c r="D1448">
        <f>'Raw Data'!D1448</f>
        <v>0</v>
      </c>
      <c r="E1448">
        <f>IFERROR(VLOOKUP(D1448,'Lookup Tables'!$A:$B,2,FALSE),"Unknown")</f>
        <v>0</v>
      </c>
      <c r="F1448">
        <f>'Raw Data'!E1448</f>
        <v>0</v>
      </c>
      <c r="G1448">
        <f>IFERROR(VLOOKUP(D1448,'Lookup Tables'!$A:$C,3,FALSE),IF(ISNUMBER(SEARCH("STEEL",F1448)),"Steel","Others"))</f>
        <v>0</v>
      </c>
      <c r="H1448">
        <f>IF(ISNUMBER(SEARCH("scrubber",F1448)) , "Scrubber", IF(ISNUMBER(SEARCH("container",F1448)),"Container", IF(ISNUMBER(SEARCH("basket",F1448)),"Basket", IF(ISNUMBER(SEARCH("lunch",F1448)),"Lunch Box", IF(ISNUMBER(SEARCH("cutlery",F1448)),"Cutlery","Other")))))</f>
        <v>0</v>
      </c>
      <c r="I1448">
        <f>IF('Raw Data'!G1448&lt;&gt;'','Raw Data'!G1448,IFERROR(MID(F1448,SEARCH("MODEL",F1448)+6,20),""))</f>
        <v>0</v>
      </c>
      <c r="J1448">
        <f>'Raw Data'!H1448</f>
        <v>0</v>
      </c>
      <c r="K1448">
        <f>'Raw Data'!I1448</f>
        <v>0</v>
      </c>
      <c r="L1448">
        <f>IF('Raw Data'!N1448&lt;&gt;0,'Raw Data'!N1448,IFERROR(VALUE(MID(F1448,SEARCH("QTY",F1448)+4,IFERROR(FIND(" ",F1448,SEARCH("QTY",F1448)+4)-(SEARCH("QTY",F1448)+4),3))),""))</f>
        <v>0</v>
      </c>
      <c r="M1448">
        <f>'Raw Data'!O1448</f>
        <v>0</v>
      </c>
      <c r="N1448">
        <f>'Raw Data'!P1448</f>
        <v>0</v>
      </c>
      <c r="O1448">
        <f>'Raw Data'!Q1448</f>
        <v>0</v>
      </c>
      <c r="P1448">
        <f>'Raw Data'!R1448</f>
        <v>0</v>
      </c>
      <c r="Q1448">
        <f>'Raw Data'!S1448</f>
        <v>0</v>
      </c>
      <c r="R1448">
        <f>'Raw Data'!T1448</f>
        <v>0</v>
      </c>
      <c r="S1448">
        <f>IFERROR(O1448,0)+IFERROR(R1448,0)</f>
        <v>0</v>
      </c>
      <c r="T1448">
        <f>IF(A1448="","",YEAR(A1448))</f>
        <v>0</v>
      </c>
    </row>
    <row r="1449" spans="1:20">
      <c r="A1449">
        <f>'Raw Data'!B1449</f>
        <v>0</v>
      </c>
      <c r="B1449">
        <f>'Raw Data'!A1449</f>
        <v>0</v>
      </c>
      <c r="C1449">
        <f>'Raw Data'!C1449</f>
        <v>0</v>
      </c>
      <c r="D1449">
        <f>'Raw Data'!D1449</f>
        <v>0</v>
      </c>
      <c r="E1449">
        <f>IFERROR(VLOOKUP(D1449,'Lookup Tables'!$A:$B,2,FALSE),"Unknown")</f>
        <v>0</v>
      </c>
      <c r="F1449">
        <f>'Raw Data'!E1449</f>
        <v>0</v>
      </c>
      <c r="G1449">
        <f>IFERROR(VLOOKUP(D1449,'Lookup Tables'!$A:$C,3,FALSE),IF(ISNUMBER(SEARCH("STEEL",F1449)),"Steel","Others"))</f>
        <v>0</v>
      </c>
      <c r="H1449">
        <f>IF(ISNUMBER(SEARCH("scrubber",F1449)) , "Scrubber", IF(ISNUMBER(SEARCH("container",F1449)),"Container", IF(ISNUMBER(SEARCH("basket",F1449)),"Basket", IF(ISNUMBER(SEARCH("lunch",F1449)),"Lunch Box", IF(ISNUMBER(SEARCH("cutlery",F1449)),"Cutlery","Other")))))</f>
        <v>0</v>
      </c>
      <c r="I1449">
        <f>IF('Raw Data'!G1449&lt;&gt;'','Raw Data'!G1449,IFERROR(MID(F1449,SEARCH("MODEL",F1449)+6,20),""))</f>
        <v>0</v>
      </c>
      <c r="J1449">
        <f>'Raw Data'!H1449</f>
        <v>0</v>
      </c>
      <c r="K1449">
        <f>'Raw Data'!I1449</f>
        <v>0</v>
      </c>
      <c r="L1449">
        <f>IF('Raw Data'!N1449&lt;&gt;0,'Raw Data'!N1449,IFERROR(VALUE(MID(F1449,SEARCH("QTY",F1449)+4,IFERROR(FIND(" ",F1449,SEARCH("QTY",F1449)+4)-(SEARCH("QTY",F1449)+4),3))),""))</f>
        <v>0</v>
      </c>
      <c r="M1449">
        <f>'Raw Data'!O1449</f>
        <v>0</v>
      </c>
      <c r="N1449">
        <f>'Raw Data'!P1449</f>
        <v>0</v>
      </c>
      <c r="O1449">
        <f>'Raw Data'!Q1449</f>
        <v>0</v>
      </c>
      <c r="P1449">
        <f>'Raw Data'!R1449</f>
        <v>0</v>
      </c>
      <c r="Q1449">
        <f>'Raw Data'!S1449</f>
        <v>0</v>
      </c>
      <c r="R1449">
        <f>'Raw Data'!T1449</f>
        <v>0</v>
      </c>
      <c r="S1449">
        <f>IFERROR(O1449,0)+IFERROR(R1449,0)</f>
        <v>0</v>
      </c>
      <c r="T1449">
        <f>IF(A1449="","",YEAR(A1449))</f>
        <v>0</v>
      </c>
    </row>
    <row r="1450" spans="1:20">
      <c r="A1450">
        <f>'Raw Data'!B1450</f>
        <v>0</v>
      </c>
      <c r="B1450">
        <f>'Raw Data'!A1450</f>
        <v>0</v>
      </c>
      <c r="C1450">
        <f>'Raw Data'!C1450</f>
        <v>0</v>
      </c>
      <c r="D1450">
        <f>'Raw Data'!D1450</f>
        <v>0</v>
      </c>
      <c r="E1450">
        <f>IFERROR(VLOOKUP(D1450,'Lookup Tables'!$A:$B,2,FALSE),"Unknown")</f>
        <v>0</v>
      </c>
      <c r="F1450">
        <f>'Raw Data'!E1450</f>
        <v>0</v>
      </c>
      <c r="G1450">
        <f>IFERROR(VLOOKUP(D1450,'Lookup Tables'!$A:$C,3,FALSE),IF(ISNUMBER(SEARCH("STEEL",F1450)),"Steel","Others"))</f>
        <v>0</v>
      </c>
      <c r="H1450">
        <f>IF(ISNUMBER(SEARCH("scrubber",F1450)) , "Scrubber", IF(ISNUMBER(SEARCH("container",F1450)),"Container", IF(ISNUMBER(SEARCH("basket",F1450)),"Basket", IF(ISNUMBER(SEARCH("lunch",F1450)),"Lunch Box", IF(ISNUMBER(SEARCH("cutlery",F1450)),"Cutlery","Other")))))</f>
        <v>0</v>
      </c>
      <c r="I1450">
        <f>IF('Raw Data'!G1450&lt;&gt;'','Raw Data'!G1450,IFERROR(MID(F1450,SEARCH("MODEL",F1450)+6,20),""))</f>
        <v>0</v>
      </c>
      <c r="J1450">
        <f>'Raw Data'!H1450</f>
        <v>0</v>
      </c>
      <c r="K1450">
        <f>'Raw Data'!I1450</f>
        <v>0</v>
      </c>
      <c r="L1450">
        <f>IF('Raw Data'!N1450&lt;&gt;0,'Raw Data'!N1450,IFERROR(VALUE(MID(F1450,SEARCH("QTY",F1450)+4,IFERROR(FIND(" ",F1450,SEARCH("QTY",F1450)+4)-(SEARCH("QTY",F1450)+4),3))),""))</f>
        <v>0</v>
      </c>
      <c r="M1450">
        <f>'Raw Data'!O1450</f>
        <v>0</v>
      </c>
      <c r="N1450">
        <f>'Raw Data'!P1450</f>
        <v>0</v>
      </c>
      <c r="O1450">
        <f>'Raw Data'!Q1450</f>
        <v>0</v>
      </c>
      <c r="P1450">
        <f>'Raw Data'!R1450</f>
        <v>0</v>
      </c>
      <c r="Q1450">
        <f>'Raw Data'!S1450</f>
        <v>0</v>
      </c>
      <c r="R1450">
        <f>'Raw Data'!T1450</f>
        <v>0</v>
      </c>
      <c r="S1450">
        <f>IFERROR(O1450,0)+IFERROR(R1450,0)</f>
        <v>0</v>
      </c>
      <c r="T1450">
        <f>IF(A1450="","",YEAR(A1450))</f>
        <v>0</v>
      </c>
    </row>
    <row r="1451" spans="1:20">
      <c r="A1451">
        <f>'Raw Data'!B1451</f>
        <v>0</v>
      </c>
      <c r="B1451">
        <f>'Raw Data'!A1451</f>
        <v>0</v>
      </c>
      <c r="C1451">
        <f>'Raw Data'!C1451</f>
        <v>0</v>
      </c>
      <c r="D1451">
        <f>'Raw Data'!D1451</f>
        <v>0</v>
      </c>
      <c r="E1451">
        <f>IFERROR(VLOOKUP(D1451,'Lookup Tables'!$A:$B,2,FALSE),"Unknown")</f>
        <v>0</v>
      </c>
      <c r="F1451">
        <f>'Raw Data'!E1451</f>
        <v>0</v>
      </c>
      <c r="G1451">
        <f>IFERROR(VLOOKUP(D1451,'Lookup Tables'!$A:$C,3,FALSE),IF(ISNUMBER(SEARCH("STEEL",F1451)),"Steel","Others"))</f>
        <v>0</v>
      </c>
      <c r="H1451">
        <f>IF(ISNUMBER(SEARCH("scrubber",F1451)) , "Scrubber", IF(ISNUMBER(SEARCH("container",F1451)),"Container", IF(ISNUMBER(SEARCH("basket",F1451)),"Basket", IF(ISNUMBER(SEARCH("lunch",F1451)),"Lunch Box", IF(ISNUMBER(SEARCH("cutlery",F1451)),"Cutlery","Other")))))</f>
        <v>0</v>
      </c>
      <c r="I1451">
        <f>IF('Raw Data'!G1451&lt;&gt;'','Raw Data'!G1451,IFERROR(MID(F1451,SEARCH("MODEL",F1451)+6,20),""))</f>
        <v>0</v>
      </c>
      <c r="J1451">
        <f>'Raw Data'!H1451</f>
        <v>0</v>
      </c>
      <c r="K1451">
        <f>'Raw Data'!I1451</f>
        <v>0</v>
      </c>
      <c r="L1451">
        <f>IF('Raw Data'!N1451&lt;&gt;0,'Raw Data'!N1451,IFERROR(VALUE(MID(F1451,SEARCH("QTY",F1451)+4,IFERROR(FIND(" ",F1451,SEARCH("QTY",F1451)+4)-(SEARCH("QTY",F1451)+4),3))),""))</f>
        <v>0</v>
      </c>
      <c r="M1451">
        <f>'Raw Data'!O1451</f>
        <v>0</v>
      </c>
      <c r="N1451">
        <f>'Raw Data'!P1451</f>
        <v>0</v>
      </c>
      <c r="O1451">
        <f>'Raw Data'!Q1451</f>
        <v>0</v>
      </c>
      <c r="P1451">
        <f>'Raw Data'!R1451</f>
        <v>0</v>
      </c>
      <c r="Q1451">
        <f>'Raw Data'!S1451</f>
        <v>0</v>
      </c>
      <c r="R1451">
        <f>'Raw Data'!T1451</f>
        <v>0</v>
      </c>
      <c r="S1451">
        <f>IFERROR(O1451,0)+IFERROR(R1451,0)</f>
        <v>0</v>
      </c>
      <c r="T1451">
        <f>IF(A1451="","",YEAR(A1451))</f>
        <v>0</v>
      </c>
    </row>
    <row r="1452" spans="1:20">
      <c r="A1452">
        <f>'Raw Data'!B1452</f>
        <v>0</v>
      </c>
      <c r="B1452">
        <f>'Raw Data'!A1452</f>
        <v>0</v>
      </c>
      <c r="C1452">
        <f>'Raw Data'!C1452</f>
        <v>0</v>
      </c>
      <c r="D1452">
        <f>'Raw Data'!D1452</f>
        <v>0</v>
      </c>
      <c r="E1452">
        <f>IFERROR(VLOOKUP(D1452,'Lookup Tables'!$A:$B,2,FALSE),"Unknown")</f>
        <v>0</v>
      </c>
      <c r="F1452">
        <f>'Raw Data'!E1452</f>
        <v>0</v>
      </c>
      <c r="G1452">
        <f>IFERROR(VLOOKUP(D1452,'Lookup Tables'!$A:$C,3,FALSE),IF(ISNUMBER(SEARCH("STEEL",F1452)),"Steel","Others"))</f>
        <v>0</v>
      </c>
      <c r="H1452">
        <f>IF(ISNUMBER(SEARCH("scrubber",F1452)) , "Scrubber", IF(ISNUMBER(SEARCH("container",F1452)),"Container", IF(ISNUMBER(SEARCH("basket",F1452)),"Basket", IF(ISNUMBER(SEARCH("lunch",F1452)),"Lunch Box", IF(ISNUMBER(SEARCH("cutlery",F1452)),"Cutlery","Other")))))</f>
        <v>0</v>
      </c>
      <c r="I1452">
        <f>IF('Raw Data'!G1452&lt;&gt;'','Raw Data'!G1452,IFERROR(MID(F1452,SEARCH("MODEL",F1452)+6,20),""))</f>
        <v>0</v>
      </c>
      <c r="J1452">
        <f>'Raw Data'!H1452</f>
        <v>0</v>
      </c>
      <c r="K1452">
        <f>'Raw Data'!I1452</f>
        <v>0</v>
      </c>
      <c r="L1452">
        <f>IF('Raw Data'!N1452&lt;&gt;0,'Raw Data'!N1452,IFERROR(VALUE(MID(F1452,SEARCH("QTY",F1452)+4,IFERROR(FIND(" ",F1452,SEARCH("QTY",F1452)+4)-(SEARCH("QTY",F1452)+4),3))),""))</f>
        <v>0</v>
      </c>
      <c r="M1452">
        <f>'Raw Data'!O1452</f>
        <v>0</v>
      </c>
      <c r="N1452">
        <f>'Raw Data'!P1452</f>
        <v>0</v>
      </c>
      <c r="O1452">
        <f>'Raw Data'!Q1452</f>
        <v>0</v>
      </c>
      <c r="P1452">
        <f>'Raw Data'!R1452</f>
        <v>0</v>
      </c>
      <c r="Q1452">
        <f>'Raw Data'!S1452</f>
        <v>0</v>
      </c>
      <c r="R1452">
        <f>'Raw Data'!T1452</f>
        <v>0</v>
      </c>
      <c r="S1452">
        <f>IFERROR(O1452,0)+IFERROR(R1452,0)</f>
        <v>0</v>
      </c>
      <c r="T1452">
        <f>IF(A1452="","",YEAR(A1452))</f>
        <v>0</v>
      </c>
    </row>
    <row r="1453" spans="1:20">
      <c r="A1453">
        <f>'Raw Data'!B1453</f>
        <v>0</v>
      </c>
      <c r="B1453">
        <f>'Raw Data'!A1453</f>
        <v>0</v>
      </c>
      <c r="C1453">
        <f>'Raw Data'!C1453</f>
        <v>0</v>
      </c>
      <c r="D1453">
        <f>'Raw Data'!D1453</f>
        <v>0</v>
      </c>
      <c r="E1453">
        <f>IFERROR(VLOOKUP(D1453,'Lookup Tables'!$A:$B,2,FALSE),"Unknown")</f>
        <v>0</v>
      </c>
      <c r="F1453">
        <f>'Raw Data'!E1453</f>
        <v>0</v>
      </c>
      <c r="G1453">
        <f>IFERROR(VLOOKUP(D1453,'Lookup Tables'!$A:$C,3,FALSE),IF(ISNUMBER(SEARCH("STEEL",F1453)),"Steel","Others"))</f>
        <v>0</v>
      </c>
      <c r="H1453">
        <f>IF(ISNUMBER(SEARCH("scrubber",F1453)) , "Scrubber", IF(ISNUMBER(SEARCH("container",F1453)),"Container", IF(ISNUMBER(SEARCH("basket",F1453)),"Basket", IF(ISNUMBER(SEARCH("lunch",F1453)),"Lunch Box", IF(ISNUMBER(SEARCH("cutlery",F1453)),"Cutlery","Other")))))</f>
        <v>0</v>
      </c>
      <c r="I1453">
        <f>IF('Raw Data'!G1453&lt;&gt;'','Raw Data'!G1453,IFERROR(MID(F1453,SEARCH("MODEL",F1453)+6,20),""))</f>
        <v>0</v>
      </c>
      <c r="J1453">
        <f>'Raw Data'!H1453</f>
        <v>0</v>
      </c>
      <c r="K1453">
        <f>'Raw Data'!I1453</f>
        <v>0</v>
      </c>
      <c r="L1453">
        <f>IF('Raw Data'!N1453&lt;&gt;0,'Raw Data'!N1453,IFERROR(VALUE(MID(F1453,SEARCH("QTY",F1453)+4,IFERROR(FIND(" ",F1453,SEARCH("QTY",F1453)+4)-(SEARCH("QTY",F1453)+4),3))),""))</f>
        <v>0</v>
      </c>
      <c r="M1453">
        <f>'Raw Data'!O1453</f>
        <v>0</v>
      </c>
      <c r="N1453">
        <f>'Raw Data'!P1453</f>
        <v>0</v>
      </c>
      <c r="O1453">
        <f>'Raw Data'!Q1453</f>
        <v>0</v>
      </c>
      <c r="P1453">
        <f>'Raw Data'!R1453</f>
        <v>0</v>
      </c>
      <c r="Q1453">
        <f>'Raw Data'!S1453</f>
        <v>0</v>
      </c>
      <c r="R1453">
        <f>'Raw Data'!T1453</f>
        <v>0</v>
      </c>
      <c r="S1453">
        <f>IFERROR(O1453,0)+IFERROR(R1453,0)</f>
        <v>0</v>
      </c>
      <c r="T1453">
        <f>IF(A1453="","",YEAR(A1453))</f>
        <v>0</v>
      </c>
    </row>
    <row r="1454" spans="1:20">
      <c r="A1454">
        <f>'Raw Data'!B1454</f>
        <v>0</v>
      </c>
      <c r="B1454">
        <f>'Raw Data'!A1454</f>
        <v>0</v>
      </c>
      <c r="C1454">
        <f>'Raw Data'!C1454</f>
        <v>0</v>
      </c>
      <c r="D1454">
        <f>'Raw Data'!D1454</f>
        <v>0</v>
      </c>
      <c r="E1454">
        <f>IFERROR(VLOOKUP(D1454,'Lookup Tables'!$A:$B,2,FALSE),"Unknown")</f>
        <v>0</v>
      </c>
      <c r="F1454">
        <f>'Raw Data'!E1454</f>
        <v>0</v>
      </c>
      <c r="G1454">
        <f>IFERROR(VLOOKUP(D1454,'Lookup Tables'!$A:$C,3,FALSE),IF(ISNUMBER(SEARCH("STEEL",F1454)),"Steel","Others"))</f>
        <v>0</v>
      </c>
      <c r="H1454">
        <f>IF(ISNUMBER(SEARCH("scrubber",F1454)) , "Scrubber", IF(ISNUMBER(SEARCH("container",F1454)),"Container", IF(ISNUMBER(SEARCH("basket",F1454)),"Basket", IF(ISNUMBER(SEARCH("lunch",F1454)),"Lunch Box", IF(ISNUMBER(SEARCH("cutlery",F1454)),"Cutlery","Other")))))</f>
        <v>0</v>
      </c>
      <c r="I1454">
        <f>IF('Raw Data'!G1454&lt;&gt;'','Raw Data'!G1454,IFERROR(MID(F1454,SEARCH("MODEL",F1454)+6,20),""))</f>
        <v>0</v>
      </c>
      <c r="J1454">
        <f>'Raw Data'!H1454</f>
        <v>0</v>
      </c>
      <c r="K1454">
        <f>'Raw Data'!I1454</f>
        <v>0</v>
      </c>
      <c r="L1454">
        <f>IF('Raw Data'!N1454&lt;&gt;0,'Raw Data'!N1454,IFERROR(VALUE(MID(F1454,SEARCH("QTY",F1454)+4,IFERROR(FIND(" ",F1454,SEARCH("QTY",F1454)+4)-(SEARCH("QTY",F1454)+4),3))),""))</f>
        <v>0</v>
      </c>
      <c r="M1454">
        <f>'Raw Data'!O1454</f>
        <v>0</v>
      </c>
      <c r="N1454">
        <f>'Raw Data'!P1454</f>
        <v>0</v>
      </c>
      <c r="O1454">
        <f>'Raw Data'!Q1454</f>
        <v>0</v>
      </c>
      <c r="P1454">
        <f>'Raw Data'!R1454</f>
        <v>0</v>
      </c>
      <c r="Q1454">
        <f>'Raw Data'!S1454</f>
        <v>0</v>
      </c>
      <c r="R1454">
        <f>'Raw Data'!T1454</f>
        <v>0</v>
      </c>
      <c r="S1454">
        <f>IFERROR(O1454,0)+IFERROR(R1454,0)</f>
        <v>0</v>
      </c>
      <c r="T1454">
        <f>IF(A1454="","",YEAR(A1454))</f>
        <v>0</v>
      </c>
    </row>
    <row r="1455" spans="1:20">
      <c r="A1455">
        <f>'Raw Data'!B1455</f>
        <v>0</v>
      </c>
      <c r="B1455">
        <f>'Raw Data'!A1455</f>
        <v>0</v>
      </c>
      <c r="C1455">
        <f>'Raw Data'!C1455</f>
        <v>0</v>
      </c>
      <c r="D1455">
        <f>'Raw Data'!D1455</f>
        <v>0</v>
      </c>
      <c r="E1455">
        <f>IFERROR(VLOOKUP(D1455,'Lookup Tables'!$A:$B,2,FALSE),"Unknown")</f>
        <v>0</v>
      </c>
      <c r="F1455">
        <f>'Raw Data'!E1455</f>
        <v>0</v>
      </c>
      <c r="G1455">
        <f>IFERROR(VLOOKUP(D1455,'Lookup Tables'!$A:$C,3,FALSE),IF(ISNUMBER(SEARCH("STEEL",F1455)),"Steel","Others"))</f>
        <v>0</v>
      </c>
      <c r="H1455">
        <f>IF(ISNUMBER(SEARCH("scrubber",F1455)) , "Scrubber", IF(ISNUMBER(SEARCH("container",F1455)),"Container", IF(ISNUMBER(SEARCH("basket",F1455)),"Basket", IF(ISNUMBER(SEARCH("lunch",F1455)),"Lunch Box", IF(ISNUMBER(SEARCH("cutlery",F1455)),"Cutlery","Other")))))</f>
        <v>0</v>
      </c>
      <c r="I1455">
        <f>IF('Raw Data'!G1455&lt;&gt;'','Raw Data'!G1455,IFERROR(MID(F1455,SEARCH("MODEL",F1455)+6,20),""))</f>
        <v>0</v>
      </c>
      <c r="J1455">
        <f>'Raw Data'!H1455</f>
        <v>0</v>
      </c>
      <c r="K1455">
        <f>'Raw Data'!I1455</f>
        <v>0</v>
      </c>
      <c r="L1455">
        <f>IF('Raw Data'!N1455&lt;&gt;0,'Raw Data'!N1455,IFERROR(VALUE(MID(F1455,SEARCH("QTY",F1455)+4,IFERROR(FIND(" ",F1455,SEARCH("QTY",F1455)+4)-(SEARCH("QTY",F1455)+4),3))),""))</f>
        <v>0</v>
      </c>
      <c r="M1455">
        <f>'Raw Data'!O1455</f>
        <v>0</v>
      </c>
      <c r="N1455">
        <f>'Raw Data'!P1455</f>
        <v>0</v>
      </c>
      <c r="O1455">
        <f>'Raw Data'!Q1455</f>
        <v>0</v>
      </c>
      <c r="P1455">
        <f>'Raw Data'!R1455</f>
        <v>0</v>
      </c>
      <c r="Q1455">
        <f>'Raw Data'!S1455</f>
        <v>0</v>
      </c>
      <c r="R1455">
        <f>'Raw Data'!T1455</f>
        <v>0</v>
      </c>
      <c r="S1455">
        <f>IFERROR(O1455,0)+IFERROR(R1455,0)</f>
        <v>0</v>
      </c>
      <c r="T1455">
        <f>IF(A1455="","",YEAR(A1455))</f>
        <v>0</v>
      </c>
    </row>
    <row r="1456" spans="1:20">
      <c r="A1456">
        <f>'Raw Data'!B1456</f>
        <v>0</v>
      </c>
      <c r="B1456">
        <f>'Raw Data'!A1456</f>
        <v>0</v>
      </c>
      <c r="C1456">
        <f>'Raw Data'!C1456</f>
        <v>0</v>
      </c>
      <c r="D1456">
        <f>'Raw Data'!D1456</f>
        <v>0</v>
      </c>
      <c r="E1456">
        <f>IFERROR(VLOOKUP(D1456,'Lookup Tables'!$A:$B,2,FALSE),"Unknown")</f>
        <v>0</v>
      </c>
      <c r="F1456">
        <f>'Raw Data'!E1456</f>
        <v>0</v>
      </c>
      <c r="G1456">
        <f>IFERROR(VLOOKUP(D1456,'Lookup Tables'!$A:$C,3,FALSE),IF(ISNUMBER(SEARCH("STEEL",F1456)),"Steel","Others"))</f>
        <v>0</v>
      </c>
      <c r="H1456">
        <f>IF(ISNUMBER(SEARCH("scrubber",F1456)) , "Scrubber", IF(ISNUMBER(SEARCH("container",F1456)),"Container", IF(ISNUMBER(SEARCH("basket",F1456)),"Basket", IF(ISNUMBER(SEARCH("lunch",F1456)),"Lunch Box", IF(ISNUMBER(SEARCH("cutlery",F1456)),"Cutlery","Other")))))</f>
        <v>0</v>
      </c>
      <c r="I1456">
        <f>IF('Raw Data'!G1456&lt;&gt;'','Raw Data'!G1456,IFERROR(MID(F1456,SEARCH("MODEL",F1456)+6,20),""))</f>
        <v>0</v>
      </c>
      <c r="J1456">
        <f>'Raw Data'!H1456</f>
        <v>0</v>
      </c>
      <c r="K1456">
        <f>'Raw Data'!I1456</f>
        <v>0</v>
      </c>
      <c r="L1456">
        <f>IF('Raw Data'!N1456&lt;&gt;0,'Raw Data'!N1456,IFERROR(VALUE(MID(F1456,SEARCH("QTY",F1456)+4,IFERROR(FIND(" ",F1456,SEARCH("QTY",F1456)+4)-(SEARCH("QTY",F1456)+4),3))),""))</f>
        <v>0</v>
      </c>
      <c r="M1456">
        <f>'Raw Data'!O1456</f>
        <v>0</v>
      </c>
      <c r="N1456">
        <f>'Raw Data'!P1456</f>
        <v>0</v>
      </c>
      <c r="O1456">
        <f>'Raw Data'!Q1456</f>
        <v>0</v>
      </c>
      <c r="P1456">
        <f>'Raw Data'!R1456</f>
        <v>0</v>
      </c>
      <c r="Q1456">
        <f>'Raw Data'!S1456</f>
        <v>0</v>
      </c>
      <c r="R1456">
        <f>'Raw Data'!T1456</f>
        <v>0</v>
      </c>
      <c r="S1456">
        <f>IFERROR(O1456,0)+IFERROR(R1456,0)</f>
        <v>0</v>
      </c>
      <c r="T1456">
        <f>IF(A1456="","",YEAR(A1456))</f>
        <v>0</v>
      </c>
    </row>
    <row r="1457" spans="1:20">
      <c r="A1457">
        <f>'Raw Data'!B1457</f>
        <v>0</v>
      </c>
      <c r="B1457">
        <f>'Raw Data'!A1457</f>
        <v>0</v>
      </c>
      <c r="C1457">
        <f>'Raw Data'!C1457</f>
        <v>0</v>
      </c>
      <c r="D1457">
        <f>'Raw Data'!D1457</f>
        <v>0</v>
      </c>
      <c r="E1457">
        <f>IFERROR(VLOOKUP(D1457,'Lookup Tables'!$A:$B,2,FALSE),"Unknown")</f>
        <v>0</v>
      </c>
      <c r="F1457">
        <f>'Raw Data'!E1457</f>
        <v>0</v>
      </c>
      <c r="G1457">
        <f>IFERROR(VLOOKUP(D1457,'Lookup Tables'!$A:$C,3,FALSE),IF(ISNUMBER(SEARCH("STEEL",F1457)),"Steel","Others"))</f>
        <v>0</v>
      </c>
      <c r="H1457">
        <f>IF(ISNUMBER(SEARCH("scrubber",F1457)) , "Scrubber", IF(ISNUMBER(SEARCH("container",F1457)),"Container", IF(ISNUMBER(SEARCH("basket",F1457)),"Basket", IF(ISNUMBER(SEARCH("lunch",F1457)),"Lunch Box", IF(ISNUMBER(SEARCH("cutlery",F1457)),"Cutlery","Other")))))</f>
        <v>0</v>
      </c>
      <c r="I1457">
        <f>IF('Raw Data'!G1457&lt;&gt;'','Raw Data'!G1457,IFERROR(MID(F1457,SEARCH("MODEL",F1457)+6,20),""))</f>
        <v>0</v>
      </c>
      <c r="J1457">
        <f>'Raw Data'!H1457</f>
        <v>0</v>
      </c>
      <c r="K1457">
        <f>'Raw Data'!I1457</f>
        <v>0</v>
      </c>
      <c r="L1457">
        <f>IF('Raw Data'!N1457&lt;&gt;0,'Raw Data'!N1457,IFERROR(VALUE(MID(F1457,SEARCH("QTY",F1457)+4,IFERROR(FIND(" ",F1457,SEARCH("QTY",F1457)+4)-(SEARCH("QTY",F1457)+4),3))),""))</f>
        <v>0</v>
      </c>
      <c r="M1457">
        <f>'Raw Data'!O1457</f>
        <v>0</v>
      </c>
      <c r="N1457">
        <f>'Raw Data'!P1457</f>
        <v>0</v>
      </c>
      <c r="O1457">
        <f>'Raw Data'!Q1457</f>
        <v>0</v>
      </c>
      <c r="P1457">
        <f>'Raw Data'!R1457</f>
        <v>0</v>
      </c>
      <c r="Q1457">
        <f>'Raw Data'!S1457</f>
        <v>0</v>
      </c>
      <c r="R1457">
        <f>'Raw Data'!T1457</f>
        <v>0</v>
      </c>
      <c r="S1457">
        <f>IFERROR(O1457,0)+IFERROR(R1457,0)</f>
        <v>0</v>
      </c>
      <c r="T1457">
        <f>IF(A1457="","",YEAR(A1457))</f>
        <v>0</v>
      </c>
    </row>
    <row r="1458" spans="1:20">
      <c r="A1458">
        <f>'Raw Data'!B1458</f>
        <v>0</v>
      </c>
      <c r="B1458">
        <f>'Raw Data'!A1458</f>
        <v>0</v>
      </c>
      <c r="C1458">
        <f>'Raw Data'!C1458</f>
        <v>0</v>
      </c>
      <c r="D1458">
        <f>'Raw Data'!D1458</f>
        <v>0</v>
      </c>
      <c r="E1458">
        <f>IFERROR(VLOOKUP(D1458,'Lookup Tables'!$A:$B,2,FALSE),"Unknown")</f>
        <v>0</v>
      </c>
      <c r="F1458">
        <f>'Raw Data'!E1458</f>
        <v>0</v>
      </c>
      <c r="G1458">
        <f>IFERROR(VLOOKUP(D1458,'Lookup Tables'!$A:$C,3,FALSE),IF(ISNUMBER(SEARCH("STEEL",F1458)),"Steel","Others"))</f>
        <v>0</v>
      </c>
      <c r="H1458">
        <f>IF(ISNUMBER(SEARCH("scrubber",F1458)) , "Scrubber", IF(ISNUMBER(SEARCH("container",F1458)),"Container", IF(ISNUMBER(SEARCH("basket",F1458)),"Basket", IF(ISNUMBER(SEARCH("lunch",F1458)),"Lunch Box", IF(ISNUMBER(SEARCH("cutlery",F1458)),"Cutlery","Other")))))</f>
        <v>0</v>
      </c>
      <c r="I1458">
        <f>IF('Raw Data'!G1458&lt;&gt;'','Raw Data'!G1458,IFERROR(MID(F1458,SEARCH("MODEL",F1458)+6,20),""))</f>
        <v>0</v>
      </c>
      <c r="J1458">
        <f>'Raw Data'!H1458</f>
        <v>0</v>
      </c>
      <c r="K1458">
        <f>'Raw Data'!I1458</f>
        <v>0</v>
      </c>
      <c r="L1458">
        <f>IF('Raw Data'!N1458&lt;&gt;0,'Raw Data'!N1458,IFERROR(VALUE(MID(F1458,SEARCH("QTY",F1458)+4,IFERROR(FIND(" ",F1458,SEARCH("QTY",F1458)+4)-(SEARCH("QTY",F1458)+4),3))),""))</f>
        <v>0</v>
      </c>
      <c r="M1458">
        <f>'Raw Data'!O1458</f>
        <v>0</v>
      </c>
      <c r="N1458">
        <f>'Raw Data'!P1458</f>
        <v>0</v>
      </c>
      <c r="O1458">
        <f>'Raw Data'!Q1458</f>
        <v>0</v>
      </c>
      <c r="P1458">
        <f>'Raw Data'!R1458</f>
        <v>0</v>
      </c>
      <c r="Q1458">
        <f>'Raw Data'!S1458</f>
        <v>0</v>
      </c>
      <c r="R1458">
        <f>'Raw Data'!T1458</f>
        <v>0</v>
      </c>
      <c r="S1458">
        <f>IFERROR(O1458,0)+IFERROR(R1458,0)</f>
        <v>0</v>
      </c>
      <c r="T1458">
        <f>IF(A1458="","",YEAR(A1458))</f>
        <v>0</v>
      </c>
    </row>
    <row r="1459" spans="1:20">
      <c r="A1459">
        <f>'Raw Data'!B1459</f>
        <v>0</v>
      </c>
      <c r="B1459">
        <f>'Raw Data'!A1459</f>
        <v>0</v>
      </c>
      <c r="C1459">
        <f>'Raw Data'!C1459</f>
        <v>0</v>
      </c>
      <c r="D1459">
        <f>'Raw Data'!D1459</f>
        <v>0</v>
      </c>
      <c r="E1459">
        <f>IFERROR(VLOOKUP(D1459,'Lookup Tables'!$A:$B,2,FALSE),"Unknown")</f>
        <v>0</v>
      </c>
      <c r="F1459">
        <f>'Raw Data'!E1459</f>
        <v>0</v>
      </c>
      <c r="G1459">
        <f>IFERROR(VLOOKUP(D1459,'Lookup Tables'!$A:$C,3,FALSE),IF(ISNUMBER(SEARCH("STEEL",F1459)),"Steel","Others"))</f>
        <v>0</v>
      </c>
      <c r="H1459">
        <f>IF(ISNUMBER(SEARCH("scrubber",F1459)) , "Scrubber", IF(ISNUMBER(SEARCH("container",F1459)),"Container", IF(ISNUMBER(SEARCH("basket",F1459)),"Basket", IF(ISNUMBER(SEARCH("lunch",F1459)),"Lunch Box", IF(ISNUMBER(SEARCH("cutlery",F1459)),"Cutlery","Other")))))</f>
        <v>0</v>
      </c>
      <c r="I1459">
        <f>IF('Raw Data'!G1459&lt;&gt;'','Raw Data'!G1459,IFERROR(MID(F1459,SEARCH("MODEL",F1459)+6,20),""))</f>
        <v>0</v>
      </c>
      <c r="J1459">
        <f>'Raw Data'!H1459</f>
        <v>0</v>
      </c>
      <c r="K1459">
        <f>'Raw Data'!I1459</f>
        <v>0</v>
      </c>
      <c r="L1459">
        <f>IF('Raw Data'!N1459&lt;&gt;0,'Raw Data'!N1459,IFERROR(VALUE(MID(F1459,SEARCH("QTY",F1459)+4,IFERROR(FIND(" ",F1459,SEARCH("QTY",F1459)+4)-(SEARCH("QTY",F1459)+4),3))),""))</f>
        <v>0</v>
      </c>
      <c r="M1459">
        <f>'Raw Data'!O1459</f>
        <v>0</v>
      </c>
      <c r="N1459">
        <f>'Raw Data'!P1459</f>
        <v>0</v>
      </c>
      <c r="O1459">
        <f>'Raw Data'!Q1459</f>
        <v>0</v>
      </c>
      <c r="P1459">
        <f>'Raw Data'!R1459</f>
        <v>0</v>
      </c>
      <c r="Q1459">
        <f>'Raw Data'!S1459</f>
        <v>0</v>
      </c>
      <c r="R1459">
        <f>'Raw Data'!T1459</f>
        <v>0</v>
      </c>
      <c r="S1459">
        <f>IFERROR(O1459,0)+IFERROR(R1459,0)</f>
        <v>0</v>
      </c>
      <c r="T1459">
        <f>IF(A1459="","",YEAR(A1459))</f>
        <v>0</v>
      </c>
    </row>
    <row r="1460" spans="1:20">
      <c r="A1460">
        <f>'Raw Data'!B1460</f>
        <v>0</v>
      </c>
      <c r="B1460">
        <f>'Raw Data'!A1460</f>
        <v>0</v>
      </c>
      <c r="C1460">
        <f>'Raw Data'!C1460</f>
        <v>0</v>
      </c>
      <c r="D1460">
        <f>'Raw Data'!D1460</f>
        <v>0</v>
      </c>
      <c r="E1460">
        <f>IFERROR(VLOOKUP(D1460,'Lookup Tables'!$A:$B,2,FALSE),"Unknown")</f>
        <v>0</v>
      </c>
      <c r="F1460">
        <f>'Raw Data'!E1460</f>
        <v>0</v>
      </c>
      <c r="G1460">
        <f>IFERROR(VLOOKUP(D1460,'Lookup Tables'!$A:$C,3,FALSE),IF(ISNUMBER(SEARCH("STEEL",F1460)),"Steel","Others"))</f>
        <v>0</v>
      </c>
      <c r="H1460">
        <f>IF(ISNUMBER(SEARCH("scrubber",F1460)) , "Scrubber", IF(ISNUMBER(SEARCH("container",F1460)),"Container", IF(ISNUMBER(SEARCH("basket",F1460)),"Basket", IF(ISNUMBER(SEARCH("lunch",F1460)),"Lunch Box", IF(ISNUMBER(SEARCH("cutlery",F1460)),"Cutlery","Other")))))</f>
        <v>0</v>
      </c>
      <c r="I1460">
        <f>IF('Raw Data'!G1460&lt;&gt;'','Raw Data'!G1460,IFERROR(MID(F1460,SEARCH("MODEL",F1460)+6,20),""))</f>
        <v>0</v>
      </c>
      <c r="J1460">
        <f>'Raw Data'!H1460</f>
        <v>0</v>
      </c>
      <c r="K1460">
        <f>'Raw Data'!I1460</f>
        <v>0</v>
      </c>
      <c r="L1460">
        <f>IF('Raw Data'!N1460&lt;&gt;0,'Raw Data'!N1460,IFERROR(VALUE(MID(F1460,SEARCH("QTY",F1460)+4,IFERROR(FIND(" ",F1460,SEARCH("QTY",F1460)+4)-(SEARCH("QTY",F1460)+4),3))),""))</f>
        <v>0</v>
      </c>
      <c r="M1460">
        <f>'Raw Data'!O1460</f>
        <v>0</v>
      </c>
      <c r="N1460">
        <f>'Raw Data'!P1460</f>
        <v>0</v>
      </c>
      <c r="O1460">
        <f>'Raw Data'!Q1460</f>
        <v>0</v>
      </c>
      <c r="P1460">
        <f>'Raw Data'!R1460</f>
        <v>0</v>
      </c>
      <c r="Q1460">
        <f>'Raw Data'!S1460</f>
        <v>0</v>
      </c>
      <c r="R1460">
        <f>'Raw Data'!T1460</f>
        <v>0</v>
      </c>
      <c r="S1460">
        <f>IFERROR(O1460,0)+IFERROR(R1460,0)</f>
        <v>0</v>
      </c>
      <c r="T1460">
        <f>IF(A1460="","",YEAR(A1460))</f>
        <v>0</v>
      </c>
    </row>
    <row r="1461" spans="1:20">
      <c r="A1461">
        <f>'Raw Data'!B1461</f>
        <v>0</v>
      </c>
      <c r="B1461">
        <f>'Raw Data'!A1461</f>
        <v>0</v>
      </c>
      <c r="C1461">
        <f>'Raw Data'!C1461</f>
        <v>0</v>
      </c>
      <c r="D1461">
        <f>'Raw Data'!D1461</f>
        <v>0</v>
      </c>
      <c r="E1461">
        <f>IFERROR(VLOOKUP(D1461,'Lookup Tables'!$A:$B,2,FALSE),"Unknown")</f>
        <v>0</v>
      </c>
      <c r="F1461">
        <f>'Raw Data'!E1461</f>
        <v>0</v>
      </c>
      <c r="G1461">
        <f>IFERROR(VLOOKUP(D1461,'Lookup Tables'!$A:$C,3,FALSE),IF(ISNUMBER(SEARCH("STEEL",F1461)),"Steel","Others"))</f>
        <v>0</v>
      </c>
      <c r="H1461">
        <f>IF(ISNUMBER(SEARCH("scrubber",F1461)) , "Scrubber", IF(ISNUMBER(SEARCH("container",F1461)),"Container", IF(ISNUMBER(SEARCH("basket",F1461)),"Basket", IF(ISNUMBER(SEARCH("lunch",F1461)),"Lunch Box", IF(ISNUMBER(SEARCH("cutlery",F1461)),"Cutlery","Other")))))</f>
        <v>0</v>
      </c>
      <c r="I1461">
        <f>IF('Raw Data'!G1461&lt;&gt;'','Raw Data'!G1461,IFERROR(MID(F1461,SEARCH("MODEL",F1461)+6,20),""))</f>
        <v>0</v>
      </c>
      <c r="J1461">
        <f>'Raw Data'!H1461</f>
        <v>0</v>
      </c>
      <c r="K1461">
        <f>'Raw Data'!I1461</f>
        <v>0</v>
      </c>
      <c r="L1461">
        <f>IF('Raw Data'!N1461&lt;&gt;0,'Raw Data'!N1461,IFERROR(VALUE(MID(F1461,SEARCH("QTY",F1461)+4,IFERROR(FIND(" ",F1461,SEARCH("QTY",F1461)+4)-(SEARCH("QTY",F1461)+4),3))),""))</f>
        <v>0</v>
      </c>
      <c r="M1461">
        <f>'Raw Data'!O1461</f>
        <v>0</v>
      </c>
      <c r="N1461">
        <f>'Raw Data'!P1461</f>
        <v>0</v>
      </c>
      <c r="O1461">
        <f>'Raw Data'!Q1461</f>
        <v>0</v>
      </c>
      <c r="P1461">
        <f>'Raw Data'!R1461</f>
        <v>0</v>
      </c>
      <c r="Q1461">
        <f>'Raw Data'!S1461</f>
        <v>0</v>
      </c>
      <c r="R1461">
        <f>'Raw Data'!T1461</f>
        <v>0</v>
      </c>
      <c r="S1461">
        <f>IFERROR(O1461,0)+IFERROR(R1461,0)</f>
        <v>0</v>
      </c>
      <c r="T1461">
        <f>IF(A1461="","",YEAR(A1461))</f>
        <v>0</v>
      </c>
    </row>
    <row r="1462" spans="1:20">
      <c r="A1462">
        <f>'Raw Data'!B1462</f>
        <v>0</v>
      </c>
      <c r="B1462">
        <f>'Raw Data'!A1462</f>
        <v>0</v>
      </c>
      <c r="C1462">
        <f>'Raw Data'!C1462</f>
        <v>0</v>
      </c>
      <c r="D1462">
        <f>'Raw Data'!D1462</f>
        <v>0</v>
      </c>
      <c r="E1462">
        <f>IFERROR(VLOOKUP(D1462,'Lookup Tables'!$A:$B,2,FALSE),"Unknown")</f>
        <v>0</v>
      </c>
      <c r="F1462">
        <f>'Raw Data'!E1462</f>
        <v>0</v>
      </c>
      <c r="G1462">
        <f>IFERROR(VLOOKUP(D1462,'Lookup Tables'!$A:$C,3,FALSE),IF(ISNUMBER(SEARCH("STEEL",F1462)),"Steel","Others"))</f>
        <v>0</v>
      </c>
      <c r="H1462">
        <f>IF(ISNUMBER(SEARCH("scrubber",F1462)) , "Scrubber", IF(ISNUMBER(SEARCH("container",F1462)),"Container", IF(ISNUMBER(SEARCH("basket",F1462)),"Basket", IF(ISNUMBER(SEARCH("lunch",F1462)),"Lunch Box", IF(ISNUMBER(SEARCH("cutlery",F1462)),"Cutlery","Other")))))</f>
        <v>0</v>
      </c>
      <c r="I1462">
        <f>IF('Raw Data'!G1462&lt;&gt;'','Raw Data'!G1462,IFERROR(MID(F1462,SEARCH("MODEL",F1462)+6,20),""))</f>
        <v>0</v>
      </c>
      <c r="J1462">
        <f>'Raw Data'!H1462</f>
        <v>0</v>
      </c>
      <c r="K1462">
        <f>'Raw Data'!I1462</f>
        <v>0</v>
      </c>
      <c r="L1462">
        <f>IF('Raw Data'!N1462&lt;&gt;0,'Raw Data'!N1462,IFERROR(VALUE(MID(F1462,SEARCH("QTY",F1462)+4,IFERROR(FIND(" ",F1462,SEARCH("QTY",F1462)+4)-(SEARCH("QTY",F1462)+4),3))),""))</f>
        <v>0</v>
      </c>
      <c r="M1462">
        <f>'Raw Data'!O1462</f>
        <v>0</v>
      </c>
      <c r="N1462">
        <f>'Raw Data'!P1462</f>
        <v>0</v>
      </c>
      <c r="O1462">
        <f>'Raw Data'!Q1462</f>
        <v>0</v>
      </c>
      <c r="P1462">
        <f>'Raw Data'!R1462</f>
        <v>0</v>
      </c>
      <c r="Q1462">
        <f>'Raw Data'!S1462</f>
        <v>0</v>
      </c>
      <c r="R1462">
        <f>'Raw Data'!T1462</f>
        <v>0</v>
      </c>
      <c r="S1462">
        <f>IFERROR(O1462,0)+IFERROR(R1462,0)</f>
        <v>0</v>
      </c>
      <c r="T1462">
        <f>IF(A1462="","",YEAR(A1462))</f>
        <v>0</v>
      </c>
    </row>
    <row r="1463" spans="1:20">
      <c r="A1463">
        <f>'Raw Data'!B1463</f>
        <v>0</v>
      </c>
      <c r="B1463">
        <f>'Raw Data'!A1463</f>
        <v>0</v>
      </c>
      <c r="C1463">
        <f>'Raw Data'!C1463</f>
        <v>0</v>
      </c>
      <c r="D1463">
        <f>'Raw Data'!D1463</f>
        <v>0</v>
      </c>
      <c r="E1463">
        <f>IFERROR(VLOOKUP(D1463,'Lookup Tables'!$A:$B,2,FALSE),"Unknown")</f>
        <v>0</v>
      </c>
      <c r="F1463">
        <f>'Raw Data'!E1463</f>
        <v>0</v>
      </c>
      <c r="G1463">
        <f>IFERROR(VLOOKUP(D1463,'Lookup Tables'!$A:$C,3,FALSE),IF(ISNUMBER(SEARCH("STEEL",F1463)),"Steel","Others"))</f>
        <v>0</v>
      </c>
      <c r="H1463">
        <f>IF(ISNUMBER(SEARCH("scrubber",F1463)) , "Scrubber", IF(ISNUMBER(SEARCH("container",F1463)),"Container", IF(ISNUMBER(SEARCH("basket",F1463)),"Basket", IF(ISNUMBER(SEARCH("lunch",F1463)),"Lunch Box", IF(ISNUMBER(SEARCH("cutlery",F1463)),"Cutlery","Other")))))</f>
        <v>0</v>
      </c>
      <c r="I1463">
        <f>IF('Raw Data'!G1463&lt;&gt;'','Raw Data'!G1463,IFERROR(MID(F1463,SEARCH("MODEL",F1463)+6,20),""))</f>
        <v>0</v>
      </c>
      <c r="J1463">
        <f>'Raw Data'!H1463</f>
        <v>0</v>
      </c>
      <c r="K1463">
        <f>'Raw Data'!I1463</f>
        <v>0</v>
      </c>
      <c r="L1463">
        <f>IF('Raw Data'!N1463&lt;&gt;0,'Raw Data'!N1463,IFERROR(VALUE(MID(F1463,SEARCH("QTY",F1463)+4,IFERROR(FIND(" ",F1463,SEARCH("QTY",F1463)+4)-(SEARCH("QTY",F1463)+4),3))),""))</f>
        <v>0</v>
      </c>
      <c r="M1463">
        <f>'Raw Data'!O1463</f>
        <v>0</v>
      </c>
      <c r="N1463">
        <f>'Raw Data'!P1463</f>
        <v>0</v>
      </c>
      <c r="O1463">
        <f>'Raw Data'!Q1463</f>
        <v>0</v>
      </c>
      <c r="P1463">
        <f>'Raw Data'!R1463</f>
        <v>0</v>
      </c>
      <c r="Q1463">
        <f>'Raw Data'!S1463</f>
        <v>0</v>
      </c>
      <c r="R1463">
        <f>'Raw Data'!T1463</f>
        <v>0</v>
      </c>
      <c r="S1463">
        <f>IFERROR(O1463,0)+IFERROR(R1463,0)</f>
        <v>0</v>
      </c>
      <c r="T1463">
        <f>IF(A1463="","",YEAR(A1463))</f>
        <v>0</v>
      </c>
    </row>
    <row r="1464" spans="1:20">
      <c r="A1464">
        <f>'Raw Data'!B1464</f>
        <v>0</v>
      </c>
      <c r="B1464">
        <f>'Raw Data'!A1464</f>
        <v>0</v>
      </c>
      <c r="C1464">
        <f>'Raw Data'!C1464</f>
        <v>0</v>
      </c>
      <c r="D1464">
        <f>'Raw Data'!D1464</f>
        <v>0</v>
      </c>
      <c r="E1464">
        <f>IFERROR(VLOOKUP(D1464,'Lookup Tables'!$A:$B,2,FALSE),"Unknown")</f>
        <v>0</v>
      </c>
      <c r="F1464">
        <f>'Raw Data'!E1464</f>
        <v>0</v>
      </c>
      <c r="G1464">
        <f>IFERROR(VLOOKUP(D1464,'Lookup Tables'!$A:$C,3,FALSE),IF(ISNUMBER(SEARCH("STEEL",F1464)),"Steel","Others"))</f>
        <v>0</v>
      </c>
      <c r="H1464">
        <f>IF(ISNUMBER(SEARCH("scrubber",F1464)) , "Scrubber", IF(ISNUMBER(SEARCH("container",F1464)),"Container", IF(ISNUMBER(SEARCH("basket",F1464)),"Basket", IF(ISNUMBER(SEARCH("lunch",F1464)),"Lunch Box", IF(ISNUMBER(SEARCH("cutlery",F1464)),"Cutlery","Other")))))</f>
        <v>0</v>
      </c>
      <c r="I1464">
        <f>IF('Raw Data'!G1464&lt;&gt;'','Raw Data'!G1464,IFERROR(MID(F1464,SEARCH("MODEL",F1464)+6,20),""))</f>
        <v>0</v>
      </c>
      <c r="J1464">
        <f>'Raw Data'!H1464</f>
        <v>0</v>
      </c>
      <c r="K1464">
        <f>'Raw Data'!I1464</f>
        <v>0</v>
      </c>
      <c r="L1464">
        <f>IF('Raw Data'!N1464&lt;&gt;0,'Raw Data'!N1464,IFERROR(VALUE(MID(F1464,SEARCH("QTY",F1464)+4,IFERROR(FIND(" ",F1464,SEARCH("QTY",F1464)+4)-(SEARCH("QTY",F1464)+4),3))),""))</f>
        <v>0</v>
      </c>
      <c r="M1464">
        <f>'Raw Data'!O1464</f>
        <v>0</v>
      </c>
      <c r="N1464">
        <f>'Raw Data'!P1464</f>
        <v>0</v>
      </c>
      <c r="O1464">
        <f>'Raw Data'!Q1464</f>
        <v>0</v>
      </c>
      <c r="P1464">
        <f>'Raw Data'!R1464</f>
        <v>0</v>
      </c>
      <c r="Q1464">
        <f>'Raw Data'!S1464</f>
        <v>0</v>
      </c>
      <c r="R1464">
        <f>'Raw Data'!T1464</f>
        <v>0</v>
      </c>
      <c r="S1464">
        <f>IFERROR(O1464,0)+IFERROR(R1464,0)</f>
        <v>0</v>
      </c>
      <c r="T1464">
        <f>IF(A1464="","",YEAR(A1464))</f>
        <v>0</v>
      </c>
    </row>
    <row r="1465" spans="1:20">
      <c r="A1465">
        <f>'Raw Data'!B1465</f>
        <v>0</v>
      </c>
      <c r="B1465">
        <f>'Raw Data'!A1465</f>
        <v>0</v>
      </c>
      <c r="C1465">
        <f>'Raw Data'!C1465</f>
        <v>0</v>
      </c>
      <c r="D1465">
        <f>'Raw Data'!D1465</f>
        <v>0</v>
      </c>
      <c r="E1465">
        <f>IFERROR(VLOOKUP(D1465,'Lookup Tables'!$A:$B,2,FALSE),"Unknown")</f>
        <v>0</v>
      </c>
      <c r="F1465">
        <f>'Raw Data'!E1465</f>
        <v>0</v>
      </c>
      <c r="G1465">
        <f>IFERROR(VLOOKUP(D1465,'Lookup Tables'!$A:$C,3,FALSE),IF(ISNUMBER(SEARCH("STEEL",F1465)),"Steel","Others"))</f>
        <v>0</v>
      </c>
      <c r="H1465">
        <f>IF(ISNUMBER(SEARCH("scrubber",F1465)) , "Scrubber", IF(ISNUMBER(SEARCH("container",F1465)),"Container", IF(ISNUMBER(SEARCH("basket",F1465)),"Basket", IF(ISNUMBER(SEARCH("lunch",F1465)),"Lunch Box", IF(ISNUMBER(SEARCH("cutlery",F1465)),"Cutlery","Other")))))</f>
        <v>0</v>
      </c>
      <c r="I1465">
        <f>IF('Raw Data'!G1465&lt;&gt;'','Raw Data'!G1465,IFERROR(MID(F1465,SEARCH("MODEL",F1465)+6,20),""))</f>
        <v>0</v>
      </c>
      <c r="J1465">
        <f>'Raw Data'!H1465</f>
        <v>0</v>
      </c>
      <c r="K1465">
        <f>'Raw Data'!I1465</f>
        <v>0</v>
      </c>
      <c r="L1465">
        <f>IF('Raw Data'!N1465&lt;&gt;0,'Raw Data'!N1465,IFERROR(VALUE(MID(F1465,SEARCH("QTY",F1465)+4,IFERROR(FIND(" ",F1465,SEARCH("QTY",F1465)+4)-(SEARCH("QTY",F1465)+4),3))),""))</f>
        <v>0</v>
      </c>
      <c r="M1465">
        <f>'Raw Data'!O1465</f>
        <v>0</v>
      </c>
      <c r="N1465">
        <f>'Raw Data'!P1465</f>
        <v>0</v>
      </c>
      <c r="O1465">
        <f>'Raw Data'!Q1465</f>
        <v>0</v>
      </c>
      <c r="P1465">
        <f>'Raw Data'!R1465</f>
        <v>0</v>
      </c>
      <c r="Q1465">
        <f>'Raw Data'!S1465</f>
        <v>0</v>
      </c>
      <c r="R1465">
        <f>'Raw Data'!T1465</f>
        <v>0</v>
      </c>
      <c r="S1465">
        <f>IFERROR(O1465,0)+IFERROR(R1465,0)</f>
        <v>0</v>
      </c>
      <c r="T1465">
        <f>IF(A1465="","",YEAR(A1465))</f>
        <v>0</v>
      </c>
    </row>
    <row r="1466" spans="1:20">
      <c r="A1466">
        <f>'Raw Data'!B1466</f>
        <v>0</v>
      </c>
      <c r="B1466">
        <f>'Raw Data'!A1466</f>
        <v>0</v>
      </c>
      <c r="C1466">
        <f>'Raw Data'!C1466</f>
        <v>0</v>
      </c>
      <c r="D1466">
        <f>'Raw Data'!D1466</f>
        <v>0</v>
      </c>
      <c r="E1466">
        <f>IFERROR(VLOOKUP(D1466,'Lookup Tables'!$A:$B,2,FALSE),"Unknown")</f>
        <v>0</v>
      </c>
      <c r="F1466">
        <f>'Raw Data'!E1466</f>
        <v>0</v>
      </c>
      <c r="G1466">
        <f>IFERROR(VLOOKUP(D1466,'Lookup Tables'!$A:$C,3,FALSE),IF(ISNUMBER(SEARCH("STEEL",F1466)),"Steel","Others"))</f>
        <v>0</v>
      </c>
      <c r="H1466">
        <f>IF(ISNUMBER(SEARCH("scrubber",F1466)) , "Scrubber", IF(ISNUMBER(SEARCH("container",F1466)),"Container", IF(ISNUMBER(SEARCH("basket",F1466)),"Basket", IF(ISNUMBER(SEARCH("lunch",F1466)),"Lunch Box", IF(ISNUMBER(SEARCH("cutlery",F1466)),"Cutlery","Other")))))</f>
        <v>0</v>
      </c>
      <c r="I1466">
        <f>IF('Raw Data'!G1466&lt;&gt;'','Raw Data'!G1466,IFERROR(MID(F1466,SEARCH("MODEL",F1466)+6,20),""))</f>
        <v>0</v>
      </c>
      <c r="J1466">
        <f>'Raw Data'!H1466</f>
        <v>0</v>
      </c>
      <c r="K1466">
        <f>'Raw Data'!I1466</f>
        <v>0</v>
      </c>
      <c r="L1466">
        <f>IF('Raw Data'!N1466&lt;&gt;0,'Raw Data'!N1466,IFERROR(VALUE(MID(F1466,SEARCH("QTY",F1466)+4,IFERROR(FIND(" ",F1466,SEARCH("QTY",F1466)+4)-(SEARCH("QTY",F1466)+4),3))),""))</f>
        <v>0</v>
      </c>
      <c r="M1466">
        <f>'Raw Data'!O1466</f>
        <v>0</v>
      </c>
      <c r="N1466">
        <f>'Raw Data'!P1466</f>
        <v>0</v>
      </c>
      <c r="O1466">
        <f>'Raw Data'!Q1466</f>
        <v>0</v>
      </c>
      <c r="P1466">
        <f>'Raw Data'!R1466</f>
        <v>0</v>
      </c>
      <c r="Q1466">
        <f>'Raw Data'!S1466</f>
        <v>0</v>
      </c>
      <c r="R1466">
        <f>'Raw Data'!T1466</f>
        <v>0</v>
      </c>
      <c r="S1466">
        <f>IFERROR(O1466,0)+IFERROR(R1466,0)</f>
        <v>0</v>
      </c>
      <c r="T1466">
        <f>IF(A1466="","",YEAR(A1466))</f>
        <v>0</v>
      </c>
    </row>
    <row r="1467" spans="1:20">
      <c r="A1467">
        <f>'Raw Data'!B1467</f>
        <v>0</v>
      </c>
      <c r="B1467">
        <f>'Raw Data'!A1467</f>
        <v>0</v>
      </c>
      <c r="C1467">
        <f>'Raw Data'!C1467</f>
        <v>0</v>
      </c>
      <c r="D1467">
        <f>'Raw Data'!D1467</f>
        <v>0</v>
      </c>
      <c r="E1467">
        <f>IFERROR(VLOOKUP(D1467,'Lookup Tables'!$A:$B,2,FALSE),"Unknown")</f>
        <v>0</v>
      </c>
      <c r="F1467">
        <f>'Raw Data'!E1467</f>
        <v>0</v>
      </c>
      <c r="G1467">
        <f>IFERROR(VLOOKUP(D1467,'Lookup Tables'!$A:$C,3,FALSE),IF(ISNUMBER(SEARCH("STEEL",F1467)),"Steel","Others"))</f>
        <v>0</v>
      </c>
      <c r="H1467">
        <f>IF(ISNUMBER(SEARCH("scrubber",F1467)) , "Scrubber", IF(ISNUMBER(SEARCH("container",F1467)),"Container", IF(ISNUMBER(SEARCH("basket",F1467)),"Basket", IF(ISNUMBER(SEARCH("lunch",F1467)),"Lunch Box", IF(ISNUMBER(SEARCH("cutlery",F1467)),"Cutlery","Other")))))</f>
        <v>0</v>
      </c>
      <c r="I1467">
        <f>IF('Raw Data'!G1467&lt;&gt;'','Raw Data'!G1467,IFERROR(MID(F1467,SEARCH("MODEL",F1467)+6,20),""))</f>
        <v>0</v>
      </c>
      <c r="J1467">
        <f>'Raw Data'!H1467</f>
        <v>0</v>
      </c>
      <c r="K1467">
        <f>'Raw Data'!I1467</f>
        <v>0</v>
      </c>
      <c r="L1467">
        <f>IF('Raw Data'!N1467&lt;&gt;0,'Raw Data'!N1467,IFERROR(VALUE(MID(F1467,SEARCH("QTY",F1467)+4,IFERROR(FIND(" ",F1467,SEARCH("QTY",F1467)+4)-(SEARCH("QTY",F1467)+4),3))),""))</f>
        <v>0</v>
      </c>
      <c r="M1467">
        <f>'Raw Data'!O1467</f>
        <v>0</v>
      </c>
      <c r="N1467">
        <f>'Raw Data'!P1467</f>
        <v>0</v>
      </c>
      <c r="O1467">
        <f>'Raw Data'!Q1467</f>
        <v>0</v>
      </c>
      <c r="P1467">
        <f>'Raw Data'!R1467</f>
        <v>0</v>
      </c>
      <c r="Q1467">
        <f>'Raw Data'!S1467</f>
        <v>0</v>
      </c>
      <c r="R1467">
        <f>'Raw Data'!T1467</f>
        <v>0</v>
      </c>
      <c r="S1467">
        <f>IFERROR(O1467,0)+IFERROR(R1467,0)</f>
        <v>0</v>
      </c>
      <c r="T1467">
        <f>IF(A1467="","",YEAR(A1467))</f>
        <v>0</v>
      </c>
    </row>
    <row r="1468" spans="1:20">
      <c r="A1468">
        <f>'Raw Data'!B1468</f>
        <v>0</v>
      </c>
      <c r="B1468">
        <f>'Raw Data'!A1468</f>
        <v>0</v>
      </c>
      <c r="C1468">
        <f>'Raw Data'!C1468</f>
        <v>0</v>
      </c>
      <c r="D1468">
        <f>'Raw Data'!D1468</f>
        <v>0</v>
      </c>
      <c r="E1468">
        <f>IFERROR(VLOOKUP(D1468,'Lookup Tables'!$A:$B,2,FALSE),"Unknown")</f>
        <v>0</v>
      </c>
      <c r="F1468">
        <f>'Raw Data'!E1468</f>
        <v>0</v>
      </c>
      <c r="G1468">
        <f>IFERROR(VLOOKUP(D1468,'Lookup Tables'!$A:$C,3,FALSE),IF(ISNUMBER(SEARCH("STEEL",F1468)),"Steel","Others"))</f>
        <v>0</v>
      </c>
      <c r="H1468">
        <f>IF(ISNUMBER(SEARCH("scrubber",F1468)) , "Scrubber", IF(ISNUMBER(SEARCH("container",F1468)),"Container", IF(ISNUMBER(SEARCH("basket",F1468)),"Basket", IF(ISNUMBER(SEARCH("lunch",F1468)),"Lunch Box", IF(ISNUMBER(SEARCH("cutlery",F1468)),"Cutlery","Other")))))</f>
        <v>0</v>
      </c>
      <c r="I1468">
        <f>IF('Raw Data'!G1468&lt;&gt;'','Raw Data'!G1468,IFERROR(MID(F1468,SEARCH("MODEL",F1468)+6,20),""))</f>
        <v>0</v>
      </c>
      <c r="J1468">
        <f>'Raw Data'!H1468</f>
        <v>0</v>
      </c>
      <c r="K1468">
        <f>'Raw Data'!I1468</f>
        <v>0</v>
      </c>
      <c r="L1468">
        <f>IF('Raw Data'!N1468&lt;&gt;0,'Raw Data'!N1468,IFERROR(VALUE(MID(F1468,SEARCH("QTY",F1468)+4,IFERROR(FIND(" ",F1468,SEARCH("QTY",F1468)+4)-(SEARCH("QTY",F1468)+4),3))),""))</f>
        <v>0</v>
      </c>
      <c r="M1468">
        <f>'Raw Data'!O1468</f>
        <v>0</v>
      </c>
      <c r="N1468">
        <f>'Raw Data'!P1468</f>
        <v>0</v>
      </c>
      <c r="O1468">
        <f>'Raw Data'!Q1468</f>
        <v>0</v>
      </c>
      <c r="P1468">
        <f>'Raw Data'!R1468</f>
        <v>0</v>
      </c>
      <c r="Q1468">
        <f>'Raw Data'!S1468</f>
        <v>0</v>
      </c>
      <c r="R1468">
        <f>'Raw Data'!T1468</f>
        <v>0</v>
      </c>
      <c r="S1468">
        <f>IFERROR(O1468,0)+IFERROR(R1468,0)</f>
        <v>0</v>
      </c>
      <c r="T1468">
        <f>IF(A1468="","",YEAR(A1468))</f>
        <v>0</v>
      </c>
    </row>
    <row r="1469" spans="1:20">
      <c r="A1469">
        <f>'Raw Data'!B1469</f>
        <v>0</v>
      </c>
      <c r="B1469">
        <f>'Raw Data'!A1469</f>
        <v>0</v>
      </c>
      <c r="C1469">
        <f>'Raw Data'!C1469</f>
        <v>0</v>
      </c>
      <c r="D1469">
        <f>'Raw Data'!D1469</f>
        <v>0</v>
      </c>
      <c r="E1469">
        <f>IFERROR(VLOOKUP(D1469,'Lookup Tables'!$A:$B,2,FALSE),"Unknown")</f>
        <v>0</v>
      </c>
      <c r="F1469">
        <f>'Raw Data'!E1469</f>
        <v>0</v>
      </c>
      <c r="G1469">
        <f>IFERROR(VLOOKUP(D1469,'Lookup Tables'!$A:$C,3,FALSE),IF(ISNUMBER(SEARCH("STEEL",F1469)),"Steel","Others"))</f>
        <v>0</v>
      </c>
      <c r="H1469">
        <f>IF(ISNUMBER(SEARCH("scrubber",F1469)) , "Scrubber", IF(ISNUMBER(SEARCH("container",F1469)),"Container", IF(ISNUMBER(SEARCH("basket",F1469)),"Basket", IF(ISNUMBER(SEARCH("lunch",F1469)),"Lunch Box", IF(ISNUMBER(SEARCH("cutlery",F1469)),"Cutlery","Other")))))</f>
        <v>0</v>
      </c>
      <c r="I1469">
        <f>IF('Raw Data'!G1469&lt;&gt;'','Raw Data'!G1469,IFERROR(MID(F1469,SEARCH("MODEL",F1469)+6,20),""))</f>
        <v>0</v>
      </c>
      <c r="J1469">
        <f>'Raw Data'!H1469</f>
        <v>0</v>
      </c>
      <c r="K1469">
        <f>'Raw Data'!I1469</f>
        <v>0</v>
      </c>
      <c r="L1469">
        <f>IF('Raw Data'!N1469&lt;&gt;0,'Raw Data'!N1469,IFERROR(VALUE(MID(F1469,SEARCH("QTY",F1469)+4,IFERROR(FIND(" ",F1469,SEARCH("QTY",F1469)+4)-(SEARCH("QTY",F1469)+4),3))),""))</f>
        <v>0</v>
      </c>
      <c r="M1469">
        <f>'Raw Data'!O1469</f>
        <v>0</v>
      </c>
      <c r="N1469">
        <f>'Raw Data'!P1469</f>
        <v>0</v>
      </c>
      <c r="O1469">
        <f>'Raw Data'!Q1469</f>
        <v>0</v>
      </c>
      <c r="P1469">
        <f>'Raw Data'!R1469</f>
        <v>0</v>
      </c>
      <c r="Q1469">
        <f>'Raw Data'!S1469</f>
        <v>0</v>
      </c>
      <c r="R1469">
        <f>'Raw Data'!T1469</f>
        <v>0</v>
      </c>
      <c r="S1469">
        <f>IFERROR(O1469,0)+IFERROR(R1469,0)</f>
        <v>0</v>
      </c>
      <c r="T1469">
        <f>IF(A1469="","",YEAR(A1469))</f>
        <v>0</v>
      </c>
    </row>
    <row r="1470" spans="1:20">
      <c r="A1470">
        <f>'Raw Data'!B1470</f>
        <v>0</v>
      </c>
      <c r="B1470">
        <f>'Raw Data'!A1470</f>
        <v>0</v>
      </c>
      <c r="C1470">
        <f>'Raw Data'!C1470</f>
        <v>0</v>
      </c>
      <c r="D1470">
        <f>'Raw Data'!D1470</f>
        <v>0</v>
      </c>
      <c r="E1470">
        <f>IFERROR(VLOOKUP(D1470,'Lookup Tables'!$A:$B,2,FALSE),"Unknown")</f>
        <v>0</v>
      </c>
      <c r="F1470">
        <f>'Raw Data'!E1470</f>
        <v>0</v>
      </c>
      <c r="G1470">
        <f>IFERROR(VLOOKUP(D1470,'Lookup Tables'!$A:$C,3,FALSE),IF(ISNUMBER(SEARCH("STEEL",F1470)),"Steel","Others"))</f>
        <v>0</v>
      </c>
      <c r="H1470">
        <f>IF(ISNUMBER(SEARCH("scrubber",F1470)) , "Scrubber", IF(ISNUMBER(SEARCH("container",F1470)),"Container", IF(ISNUMBER(SEARCH("basket",F1470)),"Basket", IF(ISNUMBER(SEARCH("lunch",F1470)),"Lunch Box", IF(ISNUMBER(SEARCH("cutlery",F1470)),"Cutlery","Other")))))</f>
        <v>0</v>
      </c>
      <c r="I1470">
        <f>IF('Raw Data'!G1470&lt;&gt;'','Raw Data'!G1470,IFERROR(MID(F1470,SEARCH("MODEL",F1470)+6,20),""))</f>
        <v>0</v>
      </c>
      <c r="J1470">
        <f>'Raw Data'!H1470</f>
        <v>0</v>
      </c>
      <c r="K1470">
        <f>'Raw Data'!I1470</f>
        <v>0</v>
      </c>
      <c r="L1470">
        <f>IF('Raw Data'!N1470&lt;&gt;0,'Raw Data'!N1470,IFERROR(VALUE(MID(F1470,SEARCH("QTY",F1470)+4,IFERROR(FIND(" ",F1470,SEARCH("QTY",F1470)+4)-(SEARCH("QTY",F1470)+4),3))),""))</f>
        <v>0</v>
      </c>
      <c r="M1470">
        <f>'Raw Data'!O1470</f>
        <v>0</v>
      </c>
      <c r="N1470">
        <f>'Raw Data'!P1470</f>
        <v>0</v>
      </c>
      <c r="O1470">
        <f>'Raw Data'!Q1470</f>
        <v>0</v>
      </c>
      <c r="P1470">
        <f>'Raw Data'!R1470</f>
        <v>0</v>
      </c>
      <c r="Q1470">
        <f>'Raw Data'!S1470</f>
        <v>0</v>
      </c>
      <c r="R1470">
        <f>'Raw Data'!T1470</f>
        <v>0</v>
      </c>
      <c r="S1470">
        <f>IFERROR(O1470,0)+IFERROR(R1470,0)</f>
        <v>0</v>
      </c>
      <c r="T1470">
        <f>IF(A1470="","",YEAR(A1470))</f>
        <v>0</v>
      </c>
    </row>
    <row r="1471" spans="1:20">
      <c r="A1471">
        <f>'Raw Data'!B1471</f>
        <v>0</v>
      </c>
      <c r="B1471">
        <f>'Raw Data'!A1471</f>
        <v>0</v>
      </c>
      <c r="C1471">
        <f>'Raw Data'!C1471</f>
        <v>0</v>
      </c>
      <c r="D1471">
        <f>'Raw Data'!D1471</f>
        <v>0</v>
      </c>
      <c r="E1471">
        <f>IFERROR(VLOOKUP(D1471,'Lookup Tables'!$A:$B,2,FALSE),"Unknown")</f>
        <v>0</v>
      </c>
      <c r="F1471">
        <f>'Raw Data'!E1471</f>
        <v>0</v>
      </c>
      <c r="G1471">
        <f>IFERROR(VLOOKUP(D1471,'Lookup Tables'!$A:$C,3,FALSE),IF(ISNUMBER(SEARCH("STEEL",F1471)),"Steel","Others"))</f>
        <v>0</v>
      </c>
      <c r="H1471">
        <f>IF(ISNUMBER(SEARCH("scrubber",F1471)) , "Scrubber", IF(ISNUMBER(SEARCH("container",F1471)),"Container", IF(ISNUMBER(SEARCH("basket",F1471)),"Basket", IF(ISNUMBER(SEARCH("lunch",F1471)),"Lunch Box", IF(ISNUMBER(SEARCH("cutlery",F1471)),"Cutlery","Other")))))</f>
        <v>0</v>
      </c>
      <c r="I1471">
        <f>IF('Raw Data'!G1471&lt;&gt;'','Raw Data'!G1471,IFERROR(MID(F1471,SEARCH("MODEL",F1471)+6,20),""))</f>
        <v>0</v>
      </c>
      <c r="J1471">
        <f>'Raw Data'!H1471</f>
        <v>0</v>
      </c>
      <c r="K1471">
        <f>'Raw Data'!I1471</f>
        <v>0</v>
      </c>
      <c r="L1471">
        <f>IF('Raw Data'!N1471&lt;&gt;0,'Raw Data'!N1471,IFERROR(VALUE(MID(F1471,SEARCH("QTY",F1471)+4,IFERROR(FIND(" ",F1471,SEARCH("QTY",F1471)+4)-(SEARCH("QTY",F1471)+4),3))),""))</f>
        <v>0</v>
      </c>
      <c r="M1471">
        <f>'Raw Data'!O1471</f>
        <v>0</v>
      </c>
      <c r="N1471">
        <f>'Raw Data'!P1471</f>
        <v>0</v>
      </c>
      <c r="O1471">
        <f>'Raw Data'!Q1471</f>
        <v>0</v>
      </c>
      <c r="P1471">
        <f>'Raw Data'!R1471</f>
        <v>0</v>
      </c>
      <c r="Q1471">
        <f>'Raw Data'!S1471</f>
        <v>0</v>
      </c>
      <c r="R1471">
        <f>'Raw Data'!T1471</f>
        <v>0</v>
      </c>
      <c r="S1471">
        <f>IFERROR(O1471,0)+IFERROR(R1471,0)</f>
        <v>0</v>
      </c>
      <c r="T1471">
        <f>IF(A1471="","",YEAR(A1471))</f>
        <v>0</v>
      </c>
    </row>
    <row r="1472" spans="1:20">
      <c r="A1472">
        <f>'Raw Data'!B1472</f>
        <v>0</v>
      </c>
      <c r="B1472">
        <f>'Raw Data'!A1472</f>
        <v>0</v>
      </c>
      <c r="C1472">
        <f>'Raw Data'!C1472</f>
        <v>0</v>
      </c>
      <c r="D1472">
        <f>'Raw Data'!D1472</f>
        <v>0</v>
      </c>
      <c r="E1472">
        <f>IFERROR(VLOOKUP(D1472,'Lookup Tables'!$A:$B,2,FALSE),"Unknown")</f>
        <v>0</v>
      </c>
      <c r="F1472">
        <f>'Raw Data'!E1472</f>
        <v>0</v>
      </c>
      <c r="G1472">
        <f>IFERROR(VLOOKUP(D1472,'Lookup Tables'!$A:$C,3,FALSE),IF(ISNUMBER(SEARCH("STEEL",F1472)),"Steel","Others"))</f>
        <v>0</v>
      </c>
      <c r="H1472">
        <f>IF(ISNUMBER(SEARCH("scrubber",F1472)) , "Scrubber", IF(ISNUMBER(SEARCH("container",F1472)),"Container", IF(ISNUMBER(SEARCH("basket",F1472)),"Basket", IF(ISNUMBER(SEARCH("lunch",F1472)),"Lunch Box", IF(ISNUMBER(SEARCH("cutlery",F1472)),"Cutlery","Other")))))</f>
        <v>0</v>
      </c>
      <c r="I1472">
        <f>IF('Raw Data'!G1472&lt;&gt;'','Raw Data'!G1472,IFERROR(MID(F1472,SEARCH("MODEL",F1472)+6,20),""))</f>
        <v>0</v>
      </c>
      <c r="J1472">
        <f>'Raw Data'!H1472</f>
        <v>0</v>
      </c>
      <c r="K1472">
        <f>'Raw Data'!I1472</f>
        <v>0</v>
      </c>
      <c r="L1472">
        <f>IF('Raw Data'!N1472&lt;&gt;0,'Raw Data'!N1472,IFERROR(VALUE(MID(F1472,SEARCH("QTY",F1472)+4,IFERROR(FIND(" ",F1472,SEARCH("QTY",F1472)+4)-(SEARCH("QTY",F1472)+4),3))),""))</f>
        <v>0</v>
      </c>
      <c r="M1472">
        <f>'Raw Data'!O1472</f>
        <v>0</v>
      </c>
      <c r="N1472">
        <f>'Raw Data'!P1472</f>
        <v>0</v>
      </c>
      <c r="O1472">
        <f>'Raw Data'!Q1472</f>
        <v>0</v>
      </c>
      <c r="P1472">
        <f>'Raw Data'!R1472</f>
        <v>0</v>
      </c>
      <c r="Q1472">
        <f>'Raw Data'!S1472</f>
        <v>0</v>
      </c>
      <c r="R1472">
        <f>'Raw Data'!T1472</f>
        <v>0</v>
      </c>
      <c r="S1472">
        <f>IFERROR(O1472,0)+IFERROR(R1472,0)</f>
        <v>0</v>
      </c>
      <c r="T1472">
        <f>IF(A1472="","",YEAR(A1472))</f>
        <v>0</v>
      </c>
    </row>
    <row r="1473" spans="1:20">
      <c r="A1473">
        <f>'Raw Data'!B1473</f>
        <v>0</v>
      </c>
      <c r="B1473">
        <f>'Raw Data'!A1473</f>
        <v>0</v>
      </c>
      <c r="C1473">
        <f>'Raw Data'!C1473</f>
        <v>0</v>
      </c>
      <c r="D1473">
        <f>'Raw Data'!D1473</f>
        <v>0</v>
      </c>
      <c r="E1473">
        <f>IFERROR(VLOOKUP(D1473,'Lookup Tables'!$A:$B,2,FALSE),"Unknown")</f>
        <v>0</v>
      </c>
      <c r="F1473">
        <f>'Raw Data'!E1473</f>
        <v>0</v>
      </c>
      <c r="G1473">
        <f>IFERROR(VLOOKUP(D1473,'Lookup Tables'!$A:$C,3,FALSE),IF(ISNUMBER(SEARCH("STEEL",F1473)),"Steel","Others"))</f>
        <v>0</v>
      </c>
      <c r="H1473">
        <f>IF(ISNUMBER(SEARCH("scrubber",F1473)) , "Scrubber", IF(ISNUMBER(SEARCH("container",F1473)),"Container", IF(ISNUMBER(SEARCH("basket",F1473)),"Basket", IF(ISNUMBER(SEARCH("lunch",F1473)),"Lunch Box", IF(ISNUMBER(SEARCH("cutlery",F1473)),"Cutlery","Other")))))</f>
        <v>0</v>
      </c>
      <c r="I1473">
        <f>IF('Raw Data'!G1473&lt;&gt;'','Raw Data'!G1473,IFERROR(MID(F1473,SEARCH("MODEL",F1473)+6,20),""))</f>
        <v>0</v>
      </c>
      <c r="J1473">
        <f>'Raw Data'!H1473</f>
        <v>0</v>
      </c>
      <c r="K1473">
        <f>'Raw Data'!I1473</f>
        <v>0</v>
      </c>
      <c r="L1473">
        <f>IF('Raw Data'!N1473&lt;&gt;0,'Raw Data'!N1473,IFERROR(VALUE(MID(F1473,SEARCH("QTY",F1473)+4,IFERROR(FIND(" ",F1473,SEARCH("QTY",F1473)+4)-(SEARCH("QTY",F1473)+4),3))),""))</f>
        <v>0</v>
      </c>
      <c r="M1473">
        <f>'Raw Data'!O1473</f>
        <v>0</v>
      </c>
      <c r="N1473">
        <f>'Raw Data'!P1473</f>
        <v>0</v>
      </c>
      <c r="O1473">
        <f>'Raw Data'!Q1473</f>
        <v>0</v>
      </c>
      <c r="P1473">
        <f>'Raw Data'!R1473</f>
        <v>0</v>
      </c>
      <c r="Q1473">
        <f>'Raw Data'!S1473</f>
        <v>0</v>
      </c>
      <c r="R1473">
        <f>'Raw Data'!T1473</f>
        <v>0</v>
      </c>
      <c r="S1473">
        <f>IFERROR(O1473,0)+IFERROR(R1473,0)</f>
        <v>0</v>
      </c>
      <c r="T1473">
        <f>IF(A1473="","",YEAR(A1473))</f>
        <v>0</v>
      </c>
    </row>
    <row r="1474" spans="1:20">
      <c r="A1474">
        <f>'Raw Data'!B1474</f>
        <v>0</v>
      </c>
      <c r="B1474">
        <f>'Raw Data'!A1474</f>
        <v>0</v>
      </c>
      <c r="C1474">
        <f>'Raw Data'!C1474</f>
        <v>0</v>
      </c>
      <c r="D1474">
        <f>'Raw Data'!D1474</f>
        <v>0</v>
      </c>
      <c r="E1474">
        <f>IFERROR(VLOOKUP(D1474,'Lookup Tables'!$A:$B,2,FALSE),"Unknown")</f>
        <v>0</v>
      </c>
      <c r="F1474">
        <f>'Raw Data'!E1474</f>
        <v>0</v>
      </c>
      <c r="G1474">
        <f>IFERROR(VLOOKUP(D1474,'Lookup Tables'!$A:$C,3,FALSE),IF(ISNUMBER(SEARCH("STEEL",F1474)),"Steel","Others"))</f>
        <v>0</v>
      </c>
      <c r="H1474">
        <f>IF(ISNUMBER(SEARCH("scrubber",F1474)) , "Scrubber", IF(ISNUMBER(SEARCH("container",F1474)),"Container", IF(ISNUMBER(SEARCH("basket",F1474)),"Basket", IF(ISNUMBER(SEARCH("lunch",F1474)),"Lunch Box", IF(ISNUMBER(SEARCH("cutlery",F1474)),"Cutlery","Other")))))</f>
        <v>0</v>
      </c>
      <c r="I1474">
        <f>IF('Raw Data'!G1474&lt;&gt;'','Raw Data'!G1474,IFERROR(MID(F1474,SEARCH("MODEL",F1474)+6,20),""))</f>
        <v>0</v>
      </c>
      <c r="J1474">
        <f>'Raw Data'!H1474</f>
        <v>0</v>
      </c>
      <c r="K1474">
        <f>'Raw Data'!I1474</f>
        <v>0</v>
      </c>
      <c r="L1474">
        <f>IF('Raw Data'!N1474&lt;&gt;0,'Raw Data'!N1474,IFERROR(VALUE(MID(F1474,SEARCH("QTY",F1474)+4,IFERROR(FIND(" ",F1474,SEARCH("QTY",F1474)+4)-(SEARCH("QTY",F1474)+4),3))),""))</f>
        <v>0</v>
      </c>
      <c r="M1474">
        <f>'Raw Data'!O1474</f>
        <v>0</v>
      </c>
      <c r="N1474">
        <f>'Raw Data'!P1474</f>
        <v>0</v>
      </c>
      <c r="O1474">
        <f>'Raw Data'!Q1474</f>
        <v>0</v>
      </c>
      <c r="P1474">
        <f>'Raw Data'!R1474</f>
        <v>0</v>
      </c>
      <c r="Q1474">
        <f>'Raw Data'!S1474</f>
        <v>0</v>
      </c>
      <c r="R1474">
        <f>'Raw Data'!T1474</f>
        <v>0</v>
      </c>
      <c r="S1474">
        <f>IFERROR(O1474,0)+IFERROR(R1474,0)</f>
        <v>0</v>
      </c>
      <c r="T1474">
        <f>IF(A1474="","",YEAR(A1474))</f>
        <v>0</v>
      </c>
    </row>
    <row r="1475" spans="1:20">
      <c r="A1475">
        <f>'Raw Data'!B1475</f>
        <v>0</v>
      </c>
      <c r="B1475">
        <f>'Raw Data'!A1475</f>
        <v>0</v>
      </c>
      <c r="C1475">
        <f>'Raw Data'!C1475</f>
        <v>0</v>
      </c>
      <c r="D1475">
        <f>'Raw Data'!D1475</f>
        <v>0</v>
      </c>
      <c r="E1475">
        <f>IFERROR(VLOOKUP(D1475,'Lookup Tables'!$A:$B,2,FALSE),"Unknown")</f>
        <v>0</v>
      </c>
      <c r="F1475">
        <f>'Raw Data'!E1475</f>
        <v>0</v>
      </c>
      <c r="G1475">
        <f>IFERROR(VLOOKUP(D1475,'Lookup Tables'!$A:$C,3,FALSE),IF(ISNUMBER(SEARCH("STEEL",F1475)),"Steel","Others"))</f>
        <v>0</v>
      </c>
      <c r="H1475">
        <f>IF(ISNUMBER(SEARCH("scrubber",F1475)) , "Scrubber", IF(ISNUMBER(SEARCH("container",F1475)),"Container", IF(ISNUMBER(SEARCH("basket",F1475)),"Basket", IF(ISNUMBER(SEARCH("lunch",F1475)),"Lunch Box", IF(ISNUMBER(SEARCH("cutlery",F1475)),"Cutlery","Other")))))</f>
        <v>0</v>
      </c>
      <c r="I1475">
        <f>IF('Raw Data'!G1475&lt;&gt;'','Raw Data'!G1475,IFERROR(MID(F1475,SEARCH("MODEL",F1475)+6,20),""))</f>
        <v>0</v>
      </c>
      <c r="J1475">
        <f>'Raw Data'!H1475</f>
        <v>0</v>
      </c>
      <c r="K1475">
        <f>'Raw Data'!I1475</f>
        <v>0</v>
      </c>
      <c r="L1475">
        <f>IF('Raw Data'!N1475&lt;&gt;0,'Raw Data'!N1475,IFERROR(VALUE(MID(F1475,SEARCH("QTY",F1475)+4,IFERROR(FIND(" ",F1475,SEARCH("QTY",F1475)+4)-(SEARCH("QTY",F1475)+4),3))),""))</f>
        <v>0</v>
      </c>
      <c r="M1475">
        <f>'Raw Data'!O1475</f>
        <v>0</v>
      </c>
      <c r="N1475">
        <f>'Raw Data'!P1475</f>
        <v>0</v>
      </c>
      <c r="O1475">
        <f>'Raw Data'!Q1475</f>
        <v>0</v>
      </c>
      <c r="P1475">
        <f>'Raw Data'!R1475</f>
        <v>0</v>
      </c>
      <c r="Q1475">
        <f>'Raw Data'!S1475</f>
        <v>0</v>
      </c>
      <c r="R1475">
        <f>'Raw Data'!T1475</f>
        <v>0</v>
      </c>
      <c r="S1475">
        <f>IFERROR(O1475,0)+IFERROR(R1475,0)</f>
        <v>0</v>
      </c>
      <c r="T1475">
        <f>IF(A1475="","",YEAR(A1475))</f>
        <v>0</v>
      </c>
    </row>
    <row r="1476" spans="1:20">
      <c r="A1476">
        <f>'Raw Data'!B1476</f>
        <v>0</v>
      </c>
      <c r="B1476">
        <f>'Raw Data'!A1476</f>
        <v>0</v>
      </c>
      <c r="C1476">
        <f>'Raw Data'!C1476</f>
        <v>0</v>
      </c>
      <c r="D1476">
        <f>'Raw Data'!D1476</f>
        <v>0</v>
      </c>
      <c r="E1476">
        <f>IFERROR(VLOOKUP(D1476,'Lookup Tables'!$A:$B,2,FALSE),"Unknown")</f>
        <v>0</v>
      </c>
      <c r="F1476">
        <f>'Raw Data'!E1476</f>
        <v>0</v>
      </c>
      <c r="G1476">
        <f>IFERROR(VLOOKUP(D1476,'Lookup Tables'!$A:$C,3,FALSE),IF(ISNUMBER(SEARCH("STEEL",F1476)),"Steel","Others"))</f>
        <v>0</v>
      </c>
      <c r="H1476">
        <f>IF(ISNUMBER(SEARCH("scrubber",F1476)) , "Scrubber", IF(ISNUMBER(SEARCH("container",F1476)),"Container", IF(ISNUMBER(SEARCH("basket",F1476)),"Basket", IF(ISNUMBER(SEARCH("lunch",F1476)),"Lunch Box", IF(ISNUMBER(SEARCH("cutlery",F1476)),"Cutlery","Other")))))</f>
        <v>0</v>
      </c>
      <c r="I1476">
        <f>IF('Raw Data'!G1476&lt;&gt;'','Raw Data'!G1476,IFERROR(MID(F1476,SEARCH("MODEL",F1476)+6,20),""))</f>
        <v>0</v>
      </c>
      <c r="J1476">
        <f>'Raw Data'!H1476</f>
        <v>0</v>
      </c>
      <c r="K1476">
        <f>'Raw Data'!I1476</f>
        <v>0</v>
      </c>
      <c r="L1476">
        <f>IF('Raw Data'!N1476&lt;&gt;0,'Raw Data'!N1476,IFERROR(VALUE(MID(F1476,SEARCH("QTY",F1476)+4,IFERROR(FIND(" ",F1476,SEARCH("QTY",F1476)+4)-(SEARCH("QTY",F1476)+4),3))),""))</f>
        <v>0</v>
      </c>
      <c r="M1476">
        <f>'Raw Data'!O1476</f>
        <v>0</v>
      </c>
      <c r="N1476">
        <f>'Raw Data'!P1476</f>
        <v>0</v>
      </c>
      <c r="O1476">
        <f>'Raw Data'!Q1476</f>
        <v>0</v>
      </c>
      <c r="P1476">
        <f>'Raw Data'!R1476</f>
        <v>0</v>
      </c>
      <c r="Q1476">
        <f>'Raw Data'!S1476</f>
        <v>0</v>
      </c>
      <c r="R1476">
        <f>'Raw Data'!T1476</f>
        <v>0</v>
      </c>
      <c r="S1476">
        <f>IFERROR(O1476,0)+IFERROR(R1476,0)</f>
        <v>0</v>
      </c>
      <c r="T1476">
        <f>IF(A1476="","",YEAR(A1476))</f>
        <v>0</v>
      </c>
    </row>
    <row r="1477" spans="1:20">
      <c r="A1477">
        <f>'Raw Data'!B1477</f>
        <v>0</v>
      </c>
      <c r="B1477">
        <f>'Raw Data'!A1477</f>
        <v>0</v>
      </c>
      <c r="C1477">
        <f>'Raw Data'!C1477</f>
        <v>0</v>
      </c>
      <c r="D1477">
        <f>'Raw Data'!D1477</f>
        <v>0</v>
      </c>
      <c r="E1477">
        <f>IFERROR(VLOOKUP(D1477,'Lookup Tables'!$A:$B,2,FALSE),"Unknown")</f>
        <v>0</v>
      </c>
      <c r="F1477">
        <f>'Raw Data'!E1477</f>
        <v>0</v>
      </c>
      <c r="G1477">
        <f>IFERROR(VLOOKUP(D1477,'Lookup Tables'!$A:$C,3,FALSE),IF(ISNUMBER(SEARCH("STEEL",F1477)),"Steel","Others"))</f>
        <v>0</v>
      </c>
      <c r="H1477">
        <f>IF(ISNUMBER(SEARCH("scrubber",F1477)) , "Scrubber", IF(ISNUMBER(SEARCH("container",F1477)),"Container", IF(ISNUMBER(SEARCH("basket",F1477)),"Basket", IF(ISNUMBER(SEARCH("lunch",F1477)),"Lunch Box", IF(ISNUMBER(SEARCH("cutlery",F1477)),"Cutlery","Other")))))</f>
        <v>0</v>
      </c>
      <c r="I1477">
        <f>IF('Raw Data'!G1477&lt;&gt;'','Raw Data'!G1477,IFERROR(MID(F1477,SEARCH("MODEL",F1477)+6,20),""))</f>
        <v>0</v>
      </c>
      <c r="J1477">
        <f>'Raw Data'!H1477</f>
        <v>0</v>
      </c>
      <c r="K1477">
        <f>'Raw Data'!I1477</f>
        <v>0</v>
      </c>
      <c r="L1477">
        <f>IF('Raw Data'!N1477&lt;&gt;0,'Raw Data'!N1477,IFERROR(VALUE(MID(F1477,SEARCH("QTY",F1477)+4,IFERROR(FIND(" ",F1477,SEARCH("QTY",F1477)+4)-(SEARCH("QTY",F1477)+4),3))),""))</f>
        <v>0</v>
      </c>
      <c r="M1477">
        <f>'Raw Data'!O1477</f>
        <v>0</v>
      </c>
      <c r="N1477">
        <f>'Raw Data'!P1477</f>
        <v>0</v>
      </c>
      <c r="O1477">
        <f>'Raw Data'!Q1477</f>
        <v>0</v>
      </c>
      <c r="P1477">
        <f>'Raw Data'!R1477</f>
        <v>0</v>
      </c>
      <c r="Q1477">
        <f>'Raw Data'!S1477</f>
        <v>0</v>
      </c>
      <c r="R1477">
        <f>'Raw Data'!T1477</f>
        <v>0</v>
      </c>
      <c r="S1477">
        <f>IFERROR(O1477,0)+IFERROR(R1477,0)</f>
        <v>0</v>
      </c>
      <c r="T1477">
        <f>IF(A1477="","",YEAR(A1477))</f>
        <v>0</v>
      </c>
    </row>
    <row r="1478" spans="1:20">
      <c r="A1478">
        <f>'Raw Data'!B1478</f>
        <v>0</v>
      </c>
      <c r="B1478">
        <f>'Raw Data'!A1478</f>
        <v>0</v>
      </c>
      <c r="C1478">
        <f>'Raw Data'!C1478</f>
        <v>0</v>
      </c>
      <c r="D1478">
        <f>'Raw Data'!D1478</f>
        <v>0</v>
      </c>
      <c r="E1478">
        <f>IFERROR(VLOOKUP(D1478,'Lookup Tables'!$A:$B,2,FALSE),"Unknown")</f>
        <v>0</v>
      </c>
      <c r="F1478">
        <f>'Raw Data'!E1478</f>
        <v>0</v>
      </c>
      <c r="G1478">
        <f>IFERROR(VLOOKUP(D1478,'Lookup Tables'!$A:$C,3,FALSE),IF(ISNUMBER(SEARCH("STEEL",F1478)),"Steel","Others"))</f>
        <v>0</v>
      </c>
      <c r="H1478">
        <f>IF(ISNUMBER(SEARCH("scrubber",F1478)) , "Scrubber", IF(ISNUMBER(SEARCH("container",F1478)),"Container", IF(ISNUMBER(SEARCH("basket",F1478)),"Basket", IF(ISNUMBER(SEARCH("lunch",F1478)),"Lunch Box", IF(ISNUMBER(SEARCH("cutlery",F1478)),"Cutlery","Other")))))</f>
        <v>0</v>
      </c>
      <c r="I1478">
        <f>IF('Raw Data'!G1478&lt;&gt;'','Raw Data'!G1478,IFERROR(MID(F1478,SEARCH("MODEL",F1478)+6,20),""))</f>
        <v>0</v>
      </c>
      <c r="J1478">
        <f>'Raw Data'!H1478</f>
        <v>0</v>
      </c>
      <c r="K1478">
        <f>'Raw Data'!I1478</f>
        <v>0</v>
      </c>
      <c r="L1478">
        <f>IF('Raw Data'!N1478&lt;&gt;0,'Raw Data'!N1478,IFERROR(VALUE(MID(F1478,SEARCH("QTY",F1478)+4,IFERROR(FIND(" ",F1478,SEARCH("QTY",F1478)+4)-(SEARCH("QTY",F1478)+4),3))),""))</f>
        <v>0</v>
      </c>
      <c r="M1478">
        <f>'Raw Data'!O1478</f>
        <v>0</v>
      </c>
      <c r="N1478">
        <f>'Raw Data'!P1478</f>
        <v>0</v>
      </c>
      <c r="O1478">
        <f>'Raw Data'!Q1478</f>
        <v>0</v>
      </c>
      <c r="P1478">
        <f>'Raw Data'!R1478</f>
        <v>0</v>
      </c>
      <c r="Q1478">
        <f>'Raw Data'!S1478</f>
        <v>0</v>
      </c>
      <c r="R1478">
        <f>'Raw Data'!T1478</f>
        <v>0</v>
      </c>
      <c r="S1478">
        <f>IFERROR(O1478,0)+IFERROR(R1478,0)</f>
        <v>0</v>
      </c>
      <c r="T1478">
        <f>IF(A1478="","",YEAR(A1478))</f>
        <v>0</v>
      </c>
    </row>
    <row r="1479" spans="1:20">
      <c r="A1479">
        <f>'Raw Data'!B1479</f>
        <v>0</v>
      </c>
      <c r="B1479">
        <f>'Raw Data'!A1479</f>
        <v>0</v>
      </c>
      <c r="C1479">
        <f>'Raw Data'!C1479</f>
        <v>0</v>
      </c>
      <c r="D1479">
        <f>'Raw Data'!D1479</f>
        <v>0</v>
      </c>
      <c r="E1479">
        <f>IFERROR(VLOOKUP(D1479,'Lookup Tables'!$A:$B,2,FALSE),"Unknown")</f>
        <v>0</v>
      </c>
      <c r="F1479">
        <f>'Raw Data'!E1479</f>
        <v>0</v>
      </c>
      <c r="G1479">
        <f>IFERROR(VLOOKUP(D1479,'Lookup Tables'!$A:$C,3,FALSE),IF(ISNUMBER(SEARCH("STEEL",F1479)),"Steel","Others"))</f>
        <v>0</v>
      </c>
      <c r="H1479">
        <f>IF(ISNUMBER(SEARCH("scrubber",F1479)) , "Scrubber", IF(ISNUMBER(SEARCH("container",F1479)),"Container", IF(ISNUMBER(SEARCH("basket",F1479)),"Basket", IF(ISNUMBER(SEARCH("lunch",F1479)),"Lunch Box", IF(ISNUMBER(SEARCH("cutlery",F1479)),"Cutlery","Other")))))</f>
        <v>0</v>
      </c>
      <c r="I1479">
        <f>IF('Raw Data'!G1479&lt;&gt;'','Raw Data'!G1479,IFERROR(MID(F1479,SEARCH("MODEL",F1479)+6,20),""))</f>
        <v>0</v>
      </c>
      <c r="J1479">
        <f>'Raw Data'!H1479</f>
        <v>0</v>
      </c>
      <c r="K1479">
        <f>'Raw Data'!I1479</f>
        <v>0</v>
      </c>
      <c r="L1479">
        <f>IF('Raw Data'!N1479&lt;&gt;0,'Raw Data'!N1479,IFERROR(VALUE(MID(F1479,SEARCH("QTY",F1479)+4,IFERROR(FIND(" ",F1479,SEARCH("QTY",F1479)+4)-(SEARCH("QTY",F1479)+4),3))),""))</f>
        <v>0</v>
      </c>
      <c r="M1479">
        <f>'Raw Data'!O1479</f>
        <v>0</v>
      </c>
      <c r="N1479">
        <f>'Raw Data'!P1479</f>
        <v>0</v>
      </c>
      <c r="O1479">
        <f>'Raw Data'!Q1479</f>
        <v>0</v>
      </c>
      <c r="P1479">
        <f>'Raw Data'!R1479</f>
        <v>0</v>
      </c>
      <c r="Q1479">
        <f>'Raw Data'!S1479</f>
        <v>0</v>
      </c>
      <c r="R1479">
        <f>'Raw Data'!T1479</f>
        <v>0</v>
      </c>
      <c r="S1479">
        <f>IFERROR(O1479,0)+IFERROR(R1479,0)</f>
        <v>0</v>
      </c>
      <c r="T1479">
        <f>IF(A1479="","",YEAR(A1479))</f>
        <v>0</v>
      </c>
    </row>
    <row r="1480" spans="1:20">
      <c r="A1480">
        <f>'Raw Data'!B1480</f>
        <v>0</v>
      </c>
      <c r="B1480">
        <f>'Raw Data'!A1480</f>
        <v>0</v>
      </c>
      <c r="C1480">
        <f>'Raw Data'!C1480</f>
        <v>0</v>
      </c>
      <c r="D1480">
        <f>'Raw Data'!D1480</f>
        <v>0</v>
      </c>
      <c r="E1480">
        <f>IFERROR(VLOOKUP(D1480,'Lookup Tables'!$A:$B,2,FALSE),"Unknown")</f>
        <v>0</v>
      </c>
      <c r="F1480">
        <f>'Raw Data'!E1480</f>
        <v>0</v>
      </c>
      <c r="G1480">
        <f>IFERROR(VLOOKUP(D1480,'Lookup Tables'!$A:$C,3,FALSE),IF(ISNUMBER(SEARCH("STEEL",F1480)),"Steel","Others"))</f>
        <v>0</v>
      </c>
      <c r="H1480">
        <f>IF(ISNUMBER(SEARCH("scrubber",F1480)) , "Scrubber", IF(ISNUMBER(SEARCH("container",F1480)),"Container", IF(ISNUMBER(SEARCH("basket",F1480)),"Basket", IF(ISNUMBER(SEARCH("lunch",F1480)),"Lunch Box", IF(ISNUMBER(SEARCH("cutlery",F1480)),"Cutlery","Other")))))</f>
        <v>0</v>
      </c>
      <c r="I1480">
        <f>IF('Raw Data'!G1480&lt;&gt;'','Raw Data'!G1480,IFERROR(MID(F1480,SEARCH("MODEL",F1480)+6,20),""))</f>
        <v>0</v>
      </c>
      <c r="J1480">
        <f>'Raw Data'!H1480</f>
        <v>0</v>
      </c>
      <c r="K1480">
        <f>'Raw Data'!I1480</f>
        <v>0</v>
      </c>
      <c r="L1480">
        <f>IF('Raw Data'!N1480&lt;&gt;0,'Raw Data'!N1480,IFERROR(VALUE(MID(F1480,SEARCH("QTY",F1480)+4,IFERROR(FIND(" ",F1480,SEARCH("QTY",F1480)+4)-(SEARCH("QTY",F1480)+4),3))),""))</f>
        <v>0</v>
      </c>
      <c r="M1480">
        <f>'Raw Data'!O1480</f>
        <v>0</v>
      </c>
      <c r="N1480">
        <f>'Raw Data'!P1480</f>
        <v>0</v>
      </c>
      <c r="O1480">
        <f>'Raw Data'!Q1480</f>
        <v>0</v>
      </c>
      <c r="P1480">
        <f>'Raw Data'!R1480</f>
        <v>0</v>
      </c>
      <c r="Q1480">
        <f>'Raw Data'!S1480</f>
        <v>0</v>
      </c>
      <c r="R1480">
        <f>'Raw Data'!T1480</f>
        <v>0</v>
      </c>
      <c r="S1480">
        <f>IFERROR(O1480,0)+IFERROR(R1480,0)</f>
        <v>0</v>
      </c>
      <c r="T1480">
        <f>IF(A1480="","",YEAR(A1480))</f>
        <v>0</v>
      </c>
    </row>
    <row r="1481" spans="1:20">
      <c r="A1481">
        <f>'Raw Data'!B1481</f>
        <v>0</v>
      </c>
      <c r="B1481">
        <f>'Raw Data'!A1481</f>
        <v>0</v>
      </c>
      <c r="C1481">
        <f>'Raw Data'!C1481</f>
        <v>0</v>
      </c>
      <c r="D1481">
        <f>'Raw Data'!D1481</f>
        <v>0</v>
      </c>
      <c r="E1481">
        <f>IFERROR(VLOOKUP(D1481,'Lookup Tables'!$A:$B,2,FALSE),"Unknown")</f>
        <v>0</v>
      </c>
      <c r="F1481">
        <f>'Raw Data'!E1481</f>
        <v>0</v>
      </c>
      <c r="G1481">
        <f>IFERROR(VLOOKUP(D1481,'Lookup Tables'!$A:$C,3,FALSE),IF(ISNUMBER(SEARCH("STEEL",F1481)),"Steel","Others"))</f>
        <v>0</v>
      </c>
      <c r="H1481">
        <f>IF(ISNUMBER(SEARCH("scrubber",F1481)) , "Scrubber", IF(ISNUMBER(SEARCH("container",F1481)),"Container", IF(ISNUMBER(SEARCH("basket",F1481)),"Basket", IF(ISNUMBER(SEARCH("lunch",F1481)),"Lunch Box", IF(ISNUMBER(SEARCH("cutlery",F1481)),"Cutlery","Other")))))</f>
        <v>0</v>
      </c>
      <c r="I1481">
        <f>IF('Raw Data'!G1481&lt;&gt;'','Raw Data'!G1481,IFERROR(MID(F1481,SEARCH("MODEL",F1481)+6,20),""))</f>
        <v>0</v>
      </c>
      <c r="J1481">
        <f>'Raw Data'!H1481</f>
        <v>0</v>
      </c>
      <c r="K1481">
        <f>'Raw Data'!I1481</f>
        <v>0</v>
      </c>
      <c r="L1481">
        <f>IF('Raw Data'!N1481&lt;&gt;0,'Raw Data'!N1481,IFERROR(VALUE(MID(F1481,SEARCH("QTY",F1481)+4,IFERROR(FIND(" ",F1481,SEARCH("QTY",F1481)+4)-(SEARCH("QTY",F1481)+4),3))),""))</f>
        <v>0</v>
      </c>
      <c r="M1481">
        <f>'Raw Data'!O1481</f>
        <v>0</v>
      </c>
      <c r="N1481">
        <f>'Raw Data'!P1481</f>
        <v>0</v>
      </c>
      <c r="O1481">
        <f>'Raw Data'!Q1481</f>
        <v>0</v>
      </c>
      <c r="P1481">
        <f>'Raw Data'!R1481</f>
        <v>0</v>
      </c>
      <c r="Q1481">
        <f>'Raw Data'!S1481</f>
        <v>0</v>
      </c>
      <c r="R1481">
        <f>'Raw Data'!T1481</f>
        <v>0</v>
      </c>
      <c r="S1481">
        <f>IFERROR(O1481,0)+IFERROR(R1481,0)</f>
        <v>0</v>
      </c>
      <c r="T1481">
        <f>IF(A1481="","",YEAR(A1481))</f>
        <v>0</v>
      </c>
    </row>
    <row r="1482" spans="1:20">
      <c r="A1482">
        <f>'Raw Data'!B1482</f>
        <v>0</v>
      </c>
      <c r="B1482">
        <f>'Raw Data'!A1482</f>
        <v>0</v>
      </c>
      <c r="C1482">
        <f>'Raw Data'!C1482</f>
        <v>0</v>
      </c>
      <c r="D1482">
        <f>'Raw Data'!D1482</f>
        <v>0</v>
      </c>
      <c r="E1482">
        <f>IFERROR(VLOOKUP(D1482,'Lookup Tables'!$A:$B,2,FALSE),"Unknown")</f>
        <v>0</v>
      </c>
      <c r="F1482">
        <f>'Raw Data'!E1482</f>
        <v>0</v>
      </c>
      <c r="G1482">
        <f>IFERROR(VLOOKUP(D1482,'Lookup Tables'!$A:$C,3,FALSE),IF(ISNUMBER(SEARCH("STEEL",F1482)),"Steel","Others"))</f>
        <v>0</v>
      </c>
      <c r="H1482">
        <f>IF(ISNUMBER(SEARCH("scrubber",F1482)) , "Scrubber", IF(ISNUMBER(SEARCH("container",F1482)),"Container", IF(ISNUMBER(SEARCH("basket",F1482)),"Basket", IF(ISNUMBER(SEARCH("lunch",F1482)),"Lunch Box", IF(ISNUMBER(SEARCH("cutlery",F1482)),"Cutlery","Other")))))</f>
        <v>0</v>
      </c>
      <c r="I1482">
        <f>IF('Raw Data'!G1482&lt;&gt;'','Raw Data'!G1482,IFERROR(MID(F1482,SEARCH("MODEL",F1482)+6,20),""))</f>
        <v>0</v>
      </c>
      <c r="J1482">
        <f>'Raw Data'!H1482</f>
        <v>0</v>
      </c>
      <c r="K1482">
        <f>'Raw Data'!I1482</f>
        <v>0</v>
      </c>
      <c r="L1482">
        <f>IF('Raw Data'!N1482&lt;&gt;0,'Raw Data'!N1482,IFERROR(VALUE(MID(F1482,SEARCH("QTY",F1482)+4,IFERROR(FIND(" ",F1482,SEARCH("QTY",F1482)+4)-(SEARCH("QTY",F1482)+4),3))),""))</f>
        <v>0</v>
      </c>
      <c r="M1482">
        <f>'Raw Data'!O1482</f>
        <v>0</v>
      </c>
      <c r="N1482">
        <f>'Raw Data'!P1482</f>
        <v>0</v>
      </c>
      <c r="O1482">
        <f>'Raw Data'!Q1482</f>
        <v>0</v>
      </c>
      <c r="P1482">
        <f>'Raw Data'!R1482</f>
        <v>0</v>
      </c>
      <c r="Q1482">
        <f>'Raw Data'!S1482</f>
        <v>0</v>
      </c>
      <c r="R1482">
        <f>'Raw Data'!T1482</f>
        <v>0</v>
      </c>
      <c r="S1482">
        <f>IFERROR(O1482,0)+IFERROR(R1482,0)</f>
        <v>0</v>
      </c>
      <c r="T1482">
        <f>IF(A1482="","",YEAR(A1482))</f>
        <v>0</v>
      </c>
    </row>
    <row r="1483" spans="1:20">
      <c r="A1483">
        <f>'Raw Data'!B1483</f>
        <v>0</v>
      </c>
      <c r="B1483">
        <f>'Raw Data'!A1483</f>
        <v>0</v>
      </c>
      <c r="C1483">
        <f>'Raw Data'!C1483</f>
        <v>0</v>
      </c>
      <c r="D1483">
        <f>'Raw Data'!D1483</f>
        <v>0</v>
      </c>
      <c r="E1483">
        <f>IFERROR(VLOOKUP(D1483,'Lookup Tables'!$A:$B,2,FALSE),"Unknown")</f>
        <v>0</v>
      </c>
      <c r="F1483">
        <f>'Raw Data'!E1483</f>
        <v>0</v>
      </c>
      <c r="G1483">
        <f>IFERROR(VLOOKUP(D1483,'Lookup Tables'!$A:$C,3,FALSE),IF(ISNUMBER(SEARCH("STEEL",F1483)),"Steel","Others"))</f>
        <v>0</v>
      </c>
      <c r="H1483">
        <f>IF(ISNUMBER(SEARCH("scrubber",F1483)) , "Scrubber", IF(ISNUMBER(SEARCH("container",F1483)),"Container", IF(ISNUMBER(SEARCH("basket",F1483)),"Basket", IF(ISNUMBER(SEARCH("lunch",F1483)),"Lunch Box", IF(ISNUMBER(SEARCH("cutlery",F1483)),"Cutlery","Other")))))</f>
        <v>0</v>
      </c>
      <c r="I1483">
        <f>IF('Raw Data'!G1483&lt;&gt;'','Raw Data'!G1483,IFERROR(MID(F1483,SEARCH("MODEL",F1483)+6,20),""))</f>
        <v>0</v>
      </c>
      <c r="J1483">
        <f>'Raw Data'!H1483</f>
        <v>0</v>
      </c>
      <c r="K1483">
        <f>'Raw Data'!I1483</f>
        <v>0</v>
      </c>
      <c r="L1483">
        <f>IF('Raw Data'!N1483&lt;&gt;0,'Raw Data'!N1483,IFERROR(VALUE(MID(F1483,SEARCH("QTY",F1483)+4,IFERROR(FIND(" ",F1483,SEARCH("QTY",F1483)+4)-(SEARCH("QTY",F1483)+4),3))),""))</f>
        <v>0</v>
      </c>
      <c r="M1483">
        <f>'Raw Data'!O1483</f>
        <v>0</v>
      </c>
      <c r="N1483">
        <f>'Raw Data'!P1483</f>
        <v>0</v>
      </c>
      <c r="O1483">
        <f>'Raw Data'!Q1483</f>
        <v>0</v>
      </c>
      <c r="P1483">
        <f>'Raw Data'!R1483</f>
        <v>0</v>
      </c>
      <c r="Q1483">
        <f>'Raw Data'!S1483</f>
        <v>0</v>
      </c>
      <c r="R1483">
        <f>'Raw Data'!T1483</f>
        <v>0</v>
      </c>
      <c r="S1483">
        <f>IFERROR(O1483,0)+IFERROR(R1483,0)</f>
        <v>0</v>
      </c>
      <c r="T1483">
        <f>IF(A1483="","",YEAR(A1483))</f>
        <v>0</v>
      </c>
    </row>
    <row r="1484" spans="1:20">
      <c r="A1484">
        <f>'Raw Data'!B1484</f>
        <v>0</v>
      </c>
      <c r="B1484">
        <f>'Raw Data'!A1484</f>
        <v>0</v>
      </c>
      <c r="C1484">
        <f>'Raw Data'!C1484</f>
        <v>0</v>
      </c>
      <c r="D1484">
        <f>'Raw Data'!D1484</f>
        <v>0</v>
      </c>
      <c r="E1484">
        <f>IFERROR(VLOOKUP(D1484,'Lookup Tables'!$A:$B,2,FALSE),"Unknown")</f>
        <v>0</v>
      </c>
      <c r="F1484">
        <f>'Raw Data'!E1484</f>
        <v>0</v>
      </c>
      <c r="G1484">
        <f>IFERROR(VLOOKUP(D1484,'Lookup Tables'!$A:$C,3,FALSE),IF(ISNUMBER(SEARCH("STEEL",F1484)),"Steel","Others"))</f>
        <v>0</v>
      </c>
      <c r="H1484">
        <f>IF(ISNUMBER(SEARCH("scrubber",F1484)) , "Scrubber", IF(ISNUMBER(SEARCH("container",F1484)),"Container", IF(ISNUMBER(SEARCH("basket",F1484)),"Basket", IF(ISNUMBER(SEARCH("lunch",F1484)),"Lunch Box", IF(ISNUMBER(SEARCH("cutlery",F1484)),"Cutlery","Other")))))</f>
        <v>0</v>
      </c>
      <c r="I1484">
        <f>IF('Raw Data'!G1484&lt;&gt;'','Raw Data'!G1484,IFERROR(MID(F1484,SEARCH("MODEL",F1484)+6,20),""))</f>
        <v>0</v>
      </c>
      <c r="J1484">
        <f>'Raw Data'!H1484</f>
        <v>0</v>
      </c>
      <c r="K1484">
        <f>'Raw Data'!I1484</f>
        <v>0</v>
      </c>
      <c r="L1484">
        <f>IF('Raw Data'!N1484&lt;&gt;0,'Raw Data'!N1484,IFERROR(VALUE(MID(F1484,SEARCH("QTY",F1484)+4,IFERROR(FIND(" ",F1484,SEARCH("QTY",F1484)+4)-(SEARCH("QTY",F1484)+4),3))),""))</f>
        <v>0</v>
      </c>
      <c r="M1484">
        <f>'Raw Data'!O1484</f>
        <v>0</v>
      </c>
      <c r="N1484">
        <f>'Raw Data'!P1484</f>
        <v>0</v>
      </c>
      <c r="O1484">
        <f>'Raw Data'!Q1484</f>
        <v>0</v>
      </c>
      <c r="P1484">
        <f>'Raw Data'!R1484</f>
        <v>0</v>
      </c>
      <c r="Q1484">
        <f>'Raw Data'!S1484</f>
        <v>0</v>
      </c>
      <c r="R1484">
        <f>'Raw Data'!T1484</f>
        <v>0</v>
      </c>
      <c r="S1484">
        <f>IFERROR(O1484,0)+IFERROR(R1484,0)</f>
        <v>0</v>
      </c>
      <c r="T1484">
        <f>IF(A1484="","",YEAR(A1484))</f>
        <v>0</v>
      </c>
    </row>
    <row r="1485" spans="1:20">
      <c r="A1485">
        <f>'Raw Data'!B1485</f>
        <v>0</v>
      </c>
      <c r="B1485">
        <f>'Raw Data'!A1485</f>
        <v>0</v>
      </c>
      <c r="C1485">
        <f>'Raw Data'!C1485</f>
        <v>0</v>
      </c>
      <c r="D1485">
        <f>'Raw Data'!D1485</f>
        <v>0</v>
      </c>
      <c r="E1485">
        <f>IFERROR(VLOOKUP(D1485,'Lookup Tables'!$A:$B,2,FALSE),"Unknown")</f>
        <v>0</v>
      </c>
      <c r="F1485">
        <f>'Raw Data'!E1485</f>
        <v>0</v>
      </c>
      <c r="G1485">
        <f>IFERROR(VLOOKUP(D1485,'Lookup Tables'!$A:$C,3,FALSE),IF(ISNUMBER(SEARCH("STEEL",F1485)),"Steel","Others"))</f>
        <v>0</v>
      </c>
      <c r="H1485">
        <f>IF(ISNUMBER(SEARCH("scrubber",F1485)) , "Scrubber", IF(ISNUMBER(SEARCH("container",F1485)),"Container", IF(ISNUMBER(SEARCH("basket",F1485)),"Basket", IF(ISNUMBER(SEARCH("lunch",F1485)),"Lunch Box", IF(ISNUMBER(SEARCH("cutlery",F1485)),"Cutlery","Other")))))</f>
        <v>0</v>
      </c>
      <c r="I1485">
        <f>IF('Raw Data'!G1485&lt;&gt;'','Raw Data'!G1485,IFERROR(MID(F1485,SEARCH("MODEL",F1485)+6,20),""))</f>
        <v>0</v>
      </c>
      <c r="J1485">
        <f>'Raw Data'!H1485</f>
        <v>0</v>
      </c>
      <c r="K1485">
        <f>'Raw Data'!I1485</f>
        <v>0</v>
      </c>
      <c r="L1485">
        <f>IF('Raw Data'!N1485&lt;&gt;0,'Raw Data'!N1485,IFERROR(VALUE(MID(F1485,SEARCH("QTY",F1485)+4,IFERROR(FIND(" ",F1485,SEARCH("QTY",F1485)+4)-(SEARCH("QTY",F1485)+4),3))),""))</f>
        <v>0</v>
      </c>
      <c r="M1485">
        <f>'Raw Data'!O1485</f>
        <v>0</v>
      </c>
      <c r="N1485">
        <f>'Raw Data'!P1485</f>
        <v>0</v>
      </c>
      <c r="O1485">
        <f>'Raw Data'!Q1485</f>
        <v>0</v>
      </c>
      <c r="P1485">
        <f>'Raw Data'!R1485</f>
        <v>0</v>
      </c>
      <c r="Q1485">
        <f>'Raw Data'!S1485</f>
        <v>0</v>
      </c>
      <c r="R1485">
        <f>'Raw Data'!T1485</f>
        <v>0</v>
      </c>
      <c r="S1485">
        <f>IFERROR(O1485,0)+IFERROR(R1485,0)</f>
        <v>0</v>
      </c>
      <c r="T1485">
        <f>IF(A1485="","",YEAR(A1485))</f>
        <v>0</v>
      </c>
    </row>
    <row r="1486" spans="1:20">
      <c r="A1486">
        <f>'Raw Data'!B1486</f>
        <v>0</v>
      </c>
      <c r="B1486">
        <f>'Raw Data'!A1486</f>
        <v>0</v>
      </c>
      <c r="C1486">
        <f>'Raw Data'!C1486</f>
        <v>0</v>
      </c>
      <c r="D1486">
        <f>'Raw Data'!D1486</f>
        <v>0</v>
      </c>
      <c r="E1486">
        <f>IFERROR(VLOOKUP(D1486,'Lookup Tables'!$A:$B,2,FALSE),"Unknown")</f>
        <v>0</v>
      </c>
      <c r="F1486">
        <f>'Raw Data'!E1486</f>
        <v>0</v>
      </c>
      <c r="G1486">
        <f>IFERROR(VLOOKUP(D1486,'Lookup Tables'!$A:$C,3,FALSE),IF(ISNUMBER(SEARCH("STEEL",F1486)),"Steel","Others"))</f>
        <v>0</v>
      </c>
      <c r="H1486">
        <f>IF(ISNUMBER(SEARCH("scrubber",F1486)) , "Scrubber", IF(ISNUMBER(SEARCH("container",F1486)),"Container", IF(ISNUMBER(SEARCH("basket",F1486)),"Basket", IF(ISNUMBER(SEARCH("lunch",F1486)),"Lunch Box", IF(ISNUMBER(SEARCH("cutlery",F1486)),"Cutlery","Other")))))</f>
        <v>0</v>
      </c>
      <c r="I1486">
        <f>IF('Raw Data'!G1486&lt;&gt;'','Raw Data'!G1486,IFERROR(MID(F1486,SEARCH("MODEL",F1486)+6,20),""))</f>
        <v>0</v>
      </c>
      <c r="J1486">
        <f>'Raw Data'!H1486</f>
        <v>0</v>
      </c>
      <c r="K1486">
        <f>'Raw Data'!I1486</f>
        <v>0</v>
      </c>
      <c r="L1486">
        <f>IF('Raw Data'!N1486&lt;&gt;0,'Raw Data'!N1486,IFERROR(VALUE(MID(F1486,SEARCH("QTY",F1486)+4,IFERROR(FIND(" ",F1486,SEARCH("QTY",F1486)+4)-(SEARCH("QTY",F1486)+4),3))),""))</f>
        <v>0</v>
      </c>
      <c r="M1486">
        <f>'Raw Data'!O1486</f>
        <v>0</v>
      </c>
      <c r="N1486">
        <f>'Raw Data'!P1486</f>
        <v>0</v>
      </c>
      <c r="O1486">
        <f>'Raw Data'!Q1486</f>
        <v>0</v>
      </c>
      <c r="P1486">
        <f>'Raw Data'!R1486</f>
        <v>0</v>
      </c>
      <c r="Q1486">
        <f>'Raw Data'!S1486</f>
        <v>0</v>
      </c>
      <c r="R1486">
        <f>'Raw Data'!T1486</f>
        <v>0</v>
      </c>
      <c r="S1486">
        <f>IFERROR(O1486,0)+IFERROR(R1486,0)</f>
        <v>0</v>
      </c>
      <c r="T1486">
        <f>IF(A1486="","",YEAR(A1486))</f>
        <v>0</v>
      </c>
    </row>
    <row r="1487" spans="1:20">
      <c r="A1487">
        <f>'Raw Data'!B1487</f>
        <v>0</v>
      </c>
      <c r="B1487">
        <f>'Raw Data'!A1487</f>
        <v>0</v>
      </c>
      <c r="C1487">
        <f>'Raw Data'!C1487</f>
        <v>0</v>
      </c>
      <c r="D1487">
        <f>'Raw Data'!D1487</f>
        <v>0</v>
      </c>
      <c r="E1487">
        <f>IFERROR(VLOOKUP(D1487,'Lookup Tables'!$A:$B,2,FALSE),"Unknown")</f>
        <v>0</v>
      </c>
      <c r="F1487">
        <f>'Raw Data'!E1487</f>
        <v>0</v>
      </c>
      <c r="G1487">
        <f>IFERROR(VLOOKUP(D1487,'Lookup Tables'!$A:$C,3,FALSE),IF(ISNUMBER(SEARCH("STEEL",F1487)),"Steel","Others"))</f>
        <v>0</v>
      </c>
      <c r="H1487">
        <f>IF(ISNUMBER(SEARCH("scrubber",F1487)) , "Scrubber", IF(ISNUMBER(SEARCH("container",F1487)),"Container", IF(ISNUMBER(SEARCH("basket",F1487)),"Basket", IF(ISNUMBER(SEARCH("lunch",F1487)),"Lunch Box", IF(ISNUMBER(SEARCH("cutlery",F1487)),"Cutlery","Other")))))</f>
        <v>0</v>
      </c>
      <c r="I1487">
        <f>IF('Raw Data'!G1487&lt;&gt;'','Raw Data'!G1487,IFERROR(MID(F1487,SEARCH("MODEL",F1487)+6,20),""))</f>
        <v>0</v>
      </c>
      <c r="J1487">
        <f>'Raw Data'!H1487</f>
        <v>0</v>
      </c>
      <c r="K1487">
        <f>'Raw Data'!I1487</f>
        <v>0</v>
      </c>
      <c r="L1487">
        <f>IF('Raw Data'!N1487&lt;&gt;0,'Raw Data'!N1487,IFERROR(VALUE(MID(F1487,SEARCH("QTY",F1487)+4,IFERROR(FIND(" ",F1487,SEARCH("QTY",F1487)+4)-(SEARCH("QTY",F1487)+4),3))),""))</f>
        <v>0</v>
      </c>
      <c r="M1487">
        <f>'Raw Data'!O1487</f>
        <v>0</v>
      </c>
      <c r="N1487">
        <f>'Raw Data'!P1487</f>
        <v>0</v>
      </c>
      <c r="O1487">
        <f>'Raw Data'!Q1487</f>
        <v>0</v>
      </c>
      <c r="P1487">
        <f>'Raw Data'!R1487</f>
        <v>0</v>
      </c>
      <c r="Q1487">
        <f>'Raw Data'!S1487</f>
        <v>0</v>
      </c>
      <c r="R1487">
        <f>'Raw Data'!T1487</f>
        <v>0</v>
      </c>
      <c r="S1487">
        <f>IFERROR(O1487,0)+IFERROR(R1487,0)</f>
        <v>0</v>
      </c>
      <c r="T1487">
        <f>IF(A1487="","",YEAR(A1487))</f>
        <v>0</v>
      </c>
    </row>
    <row r="1488" spans="1:20">
      <c r="A1488">
        <f>'Raw Data'!B1488</f>
        <v>0</v>
      </c>
      <c r="B1488">
        <f>'Raw Data'!A1488</f>
        <v>0</v>
      </c>
      <c r="C1488">
        <f>'Raw Data'!C1488</f>
        <v>0</v>
      </c>
      <c r="D1488">
        <f>'Raw Data'!D1488</f>
        <v>0</v>
      </c>
      <c r="E1488">
        <f>IFERROR(VLOOKUP(D1488,'Lookup Tables'!$A:$B,2,FALSE),"Unknown")</f>
        <v>0</v>
      </c>
      <c r="F1488">
        <f>'Raw Data'!E1488</f>
        <v>0</v>
      </c>
      <c r="G1488">
        <f>IFERROR(VLOOKUP(D1488,'Lookup Tables'!$A:$C,3,FALSE),IF(ISNUMBER(SEARCH("STEEL",F1488)),"Steel","Others"))</f>
        <v>0</v>
      </c>
      <c r="H1488">
        <f>IF(ISNUMBER(SEARCH("scrubber",F1488)) , "Scrubber", IF(ISNUMBER(SEARCH("container",F1488)),"Container", IF(ISNUMBER(SEARCH("basket",F1488)),"Basket", IF(ISNUMBER(SEARCH("lunch",F1488)),"Lunch Box", IF(ISNUMBER(SEARCH("cutlery",F1488)),"Cutlery","Other")))))</f>
        <v>0</v>
      </c>
      <c r="I1488">
        <f>IF('Raw Data'!G1488&lt;&gt;'','Raw Data'!G1488,IFERROR(MID(F1488,SEARCH("MODEL",F1488)+6,20),""))</f>
        <v>0</v>
      </c>
      <c r="J1488">
        <f>'Raw Data'!H1488</f>
        <v>0</v>
      </c>
      <c r="K1488">
        <f>'Raw Data'!I1488</f>
        <v>0</v>
      </c>
      <c r="L1488">
        <f>IF('Raw Data'!N1488&lt;&gt;0,'Raw Data'!N1488,IFERROR(VALUE(MID(F1488,SEARCH("QTY",F1488)+4,IFERROR(FIND(" ",F1488,SEARCH("QTY",F1488)+4)-(SEARCH("QTY",F1488)+4),3))),""))</f>
        <v>0</v>
      </c>
      <c r="M1488">
        <f>'Raw Data'!O1488</f>
        <v>0</v>
      </c>
      <c r="N1488">
        <f>'Raw Data'!P1488</f>
        <v>0</v>
      </c>
      <c r="O1488">
        <f>'Raw Data'!Q1488</f>
        <v>0</v>
      </c>
      <c r="P1488">
        <f>'Raw Data'!R1488</f>
        <v>0</v>
      </c>
      <c r="Q1488">
        <f>'Raw Data'!S1488</f>
        <v>0</v>
      </c>
      <c r="R1488">
        <f>'Raw Data'!T1488</f>
        <v>0</v>
      </c>
      <c r="S1488">
        <f>IFERROR(O1488,0)+IFERROR(R1488,0)</f>
        <v>0</v>
      </c>
      <c r="T1488">
        <f>IF(A1488="","",YEAR(A1488))</f>
        <v>0</v>
      </c>
    </row>
    <row r="1489" spans="1:20">
      <c r="A1489">
        <f>'Raw Data'!B1489</f>
        <v>0</v>
      </c>
      <c r="B1489">
        <f>'Raw Data'!A1489</f>
        <v>0</v>
      </c>
      <c r="C1489">
        <f>'Raw Data'!C1489</f>
        <v>0</v>
      </c>
      <c r="D1489">
        <f>'Raw Data'!D1489</f>
        <v>0</v>
      </c>
      <c r="E1489">
        <f>IFERROR(VLOOKUP(D1489,'Lookup Tables'!$A:$B,2,FALSE),"Unknown")</f>
        <v>0</v>
      </c>
      <c r="F1489">
        <f>'Raw Data'!E1489</f>
        <v>0</v>
      </c>
      <c r="G1489">
        <f>IFERROR(VLOOKUP(D1489,'Lookup Tables'!$A:$C,3,FALSE),IF(ISNUMBER(SEARCH("STEEL",F1489)),"Steel","Others"))</f>
        <v>0</v>
      </c>
      <c r="H1489">
        <f>IF(ISNUMBER(SEARCH("scrubber",F1489)) , "Scrubber", IF(ISNUMBER(SEARCH("container",F1489)),"Container", IF(ISNUMBER(SEARCH("basket",F1489)),"Basket", IF(ISNUMBER(SEARCH("lunch",F1489)),"Lunch Box", IF(ISNUMBER(SEARCH("cutlery",F1489)),"Cutlery","Other")))))</f>
        <v>0</v>
      </c>
      <c r="I1489">
        <f>IF('Raw Data'!G1489&lt;&gt;'','Raw Data'!G1489,IFERROR(MID(F1489,SEARCH("MODEL",F1489)+6,20),""))</f>
        <v>0</v>
      </c>
      <c r="J1489">
        <f>'Raw Data'!H1489</f>
        <v>0</v>
      </c>
      <c r="K1489">
        <f>'Raw Data'!I1489</f>
        <v>0</v>
      </c>
      <c r="L1489">
        <f>IF('Raw Data'!N1489&lt;&gt;0,'Raw Data'!N1489,IFERROR(VALUE(MID(F1489,SEARCH("QTY",F1489)+4,IFERROR(FIND(" ",F1489,SEARCH("QTY",F1489)+4)-(SEARCH("QTY",F1489)+4),3))),""))</f>
        <v>0</v>
      </c>
      <c r="M1489">
        <f>'Raw Data'!O1489</f>
        <v>0</v>
      </c>
      <c r="N1489">
        <f>'Raw Data'!P1489</f>
        <v>0</v>
      </c>
      <c r="O1489">
        <f>'Raw Data'!Q1489</f>
        <v>0</v>
      </c>
      <c r="P1489">
        <f>'Raw Data'!R1489</f>
        <v>0</v>
      </c>
      <c r="Q1489">
        <f>'Raw Data'!S1489</f>
        <v>0</v>
      </c>
      <c r="R1489">
        <f>'Raw Data'!T1489</f>
        <v>0</v>
      </c>
      <c r="S1489">
        <f>IFERROR(O1489,0)+IFERROR(R1489,0)</f>
        <v>0</v>
      </c>
      <c r="T1489">
        <f>IF(A1489="","",YEAR(A1489))</f>
        <v>0</v>
      </c>
    </row>
    <row r="1490" spans="1:20">
      <c r="A1490">
        <f>'Raw Data'!B1490</f>
        <v>0</v>
      </c>
      <c r="B1490">
        <f>'Raw Data'!A1490</f>
        <v>0</v>
      </c>
      <c r="C1490">
        <f>'Raw Data'!C1490</f>
        <v>0</v>
      </c>
      <c r="D1490">
        <f>'Raw Data'!D1490</f>
        <v>0</v>
      </c>
      <c r="E1490">
        <f>IFERROR(VLOOKUP(D1490,'Lookup Tables'!$A:$B,2,FALSE),"Unknown")</f>
        <v>0</v>
      </c>
      <c r="F1490">
        <f>'Raw Data'!E1490</f>
        <v>0</v>
      </c>
      <c r="G1490">
        <f>IFERROR(VLOOKUP(D1490,'Lookup Tables'!$A:$C,3,FALSE),IF(ISNUMBER(SEARCH("STEEL",F1490)),"Steel","Others"))</f>
        <v>0</v>
      </c>
      <c r="H1490">
        <f>IF(ISNUMBER(SEARCH("scrubber",F1490)) , "Scrubber", IF(ISNUMBER(SEARCH("container",F1490)),"Container", IF(ISNUMBER(SEARCH("basket",F1490)),"Basket", IF(ISNUMBER(SEARCH("lunch",F1490)),"Lunch Box", IF(ISNUMBER(SEARCH("cutlery",F1490)),"Cutlery","Other")))))</f>
        <v>0</v>
      </c>
      <c r="I1490">
        <f>IF('Raw Data'!G1490&lt;&gt;'','Raw Data'!G1490,IFERROR(MID(F1490,SEARCH("MODEL",F1490)+6,20),""))</f>
        <v>0</v>
      </c>
      <c r="J1490">
        <f>'Raw Data'!H1490</f>
        <v>0</v>
      </c>
      <c r="K1490">
        <f>'Raw Data'!I1490</f>
        <v>0</v>
      </c>
      <c r="L1490">
        <f>IF('Raw Data'!N1490&lt;&gt;0,'Raw Data'!N1490,IFERROR(VALUE(MID(F1490,SEARCH("QTY",F1490)+4,IFERROR(FIND(" ",F1490,SEARCH("QTY",F1490)+4)-(SEARCH("QTY",F1490)+4),3))),""))</f>
        <v>0</v>
      </c>
      <c r="M1490">
        <f>'Raw Data'!O1490</f>
        <v>0</v>
      </c>
      <c r="N1490">
        <f>'Raw Data'!P1490</f>
        <v>0</v>
      </c>
      <c r="O1490">
        <f>'Raw Data'!Q1490</f>
        <v>0</v>
      </c>
      <c r="P1490">
        <f>'Raw Data'!R1490</f>
        <v>0</v>
      </c>
      <c r="Q1490">
        <f>'Raw Data'!S1490</f>
        <v>0</v>
      </c>
      <c r="R1490">
        <f>'Raw Data'!T1490</f>
        <v>0</v>
      </c>
      <c r="S1490">
        <f>IFERROR(O1490,0)+IFERROR(R1490,0)</f>
        <v>0</v>
      </c>
      <c r="T1490">
        <f>IF(A1490="","",YEAR(A1490))</f>
        <v>0</v>
      </c>
    </row>
    <row r="1491" spans="1:20">
      <c r="A1491">
        <f>'Raw Data'!B1491</f>
        <v>0</v>
      </c>
      <c r="B1491">
        <f>'Raw Data'!A1491</f>
        <v>0</v>
      </c>
      <c r="C1491">
        <f>'Raw Data'!C1491</f>
        <v>0</v>
      </c>
      <c r="D1491">
        <f>'Raw Data'!D1491</f>
        <v>0</v>
      </c>
      <c r="E1491">
        <f>IFERROR(VLOOKUP(D1491,'Lookup Tables'!$A:$B,2,FALSE),"Unknown")</f>
        <v>0</v>
      </c>
      <c r="F1491">
        <f>'Raw Data'!E1491</f>
        <v>0</v>
      </c>
      <c r="G1491">
        <f>IFERROR(VLOOKUP(D1491,'Lookup Tables'!$A:$C,3,FALSE),IF(ISNUMBER(SEARCH("STEEL",F1491)),"Steel","Others"))</f>
        <v>0</v>
      </c>
      <c r="H1491">
        <f>IF(ISNUMBER(SEARCH("scrubber",F1491)) , "Scrubber", IF(ISNUMBER(SEARCH("container",F1491)),"Container", IF(ISNUMBER(SEARCH("basket",F1491)),"Basket", IF(ISNUMBER(SEARCH("lunch",F1491)),"Lunch Box", IF(ISNUMBER(SEARCH("cutlery",F1491)),"Cutlery","Other")))))</f>
        <v>0</v>
      </c>
      <c r="I1491">
        <f>IF('Raw Data'!G1491&lt;&gt;'','Raw Data'!G1491,IFERROR(MID(F1491,SEARCH("MODEL",F1491)+6,20),""))</f>
        <v>0</v>
      </c>
      <c r="J1491">
        <f>'Raw Data'!H1491</f>
        <v>0</v>
      </c>
      <c r="K1491">
        <f>'Raw Data'!I1491</f>
        <v>0</v>
      </c>
      <c r="L1491">
        <f>IF('Raw Data'!N1491&lt;&gt;0,'Raw Data'!N1491,IFERROR(VALUE(MID(F1491,SEARCH("QTY",F1491)+4,IFERROR(FIND(" ",F1491,SEARCH("QTY",F1491)+4)-(SEARCH("QTY",F1491)+4),3))),""))</f>
        <v>0</v>
      </c>
      <c r="M1491">
        <f>'Raw Data'!O1491</f>
        <v>0</v>
      </c>
      <c r="N1491">
        <f>'Raw Data'!P1491</f>
        <v>0</v>
      </c>
      <c r="O1491">
        <f>'Raw Data'!Q1491</f>
        <v>0</v>
      </c>
      <c r="P1491">
        <f>'Raw Data'!R1491</f>
        <v>0</v>
      </c>
      <c r="Q1491">
        <f>'Raw Data'!S1491</f>
        <v>0</v>
      </c>
      <c r="R1491">
        <f>'Raw Data'!T1491</f>
        <v>0</v>
      </c>
      <c r="S1491">
        <f>IFERROR(O1491,0)+IFERROR(R1491,0)</f>
        <v>0</v>
      </c>
      <c r="T1491">
        <f>IF(A1491="","",YEAR(A1491))</f>
        <v>0</v>
      </c>
    </row>
    <row r="1492" spans="1:20">
      <c r="A1492">
        <f>'Raw Data'!B1492</f>
        <v>0</v>
      </c>
      <c r="B1492">
        <f>'Raw Data'!A1492</f>
        <v>0</v>
      </c>
      <c r="C1492">
        <f>'Raw Data'!C1492</f>
        <v>0</v>
      </c>
      <c r="D1492">
        <f>'Raw Data'!D1492</f>
        <v>0</v>
      </c>
      <c r="E1492">
        <f>IFERROR(VLOOKUP(D1492,'Lookup Tables'!$A:$B,2,FALSE),"Unknown")</f>
        <v>0</v>
      </c>
      <c r="F1492">
        <f>'Raw Data'!E1492</f>
        <v>0</v>
      </c>
      <c r="G1492">
        <f>IFERROR(VLOOKUP(D1492,'Lookup Tables'!$A:$C,3,FALSE),IF(ISNUMBER(SEARCH("STEEL",F1492)),"Steel","Others"))</f>
        <v>0</v>
      </c>
      <c r="H1492">
        <f>IF(ISNUMBER(SEARCH("scrubber",F1492)) , "Scrubber", IF(ISNUMBER(SEARCH("container",F1492)),"Container", IF(ISNUMBER(SEARCH("basket",F1492)),"Basket", IF(ISNUMBER(SEARCH("lunch",F1492)),"Lunch Box", IF(ISNUMBER(SEARCH("cutlery",F1492)),"Cutlery","Other")))))</f>
        <v>0</v>
      </c>
      <c r="I1492">
        <f>IF('Raw Data'!G1492&lt;&gt;'','Raw Data'!G1492,IFERROR(MID(F1492,SEARCH("MODEL",F1492)+6,20),""))</f>
        <v>0</v>
      </c>
      <c r="J1492">
        <f>'Raw Data'!H1492</f>
        <v>0</v>
      </c>
      <c r="K1492">
        <f>'Raw Data'!I1492</f>
        <v>0</v>
      </c>
      <c r="L1492">
        <f>IF('Raw Data'!N1492&lt;&gt;0,'Raw Data'!N1492,IFERROR(VALUE(MID(F1492,SEARCH("QTY",F1492)+4,IFERROR(FIND(" ",F1492,SEARCH("QTY",F1492)+4)-(SEARCH("QTY",F1492)+4),3))),""))</f>
        <v>0</v>
      </c>
      <c r="M1492">
        <f>'Raw Data'!O1492</f>
        <v>0</v>
      </c>
      <c r="N1492">
        <f>'Raw Data'!P1492</f>
        <v>0</v>
      </c>
      <c r="O1492">
        <f>'Raw Data'!Q1492</f>
        <v>0</v>
      </c>
      <c r="P1492">
        <f>'Raw Data'!R1492</f>
        <v>0</v>
      </c>
      <c r="Q1492">
        <f>'Raw Data'!S1492</f>
        <v>0</v>
      </c>
      <c r="R1492">
        <f>'Raw Data'!T1492</f>
        <v>0</v>
      </c>
      <c r="S1492">
        <f>IFERROR(O1492,0)+IFERROR(R1492,0)</f>
        <v>0</v>
      </c>
      <c r="T1492">
        <f>IF(A1492="","",YEAR(A1492))</f>
        <v>0</v>
      </c>
    </row>
    <row r="1493" spans="1:20">
      <c r="A1493">
        <f>'Raw Data'!B1493</f>
        <v>0</v>
      </c>
      <c r="B1493">
        <f>'Raw Data'!A1493</f>
        <v>0</v>
      </c>
      <c r="C1493">
        <f>'Raw Data'!C1493</f>
        <v>0</v>
      </c>
      <c r="D1493">
        <f>'Raw Data'!D1493</f>
        <v>0</v>
      </c>
      <c r="E1493">
        <f>IFERROR(VLOOKUP(D1493,'Lookup Tables'!$A:$B,2,FALSE),"Unknown")</f>
        <v>0</v>
      </c>
      <c r="F1493">
        <f>'Raw Data'!E1493</f>
        <v>0</v>
      </c>
      <c r="G1493">
        <f>IFERROR(VLOOKUP(D1493,'Lookup Tables'!$A:$C,3,FALSE),IF(ISNUMBER(SEARCH("STEEL",F1493)),"Steel","Others"))</f>
        <v>0</v>
      </c>
      <c r="H1493">
        <f>IF(ISNUMBER(SEARCH("scrubber",F1493)) , "Scrubber", IF(ISNUMBER(SEARCH("container",F1493)),"Container", IF(ISNUMBER(SEARCH("basket",F1493)),"Basket", IF(ISNUMBER(SEARCH("lunch",F1493)),"Lunch Box", IF(ISNUMBER(SEARCH("cutlery",F1493)),"Cutlery","Other")))))</f>
        <v>0</v>
      </c>
      <c r="I1493">
        <f>IF('Raw Data'!G1493&lt;&gt;'','Raw Data'!G1493,IFERROR(MID(F1493,SEARCH("MODEL",F1493)+6,20),""))</f>
        <v>0</v>
      </c>
      <c r="J1493">
        <f>'Raw Data'!H1493</f>
        <v>0</v>
      </c>
      <c r="K1493">
        <f>'Raw Data'!I1493</f>
        <v>0</v>
      </c>
      <c r="L1493">
        <f>IF('Raw Data'!N1493&lt;&gt;0,'Raw Data'!N1493,IFERROR(VALUE(MID(F1493,SEARCH("QTY",F1493)+4,IFERROR(FIND(" ",F1493,SEARCH("QTY",F1493)+4)-(SEARCH("QTY",F1493)+4),3))),""))</f>
        <v>0</v>
      </c>
      <c r="M1493">
        <f>'Raw Data'!O1493</f>
        <v>0</v>
      </c>
      <c r="N1493">
        <f>'Raw Data'!P1493</f>
        <v>0</v>
      </c>
      <c r="O1493">
        <f>'Raw Data'!Q1493</f>
        <v>0</v>
      </c>
      <c r="P1493">
        <f>'Raw Data'!R1493</f>
        <v>0</v>
      </c>
      <c r="Q1493">
        <f>'Raw Data'!S1493</f>
        <v>0</v>
      </c>
      <c r="R1493">
        <f>'Raw Data'!T1493</f>
        <v>0</v>
      </c>
      <c r="S1493">
        <f>IFERROR(O1493,0)+IFERROR(R1493,0)</f>
        <v>0</v>
      </c>
      <c r="T1493">
        <f>IF(A1493="","",YEAR(A1493))</f>
        <v>0</v>
      </c>
    </row>
    <row r="1494" spans="1:20">
      <c r="A1494">
        <f>'Raw Data'!B1494</f>
        <v>0</v>
      </c>
      <c r="B1494">
        <f>'Raw Data'!A1494</f>
        <v>0</v>
      </c>
      <c r="C1494">
        <f>'Raw Data'!C1494</f>
        <v>0</v>
      </c>
      <c r="D1494">
        <f>'Raw Data'!D1494</f>
        <v>0</v>
      </c>
      <c r="E1494">
        <f>IFERROR(VLOOKUP(D1494,'Lookup Tables'!$A:$B,2,FALSE),"Unknown")</f>
        <v>0</v>
      </c>
      <c r="F1494">
        <f>'Raw Data'!E1494</f>
        <v>0</v>
      </c>
      <c r="G1494">
        <f>IFERROR(VLOOKUP(D1494,'Lookup Tables'!$A:$C,3,FALSE),IF(ISNUMBER(SEARCH("STEEL",F1494)),"Steel","Others"))</f>
        <v>0</v>
      </c>
      <c r="H1494">
        <f>IF(ISNUMBER(SEARCH("scrubber",F1494)) , "Scrubber", IF(ISNUMBER(SEARCH("container",F1494)),"Container", IF(ISNUMBER(SEARCH("basket",F1494)),"Basket", IF(ISNUMBER(SEARCH("lunch",F1494)),"Lunch Box", IF(ISNUMBER(SEARCH("cutlery",F1494)),"Cutlery","Other")))))</f>
        <v>0</v>
      </c>
      <c r="I1494">
        <f>IF('Raw Data'!G1494&lt;&gt;'','Raw Data'!G1494,IFERROR(MID(F1494,SEARCH("MODEL",F1494)+6,20),""))</f>
        <v>0</v>
      </c>
      <c r="J1494">
        <f>'Raw Data'!H1494</f>
        <v>0</v>
      </c>
      <c r="K1494">
        <f>'Raw Data'!I1494</f>
        <v>0</v>
      </c>
      <c r="L1494">
        <f>IF('Raw Data'!N1494&lt;&gt;0,'Raw Data'!N1494,IFERROR(VALUE(MID(F1494,SEARCH("QTY",F1494)+4,IFERROR(FIND(" ",F1494,SEARCH("QTY",F1494)+4)-(SEARCH("QTY",F1494)+4),3))),""))</f>
        <v>0</v>
      </c>
      <c r="M1494">
        <f>'Raw Data'!O1494</f>
        <v>0</v>
      </c>
      <c r="N1494">
        <f>'Raw Data'!P1494</f>
        <v>0</v>
      </c>
      <c r="O1494">
        <f>'Raw Data'!Q1494</f>
        <v>0</v>
      </c>
      <c r="P1494">
        <f>'Raw Data'!R1494</f>
        <v>0</v>
      </c>
      <c r="Q1494">
        <f>'Raw Data'!S1494</f>
        <v>0</v>
      </c>
      <c r="R1494">
        <f>'Raw Data'!T1494</f>
        <v>0</v>
      </c>
      <c r="S1494">
        <f>IFERROR(O1494,0)+IFERROR(R1494,0)</f>
        <v>0</v>
      </c>
      <c r="T1494">
        <f>IF(A1494="","",YEAR(A1494))</f>
        <v>0</v>
      </c>
    </row>
    <row r="1495" spans="1:20">
      <c r="A1495">
        <f>'Raw Data'!B1495</f>
        <v>0</v>
      </c>
      <c r="B1495">
        <f>'Raw Data'!A1495</f>
        <v>0</v>
      </c>
      <c r="C1495">
        <f>'Raw Data'!C1495</f>
        <v>0</v>
      </c>
      <c r="D1495">
        <f>'Raw Data'!D1495</f>
        <v>0</v>
      </c>
      <c r="E1495">
        <f>IFERROR(VLOOKUP(D1495,'Lookup Tables'!$A:$B,2,FALSE),"Unknown")</f>
        <v>0</v>
      </c>
      <c r="F1495">
        <f>'Raw Data'!E1495</f>
        <v>0</v>
      </c>
      <c r="G1495">
        <f>IFERROR(VLOOKUP(D1495,'Lookup Tables'!$A:$C,3,FALSE),IF(ISNUMBER(SEARCH("STEEL",F1495)),"Steel","Others"))</f>
        <v>0</v>
      </c>
      <c r="H1495">
        <f>IF(ISNUMBER(SEARCH("scrubber",F1495)) , "Scrubber", IF(ISNUMBER(SEARCH("container",F1495)),"Container", IF(ISNUMBER(SEARCH("basket",F1495)),"Basket", IF(ISNUMBER(SEARCH("lunch",F1495)),"Lunch Box", IF(ISNUMBER(SEARCH("cutlery",F1495)),"Cutlery","Other")))))</f>
        <v>0</v>
      </c>
      <c r="I1495">
        <f>IF('Raw Data'!G1495&lt;&gt;'','Raw Data'!G1495,IFERROR(MID(F1495,SEARCH("MODEL",F1495)+6,20),""))</f>
        <v>0</v>
      </c>
      <c r="J1495">
        <f>'Raw Data'!H1495</f>
        <v>0</v>
      </c>
      <c r="K1495">
        <f>'Raw Data'!I1495</f>
        <v>0</v>
      </c>
      <c r="L1495">
        <f>IF('Raw Data'!N1495&lt;&gt;0,'Raw Data'!N1495,IFERROR(VALUE(MID(F1495,SEARCH("QTY",F1495)+4,IFERROR(FIND(" ",F1495,SEARCH("QTY",F1495)+4)-(SEARCH("QTY",F1495)+4),3))),""))</f>
        <v>0</v>
      </c>
      <c r="M1495">
        <f>'Raw Data'!O1495</f>
        <v>0</v>
      </c>
      <c r="N1495">
        <f>'Raw Data'!P1495</f>
        <v>0</v>
      </c>
      <c r="O1495">
        <f>'Raw Data'!Q1495</f>
        <v>0</v>
      </c>
      <c r="P1495">
        <f>'Raw Data'!R1495</f>
        <v>0</v>
      </c>
      <c r="Q1495">
        <f>'Raw Data'!S1495</f>
        <v>0</v>
      </c>
      <c r="R1495">
        <f>'Raw Data'!T1495</f>
        <v>0</v>
      </c>
      <c r="S1495">
        <f>IFERROR(O1495,0)+IFERROR(R1495,0)</f>
        <v>0</v>
      </c>
      <c r="T1495">
        <f>IF(A1495="","",YEAR(A1495))</f>
        <v>0</v>
      </c>
    </row>
    <row r="1496" spans="1:20">
      <c r="A1496">
        <f>'Raw Data'!B1496</f>
        <v>0</v>
      </c>
      <c r="B1496">
        <f>'Raw Data'!A1496</f>
        <v>0</v>
      </c>
      <c r="C1496">
        <f>'Raw Data'!C1496</f>
        <v>0</v>
      </c>
      <c r="D1496">
        <f>'Raw Data'!D1496</f>
        <v>0</v>
      </c>
      <c r="E1496">
        <f>IFERROR(VLOOKUP(D1496,'Lookup Tables'!$A:$B,2,FALSE),"Unknown")</f>
        <v>0</v>
      </c>
      <c r="F1496">
        <f>'Raw Data'!E1496</f>
        <v>0</v>
      </c>
      <c r="G1496">
        <f>IFERROR(VLOOKUP(D1496,'Lookup Tables'!$A:$C,3,FALSE),IF(ISNUMBER(SEARCH("STEEL",F1496)),"Steel","Others"))</f>
        <v>0</v>
      </c>
      <c r="H1496">
        <f>IF(ISNUMBER(SEARCH("scrubber",F1496)) , "Scrubber", IF(ISNUMBER(SEARCH("container",F1496)),"Container", IF(ISNUMBER(SEARCH("basket",F1496)),"Basket", IF(ISNUMBER(SEARCH("lunch",F1496)),"Lunch Box", IF(ISNUMBER(SEARCH("cutlery",F1496)),"Cutlery","Other")))))</f>
        <v>0</v>
      </c>
      <c r="I1496">
        <f>IF('Raw Data'!G1496&lt;&gt;'','Raw Data'!G1496,IFERROR(MID(F1496,SEARCH("MODEL",F1496)+6,20),""))</f>
        <v>0</v>
      </c>
      <c r="J1496">
        <f>'Raw Data'!H1496</f>
        <v>0</v>
      </c>
      <c r="K1496">
        <f>'Raw Data'!I1496</f>
        <v>0</v>
      </c>
      <c r="L1496">
        <f>IF('Raw Data'!N1496&lt;&gt;0,'Raw Data'!N1496,IFERROR(VALUE(MID(F1496,SEARCH("QTY",F1496)+4,IFERROR(FIND(" ",F1496,SEARCH("QTY",F1496)+4)-(SEARCH("QTY",F1496)+4),3))),""))</f>
        <v>0</v>
      </c>
      <c r="M1496">
        <f>'Raw Data'!O1496</f>
        <v>0</v>
      </c>
      <c r="N1496">
        <f>'Raw Data'!P1496</f>
        <v>0</v>
      </c>
      <c r="O1496">
        <f>'Raw Data'!Q1496</f>
        <v>0</v>
      </c>
      <c r="P1496">
        <f>'Raw Data'!R1496</f>
        <v>0</v>
      </c>
      <c r="Q1496">
        <f>'Raw Data'!S1496</f>
        <v>0</v>
      </c>
      <c r="R1496">
        <f>'Raw Data'!T1496</f>
        <v>0</v>
      </c>
      <c r="S1496">
        <f>IFERROR(O1496,0)+IFERROR(R1496,0)</f>
        <v>0</v>
      </c>
      <c r="T1496">
        <f>IF(A1496="","",YEAR(A1496))</f>
        <v>0</v>
      </c>
    </row>
    <row r="1497" spans="1:20">
      <c r="A1497">
        <f>'Raw Data'!B1497</f>
        <v>0</v>
      </c>
      <c r="B1497">
        <f>'Raw Data'!A1497</f>
        <v>0</v>
      </c>
      <c r="C1497">
        <f>'Raw Data'!C1497</f>
        <v>0</v>
      </c>
      <c r="D1497">
        <f>'Raw Data'!D1497</f>
        <v>0</v>
      </c>
      <c r="E1497">
        <f>IFERROR(VLOOKUP(D1497,'Lookup Tables'!$A:$B,2,FALSE),"Unknown")</f>
        <v>0</v>
      </c>
      <c r="F1497">
        <f>'Raw Data'!E1497</f>
        <v>0</v>
      </c>
      <c r="G1497">
        <f>IFERROR(VLOOKUP(D1497,'Lookup Tables'!$A:$C,3,FALSE),IF(ISNUMBER(SEARCH("STEEL",F1497)),"Steel","Others"))</f>
        <v>0</v>
      </c>
      <c r="H1497">
        <f>IF(ISNUMBER(SEARCH("scrubber",F1497)) , "Scrubber", IF(ISNUMBER(SEARCH("container",F1497)),"Container", IF(ISNUMBER(SEARCH("basket",F1497)),"Basket", IF(ISNUMBER(SEARCH("lunch",F1497)),"Lunch Box", IF(ISNUMBER(SEARCH("cutlery",F1497)),"Cutlery","Other")))))</f>
        <v>0</v>
      </c>
      <c r="I1497">
        <f>IF('Raw Data'!G1497&lt;&gt;'','Raw Data'!G1497,IFERROR(MID(F1497,SEARCH("MODEL",F1497)+6,20),""))</f>
        <v>0</v>
      </c>
      <c r="J1497">
        <f>'Raw Data'!H1497</f>
        <v>0</v>
      </c>
      <c r="K1497">
        <f>'Raw Data'!I1497</f>
        <v>0</v>
      </c>
      <c r="L1497">
        <f>IF('Raw Data'!N1497&lt;&gt;0,'Raw Data'!N1497,IFERROR(VALUE(MID(F1497,SEARCH("QTY",F1497)+4,IFERROR(FIND(" ",F1497,SEARCH("QTY",F1497)+4)-(SEARCH("QTY",F1497)+4),3))),""))</f>
        <v>0</v>
      </c>
      <c r="M1497">
        <f>'Raw Data'!O1497</f>
        <v>0</v>
      </c>
      <c r="N1497">
        <f>'Raw Data'!P1497</f>
        <v>0</v>
      </c>
      <c r="O1497">
        <f>'Raw Data'!Q1497</f>
        <v>0</v>
      </c>
      <c r="P1497">
        <f>'Raw Data'!R1497</f>
        <v>0</v>
      </c>
      <c r="Q1497">
        <f>'Raw Data'!S1497</f>
        <v>0</v>
      </c>
      <c r="R1497">
        <f>'Raw Data'!T1497</f>
        <v>0</v>
      </c>
      <c r="S1497">
        <f>IFERROR(O1497,0)+IFERROR(R1497,0)</f>
        <v>0</v>
      </c>
      <c r="T1497">
        <f>IF(A1497="","",YEAR(A1497))</f>
        <v>0</v>
      </c>
    </row>
    <row r="1498" spans="1:20">
      <c r="A1498">
        <f>'Raw Data'!B1498</f>
        <v>0</v>
      </c>
      <c r="B1498">
        <f>'Raw Data'!A1498</f>
        <v>0</v>
      </c>
      <c r="C1498">
        <f>'Raw Data'!C1498</f>
        <v>0</v>
      </c>
      <c r="D1498">
        <f>'Raw Data'!D1498</f>
        <v>0</v>
      </c>
      <c r="E1498">
        <f>IFERROR(VLOOKUP(D1498,'Lookup Tables'!$A:$B,2,FALSE),"Unknown")</f>
        <v>0</v>
      </c>
      <c r="F1498">
        <f>'Raw Data'!E1498</f>
        <v>0</v>
      </c>
      <c r="G1498">
        <f>IFERROR(VLOOKUP(D1498,'Lookup Tables'!$A:$C,3,FALSE),IF(ISNUMBER(SEARCH("STEEL",F1498)),"Steel","Others"))</f>
        <v>0</v>
      </c>
      <c r="H1498">
        <f>IF(ISNUMBER(SEARCH("scrubber",F1498)) , "Scrubber", IF(ISNUMBER(SEARCH("container",F1498)),"Container", IF(ISNUMBER(SEARCH("basket",F1498)),"Basket", IF(ISNUMBER(SEARCH("lunch",F1498)),"Lunch Box", IF(ISNUMBER(SEARCH("cutlery",F1498)),"Cutlery","Other")))))</f>
        <v>0</v>
      </c>
      <c r="I1498">
        <f>IF('Raw Data'!G1498&lt;&gt;'','Raw Data'!G1498,IFERROR(MID(F1498,SEARCH("MODEL",F1498)+6,20),""))</f>
        <v>0</v>
      </c>
      <c r="J1498">
        <f>'Raw Data'!H1498</f>
        <v>0</v>
      </c>
      <c r="K1498">
        <f>'Raw Data'!I1498</f>
        <v>0</v>
      </c>
      <c r="L1498">
        <f>IF('Raw Data'!N1498&lt;&gt;0,'Raw Data'!N1498,IFERROR(VALUE(MID(F1498,SEARCH("QTY",F1498)+4,IFERROR(FIND(" ",F1498,SEARCH("QTY",F1498)+4)-(SEARCH("QTY",F1498)+4),3))),""))</f>
        <v>0</v>
      </c>
      <c r="M1498">
        <f>'Raw Data'!O1498</f>
        <v>0</v>
      </c>
      <c r="N1498">
        <f>'Raw Data'!P1498</f>
        <v>0</v>
      </c>
      <c r="O1498">
        <f>'Raw Data'!Q1498</f>
        <v>0</v>
      </c>
      <c r="P1498">
        <f>'Raw Data'!R1498</f>
        <v>0</v>
      </c>
      <c r="Q1498">
        <f>'Raw Data'!S1498</f>
        <v>0</v>
      </c>
      <c r="R1498">
        <f>'Raw Data'!T1498</f>
        <v>0</v>
      </c>
      <c r="S1498">
        <f>IFERROR(O1498,0)+IFERROR(R1498,0)</f>
        <v>0</v>
      </c>
      <c r="T1498">
        <f>IF(A1498="","",YEAR(A1498))</f>
        <v>0</v>
      </c>
    </row>
    <row r="1499" spans="1:20">
      <c r="A1499">
        <f>'Raw Data'!B1499</f>
        <v>0</v>
      </c>
      <c r="B1499">
        <f>'Raw Data'!A1499</f>
        <v>0</v>
      </c>
      <c r="C1499">
        <f>'Raw Data'!C1499</f>
        <v>0</v>
      </c>
      <c r="D1499">
        <f>'Raw Data'!D1499</f>
        <v>0</v>
      </c>
      <c r="E1499">
        <f>IFERROR(VLOOKUP(D1499,'Lookup Tables'!$A:$B,2,FALSE),"Unknown")</f>
        <v>0</v>
      </c>
      <c r="F1499">
        <f>'Raw Data'!E1499</f>
        <v>0</v>
      </c>
      <c r="G1499">
        <f>IFERROR(VLOOKUP(D1499,'Lookup Tables'!$A:$C,3,FALSE),IF(ISNUMBER(SEARCH("STEEL",F1499)),"Steel","Others"))</f>
        <v>0</v>
      </c>
      <c r="H1499">
        <f>IF(ISNUMBER(SEARCH("scrubber",F1499)) , "Scrubber", IF(ISNUMBER(SEARCH("container",F1499)),"Container", IF(ISNUMBER(SEARCH("basket",F1499)),"Basket", IF(ISNUMBER(SEARCH("lunch",F1499)),"Lunch Box", IF(ISNUMBER(SEARCH("cutlery",F1499)),"Cutlery","Other")))))</f>
        <v>0</v>
      </c>
      <c r="I1499">
        <f>IF('Raw Data'!G1499&lt;&gt;'','Raw Data'!G1499,IFERROR(MID(F1499,SEARCH("MODEL",F1499)+6,20),""))</f>
        <v>0</v>
      </c>
      <c r="J1499">
        <f>'Raw Data'!H1499</f>
        <v>0</v>
      </c>
      <c r="K1499">
        <f>'Raw Data'!I1499</f>
        <v>0</v>
      </c>
      <c r="L1499">
        <f>IF('Raw Data'!N1499&lt;&gt;0,'Raw Data'!N1499,IFERROR(VALUE(MID(F1499,SEARCH("QTY",F1499)+4,IFERROR(FIND(" ",F1499,SEARCH("QTY",F1499)+4)-(SEARCH("QTY",F1499)+4),3))),""))</f>
        <v>0</v>
      </c>
      <c r="M1499">
        <f>'Raw Data'!O1499</f>
        <v>0</v>
      </c>
      <c r="N1499">
        <f>'Raw Data'!P1499</f>
        <v>0</v>
      </c>
      <c r="O1499">
        <f>'Raw Data'!Q1499</f>
        <v>0</v>
      </c>
      <c r="P1499">
        <f>'Raw Data'!R1499</f>
        <v>0</v>
      </c>
      <c r="Q1499">
        <f>'Raw Data'!S1499</f>
        <v>0</v>
      </c>
      <c r="R1499">
        <f>'Raw Data'!T1499</f>
        <v>0</v>
      </c>
      <c r="S1499">
        <f>IFERROR(O1499,0)+IFERROR(R1499,0)</f>
        <v>0</v>
      </c>
      <c r="T1499">
        <f>IF(A1499="","",YEAR(A1499))</f>
        <v>0</v>
      </c>
    </row>
    <row r="1500" spans="1:20">
      <c r="A1500">
        <f>'Raw Data'!B1500</f>
        <v>0</v>
      </c>
      <c r="B1500">
        <f>'Raw Data'!A1500</f>
        <v>0</v>
      </c>
      <c r="C1500">
        <f>'Raw Data'!C1500</f>
        <v>0</v>
      </c>
      <c r="D1500">
        <f>'Raw Data'!D1500</f>
        <v>0</v>
      </c>
      <c r="E1500">
        <f>IFERROR(VLOOKUP(D1500,'Lookup Tables'!$A:$B,2,FALSE),"Unknown")</f>
        <v>0</v>
      </c>
      <c r="F1500">
        <f>'Raw Data'!E1500</f>
        <v>0</v>
      </c>
      <c r="G1500">
        <f>IFERROR(VLOOKUP(D1500,'Lookup Tables'!$A:$C,3,FALSE),IF(ISNUMBER(SEARCH("STEEL",F1500)),"Steel","Others"))</f>
        <v>0</v>
      </c>
      <c r="H1500">
        <f>IF(ISNUMBER(SEARCH("scrubber",F1500)) , "Scrubber", IF(ISNUMBER(SEARCH("container",F1500)),"Container", IF(ISNUMBER(SEARCH("basket",F1500)),"Basket", IF(ISNUMBER(SEARCH("lunch",F1500)),"Lunch Box", IF(ISNUMBER(SEARCH("cutlery",F1500)),"Cutlery","Other")))))</f>
        <v>0</v>
      </c>
      <c r="I1500">
        <f>IF('Raw Data'!G1500&lt;&gt;'','Raw Data'!G1500,IFERROR(MID(F1500,SEARCH("MODEL",F1500)+6,20),""))</f>
        <v>0</v>
      </c>
      <c r="J1500">
        <f>'Raw Data'!H1500</f>
        <v>0</v>
      </c>
      <c r="K1500">
        <f>'Raw Data'!I1500</f>
        <v>0</v>
      </c>
      <c r="L1500">
        <f>IF('Raw Data'!N1500&lt;&gt;0,'Raw Data'!N1500,IFERROR(VALUE(MID(F1500,SEARCH("QTY",F1500)+4,IFERROR(FIND(" ",F1500,SEARCH("QTY",F1500)+4)-(SEARCH("QTY",F1500)+4),3))),""))</f>
        <v>0</v>
      </c>
      <c r="M1500">
        <f>'Raw Data'!O1500</f>
        <v>0</v>
      </c>
      <c r="N1500">
        <f>'Raw Data'!P1500</f>
        <v>0</v>
      </c>
      <c r="O1500">
        <f>'Raw Data'!Q1500</f>
        <v>0</v>
      </c>
      <c r="P1500">
        <f>'Raw Data'!R1500</f>
        <v>0</v>
      </c>
      <c r="Q1500">
        <f>'Raw Data'!S1500</f>
        <v>0</v>
      </c>
      <c r="R1500">
        <f>'Raw Data'!T1500</f>
        <v>0</v>
      </c>
      <c r="S1500">
        <f>IFERROR(O1500,0)+IFERROR(R1500,0)</f>
        <v>0</v>
      </c>
      <c r="T1500">
        <f>IF(A1500="","",YEAR(A1500))</f>
        <v>0</v>
      </c>
    </row>
    <row r="1501" spans="1:20">
      <c r="A1501">
        <f>'Raw Data'!B1501</f>
        <v>0</v>
      </c>
      <c r="B1501">
        <f>'Raw Data'!A1501</f>
        <v>0</v>
      </c>
      <c r="C1501">
        <f>'Raw Data'!C1501</f>
        <v>0</v>
      </c>
      <c r="D1501">
        <f>'Raw Data'!D1501</f>
        <v>0</v>
      </c>
      <c r="E1501">
        <f>IFERROR(VLOOKUP(D1501,'Lookup Tables'!$A:$B,2,FALSE),"Unknown")</f>
        <v>0</v>
      </c>
      <c r="F1501">
        <f>'Raw Data'!E1501</f>
        <v>0</v>
      </c>
      <c r="G1501">
        <f>IFERROR(VLOOKUP(D1501,'Lookup Tables'!$A:$C,3,FALSE),IF(ISNUMBER(SEARCH("STEEL",F1501)),"Steel","Others"))</f>
        <v>0</v>
      </c>
      <c r="H1501">
        <f>IF(ISNUMBER(SEARCH("scrubber",F1501)) , "Scrubber", IF(ISNUMBER(SEARCH("container",F1501)),"Container", IF(ISNUMBER(SEARCH("basket",F1501)),"Basket", IF(ISNUMBER(SEARCH("lunch",F1501)),"Lunch Box", IF(ISNUMBER(SEARCH("cutlery",F1501)),"Cutlery","Other")))))</f>
        <v>0</v>
      </c>
      <c r="I1501">
        <f>IF('Raw Data'!G1501&lt;&gt;'','Raw Data'!G1501,IFERROR(MID(F1501,SEARCH("MODEL",F1501)+6,20),""))</f>
        <v>0</v>
      </c>
      <c r="J1501">
        <f>'Raw Data'!H1501</f>
        <v>0</v>
      </c>
      <c r="K1501">
        <f>'Raw Data'!I1501</f>
        <v>0</v>
      </c>
      <c r="L1501">
        <f>IF('Raw Data'!N1501&lt;&gt;0,'Raw Data'!N1501,IFERROR(VALUE(MID(F1501,SEARCH("QTY",F1501)+4,IFERROR(FIND(" ",F1501,SEARCH("QTY",F1501)+4)-(SEARCH("QTY",F1501)+4),3))),""))</f>
        <v>0</v>
      </c>
      <c r="M1501">
        <f>'Raw Data'!O1501</f>
        <v>0</v>
      </c>
      <c r="N1501">
        <f>'Raw Data'!P1501</f>
        <v>0</v>
      </c>
      <c r="O1501">
        <f>'Raw Data'!Q1501</f>
        <v>0</v>
      </c>
      <c r="P1501">
        <f>'Raw Data'!R1501</f>
        <v>0</v>
      </c>
      <c r="Q1501">
        <f>'Raw Data'!S1501</f>
        <v>0</v>
      </c>
      <c r="R1501">
        <f>'Raw Data'!T1501</f>
        <v>0</v>
      </c>
      <c r="S1501">
        <f>IFERROR(O1501,0)+IFERROR(R1501,0)</f>
        <v>0</v>
      </c>
      <c r="T1501">
        <f>IF(A1501="","",YEAR(A1501))</f>
        <v>0</v>
      </c>
    </row>
    <row r="1502" spans="1:20">
      <c r="A1502">
        <f>'Raw Data'!B1502</f>
        <v>0</v>
      </c>
      <c r="B1502">
        <f>'Raw Data'!A1502</f>
        <v>0</v>
      </c>
      <c r="C1502">
        <f>'Raw Data'!C1502</f>
        <v>0</v>
      </c>
      <c r="D1502">
        <f>'Raw Data'!D1502</f>
        <v>0</v>
      </c>
      <c r="E1502">
        <f>IFERROR(VLOOKUP(D1502,'Lookup Tables'!$A:$B,2,FALSE),"Unknown")</f>
        <v>0</v>
      </c>
      <c r="F1502">
        <f>'Raw Data'!E1502</f>
        <v>0</v>
      </c>
      <c r="G1502">
        <f>IFERROR(VLOOKUP(D1502,'Lookup Tables'!$A:$C,3,FALSE),IF(ISNUMBER(SEARCH("STEEL",F1502)),"Steel","Others"))</f>
        <v>0</v>
      </c>
      <c r="H1502">
        <f>IF(ISNUMBER(SEARCH("scrubber",F1502)) , "Scrubber", IF(ISNUMBER(SEARCH("container",F1502)),"Container", IF(ISNUMBER(SEARCH("basket",F1502)),"Basket", IF(ISNUMBER(SEARCH("lunch",F1502)),"Lunch Box", IF(ISNUMBER(SEARCH("cutlery",F1502)),"Cutlery","Other")))))</f>
        <v>0</v>
      </c>
      <c r="I1502">
        <f>IF('Raw Data'!G1502&lt;&gt;'','Raw Data'!G1502,IFERROR(MID(F1502,SEARCH("MODEL",F1502)+6,20),""))</f>
        <v>0</v>
      </c>
      <c r="J1502">
        <f>'Raw Data'!H1502</f>
        <v>0</v>
      </c>
      <c r="K1502">
        <f>'Raw Data'!I1502</f>
        <v>0</v>
      </c>
      <c r="L1502">
        <f>IF('Raw Data'!N1502&lt;&gt;0,'Raw Data'!N1502,IFERROR(VALUE(MID(F1502,SEARCH("QTY",F1502)+4,IFERROR(FIND(" ",F1502,SEARCH("QTY",F1502)+4)-(SEARCH("QTY",F1502)+4),3))),""))</f>
        <v>0</v>
      </c>
      <c r="M1502">
        <f>'Raw Data'!O1502</f>
        <v>0</v>
      </c>
      <c r="N1502">
        <f>'Raw Data'!P1502</f>
        <v>0</v>
      </c>
      <c r="O1502">
        <f>'Raw Data'!Q1502</f>
        <v>0</v>
      </c>
      <c r="P1502">
        <f>'Raw Data'!R1502</f>
        <v>0</v>
      </c>
      <c r="Q1502">
        <f>'Raw Data'!S1502</f>
        <v>0</v>
      </c>
      <c r="R1502">
        <f>'Raw Data'!T1502</f>
        <v>0</v>
      </c>
      <c r="S1502">
        <f>IFERROR(O1502,0)+IFERROR(R1502,0)</f>
        <v>0</v>
      </c>
      <c r="T1502">
        <f>IF(A1502="","",YEAR(A1502))</f>
        <v>0</v>
      </c>
    </row>
    <row r="1503" spans="1:20">
      <c r="A1503">
        <f>'Raw Data'!B1503</f>
        <v>0</v>
      </c>
      <c r="B1503">
        <f>'Raw Data'!A1503</f>
        <v>0</v>
      </c>
      <c r="C1503">
        <f>'Raw Data'!C1503</f>
        <v>0</v>
      </c>
      <c r="D1503">
        <f>'Raw Data'!D1503</f>
        <v>0</v>
      </c>
      <c r="E1503">
        <f>IFERROR(VLOOKUP(D1503,'Lookup Tables'!$A:$B,2,FALSE),"Unknown")</f>
        <v>0</v>
      </c>
      <c r="F1503">
        <f>'Raw Data'!E1503</f>
        <v>0</v>
      </c>
      <c r="G1503">
        <f>IFERROR(VLOOKUP(D1503,'Lookup Tables'!$A:$C,3,FALSE),IF(ISNUMBER(SEARCH("STEEL",F1503)),"Steel","Others"))</f>
        <v>0</v>
      </c>
      <c r="H1503">
        <f>IF(ISNUMBER(SEARCH("scrubber",F1503)) , "Scrubber", IF(ISNUMBER(SEARCH("container",F1503)),"Container", IF(ISNUMBER(SEARCH("basket",F1503)),"Basket", IF(ISNUMBER(SEARCH("lunch",F1503)),"Lunch Box", IF(ISNUMBER(SEARCH("cutlery",F1503)),"Cutlery","Other")))))</f>
        <v>0</v>
      </c>
      <c r="I1503">
        <f>IF('Raw Data'!G1503&lt;&gt;'','Raw Data'!G1503,IFERROR(MID(F1503,SEARCH("MODEL",F1503)+6,20),""))</f>
        <v>0</v>
      </c>
      <c r="J1503">
        <f>'Raw Data'!H1503</f>
        <v>0</v>
      </c>
      <c r="K1503">
        <f>'Raw Data'!I1503</f>
        <v>0</v>
      </c>
      <c r="L1503">
        <f>IF('Raw Data'!N1503&lt;&gt;0,'Raw Data'!N1503,IFERROR(VALUE(MID(F1503,SEARCH("QTY",F1503)+4,IFERROR(FIND(" ",F1503,SEARCH("QTY",F1503)+4)-(SEARCH("QTY",F1503)+4),3))),""))</f>
        <v>0</v>
      </c>
      <c r="M1503">
        <f>'Raw Data'!O1503</f>
        <v>0</v>
      </c>
      <c r="N1503">
        <f>'Raw Data'!P1503</f>
        <v>0</v>
      </c>
      <c r="O1503">
        <f>'Raw Data'!Q1503</f>
        <v>0</v>
      </c>
      <c r="P1503">
        <f>'Raw Data'!R1503</f>
        <v>0</v>
      </c>
      <c r="Q1503">
        <f>'Raw Data'!S1503</f>
        <v>0</v>
      </c>
      <c r="R1503">
        <f>'Raw Data'!T1503</f>
        <v>0</v>
      </c>
      <c r="S1503">
        <f>IFERROR(O1503,0)+IFERROR(R1503,0)</f>
        <v>0</v>
      </c>
      <c r="T1503">
        <f>IF(A1503="","",YEAR(A1503))</f>
        <v>0</v>
      </c>
    </row>
    <row r="1504" spans="1:20">
      <c r="A1504">
        <f>'Raw Data'!B1504</f>
        <v>0</v>
      </c>
      <c r="B1504">
        <f>'Raw Data'!A1504</f>
        <v>0</v>
      </c>
      <c r="C1504">
        <f>'Raw Data'!C1504</f>
        <v>0</v>
      </c>
      <c r="D1504">
        <f>'Raw Data'!D1504</f>
        <v>0</v>
      </c>
      <c r="E1504">
        <f>IFERROR(VLOOKUP(D1504,'Lookup Tables'!$A:$B,2,FALSE),"Unknown")</f>
        <v>0</v>
      </c>
      <c r="F1504">
        <f>'Raw Data'!E1504</f>
        <v>0</v>
      </c>
      <c r="G1504">
        <f>IFERROR(VLOOKUP(D1504,'Lookup Tables'!$A:$C,3,FALSE),IF(ISNUMBER(SEARCH("STEEL",F1504)),"Steel","Others"))</f>
        <v>0</v>
      </c>
      <c r="H1504">
        <f>IF(ISNUMBER(SEARCH("scrubber",F1504)) , "Scrubber", IF(ISNUMBER(SEARCH("container",F1504)),"Container", IF(ISNUMBER(SEARCH("basket",F1504)),"Basket", IF(ISNUMBER(SEARCH("lunch",F1504)),"Lunch Box", IF(ISNUMBER(SEARCH("cutlery",F1504)),"Cutlery","Other")))))</f>
        <v>0</v>
      </c>
      <c r="I1504">
        <f>IF('Raw Data'!G1504&lt;&gt;'','Raw Data'!G1504,IFERROR(MID(F1504,SEARCH("MODEL",F1504)+6,20),""))</f>
        <v>0</v>
      </c>
      <c r="J1504">
        <f>'Raw Data'!H1504</f>
        <v>0</v>
      </c>
      <c r="K1504">
        <f>'Raw Data'!I1504</f>
        <v>0</v>
      </c>
      <c r="L1504">
        <f>IF('Raw Data'!N1504&lt;&gt;0,'Raw Data'!N1504,IFERROR(VALUE(MID(F1504,SEARCH("QTY",F1504)+4,IFERROR(FIND(" ",F1504,SEARCH("QTY",F1504)+4)-(SEARCH("QTY",F1504)+4),3))),""))</f>
        <v>0</v>
      </c>
      <c r="M1504">
        <f>'Raw Data'!O1504</f>
        <v>0</v>
      </c>
      <c r="N1504">
        <f>'Raw Data'!P1504</f>
        <v>0</v>
      </c>
      <c r="O1504">
        <f>'Raw Data'!Q1504</f>
        <v>0</v>
      </c>
      <c r="P1504">
        <f>'Raw Data'!R1504</f>
        <v>0</v>
      </c>
      <c r="Q1504">
        <f>'Raw Data'!S1504</f>
        <v>0</v>
      </c>
      <c r="R1504">
        <f>'Raw Data'!T1504</f>
        <v>0</v>
      </c>
      <c r="S1504">
        <f>IFERROR(O1504,0)+IFERROR(R1504,0)</f>
        <v>0</v>
      </c>
      <c r="T1504">
        <f>IF(A1504="","",YEAR(A1504))</f>
        <v>0</v>
      </c>
    </row>
    <row r="1505" spans="1:20">
      <c r="A1505">
        <f>'Raw Data'!B1505</f>
        <v>0</v>
      </c>
      <c r="B1505">
        <f>'Raw Data'!A1505</f>
        <v>0</v>
      </c>
      <c r="C1505">
        <f>'Raw Data'!C1505</f>
        <v>0</v>
      </c>
      <c r="D1505">
        <f>'Raw Data'!D1505</f>
        <v>0</v>
      </c>
      <c r="E1505">
        <f>IFERROR(VLOOKUP(D1505,'Lookup Tables'!$A:$B,2,FALSE),"Unknown")</f>
        <v>0</v>
      </c>
      <c r="F1505">
        <f>'Raw Data'!E1505</f>
        <v>0</v>
      </c>
      <c r="G1505">
        <f>IFERROR(VLOOKUP(D1505,'Lookup Tables'!$A:$C,3,FALSE),IF(ISNUMBER(SEARCH("STEEL",F1505)),"Steel","Others"))</f>
        <v>0</v>
      </c>
      <c r="H1505">
        <f>IF(ISNUMBER(SEARCH("scrubber",F1505)) , "Scrubber", IF(ISNUMBER(SEARCH("container",F1505)),"Container", IF(ISNUMBER(SEARCH("basket",F1505)),"Basket", IF(ISNUMBER(SEARCH("lunch",F1505)),"Lunch Box", IF(ISNUMBER(SEARCH("cutlery",F1505)),"Cutlery","Other")))))</f>
        <v>0</v>
      </c>
      <c r="I1505">
        <f>IF('Raw Data'!G1505&lt;&gt;'','Raw Data'!G1505,IFERROR(MID(F1505,SEARCH("MODEL",F1505)+6,20),""))</f>
        <v>0</v>
      </c>
      <c r="J1505">
        <f>'Raw Data'!H1505</f>
        <v>0</v>
      </c>
      <c r="K1505">
        <f>'Raw Data'!I1505</f>
        <v>0</v>
      </c>
      <c r="L1505">
        <f>IF('Raw Data'!N1505&lt;&gt;0,'Raw Data'!N1505,IFERROR(VALUE(MID(F1505,SEARCH("QTY",F1505)+4,IFERROR(FIND(" ",F1505,SEARCH("QTY",F1505)+4)-(SEARCH("QTY",F1505)+4),3))),""))</f>
        <v>0</v>
      </c>
      <c r="M1505">
        <f>'Raw Data'!O1505</f>
        <v>0</v>
      </c>
      <c r="N1505">
        <f>'Raw Data'!P1505</f>
        <v>0</v>
      </c>
      <c r="O1505">
        <f>'Raw Data'!Q1505</f>
        <v>0</v>
      </c>
      <c r="P1505">
        <f>'Raw Data'!R1505</f>
        <v>0</v>
      </c>
      <c r="Q1505">
        <f>'Raw Data'!S1505</f>
        <v>0</v>
      </c>
      <c r="R1505">
        <f>'Raw Data'!T1505</f>
        <v>0</v>
      </c>
      <c r="S1505">
        <f>IFERROR(O1505,0)+IFERROR(R1505,0)</f>
        <v>0</v>
      </c>
      <c r="T1505">
        <f>IF(A1505="","",YEAR(A1505))</f>
        <v>0</v>
      </c>
    </row>
    <row r="1506" spans="1:20">
      <c r="A1506">
        <f>'Raw Data'!B1506</f>
        <v>0</v>
      </c>
      <c r="B1506">
        <f>'Raw Data'!A1506</f>
        <v>0</v>
      </c>
      <c r="C1506">
        <f>'Raw Data'!C1506</f>
        <v>0</v>
      </c>
      <c r="D1506">
        <f>'Raw Data'!D1506</f>
        <v>0</v>
      </c>
      <c r="E1506">
        <f>IFERROR(VLOOKUP(D1506,'Lookup Tables'!$A:$B,2,FALSE),"Unknown")</f>
        <v>0</v>
      </c>
      <c r="F1506">
        <f>'Raw Data'!E1506</f>
        <v>0</v>
      </c>
      <c r="G1506">
        <f>IFERROR(VLOOKUP(D1506,'Lookup Tables'!$A:$C,3,FALSE),IF(ISNUMBER(SEARCH("STEEL",F1506)),"Steel","Others"))</f>
        <v>0</v>
      </c>
      <c r="H1506">
        <f>IF(ISNUMBER(SEARCH("scrubber",F1506)) , "Scrubber", IF(ISNUMBER(SEARCH("container",F1506)),"Container", IF(ISNUMBER(SEARCH("basket",F1506)),"Basket", IF(ISNUMBER(SEARCH("lunch",F1506)),"Lunch Box", IF(ISNUMBER(SEARCH("cutlery",F1506)),"Cutlery","Other")))))</f>
        <v>0</v>
      </c>
      <c r="I1506">
        <f>IF('Raw Data'!G1506&lt;&gt;'','Raw Data'!G1506,IFERROR(MID(F1506,SEARCH("MODEL",F1506)+6,20),""))</f>
        <v>0</v>
      </c>
      <c r="J1506">
        <f>'Raw Data'!H1506</f>
        <v>0</v>
      </c>
      <c r="K1506">
        <f>'Raw Data'!I1506</f>
        <v>0</v>
      </c>
      <c r="L1506">
        <f>IF('Raw Data'!N1506&lt;&gt;0,'Raw Data'!N1506,IFERROR(VALUE(MID(F1506,SEARCH("QTY",F1506)+4,IFERROR(FIND(" ",F1506,SEARCH("QTY",F1506)+4)-(SEARCH("QTY",F1506)+4),3))),""))</f>
        <v>0</v>
      </c>
      <c r="M1506">
        <f>'Raw Data'!O1506</f>
        <v>0</v>
      </c>
      <c r="N1506">
        <f>'Raw Data'!P1506</f>
        <v>0</v>
      </c>
      <c r="O1506">
        <f>'Raw Data'!Q1506</f>
        <v>0</v>
      </c>
      <c r="P1506">
        <f>'Raw Data'!R1506</f>
        <v>0</v>
      </c>
      <c r="Q1506">
        <f>'Raw Data'!S1506</f>
        <v>0</v>
      </c>
      <c r="R1506">
        <f>'Raw Data'!T1506</f>
        <v>0</v>
      </c>
      <c r="S1506">
        <f>IFERROR(O1506,0)+IFERROR(R1506,0)</f>
        <v>0</v>
      </c>
      <c r="T1506">
        <f>IF(A1506="","",YEAR(A1506))</f>
        <v>0</v>
      </c>
    </row>
    <row r="1507" spans="1:20">
      <c r="A1507">
        <f>'Raw Data'!B1507</f>
        <v>0</v>
      </c>
      <c r="B1507">
        <f>'Raw Data'!A1507</f>
        <v>0</v>
      </c>
      <c r="C1507">
        <f>'Raw Data'!C1507</f>
        <v>0</v>
      </c>
      <c r="D1507">
        <f>'Raw Data'!D1507</f>
        <v>0</v>
      </c>
      <c r="E1507">
        <f>IFERROR(VLOOKUP(D1507,'Lookup Tables'!$A:$B,2,FALSE),"Unknown")</f>
        <v>0</v>
      </c>
      <c r="F1507">
        <f>'Raw Data'!E1507</f>
        <v>0</v>
      </c>
      <c r="G1507">
        <f>IFERROR(VLOOKUP(D1507,'Lookup Tables'!$A:$C,3,FALSE),IF(ISNUMBER(SEARCH("STEEL",F1507)),"Steel","Others"))</f>
        <v>0</v>
      </c>
      <c r="H1507">
        <f>IF(ISNUMBER(SEARCH("scrubber",F1507)) , "Scrubber", IF(ISNUMBER(SEARCH("container",F1507)),"Container", IF(ISNUMBER(SEARCH("basket",F1507)),"Basket", IF(ISNUMBER(SEARCH("lunch",F1507)),"Lunch Box", IF(ISNUMBER(SEARCH("cutlery",F1507)),"Cutlery","Other")))))</f>
        <v>0</v>
      </c>
      <c r="I1507">
        <f>IF('Raw Data'!G1507&lt;&gt;'','Raw Data'!G1507,IFERROR(MID(F1507,SEARCH("MODEL",F1507)+6,20),""))</f>
        <v>0</v>
      </c>
      <c r="J1507">
        <f>'Raw Data'!H1507</f>
        <v>0</v>
      </c>
      <c r="K1507">
        <f>'Raw Data'!I1507</f>
        <v>0</v>
      </c>
      <c r="L1507">
        <f>IF('Raw Data'!N1507&lt;&gt;0,'Raw Data'!N1507,IFERROR(VALUE(MID(F1507,SEARCH("QTY",F1507)+4,IFERROR(FIND(" ",F1507,SEARCH("QTY",F1507)+4)-(SEARCH("QTY",F1507)+4),3))),""))</f>
        <v>0</v>
      </c>
      <c r="M1507">
        <f>'Raw Data'!O1507</f>
        <v>0</v>
      </c>
      <c r="N1507">
        <f>'Raw Data'!P1507</f>
        <v>0</v>
      </c>
      <c r="O1507">
        <f>'Raw Data'!Q1507</f>
        <v>0</v>
      </c>
      <c r="P1507">
        <f>'Raw Data'!R1507</f>
        <v>0</v>
      </c>
      <c r="Q1507">
        <f>'Raw Data'!S1507</f>
        <v>0</v>
      </c>
      <c r="R1507">
        <f>'Raw Data'!T1507</f>
        <v>0</v>
      </c>
      <c r="S1507">
        <f>IFERROR(O1507,0)+IFERROR(R1507,0)</f>
        <v>0</v>
      </c>
      <c r="T1507">
        <f>IF(A1507="","",YEAR(A1507))</f>
        <v>0</v>
      </c>
    </row>
    <row r="1508" spans="1:20">
      <c r="A1508">
        <f>'Raw Data'!B1508</f>
        <v>0</v>
      </c>
      <c r="B1508">
        <f>'Raw Data'!A1508</f>
        <v>0</v>
      </c>
      <c r="C1508">
        <f>'Raw Data'!C1508</f>
        <v>0</v>
      </c>
      <c r="D1508">
        <f>'Raw Data'!D1508</f>
        <v>0</v>
      </c>
      <c r="E1508">
        <f>IFERROR(VLOOKUP(D1508,'Lookup Tables'!$A:$B,2,FALSE),"Unknown")</f>
        <v>0</v>
      </c>
      <c r="F1508">
        <f>'Raw Data'!E1508</f>
        <v>0</v>
      </c>
      <c r="G1508">
        <f>IFERROR(VLOOKUP(D1508,'Lookup Tables'!$A:$C,3,FALSE),IF(ISNUMBER(SEARCH("STEEL",F1508)),"Steel","Others"))</f>
        <v>0</v>
      </c>
      <c r="H1508">
        <f>IF(ISNUMBER(SEARCH("scrubber",F1508)) , "Scrubber", IF(ISNUMBER(SEARCH("container",F1508)),"Container", IF(ISNUMBER(SEARCH("basket",F1508)),"Basket", IF(ISNUMBER(SEARCH("lunch",F1508)),"Lunch Box", IF(ISNUMBER(SEARCH("cutlery",F1508)),"Cutlery","Other")))))</f>
        <v>0</v>
      </c>
      <c r="I1508">
        <f>IF('Raw Data'!G1508&lt;&gt;'','Raw Data'!G1508,IFERROR(MID(F1508,SEARCH("MODEL",F1508)+6,20),""))</f>
        <v>0</v>
      </c>
      <c r="J1508">
        <f>'Raw Data'!H1508</f>
        <v>0</v>
      </c>
      <c r="K1508">
        <f>'Raw Data'!I1508</f>
        <v>0</v>
      </c>
      <c r="L1508">
        <f>IF('Raw Data'!N1508&lt;&gt;0,'Raw Data'!N1508,IFERROR(VALUE(MID(F1508,SEARCH("QTY",F1508)+4,IFERROR(FIND(" ",F1508,SEARCH("QTY",F1508)+4)-(SEARCH("QTY",F1508)+4),3))),""))</f>
        <v>0</v>
      </c>
      <c r="M1508">
        <f>'Raw Data'!O1508</f>
        <v>0</v>
      </c>
      <c r="N1508">
        <f>'Raw Data'!P1508</f>
        <v>0</v>
      </c>
      <c r="O1508">
        <f>'Raw Data'!Q1508</f>
        <v>0</v>
      </c>
      <c r="P1508">
        <f>'Raw Data'!R1508</f>
        <v>0</v>
      </c>
      <c r="Q1508">
        <f>'Raw Data'!S1508</f>
        <v>0</v>
      </c>
      <c r="R1508">
        <f>'Raw Data'!T1508</f>
        <v>0</v>
      </c>
      <c r="S1508">
        <f>IFERROR(O1508,0)+IFERROR(R1508,0)</f>
        <v>0</v>
      </c>
      <c r="T1508">
        <f>IF(A1508="","",YEAR(A1508))</f>
        <v>0</v>
      </c>
    </row>
    <row r="1509" spans="1:20">
      <c r="A1509">
        <f>'Raw Data'!B1509</f>
        <v>0</v>
      </c>
      <c r="B1509">
        <f>'Raw Data'!A1509</f>
        <v>0</v>
      </c>
      <c r="C1509">
        <f>'Raw Data'!C1509</f>
        <v>0</v>
      </c>
      <c r="D1509">
        <f>'Raw Data'!D1509</f>
        <v>0</v>
      </c>
      <c r="E1509">
        <f>IFERROR(VLOOKUP(D1509,'Lookup Tables'!$A:$B,2,FALSE),"Unknown")</f>
        <v>0</v>
      </c>
      <c r="F1509">
        <f>'Raw Data'!E1509</f>
        <v>0</v>
      </c>
      <c r="G1509">
        <f>IFERROR(VLOOKUP(D1509,'Lookup Tables'!$A:$C,3,FALSE),IF(ISNUMBER(SEARCH("STEEL",F1509)),"Steel","Others"))</f>
        <v>0</v>
      </c>
      <c r="H1509">
        <f>IF(ISNUMBER(SEARCH("scrubber",F1509)) , "Scrubber", IF(ISNUMBER(SEARCH("container",F1509)),"Container", IF(ISNUMBER(SEARCH("basket",F1509)),"Basket", IF(ISNUMBER(SEARCH("lunch",F1509)),"Lunch Box", IF(ISNUMBER(SEARCH("cutlery",F1509)),"Cutlery","Other")))))</f>
        <v>0</v>
      </c>
      <c r="I1509">
        <f>IF('Raw Data'!G1509&lt;&gt;'','Raw Data'!G1509,IFERROR(MID(F1509,SEARCH("MODEL",F1509)+6,20),""))</f>
        <v>0</v>
      </c>
      <c r="J1509">
        <f>'Raw Data'!H1509</f>
        <v>0</v>
      </c>
      <c r="K1509">
        <f>'Raw Data'!I1509</f>
        <v>0</v>
      </c>
      <c r="L1509">
        <f>IF('Raw Data'!N1509&lt;&gt;0,'Raw Data'!N1509,IFERROR(VALUE(MID(F1509,SEARCH("QTY",F1509)+4,IFERROR(FIND(" ",F1509,SEARCH("QTY",F1509)+4)-(SEARCH("QTY",F1509)+4),3))),""))</f>
        <v>0</v>
      </c>
      <c r="M1509">
        <f>'Raw Data'!O1509</f>
        <v>0</v>
      </c>
      <c r="N1509">
        <f>'Raw Data'!P1509</f>
        <v>0</v>
      </c>
      <c r="O1509">
        <f>'Raw Data'!Q1509</f>
        <v>0</v>
      </c>
      <c r="P1509">
        <f>'Raw Data'!R1509</f>
        <v>0</v>
      </c>
      <c r="Q1509">
        <f>'Raw Data'!S1509</f>
        <v>0</v>
      </c>
      <c r="R1509">
        <f>'Raw Data'!T1509</f>
        <v>0</v>
      </c>
      <c r="S1509">
        <f>IFERROR(O1509,0)+IFERROR(R1509,0)</f>
        <v>0</v>
      </c>
      <c r="T1509">
        <f>IF(A1509="","",YEAR(A1509))</f>
        <v>0</v>
      </c>
    </row>
    <row r="1510" spans="1:20">
      <c r="A1510">
        <f>'Raw Data'!B1510</f>
        <v>0</v>
      </c>
      <c r="B1510">
        <f>'Raw Data'!A1510</f>
        <v>0</v>
      </c>
      <c r="C1510">
        <f>'Raw Data'!C1510</f>
        <v>0</v>
      </c>
      <c r="D1510">
        <f>'Raw Data'!D1510</f>
        <v>0</v>
      </c>
      <c r="E1510">
        <f>IFERROR(VLOOKUP(D1510,'Lookup Tables'!$A:$B,2,FALSE),"Unknown")</f>
        <v>0</v>
      </c>
      <c r="F1510">
        <f>'Raw Data'!E1510</f>
        <v>0</v>
      </c>
      <c r="G1510">
        <f>IFERROR(VLOOKUP(D1510,'Lookup Tables'!$A:$C,3,FALSE),IF(ISNUMBER(SEARCH("STEEL",F1510)),"Steel","Others"))</f>
        <v>0</v>
      </c>
      <c r="H1510">
        <f>IF(ISNUMBER(SEARCH("scrubber",F1510)) , "Scrubber", IF(ISNUMBER(SEARCH("container",F1510)),"Container", IF(ISNUMBER(SEARCH("basket",F1510)),"Basket", IF(ISNUMBER(SEARCH("lunch",F1510)),"Lunch Box", IF(ISNUMBER(SEARCH("cutlery",F1510)),"Cutlery","Other")))))</f>
        <v>0</v>
      </c>
      <c r="I1510">
        <f>IF('Raw Data'!G1510&lt;&gt;'','Raw Data'!G1510,IFERROR(MID(F1510,SEARCH("MODEL",F1510)+6,20),""))</f>
        <v>0</v>
      </c>
      <c r="J1510">
        <f>'Raw Data'!H1510</f>
        <v>0</v>
      </c>
      <c r="K1510">
        <f>'Raw Data'!I1510</f>
        <v>0</v>
      </c>
      <c r="L1510">
        <f>IF('Raw Data'!N1510&lt;&gt;0,'Raw Data'!N1510,IFERROR(VALUE(MID(F1510,SEARCH("QTY",F1510)+4,IFERROR(FIND(" ",F1510,SEARCH("QTY",F1510)+4)-(SEARCH("QTY",F1510)+4),3))),""))</f>
        <v>0</v>
      </c>
      <c r="M1510">
        <f>'Raw Data'!O1510</f>
        <v>0</v>
      </c>
      <c r="N1510">
        <f>'Raw Data'!P1510</f>
        <v>0</v>
      </c>
      <c r="O1510">
        <f>'Raw Data'!Q1510</f>
        <v>0</v>
      </c>
      <c r="P1510">
        <f>'Raw Data'!R1510</f>
        <v>0</v>
      </c>
      <c r="Q1510">
        <f>'Raw Data'!S1510</f>
        <v>0</v>
      </c>
      <c r="R1510">
        <f>'Raw Data'!T1510</f>
        <v>0</v>
      </c>
      <c r="S1510">
        <f>IFERROR(O1510,0)+IFERROR(R1510,0)</f>
        <v>0</v>
      </c>
      <c r="T1510">
        <f>IF(A1510="","",YEAR(A1510))</f>
        <v>0</v>
      </c>
    </row>
    <row r="1511" spans="1:20">
      <c r="A1511">
        <f>'Raw Data'!B1511</f>
        <v>0</v>
      </c>
      <c r="B1511">
        <f>'Raw Data'!A1511</f>
        <v>0</v>
      </c>
      <c r="C1511">
        <f>'Raw Data'!C1511</f>
        <v>0</v>
      </c>
      <c r="D1511">
        <f>'Raw Data'!D1511</f>
        <v>0</v>
      </c>
      <c r="E1511">
        <f>IFERROR(VLOOKUP(D1511,'Lookup Tables'!$A:$B,2,FALSE),"Unknown")</f>
        <v>0</v>
      </c>
      <c r="F1511">
        <f>'Raw Data'!E1511</f>
        <v>0</v>
      </c>
      <c r="G1511">
        <f>IFERROR(VLOOKUP(D1511,'Lookup Tables'!$A:$C,3,FALSE),IF(ISNUMBER(SEARCH("STEEL",F1511)),"Steel","Others"))</f>
        <v>0</v>
      </c>
      <c r="H1511">
        <f>IF(ISNUMBER(SEARCH("scrubber",F1511)) , "Scrubber", IF(ISNUMBER(SEARCH("container",F1511)),"Container", IF(ISNUMBER(SEARCH("basket",F1511)),"Basket", IF(ISNUMBER(SEARCH("lunch",F1511)),"Lunch Box", IF(ISNUMBER(SEARCH("cutlery",F1511)),"Cutlery","Other")))))</f>
        <v>0</v>
      </c>
      <c r="I1511">
        <f>IF('Raw Data'!G1511&lt;&gt;'','Raw Data'!G1511,IFERROR(MID(F1511,SEARCH("MODEL",F1511)+6,20),""))</f>
        <v>0</v>
      </c>
      <c r="J1511">
        <f>'Raw Data'!H1511</f>
        <v>0</v>
      </c>
      <c r="K1511">
        <f>'Raw Data'!I1511</f>
        <v>0</v>
      </c>
      <c r="L1511">
        <f>IF('Raw Data'!N1511&lt;&gt;0,'Raw Data'!N1511,IFERROR(VALUE(MID(F1511,SEARCH("QTY",F1511)+4,IFERROR(FIND(" ",F1511,SEARCH("QTY",F1511)+4)-(SEARCH("QTY",F1511)+4),3))),""))</f>
        <v>0</v>
      </c>
      <c r="M1511">
        <f>'Raw Data'!O1511</f>
        <v>0</v>
      </c>
      <c r="N1511">
        <f>'Raw Data'!P1511</f>
        <v>0</v>
      </c>
      <c r="O1511">
        <f>'Raw Data'!Q1511</f>
        <v>0</v>
      </c>
      <c r="P1511">
        <f>'Raw Data'!R1511</f>
        <v>0</v>
      </c>
      <c r="Q1511">
        <f>'Raw Data'!S1511</f>
        <v>0</v>
      </c>
      <c r="R1511">
        <f>'Raw Data'!T1511</f>
        <v>0</v>
      </c>
      <c r="S1511">
        <f>IFERROR(O1511,0)+IFERROR(R1511,0)</f>
        <v>0</v>
      </c>
      <c r="T1511">
        <f>IF(A1511="","",YEAR(A1511))</f>
        <v>0</v>
      </c>
    </row>
    <row r="1512" spans="1:20">
      <c r="A1512">
        <f>'Raw Data'!B1512</f>
        <v>0</v>
      </c>
      <c r="B1512">
        <f>'Raw Data'!A1512</f>
        <v>0</v>
      </c>
      <c r="C1512">
        <f>'Raw Data'!C1512</f>
        <v>0</v>
      </c>
      <c r="D1512">
        <f>'Raw Data'!D1512</f>
        <v>0</v>
      </c>
      <c r="E1512">
        <f>IFERROR(VLOOKUP(D1512,'Lookup Tables'!$A:$B,2,FALSE),"Unknown")</f>
        <v>0</v>
      </c>
      <c r="F1512">
        <f>'Raw Data'!E1512</f>
        <v>0</v>
      </c>
      <c r="G1512">
        <f>IFERROR(VLOOKUP(D1512,'Lookup Tables'!$A:$C,3,FALSE),IF(ISNUMBER(SEARCH("STEEL",F1512)),"Steel","Others"))</f>
        <v>0</v>
      </c>
      <c r="H1512">
        <f>IF(ISNUMBER(SEARCH("scrubber",F1512)) , "Scrubber", IF(ISNUMBER(SEARCH("container",F1512)),"Container", IF(ISNUMBER(SEARCH("basket",F1512)),"Basket", IF(ISNUMBER(SEARCH("lunch",F1512)),"Lunch Box", IF(ISNUMBER(SEARCH("cutlery",F1512)),"Cutlery","Other")))))</f>
        <v>0</v>
      </c>
      <c r="I1512">
        <f>IF('Raw Data'!G1512&lt;&gt;'','Raw Data'!G1512,IFERROR(MID(F1512,SEARCH("MODEL",F1512)+6,20),""))</f>
        <v>0</v>
      </c>
      <c r="J1512">
        <f>'Raw Data'!H1512</f>
        <v>0</v>
      </c>
      <c r="K1512">
        <f>'Raw Data'!I1512</f>
        <v>0</v>
      </c>
      <c r="L1512">
        <f>IF('Raw Data'!N1512&lt;&gt;0,'Raw Data'!N1512,IFERROR(VALUE(MID(F1512,SEARCH("QTY",F1512)+4,IFERROR(FIND(" ",F1512,SEARCH("QTY",F1512)+4)-(SEARCH("QTY",F1512)+4),3))),""))</f>
        <v>0</v>
      </c>
      <c r="M1512">
        <f>'Raw Data'!O1512</f>
        <v>0</v>
      </c>
      <c r="N1512">
        <f>'Raw Data'!P1512</f>
        <v>0</v>
      </c>
      <c r="O1512">
        <f>'Raw Data'!Q1512</f>
        <v>0</v>
      </c>
      <c r="P1512">
        <f>'Raw Data'!R1512</f>
        <v>0</v>
      </c>
      <c r="Q1512">
        <f>'Raw Data'!S1512</f>
        <v>0</v>
      </c>
      <c r="R1512">
        <f>'Raw Data'!T1512</f>
        <v>0</v>
      </c>
      <c r="S1512">
        <f>IFERROR(O1512,0)+IFERROR(R1512,0)</f>
        <v>0</v>
      </c>
      <c r="T1512">
        <f>IF(A1512="","",YEAR(A1512))</f>
        <v>0</v>
      </c>
    </row>
    <row r="1513" spans="1:20">
      <c r="A1513">
        <f>'Raw Data'!B1513</f>
        <v>0</v>
      </c>
      <c r="B1513">
        <f>'Raw Data'!A1513</f>
        <v>0</v>
      </c>
      <c r="C1513">
        <f>'Raw Data'!C1513</f>
        <v>0</v>
      </c>
      <c r="D1513">
        <f>'Raw Data'!D1513</f>
        <v>0</v>
      </c>
      <c r="E1513">
        <f>IFERROR(VLOOKUP(D1513,'Lookup Tables'!$A:$B,2,FALSE),"Unknown")</f>
        <v>0</v>
      </c>
      <c r="F1513">
        <f>'Raw Data'!E1513</f>
        <v>0</v>
      </c>
      <c r="G1513">
        <f>IFERROR(VLOOKUP(D1513,'Lookup Tables'!$A:$C,3,FALSE),IF(ISNUMBER(SEARCH("STEEL",F1513)),"Steel","Others"))</f>
        <v>0</v>
      </c>
      <c r="H1513">
        <f>IF(ISNUMBER(SEARCH("scrubber",F1513)) , "Scrubber", IF(ISNUMBER(SEARCH("container",F1513)),"Container", IF(ISNUMBER(SEARCH("basket",F1513)),"Basket", IF(ISNUMBER(SEARCH("lunch",F1513)),"Lunch Box", IF(ISNUMBER(SEARCH("cutlery",F1513)),"Cutlery","Other")))))</f>
        <v>0</v>
      </c>
      <c r="I1513">
        <f>IF('Raw Data'!G1513&lt;&gt;'','Raw Data'!G1513,IFERROR(MID(F1513,SEARCH("MODEL",F1513)+6,20),""))</f>
        <v>0</v>
      </c>
      <c r="J1513">
        <f>'Raw Data'!H1513</f>
        <v>0</v>
      </c>
      <c r="K1513">
        <f>'Raw Data'!I1513</f>
        <v>0</v>
      </c>
      <c r="L1513">
        <f>IF('Raw Data'!N1513&lt;&gt;0,'Raw Data'!N1513,IFERROR(VALUE(MID(F1513,SEARCH("QTY",F1513)+4,IFERROR(FIND(" ",F1513,SEARCH("QTY",F1513)+4)-(SEARCH("QTY",F1513)+4),3))),""))</f>
        <v>0</v>
      </c>
      <c r="M1513">
        <f>'Raw Data'!O1513</f>
        <v>0</v>
      </c>
      <c r="N1513">
        <f>'Raw Data'!P1513</f>
        <v>0</v>
      </c>
      <c r="O1513">
        <f>'Raw Data'!Q1513</f>
        <v>0</v>
      </c>
      <c r="P1513">
        <f>'Raw Data'!R1513</f>
        <v>0</v>
      </c>
      <c r="Q1513">
        <f>'Raw Data'!S1513</f>
        <v>0</v>
      </c>
      <c r="R1513">
        <f>'Raw Data'!T1513</f>
        <v>0</v>
      </c>
      <c r="S1513">
        <f>IFERROR(O1513,0)+IFERROR(R1513,0)</f>
        <v>0</v>
      </c>
      <c r="T1513">
        <f>IF(A1513="","",YEAR(A1513))</f>
        <v>0</v>
      </c>
    </row>
    <row r="1514" spans="1:20">
      <c r="A1514">
        <f>'Raw Data'!B1514</f>
        <v>0</v>
      </c>
      <c r="B1514">
        <f>'Raw Data'!A1514</f>
        <v>0</v>
      </c>
      <c r="C1514">
        <f>'Raw Data'!C1514</f>
        <v>0</v>
      </c>
      <c r="D1514">
        <f>'Raw Data'!D1514</f>
        <v>0</v>
      </c>
      <c r="E1514">
        <f>IFERROR(VLOOKUP(D1514,'Lookup Tables'!$A:$B,2,FALSE),"Unknown")</f>
        <v>0</v>
      </c>
      <c r="F1514">
        <f>'Raw Data'!E1514</f>
        <v>0</v>
      </c>
      <c r="G1514">
        <f>IFERROR(VLOOKUP(D1514,'Lookup Tables'!$A:$C,3,FALSE),IF(ISNUMBER(SEARCH("STEEL",F1514)),"Steel","Others"))</f>
        <v>0</v>
      </c>
      <c r="H1514">
        <f>IF(ISNUMBER(SEARCH("scrubber",F1514)) , "Scrubber", IF(ISNUMBER(SEARCH("container",F1514)),"Container", IF(ISNUMBER(SEARCH("basket",F1514)),"Basket", IF(ISNUMBER(SEARCH("lunch",F1514)),"Lunch Box", IF(ISNUMBER(SEARCH("cutlery",F1514)),"Cutlery","Other")))))</f>
        <v>0</v>
      </c>
      <c r="I1514">
        <f>IF('Raw Data'!G1514&lt;&gt;'','Raw Data'!G1514,IFERROR(MID(F1514,SEARCH("MODEL",F1514)+6,20),""))</f>
        <v>0</v>
      </c>
      <c r="J1514">
        <f>'Raw Data'!H1514</f>
        <v>0</v>
      </c>
      <c r="K1514">
        <f>'Raw Data'!I1514</f>
        <v>0</v>
      </c>
      <c r="L1514">
        <f>IF('Raw Data'!N1514&lt;&gt;0,'Raw Data'!N1514,IFERROR(VALUE(MID(F1514,SEARCH("QTY",F1514)+4,IFERROR(FIND(" ",F1514,SEARCH("QTY",F1514)+4)-(SEARCH("QTY",F1514)+4),3))),""))</f>
        <v>0</v>
      </c>
      <c r="M1514">
        <f>'Raw Data'!O1514</f>
        <v>0</v>
      </c>
      <c r="N1514">
        <f>'Raw Data'!P1514</f>
        <v>0</v>
      </c>
      <c r="O1514">
        <f>'Raw Data'!Q1514</f>
        <v>0</v>
      </c>
      <c r="P1514">
        <f>'Raw Data'!R1514</f>
        <v>0</v>
      </c>
      <c r="Q1514">
        <f>'Raw Data'!S1514</f>
        <v>0</v>
      </c>
      <c r="R1514">
        <f>'Raw Data'!T1514</f>
        <v>0</v>
      </c>
      <c r="S1514">
        <f>IFERROR(O1514,0)+IFERROR(R1514,0)</f>
        <v>0</v>
      </c>
      <c r="T1514">
        <f>IF(A1514="","",YEAR(A1514))</f>
        <v>0</v>
      </c>
    </row>
    <row r="1515" spans="1:20">
      <c r="A1515">
        <f>'Raw Data'!B1515</f>
        <v>0</v>
      </c>
      <c r="B1515">
        <f>'Raw Data'!A1515</f>
        <v>0</v>
      </c>
      <c r="C1515">
        <f>'Raw Data'!C1515</f>
        <v>0</v>
      </c>
      <c r="D1515">
        <f>'Raw Data'!D1515</f>
        <v>0</v>
      </c>
      <c r="E1515">
        <f>IFERROR(VLOOKUP(D1515,'Lookup Tables'!$A:$B,2,FALSE),"Unknown")</f>
        <v>0</v>
      </c>
      <c r="F1515">
        <f>'Raw Data'!E1515</f>
        <v>0</v>
      </c>
      <c r="G1515">
        <f>IFERROR(VLOOKUP(D1515,'Lookup Tables'!$A:$C,3,FALSE),IF(ISNUMBER(SEARCH("STEEL",F1515)),"Steel","Others"))</f>
        <v>0</v>
      </c>
      <c r="H1515">
        <f>IF(ISNUMBER(SEARCH("scrubber",F1515)) , "Scrubber", IF(ISNUMBER(SEARCH("container",F1515)),"Container", IF(ISNUMBER(SEARCH("basket",F1515)),"Basket", IF(ISNUMBER(SEARCH("lunch",F1515)),"Lunch Box", IF(ISNUMBER(SEARCH("cutlery",F1515)),"Cutlery","Other")))))</f>
        <v>0</v>
      </c>
      <c r="I1515">
        <f>IF('Raw Data'!G1515&lt;&gt;'','Raw Data'!G1515,IFERROR(MID(F1515,SEARCH("MODEL",F1515)+6,20),""))</f>
        <v>0</v>
      </c>
      <c r="J1515">
        <f>'Raw Data'!H1515</f>
        <v>0</v>
      </c>
      <c r="K1515">
        <f>'Raw Data'!I1515</f>
        <v>0</v>
      </c>
      <c r="L1515">
        <f>IF('Raw Data'!N1515&lt;&gt;0,'Raw Data'!N1515,IFERROR(VALUE(MID(F1515,SEARCH("QTY",F1515)+4,IFERROR(FIND(" ",F1515,SEARCH("QTY",F1515)+4)-(SEARCH("QTY",F1515)+4),3))),""))</f>
        <v>0</v>
      </c>
      <c r="M1515">
        <f>'Raw Data'!O1515</f>
        <v>0</v>
      </c>
      <c r="N1515">
        <f>'Raw Data'!P1515</f>
        <v>0</v>
      </c>
      <c r="O1515">
        <f>'Raw Data'!Q1515</f>
        <v>0</v>
      </c>
      <c r="P1515">
        <f>'Raw Data'!R1515</f>
        <v>0</v>
      </c>
      <c r="Q1515">
        <f>'Raw Data'!S1515</f>
        <v>0</v>
      </c>
      <c r="R1515">
        <f>'Raw Data'!T1515</f>
        <v>0</v>
      </c>
      <c r="S1515">
        <f>IFERROR(O1515,0)+IFERROR(R1515,0)</f>
        <v>0</v>
      </c>
      <c r="T1515">
        <f>IF(A1515="","",YEAR(A1515))</f>
        <v>0</v>
      </c>
    </row>
    <row r="1516" spans="1:20">
      <c r="A1516">
        <f>'Raw Data'!B1516</f>
        <v>0</v>
      </c>
      <c r="B1516">
        <f>'Raw Data'!A1516</f>
        <v>0</v>
      </c>
      <c r="C1516">
        <f>'Raw Data'!C1516</f>
        <v>0</v>
      </c>
      <c r="D1516">
        <f>'Raw Data'!D1516</f>
        <v>0</v>
      </c>
      <c r="E1516">
        <f>IFERROR(VLOOKUP(D1516,'Lookup Tables'!$A:$B,2,FALSE),"Unknown")</f>
        <v>0</v>
      </c>
      <c r="F1516">
        <f>'Raw Data'!E1516</f>
        <v>0</v>
      </c>
      <c r="G1516">
        <f>IFERROR(VLOOKUP(D1516,'Lookup Tables'!$A:$C,3,FALSE),IF(ISNUMBER(SEARCH("STEEL",F1516)),"Steel","Others"))</f>
        <v>0</v>
      </c>
      <c r="H1516">
        <f>IF(ISNUMBER(SEARCH("scrubber",F1516)) , "Scrubber", IF(ISNUMBER(SEARCH("container",F1516)),"Container", IF(ISNUMBER(SEARCH("basket",F1516)),"Basket", IF(ISNUMBER(SEARCH("lunch",F1516)),"Lunch Box", IF(ISNUMBER(SEARCH("cutlery",F1516)),"Cutlery","Other")))))</f>
        <v>0</v>
      </c>
      <c r="I1516">
        <f>IF('Raw Data'!G1516&lt;&gt;'','Raw Data'!G1516,IFERROR(MID(F1516,SEARCH("MODEL",F1516)+6,20),""))</f>
        <v>0</v>
      </c>
      <c r="J1516">
        <f>'Raw Data'!H1516</f>
        <v>0</v>
      </c>
      <c r="K1516">
        <f>'Raw Data'!I1516</f>
        <v>0</v>
      </c>
      <c r="L1516">
        <f>IF('Raw Data'!N1516&lt;&gt;0,'Raw Data'!N1516,IFERROR(VALUE(MID(F1516,SEARCH("QTY",F1516)+4,IFERROR(FIND(" ",F1516,SEARCH("QTY",F1516)+4)-(SEARCH("QTY",F1516)+4),3))),""))</f>
        <v>0</v>
      </c>
      <c r="M1516">
        <f>'Raw Data'!O1516</f>
        <v>0</v>
      </c>
      <c r="N1516">
        <f>'Raw Data'!P1516</f>
        <v>0</v>
      </c>
      <c r="O1516">
        <f>'Raw Data'!Q1516</f>
        <v>0</v>
      </c>
      <c r="P1516">
        <f>'Raw Data'!R1516</f>
        <v>0</v>
      </c>
      <c r="Q1516">
        <f>'Raw Data'!S1516</f>
        <v>0</v>
      </c>
      <c r="R1516">
        <f>'Raw Data'!T1516</f>
        <v>0</v>
      </c>
      <c r="S1516">
        <f>IFERROR(O1516,0)+IFERROR(R1516,0)</f>
        <v>0</v>
      </c>
      <c r="T1516">
        <f>IF(A1516="","",YEAR(A1516))</f>
        <v>0</v>
      </c>
    </row>
    <row r="1517" spans="1:20">
      <c r="A1517">
        <f>'Raw Data'!B1517</f>
        <v>0</v>
      </c>
      <c r="B1517">
        <f>'Raw Data'!A1517</f>
        <v>0</v>
      </c>
      <c r="C1517">
        <f>'Raw Data'!C1517</f>
        <v>0</v>
      </c>
      <c r="D1517">
        <f>'Raw Data'!D1517</f>
        <v>0</v>
      </c>
      <c r="E1517">
        <f>IFERROR(VLOOKUP(D1517,'Lookup Tables'!$A:$B,2,FALSE),"Unknown")</f>
        <v>0</v>
      </c>
      <c r="F1517">
        <f>'Raw Data'!E1517</f>
        <v>0</v>
      </c>
      <c r="G1517">
        <f>IFERROR(VLOOKUP(D1517,'Lookup Tables'!$A:$C,3,FALSE),IF(ISNUMBER(SEARCH("STEEL",F1517)),"Steel","Others"))</f>
        <v>0</v>
      </c>
      <c r="H1517">
        <f>IF(ISNUMBER(SEARCH("scrubber",F1517)) , "Scrubber", IF(ISNUMBER(SEARCH("container",F1517)),"Container", IF(ISNUMBER(SEARCH("basket",F1517)),"Basket", IF(ISNUMBER(SEARCH("lunch",F1517)),"Lunch Box", IF(ISNUMBER(SEARCH("cutlery",F1517)),"Cutlery","Other")))))</f>
        <v>0</v>
      </c>
      <c r="I1517">
        <f>IF('Raw Data'!G1517&lt;&gt;'','Raw Data'!G1517,IFERROR(MID(F1517,SEARCH("MODEL",F1517)+6,20),""))</f>
        <v>0</v>
      </c>
      <c r="J1517">
        <f>'Raw Data'!H1517</f>
        <v>0</v>
      </c>
      <c r="K1517">
        <f>'Raw Data'!I1517</f>
        <v>0</v>
      </c>
      <c r="L1517">
        <f>IF('Raw Data'!N1517&lt;&gt;0,'Raw Data'!N1517,IFERROR(VALUE(MID(F1517,SEARCH("QTY",F1517)+4,IFERROR(FIND(" ",F1517,SEARCH("QTY",F1517)+4)-(SEARCH("QTY",F1517)+4),3))),""))</f>
        <v>0</v>
      </c>
      <c r="M1517">
        <f>'Raw Data'!O1517</f>
        <v>0</v>
      </c>
      <c r="N1517">
        <f>'Raw Data'!P1517</f>
        <v>0</v>
      </c>
      <c r="O1517">
        <f>'Raw Data'!Q1517</f>
        <v>0</v>
      </c>
      <c r="P1517">
        <f>'Raw Data'!R1517</f>
        <v>0</v>
      </c>
      <c r="Q1517">
        <f>'Raw Data'!S1517</f>
        <v>0</v>
      </c>
      <c r="R1517">
        <f>'Raw Data'!T1517</f>
        <v>0</v>
      </c>
      <c r="S1517">
        <f>IFERROR(O1517,0)+IFERROR(R1517,0)</f>
        <v>0</v>
      </c>
      <c r="T1517">
        <f>IF(A1517="","",YEAR(A1517))</f>
        <v>0</v>
      </c>
    </row>
    <row r="1518" spans="1:20">
      <c r="A1518">
        <f>'Raw Data'!B1518</f>
        <v>0</v>
      </c>
      <c r="B1518">
        <f>'Raw Data'!A1518</f>
        <v>0</v>
      </c>
      <c r="C1518">
        <f>'Raw Data'!C1518</f>
        <v>0</v>
      </c>
      <c r="D1518">
        <f>'Raw Data'!D1518</f>
        <v>0</v>
      </c>
      <c r="E1518">
        <f>IFERROR(VLOOKUP(D1518,'Lookup Tables'!$A:$B,2,FALSE),"Unknown")</f>
        <v>0</v>
      </c>
      <c r="F1518">
        <f>'Raw Data'!E1518</f>
        <v>0</v>
      </c>
      <c r="G1518">
        <f>IFERROR(VLOOKUP(D1518,'Lookup Tables'!$A:$C,3,FALSE),IF(ISNUMBER(SEARCH("STEEL",F1518)),"Steel","Others"))</f>
        <v>0</v>
      </c>
      <c r="H1518">
        <f>IF(ISNUMBER(SEARCH("scrubber",F1518)) , "Scrubber", IF(ISNUMBER(SEARCH("container",F1518)),"Container", IF(ISNUMBER(SEARCH("basket",F1518)),"Basket", IF(ISNUMBER(SEARCH("lunch",F1518)),"Lunch Box", IF(ISNUMBER(SEARCH("cutlery",F1518)),"Cutlery","Other")))))</f>
        <v>0</v>
      </c>
      <c r="I1518">
        <f>IF('Raw Data'!G1518&lt;&gt;'','Raw Data'!G1518,IFERROR(MID(F1518,SEARCH("MODEL",F1518)+6,20),""))</f>
        <v>0</v>
      </c>
      <c r="J1518">
        <f>'Raw Data'!H1518</f>
        <v>0</v>
      </c>
      <c r="K1518">
        <f>'Raw Data'!I1518</f>
        <v>0</v>
      </c>
      <c r="L1518">
        <f>IF('Raw Data'!N1518&lt;&gt;0,'Raw Data'!N1518,IFERROR(VALUE(MID(F1518,SEARCH("QTY",F1518)+4,IFERROR(FIND(" ",F1518,SEARCH("QTY",F1518)+4)-(SEARCH("QTY",F1518)+4),3))),""))</f>
        <v>0</v>
      </c>
      <c r="M1518">
        <f>'Raw Data'!O1518</f>
        <v>0</v>
      </c>
      <c r="N1518">
        <f>'Raw Data'!P1518</f>
        <v>0</v>
      </c>
      <c r="O1518">
        <f>'Raw Data'!Q1518</f>
        <v>0</v>
      </c>
      <c r="P1518">
        <f>'Raw Data'!R1518</f>
        <v>0</v>
      </c>
      <c r="Q1518">
        <f>'Raw Data'!S1518</f>
        <v>0</v>
      </c>
      <c r="R1518">
        <f>'Raw Data'!T1518</f>
        <v>0</v>
      </c>
      <c r="S1518">
        <f>IFERROR(O1518,0)+IFERROR(R1518,0)</f>
        <v>0</v>
      </c>
      <c r="T1518">
        <f>IF(A1518="","",YEAR(A1518))</f>
        <v>0</v>
      </c>
    </row>
    <row r="1519" spans="1:20">
      <c r="A1519">
        <f>'Raw Data'!B1519</f>
        <v>0</v>
      </c>
      <c r="B1519">
        <f>'Raw Data'!A1519</f>
        <v>0</v>
      </c>
      <c r="C1519">
        <f>'Raw Data'!C1519</f>
        <v>0</v>
      </c>
      <c r="D1519">
        <f>'Raw Data'!D1519</f>
        <v>0</v>
      </c>
      <c r="E1519">
        <f>IFERROR(VLOOKUP(D1519,'Lookup Tables'!$A:$B,2,FALSE),"Unknown")</f>
        <v>0</v>
      </c>
      <c r="F1519">
        <f>'Raw Data'!E1519</f>
        <v>0</v>
      </c>
      <c r="G1519">
        <f>IFERROR(VLOOKUP(D1519,'Lookup Tables'!$A:$C,3,FALSE),IF(ISNUMBER(SEARCH("STEEL",F1519)),"Steel","Others"))</f>
        <v>0</v>
      </c>
      <c r="H1519">
        <f>IF(ISNUMBER(SEARCH("scrubber",F1519)) , "Scrubber", IF(ISNUMBER(SEARCH("container",F1519)),"Container", IF(ISNUMBER(SEARCH("basket",F1519)),"Basket", IF(ISNUMBER(SEARCH("lunch",F1519)),"Lunch Box", IF(ISNUMBER(SEARCH("cutlery",F1519)),"Cutlery","Other")))))</f>
        <v>0</v>
      </c>
      <c r="I1519">
        <f>IF('Raw Data'!G1519&lt;&gt;'','Raw Data'!G1519,IFERROR(MID(F1519,SEARCH("MODEL",F1519)+6,20),""))</f>
        <v>0</v>
      </c>
      <c r="J1519">
        <f>'Raw Data'!H1519</f>
        <v>0</v>
      </c>
      <c r="K1519">
        <f>'Raw Data'!I1519</f>
        <v>0</v>
      </c>
      <c r="L1519">
        <f>IF('Raw Data'!N1519&lt;&gt;0,'Raw Data'!N1519,IFERROR(VALUE(MID(F1519,SEARCH("QTY",F1519)+4,IFERROR(FIND(" ",F1519,SEARCH("QTY",F1519)+4)-(SEARCH("QTY",F1519)+4),3))),""))</f>
        <v>0</v>
      </c>
      <c r="M1519">
        <f>'Raw Data'!O1519</f>
        <v>0</v>
      </c>
      <c r="N1519">
        <f>'Raw Data'!P1519</f>
        <v>0</v>
      </c>
      <c r="O1519">
        <f>'Raw Data'!Q1519</f>
        <v>0</v>
      </c>
      <c r="P1519">
        <f>'Raw Data'!R1519</f>
        <v>0</v>
      </c>
      <c r="Q1519">
        <f>'Raw Data'!S1519</f>
        <v>0</v>
      </c>
      <c r="R1519">
        <f>'Raw Data'!T1519</f>
        <v>0</v>
      </c>
      <c r="S1519">
        <f>IFERROR(O1519,0)+IFERROR(R1519,0)</f>
        <v>0</v>
      </c>
      <c r="T1519">
        <f>IF(A1519="","",YEAR(A1519))</f>
        <v>0</v>
      </c>
    </row>
    <row r="1520" spans="1:20">
      <c r="A1520">
        <f>'Raw Data'!B1520</f>
        <v>0</v>
      </c>
      <c r="B1520">
        <f>'Raw Data'!A1520</f>
        <v>0</v>
      </c>
      <c r="C1520">
        <f>'Raw Data'!C1520</f>
        <v>0</v>
      </c>
      <c r="D1520">
        <f>'Raw Data'!D1520</f>
        <v>0</v>
      </c>
      <c r="E1520">
        <f>IFERROR(VLOOKUP(D1520,'Lookup Tables'!$A:$B,2,FALSE),"Unknown")</f>
        <v>0</v>
      </c>
      <c r="F1520">
        <f>'Raw Data'!E1520</f>
        <v>0</v>
      </c>
      <c r="G1520">
        <f>IFERROR(VLOOKUP(D1520,'Lookup Tables'!$A:$C,3,FALSE),IF(ISNUMBER(SEARCH("STEEL",F1520)),"Steel","Others"))</f>
        <v>0</v>
      </c>
      <c r="H1520">
        <f>IF(ISNUMBER(SEARCH("scrubber",F1520)) , "Scrubber", IF(ISNUMBER(SEARCH("container",F1520)),"Container", IF(ISNUMBER(SEARCH("basket",F1520)),"Basket", IF(ISNUMBER(SEARCH("lunch",F1520)),"Lunch Box", IF(ISNUMBER(SEARCH("cutlery",F1520)),"Cutlery","Other")))))</f>
        <v>0</v>
      </c>
      <c r="I1520">
        <f>IF('Raw Data'!G1520&lt;&gt;'','Raw Data'!G1520,IFERROR(MID(F1520,SEARCH("MODEL",F1520)+6,20),""))</f>
        <v>0</v>
      </c>
      <c r="J1520">
        <f>'Raw Data'!H1520</f>
        <v>0</v>
      </c>
      <c r="K1520">
        <f>'Raw Data'!I1520</f>
        <v>0</v>
      </c>
      <c r="L1520">
        <f>IF('Raw Data'!N1520&lt;&gt;0,'Raw Data'!N1520,IFERROR(VALUE(MID(F1520,SEARCH("QTY",F1520)+4,IFERROR(FIND(" ",F1520,SEARCH("QTY",F1520)+4)-(SEARCH("QTY",F1520)+4),3))),""))</f>
        <v>0</v>
      </c>
      <c r="M1520">
        <f>'Raw Data'!O1520</f>
        <v>0</v>
      </c>
      <c r="N1520">
        <f>'Raw Data'!P1520</f>
        <v>0</v>
      </c>
      <c r="O1520">
        <f>'Raw Data'!Q1520</f>
        <v>0</v>
      </c>
      <c r="P1520">
        <f>'Raw Data'!R1520</f>
        <v>0</v>
      </c>
      <c r="Q1520">
        <f>'Raw Data'!S1520</f>
        <v>0</v>
      </c>
      <c r="R1520">
        <f>'Raw Data'!T1520</f>
        <v>0</v>
      </c>
      <c r="S1520">
        <f>IFERROR(O1520,0)+IFERROR(R1520,0)</f>
        <v>0</v>
      </c>
      <c r="T1520">
        <f>IF(A1520="","",YEAR(A1520))</f>
        <v>0</v>
      </c>
    </row>
    <row r="1521" spans="1:20">
      <c r="A1521">
        <f>'Raw Data'!B1521</f>
        <v>0</v>
      </c>
      <c r="B1521">
        <f>'Raw Data'!A1521</f>
        <v>0</v>
      </c>
      <c r="C1521">
        <f>'Raw Data'!C1521</f>
        <v>0</v>
      </c>
      <c r="D1521">
        <f>'Raw Data'!D1521</f>
        <v>0</v>
      </c>
      <c r="E1521">
        <f>IFERROR(VLOOKUP(D1521,'Lookup Tables'!$A:$B,2,FALSE),"Unknown")</f>
        <v>0</v>
      </c>
      <c r="F1521">
        <f>'Raw Data'!E1521</f>
        <v>0</v>
      </c>
      <c r="G1521">
        <f>IFERROR(VLOOKUP(D1521,'Lookup Tables'!$A:$C,3,FALSE),IF(ISNUMBER(SEARCH("STEEL",F1521)),"Steel","Others"))</f>
        <v>0</v>
      </c>
      <c r="H1521">
        <f>IF(ISNUMBER(SEARCH("scrubber",F1521)) , "Scrubber", IF(ISNUMBER(SEARCH("container",F1521)),"Container", IF(ISNUMBER(SEARCH("basket",F1521)),"Basket", IF(ISNUMBER(SEARCH("lunch",F1521)),"Lunch Box", IF(ISNUMBER(SEARCH("cutlery",F1521)),"Cutlery","Other")))))</f>
        <v>0</v>
      </c>
      <c r="I1521">
        <f>IF('Raw Data'!G1521&lt;&gt;'','Raw Data'!G1521,IFERROR(MID(F1521,SEARCH("MODEL",F1521)+6,20),""))</f>
        <v>0</v>
      </c>
      <c r="J1521">
        <f>'Raw Data'!H1521</f>
        <v>0</v>
      </c>
      <c r="K1521">
        <f>'Raw Data'!I1521</f>
        <v>0</v>
      </c>
      <c r="L1521">
        <f>IF('Raw Data'!N1521&lt;&gt;0,'Raw Data'!N1521,IFERROR(VALUE(MID(F1521,SEARCH("QTY",F1521)+4,IFERROR(FIND(" ",F1521,SEARCH("QTY",F1521)+4)-(SEARCH("QTY",F1521)+4),3))),""))</f>
        <v>0</v>
      </c>
      <c r="M1521">
        <f>'Raw Data'!O1521</f>
        <v>0</v>
      </c>
      <c r="N1521">
        <f>'Raw Data'!P1521</f>
        <v>0</v>
      </c>
      <c r="O1521">
        <f>'Raw Data'!Q1521</f>
        <v>0</v>
      </c>
      <c r="P1521">
        <f>'Raw Data'!R1521</f>
        <v>0</v>
      </c>
      <c r="Q1521">
        <f>'Raw Data'!S1521</f>
        <v>0</v>
      </c>
      <c r="R1521">
        <f>'Raw Data'!T1521</f>
        <v>0</v>
      </c>
      <c r="S1521">
        <f>IFERROR(O1521,0)+IFERROR(R1521,0)</f>
        <v>0</v>
      </c>
      <c r="T1521">
        <f>IF(A1521="","",YEAR(A1521))</f>
        <v>0</v>
      </c>
    </row>
    <row r="1522" spans="1:20">
      <c r="A1522">
        <f>'Raw Data'!B1522</f>
        <v>0</v>
      </c>
      <c r="B1522">
        <f>'Raw Data'!A1522</f>
        <v>0</v>
      </c>
      <c r="C1522">
        <f>'Raw Data'!C1522</f>
        <v>0</v>
      </c>
      <c r="D1522">
        <f>'Raw Data'!D1522</f>
        <v>0</v>
      </c>
      <c r="E1522">
        <f>IFERROR(VLOOKUP(D1522,'Lookup Tables'!$A:$B,2,FALSE),"Unknown")</f>
        <v>0</v>
      </c>
      <c r="F1522">
        <f>'Raw Data'!E1522</f>
        <v>0</v>
      </c>
      <c r="G1522">
        <f>IFERROR(VLOOKUP(D1522,'Lookup Tables'!$A:$C,3,FALSE),IF(ISNUMBER(SEARCH("STEEL",F1522)),"Steel","Others"))</f>
        <v>0</v>
      </c>
      <c r="H1522">
        <f>IF(ISNUMBER(SEARCH("scrubber",F1522)) , "Scrubber", IF(ISNUMBER(SEARCH("container",F1522)),"Container", IF(ISNUMBER(SEARCH("basket",F1522)),"Basket", IF(ISNUMBER(SEARCH("lunch",F1522)),"Lunch Box", IF(ISNUMBER(SEARCH("cutlery",F1522)),"Cutlery","Other")))))</f>
        <v>0</v>
      </c>
      <c r="I1522">
        <f>IF('Raw Data'!G1522&lt;&gt;'','Raw Data'!G1522,IFERROR(MID(F1522,SEARCH("MODEL",F1522)+6,20),""))</f>
        <v>0</v>
      </c>
      <c r="J1522">
        <f>'Raw Data'!H1522</f>
        <v>0</v>
      </c>
      <c r="K1522">
        <f>'Raw Data'!I1522</f>
        <v>0</v>
      </c>
      <c r="L1522">
        <f>IF('Raw Data'!N1522&lt;&gt;0,'Raw Data'!N1522,IFERROR(VALUE(MID(F1522,SEARCH("QTY",F1522)+4,IFERROR(FIND(" ",F1522,SEARCH("QTY",F1522)+4)-(SEARCH("QTY",F1522)+4),3))),""))</f>
        <v>0</v>
      </c>
      <c r="M1522">
        <f>'Raw Data'!O1522</f>
        <v>0</v>
      </c>
      <c r="N1522">
        <f>'Raw Data'!P1522</f>
        <v>0</v>
      </c>
      <c r="O1522">
        <f>'Raw Data'!Q1522</f>
        <v>0</v>
      </c>
      <c r="P1522">
        <f>'Raw Data'!R1522</f>
        <v>0</v>
      </c>
      <c r="Q1522">
        <f>'Raw Data'!S1522</f>
        <v>0</v>
      </c>
      <c r="R1522">
        <f>'Raw Data'!T1522</f>
        <v>0</v>
      </c>
      <c r="S1522">
        <f>IFERROR(O1522,0)+IFERROR(R1522,0)</f>
        <v>0</v>
      </c>
      <c r="T1522">
        <f>IF(A1522="","",YEAR(A1522))</f>
        <v>0</v>
      </c>
    </row>
    <row r="1523" spans="1:20">
      <c r="A1523">
        <f>'Raw Data'!B1523</f>
        <v>0</v>
      </c>
      <c r="B1523">
        <f>'Raw Data'!A1523</f>
        <v>0</v>
      </c>
      <c r="C1523">
        <f>'Raw Data'!C1523</f>
        <v>0</v>
      </c>
      <c r="D1523">
        <f>'Raw Data'!D1523</f>
        <v>0</v>
      </c>
      <c r="E1523">
        <f>IFERROR(VLOOKUP(D1523,'Lookup Tables'!$A:$B,2,FALSE),"Unknown")</f>
        <v>0</v>
      </c>
      <c r="F1523">
        <f>'Raw Data'!E1523</f>
        <v>0</v>
      </c>
      <c r="G1523">
        <f>IFERROR(VLOOKUP(D1523,'Lookup Tables'!$A:$C,3,FALSE),IF(ISNUMBER(SEARCH("STEEL",F1523)),"Steel","Others"))</f>
        <v>0</v>
      </c>
      <c r="H1523">
        <f>IF(ISNUMBER(SEARCH("scrubber",F1523)) , "Scrubber", IF(ISNUMBER(SEARCH("container",F1523)),"Container", IF(ISNUMBER(SEARCH("basket",F1523)),"Basket", IF(ISNUMBER(SEARCH("lunch",F1523)),"Lunch Box", IF(ISNUMBER(SEARCH("cutlery",F1523)),"Cutlery","Other")))))</f>
        <v>0</v>
      </c>
      <c r="I1523">
        <f>IF('Raw Data'!G1523&lt;&gt;'','Raw Data'!G1523,IFERROR(MID(F1523,SEARCH("MODEL",F1523)+6,20),""))</f>
        <v>0</v>
      </c>
      <c r="J1523">
        <f>'Raw Data'!H1523</f>
        <v>0</v>
      </c>
      <c r="K1523">
        <f>'Raw Data'!I1523</f>
        <v>0</v>
      </c>
      <c r="L1523">
        <f>IF('Raw Data'!N1523&lt;&gt;0,'Raw Data'!N1523,IFERROR(VALUE(MID(F1523,SEARCH("QTY",F1523)+4,IFERROR(FIND(" ",F1523,SEARCH("QTY",F1523)+4)-(SEARCH("QTY",F1523)+4),3))),""))</f>
        <v>0</v>
      </c>
      <c r="M1523">
        <f>'Raw Data'!O1523</f>
        <v>0</v>
      </c>
      <c r="N1523">
        <f>'Raw Data'!P1523</f>
        <v>0</v>
      </c>
      <c r="O1523">
        <f>'Raw Data'!Q1523</f>
        <v>0</v>
      </c>
      <c r="P1523">
        <f>'Raw Data'!R1523</f>
        <v>0</v>
      </c>
      <c r="Q1523">
        <f>'Raw Data'!S1523</f>
        <v>0</v>
      </c>
      <c r="R1523">
        <f>'Raw Data'!T1523</f>
        <v>0</v>
      </c>
      <c r="S1523">
        <f>IFERROR(O1523,0)+IFERROR(R1523,0)</f>
        <v>0</v>
      </c>
      <c r="T1523">
        <f>IF(A1523="","",YEAR(A1523))</f>
        <v>0</v>
      </c>
    </row>
    <row r="1524" spans="1:20">
      <c r="A1524">
        <f>'Raw Data'!B1524</f>
        <v>0</v>
      </c>
      <c r="B1524">
        <f>'Raw Data'!A1524</f>
        <v>0</v>
      </c>
      <c r="C1524">
        <f>'Raw Data'!C1524</f>
        <v>0</v>
      </c>
      <c r="D1524">
        <f>'Raw Data'!D1524</f>
        <v>0</v>
      </c>
      <c r="E1524">
        <f>IFERROR(VLOOKUP(D1524,'Lookup Tables'!$A:$B,2,FALSE),"Unknown")</f>
        <v>0</v>
      </c>
      <c r="F1524">
        <f>'Raw Data'!E1524</f>
        <v>0</v>
      </c>
      <c r="G1524">
        <f>IFERROR(VLOOKUP(D1524,'Lookup Tables'!$A:$C,3,FALSE),IF(ISNUMBER(SEARCH("STEEL",F1524)),"Steel","Others"))</f>
        <v>0</v>
      </c>
      <c r="H1524">
        <f>IF(ISNUMBER(SEARCH("scrubber",F1524)) , "Scrubber", IF(ISNUMBER(SEARCH("container",F1524)),"Container", IF(ISNUMBER(SEARCH("basket",F1524)),"Basket", IF(ISNUMBER(SEARCH("lunch",F1524)),"Lunch Box", IF(ISNUMBER(SEARCH("cutlery",F1524)),"Cutlery","Other")))))</f>
        <v>0</v>
      </c>
      <c r="I1524">
        <f>IF('Raw Data'!G1524&lt;&gt;'','Raw Data'!G1524,IFERROR(MID(F1524,SEARCH("MODEL",F1524)+6,20),""))</f>
        <v>0</v>
      </c>
      <c r="J1524">
        <f>'Raw Data'!H1524</f>
        <v>0</v>
      </c>
      <c r="K1524">
        <f>'Raw Data'!I1524</f>
        <v>0</v>
      </c>
      <c r="L1524">
        <f>IF('Raw Data'!N1524&lt;&gt;0,'Raw Data'!N1524,IFERROR(VALUE(MID(F1524,SEARCH("QTY",F1524)+4,IFERROR(FIND(" ",F1524,SEARCH("QTY",F1524)+4)-(SEARCH("QTY",F1524)+4),3))),""))</f>
        <v>0</v>
      </c>
      <c r="M1524">
        <f>'Raw Data'!O1524</f>
        <v>0</v>
      </c>
      <c r="N1524">
        <f>'Raw Data'!P1524</f>
        <v>0</v>
      </c>
      <c r="O1524">
        <f>'Raw Data'!Q1524</f>
        <v>0</v>
      </c>
      <c r="P1524">
        <f>'Raw Data'!R1524</f>
        <v>0</v>
      </c>
      <c r="Q1524">
        <f>'Raw Data'!S1524</f>
        <v>0</v>
      </c>
      <c r="R1524">
        <f>'Raw Data'!T1524</f>
        <v>0</v>
      </c>
      <c r="S1524">
        <f>IFERROR(O1524,0)+IFERROR(R1524,0)</f>
        <v>0</v>
      </c>
      <c r="T1524">
        <f>IF(A1524="","",YEAR(A1524))</f>
        <v>0</v>
      </c>
    </row>
    <row r="1525" spans="1:20">
      <c r="A1525">
        <f>'Raw Data'!B1525</f>
        <v>0</v>
      </c>
      <c r="B1525">
        <f>'Raw Data'!A1525</f>
        <v>0</v>
      </c>
      <c r="C1525">
        <f>'Raw Data'!C1525</f>
        <v>0</v>
      </c>
      <c r="D1525">
        <f>'Raw Data'!D1525</f>
        <v>0</v>
      </c>
      <c r="E1525">
        <f>IFERROR(VLOOKUP(D1525,'Lookup Tables'!$A:$B,2,FALSE),"Unknown")</f>
        <v>0</v>
      </c>
      <c r="F1525">
        <f>'Raw Data'!E1525</f>
        <v>0</v>
      </c>
      <c r="G1525">
        <f>IFERROR(VLOOKUP(D1525,'Lookup Tables'!$A:$C,3,FALSE),IF(ISNUMBER(SEARCH("STEEL",F1525)),"Steel","Others"))</f>
        <v>0</v>
      </c>
      <c r="H1525">
        <f>IF(ISNUMBER(SEARCH("scrubber",F1525)) , "Scrubber", IF(ISNUMBER(SEARCH("container",F1525)),"Container", IF(ISNUMBER(SEARCH("basket",F1525)),"Basket", IF(ISNUMBER(SEARCH("lunch",F1525)),"Lunch Box", IF(ISNUMBER(SEARCH("cutlery",F1525)),"Cutlery","Other")))))</f>
        <v>0</v>
      </c>
      <c r="I1525">
        <f>IF('Raw Data'!G1525&lt;&gt;'','Raw Data'!G1525,IFERROR(MID(F1525,SEARCH("MODEL",F1525)+6,20),""))</f>
        <v>0</v>
      </c>
      <c r="J1525">
        <f>'Raw Data'!H1525</f>
        <v>0</v>
      </c>
      <c r="K1525">
        <f>'Raw Data'!I1525</f>
        <v>0</v>
      </c>
      <c r="L1525">
        <f>IF('Raw Data'!N1525&lt;&gt;0,'Raw Data'!N1525,IFERROR(VALUE(MID(F1525,SEARCH("QTY",F1525)+4,IFERROR(FIND(" ",F1525,SEARCH("QTY",F1525)+4)-(SEARCH("QTY",F1525)+4),3))),""))</f>
        <v>0</v>
      </c>
      <c r="M1525">
        <f>'Raw Data'!O1525</f>
        <v>0</v>
      </c>
      <c r="N1525">
        <f>'Raw Data'!P1525</f>
        <v>0</v>
      </c>
      <c r="O1525">
        <f>'Raw Data'!Q1525</f>
        <v>0</v>
      </c>
      <c r="P1525">
        <f>'Raw Data'!R1525</f>
        <v>0</v>
      </c>
      <c r="Q1525">
        <f>'Raw Data'!S1525</f>
        <v>0</v>
      </c>
      <c r="R1525">
        <f>'Raw Data'!T1525</f>
        <v>0</v>
      </c>
      <c r="S1525">
        <f>IFERROR(O1525,0)+IFERROR(R1525,0)</f>
        <v>0</v>
      </c>
      <c r="T1525">
        <f>IF(A1525="","",YEAR(A1525))</f>
        <v>0</v>
      </c>
    </row>
    <row r="1526" spans="1:20">
      <c r="A1526">
        <f>'Raw Data'!B1526</f>
        <v>0</v>
      </c>
      <c r="B1526">
        <f>'Raw Data'!A1526</f>
        <v>0</v>
      </c>
      <c r="C1526">
        <f>'Raw Data'!C1526</f>
        <v>0</v>
      </c>
      <c r="D1526">
        <f>'Raw Data'!D1526</f>
        <v>0</v>
      </c>
      <c r="E1526">
        <f>IFERROR(VLOOKUP(D1526,'Lookup Tables'!$A:$B,2,FALSE),"Unknown")</f>
        <v>0</v>
      </c>
      <c r="F1526">
        <f>'Raw Data'!E1526</f>
        <v>0</v>
      </c>
      <c r="G1526">
        <f>IFERROR(VLOOKUP(D1526,'Lookup Tables'!$A:$C,3,FALSE),IF(ISNUMBER(SEARCH("STEEL",F1526)),"Steel","Others"))</f>
        <v>0</v>
      </c>
      <c r="H1526">
        <f>IF(ISNUMBER(SEARCH("scrubber",F1526)) , "Scrubber", IF(ISNUMBER(SEARCH("container",F1526)),"Container", IF(ISNUMBER(SEARCH("basket",F1526)),"Basket", IF(ISNUMBER(SEARCH("lunch",F1526)),"Lunch Box", IF(ISNUMBER(SEARCH("cutlery",F1526)),"Cutlery","Other")))))</f>
        <v>0</v>
      </c>
      <c r="I1526">
        <f>IF('Raw Data'!G1526&lt;&gt;'','Raw Data'!G1526,IFERROR(MID(F1526,SEARCH("MODEL",F1526)+6,20),""))</f>
        <v>0</v>
      </c>
      <c r="J1526">
        <f>'Raw Data'!H1526</f>
        <v>0</v>
      </c>
      <c r="K1526">
        <f>'Raw Data'!I1526</f>
        <v>0</v>
      </c>
      <c r="L1526">
        <f>IF('Raw Data'!N1526&lt;&gt;0,'Raw Data'!N1526,IFERROR(VALUE(MID(F1526,SEARCH("QTY",F1526)+4,IFERROR(FIND(" ",F1526,SEARCH("QTY",F1526)+4)-(SEARCH("QTY",F1526)+4),3))),""))</f>
        <v>0</v>
      </c>
      <c r="M1526">
        <f>'Raw Data'!O1526</f>
        <v>0</v>
      </c>
      <c r="N1526">
        <f>'Raw Data'!P1526</f>
        <v>0</v>
      </c>
      <c r="O1526">
        <f>'Raw Data'!Q1526</f>
        <v>0</v>
      </c>
      <c r="P1526">
        <f>'Raw Data'!R1526</f>
        <v>0</v>
      </c>
      <c r="Q1526">
        <f>'Raw Data'!S1526</f>
        <v>0</v>
      </c>
      <c r="R1526">
        <f>'Raw Data'!T1526</f>
        <v>0</v>
      </c>
      <c r="S1526">
        <f>IFERROR(O1526,0)+IFERROR(R1526,0)</f>
        <v>0</v>
      </c>
      <c r="T1526">
        <f>IF(A1526="","",YEAR(A1526))</f>
        <v>0</v>
      </c>
    </row>
    <row r="1527" spans="1:20">
      <c r="A1527">
        <f>'Raw Data'!B1527</f>
        <v>0</v>
      </c>
      <c r="B1527">
        <f>'Raw Data'!A1527</f>
        <v>0</v>
      </c>
      <c r="C1527">
        <f>'Raw Data'!C1527</f>
        <v>0</v>
      </c>
      <c r="D1527">
        <f>'Raw Data'!D1527</f>
        <v>0</v>
      </c>
      <c r="E1527">
        <f>IFERROR(VLOOKUP(D1527,'Lookup Tables'!$A:$B,2,FALSE),"Unknown")</f>
        <v>0</v>
      </c>
      <c r="F1527">
        <f>'Raw Data'!E1527</f>
        <v>0</v>
      </c>
      <c r="G1527">
        <f>IFERROR(VLOOKUP(D1527,'Lookup Tables'!$A:$C,3,FALSE),IF(ISNUMBER(SEARCH("STEEL",F1527)),"Steel","Others"))</f>
        <v>0</v>
      </c>
      <c r="H1527">
        <f>IF(ISNUMBER(SEARCH("scrubber",F1527)) , "Scrubber", IF(ISNUMBER(SEARCH("container",F1527)),"Container", IF(ISNUMBER(SEARCH("basket",F1527)),"Basket", IF(ISNUMBER(SEARCH("lunch",F1527)),"Lunch Box", IF(ISNUMBER(SEARCH("cutlery",F1527)),"Cutlery","Other")))))</f>
        <v>0</v>
      </c>
      <c r="I1527">
        <f>IF('Raw Data'!G1527&lt;&gt;'','Raw Data'!G1527,IFERROR(MID(F1527,SEARCH("MODEL",F1527)+6,20),""))</f>
        <v>0</v>
      </c>
      <c r="J1527">
        <f>'Raw Data'!H1527</f>
        <v>0</v>
      </c>
      <c r="K1527">
        <f>'Raw Data'!I1527</f>
        <v>0</v>
      </c>
      <c r="L1527">
        <f>IF('Raw Data'!N1527&lt;&gt;0,'Raw Data'!N1527,IFERROR(VALUE(MID(F1527,SEARCH("QTY",F1527)+4,IFERROR(FIND(" ",F1527,SEARCH("QTY",F1527)+4)-(SEARCH("QTY",F1527)+4),3))),""))</f>
        <v>0</v>
      </c>
      <c r="M1527">
        <f>'Raw Data'!O1527</f>
        <v>0</v>
      </c>
      <c r="N1527">
        <f>'Raw Data'!P1527</f>
        <v>0</v>
      </c>
      <c r="O1527">
        <f>'Raw Data'!Q1527</f>
        <v>0</v>
      </c>
      <c r="P1527">
        <f>'Raw Data'!R1527</f>
        <v>0</v>
      </c>
      <c r="Q1527">
        <f>'Raw Data'!S1527</f>
        <v>0</v>
      </c>
      <c r="R1527">
        <f>'Raw Data'!T1527</f>
        <v>0</v>
      </c>
      <c r="S1527">
        <f>IFERROR(O1527,0)+IFERROR(R1527,0)</f>
        <v>0</v>
      </c>
      <c r="T1527">
        <f>IF(A1527="","",YEAR(A1527))</f>
        <v>0</v>
      </c>
    </row>
    <row r="1528" spans="1:20">
      <c r="A1528">
        <f>'Raw Data'!B1528</f>
        <v>0</v>
      </c>
      <c r="B1528">
        <f>'Raw Data'!A1528</f>
        <v>0</v>
      </c>
      <c r="C1528">
        <f>'Raw Data'!C1528</f>
        <v>0</v>
      </c>
      <c r="D1528">
        <f>'Raw Data'!D1528</f>
        <v>0</v>
      </c>
      <c r="E1528">
        <f>IFERROR(VLOOKUP(D1528,'Lookup Tables'!$A:$B,2,FALSE),"Unknown")</f>
        <v>0</v>
      </c>
      <c r="F1528">
        <f>'Raw Data'!E1528</f>
        <v>0</v>
      </c>
      <c r="G1528">
        <f>IFERROR(VLOOKUP(D1528,'Lookup Tables'!$A:$C,3,FALSE),IF(ISNUMBER(SEARCH("STEEL",F1528)),"Steel","Others"))</f>
        <v>0</v>
      </c>
      <c r="H1528">
        <f>IF(ISNUMBER(SEARCH("scrubber",F1528)) , "Scrubber", IF(ISNUMBER(SEARCH("container",F1528)),"Container", IF(ISNUMBER(SEARCH("basket",F1528)),"Basket", IF(ISNUMBER(SEARCH("lunch",F1528)),"Lunch Box", IF(ISNUMBER(SEARCH("cutlery",F1528)),"Cutlery","Other")))))</f>
        <v>0</v>
      </c>
      <c r="I1528">
        <f>IF('Raw Data'!G1528&lt;&gt;'','Raw Data'!G1528,IFERROR(MID(F1528,SEARCH("MODEL",F1528)+6,20),""))</f>
        <v>0</v>
      </c>
      <c r="J1528">
        <f>'Raw Data'!H1528</f>
        <v>0</v>
      </c>
      <c r="K1528">
        <f>'Raw Data'!I1528</f>
        <v>0</v>
      </c>
      <c r="L1528">
        <f>IF('Raw Data'!N1528&lt;&gt;0,'Raw Data'!N1528,IFERROR(VALUE(MID(F1528,SEARCH("QTY",F1528)+4,IFERROR(FIND(" ",F1528,SEARCH("QTY",F1528)+4)-(SEARCH("QTY",F1528)+4),3))),""))</f>
        <v>0</v>
      </c>
      <c r="M1528">
        <f>'Raw Data'!O1528</f>
        <v>0</v>
      </c>
      <c r="N1528">
        <f>'Raw Data'!P1528</f>
        <v>0</v>
      </c>
      <c r="O1528">
        <f>'Raw Data'!Q1528</f>
        <v>0</v>
      </c>
      <c r="P1528">
        <f>'Raw Data'!R1528</f>
        <v>0</v>
      </c>
      <c r="Q1528">
        <f>'Raw Data'!S1528</f>
        <v>0</v>
      </c>
      <c r="R1528">
        <f>'Raw Data'!T1528</f>
        <v>0</v>
      </c>
      <c r="S1528">
        <f>IFERROR(O1528,0)+IFERROR(R1528,0)</f>
        <v>0</v>
      </c>
      <c r="T1528">
        <f>IF(A1528="","",YEAR(A1528))</f>
        <v>0</v>
      </c>
    </row>
    <row r="1529" spans="1:20">
      <c r="A1529">
        <f>'Raw Data'!B1529</f>
        <v>0</v>
      </c>
      <c r="B1529">
        <f>'Raw Data'!A1529</f>
        <v>0</v>
      </c>
      <c r="C1529">
        <f>'Raw Data'!C1529</f>
        <v>0</v>
      </c>
      <c r="D1529">
        <f>'Raw Data'!D1529</f>
        <v>0</v>
      </c>
      <c r="E1529">
        <f>IFERROR(VLOOKUP(D1529,'Lookup Tables'!$A:$B,2,FALSE),"Unknown")</f>
        <v>0</v>
      </c>
      <c r="F1529">
        <f>'Raw Data'!E1529</f>
        <v>0</v>
      </c>
      <c r="G1529">
        <f>IFERROR(VLOOKUP(D1529,'Lookup Tables'!$A:$C,3,FALSE),IF(ISNUMBER(SEARCH("STEEL",F1529)),"Steel","Others"))</f>
        <v>0</v>
      </c>
      <c r="H1529">
        <f>IF(ISNUMBER(SEARCH("scrubber",F1529)) , "Scrubber", IF(ISNUMBER(SEARCH("container",F1529)),"Container", IF(ISNUMBER(SEARCH("basket",F1529)),"Basket", IF(ISNUMBER(SEARCH("lunch",F1529)),"Lunch Box", IF(ISNUMBER(SEARCH("cutlery",F1529)),"Cutlery","Other")))))</f>
        <v>0</v>
      </c>
      <c r="I1529">
        <f>IF('Raw Data'!G1529&lt;&gt;'','Raw Data'!G1529,IFERROR(MID(F1529,SEARCH("MODEL",F1529)+6,20),""))</f>
        <v>0</v>
      </c>
      <c r="J1529">
        <f>'Raw Data'!H1529</f>
        <v>0</v>
      </c>
      <c r="K1529">
        <f>'Raw Data'!I1529</f>
        <v>0</v>
      </c>
      <c r="L1529">
        <f>IF('Raw Data'!N1529&lt;&gt;0,'Raw Data'!N1529,IFERROR(VALUE(MID(F1529,SEARCH("QTY",F1529)+4,IFERROR(FIND(" ",F1529,SEARCH("QTY",F1529)+4)-(SEARCH("QTY",F1529)+4),3))),""))</f>
        <v>0</v>
      </c>
      <c r="M1529">
        <f>'Raw Data'!O1529</f>
        <v>0</v>
      </c>
      <c r="N1529">
        <f>'Raw Data'!P1529</f>
        <v>0</v>
      </c>
      <c r="O1529">
        <f>'Raw Data'!Q1529</f>
        <v>0</v>
      </c>
      <c r="P1529">
        <f>'Raw Data'!R1529</f>
        <v>0</v>
      </c>
      <c r="Q1529">
        <f>'Raw Data'!S1529</f>
        <v>0</v>
      </c>
      <c r="R1529">
        <f>'Raw Data'!T1529</f>
        <v>0</v>
      </c>
      <c r="S1529">
        <f>IFERROR(O1529,0)+IFERROR(R1529,0)</f>
        <v>0</v>
      </c>
      <c r="T1529">
        <f>IF(A1529="","",YEAR(A1529))</f>
        <v>0</v>
      </c>
    </row>
    <row r="1530" spans="1:20">
      <c r="A1530">
        <f>'Raw Data'!B1530</f>
        <v>0</v>
      </c>
      <c r="B1530">
        <f>'Raw Data'!A1530</f>
        <v>0</v>
      </c>
      <c r="C1530">
        <f>'Raw Data'!C1530</f>
        <v>0</v>
      </c>
      <c r="D1530">
        <f>'Raw Data'!D1530</f>
        <v>0</v>
      </c>
      <c r="E1530">
        <f>IFERROR(VLOOKUP(D1530,'Lookup Tables'!$A:$B,2,FALSE),"Unknown")</f>
        <v>0</v>
      </c>
      <c r="F1530">
        <f>'Raw Data'!E1530</f>
        <v>0</v>
      </c>
      <c r="G1530">
        <f>IFERROR(VLOOKUP(D1530,'Lookup Tables'!$A:$C,3,FALSE),IF(ISNUMBER(SEARCH("STEEL",F1530)),"Steel","Others"))</f>
        <v>0</v>
      </c>
      <c r="H1530">
        <f>IF(ISNUMBER(SEARCH("scrubber",F1530)) , "Scrubber", IF(ISNUMBER(SEARCH("container",F1530)),"Container", IF(ISNUMBER(SEARCH("basket",F1530)),"Basket", IF(ISNUMBER(SEARCH("lunch",F1530)),"Lunch Box", IF(ISNUMBER(SEARCH("cutlery",F1530)),"Cutlery","Other")))))</f>
        <v>0</v>
      </c>
      <c r="I1530">
        <f>IF('Raw Data'!G1530&lt;&gt;'','Raw Data'!G1530,IFERROR(MID(F1530,SEARCH("MODEL",F1530)+6,20),""))</f>
        <v>0</v>
      </c>
      <c r="J1530">
        <f>'Raw Data'!H1530</f>
        <v>0</v>
      </c>
      <c r="K1530">
        <f>'Raw Data'!I1530</f>
        <v>0</v>
      </c>
      <c r="L1530">
        <f>IF('Raw Data'!N1530&lt;&gt;0,'Raw Data'!N1530,IFERROR(VALUE(MID(F1530,SEARCH("QTY",F1530)+4,IFERROR(FIND(" ",F1530,SEARCH("QTY",F1530)+4)-(SEARCH("QTY",F1530)+4),3))),""))</f>
        <v>0</v>
      </c>
      <c r="M1530">
        <f>'Raw Data'!O1530</f>
        <v>0</v>
      </c>
      <c r="N1530">
        <f>'Raw Data'!P1530</f>
        <v>0</v>
      </c>
      <c r="O1530">
        <f>'Raw Data'!Q1530</f>
        <v>0</v>
      </c>
      <c r="P1530">
        <f>'Raw Data'!R1530</f>
        <v>0</v>
      </c>
      <c r="Q1530">
        <f>'Raw Data'!S1530</f>
        <v>0</v>
      </c>
      <c r="R1530">
        <f>'Raw Data'!T1530</f>
        <v>0</v>
      </c>
      <c r="S1530">
        <f>IFERROR(O1530,0)+IFERROR(R1530,0)</f>
        <v>0</v>
      </c>
      <c r="T1530">
        <f>IF(A1530="","",YEAR(A1530))</f>
        <v>0</v>
      </c>
    </row>
    <row r="1531" spans="1:20">
      <c r="A1531">
        <f>'Raw Data'!B1531</f>
        <v>0</v>
      </c>
      <c r="B1531">
        <f>'Raw Data'!A1531</f>
        <v>0</v>
      </c>
      <c r="C1531">
        <f>'Raw Data'!C1531</f>
        <v>0</v>
      </c>
      <c r="D1531">
        <f>'Raw Data'!D1531</f>
        <v>0</v>
      </c>
      <c r="E1531">
        <f>IFERROR(VLOOKUP(D1531,'Lookup Tables'!$A:$B,2,FALSE),"Unknown")</f>
        <v>0</v>
      </c>
      <c r="F1531">
        <f>'Raw Data'!E1531</f>
        <v>0</v>
      </c>
      <c r="G1531">
        <f>IFERROR(VLOOKUP(D1531,'Lookup Tables'!$A:$C,3,FALSE),IF(ISNUMBER(SEARCH("STEEL",F1531)),"Steel","Others"))</f>
        <v>0</v>
      </c>
      <c r="H1531">
        <f>IF(ISNUMBER(SEARCH("scrubber",F1531)) , "Scrubber", IF(ISNUMBER(SEARCH("container",F1531)),"Container", IF(ISNUMBER(SEARCH("basket",F1531)),"Basket", IF(ISNUMBER(SEARCH("lunch",F1531)),"Lunch Box", IF(ISNUMBER(SEARCH("cutlery",F1531)),"Cutlery","Other")))))</f>
        <v>0</v>
      </c>
      <c r="I1531">
        <f>IF('Raw Data'!G1531&lt;&gt;'','Raw Data'!G1531,IFERROR(MID(F1531,SEARCH("MODEL",F1531)+6,20),""))</f>
        <v>0</v>
      </c>
      <c r="J1531">
        <f>'Raw Data'!H1531</f>
        <v>0</v>
      </c>
      <c r="K1531">
        <f>'Raw Data'!I1531</f>
        <v>0</v>
      </c>
      <c r="L1531">
        <f>IF('Raw Data'!N1531&lt;&gt;0,'Raw Data'!N1531,IFERROR(VALUE(MID(F1531,SEARCH("QTY",F1531)+4,IFERROR(FIND(" ",F1531,SEARCH("QTY",F1531)+4)-(SEARCH("QTY",F1531)+4),3))),""))</f>
        <v>0</v>
      </c>
      <c r="M1531">
        <f>'Raw Data'!O1531</f>
        <v>0</v>
      </c>
      <c r="N1531">
        <f>'Raw Data'!P1531</f>
        <v>0</v>
      </c>
      <c r="O1531">
        <f>'Raw Data'!Q1531</f>
        <v>0</v>
      </c>
      <c r="P1531">
        <f>'Raw Data'!R1531</f>
        <v>0</v>
      </c>
      <c r="Q1531">
        <f>'Raw Data'!S1531</f>
        <v>0</v>
      </c>
      <c r="R1531">
        <f>'Raw Data'!T1531</f>
        <v>0</v>
      </c>
      <c r="S1531">
        <f>IFERROR(O1531,0)+IFERROR(R1531,0)</f>
        <v>0</v>
      </c>
      <c r="T1531">
        <f>IF(A1531="","",YEAR(A1531))</f>
        <v>0</v>
      </c>
    </row>
    <row r="1532" spans="1:20">
      <c r="A1532">
        <f>'Raw Data'!B1532</f>
        <v>0</v>
      </c>
      <c r="B1532">
        <f>'Raw Data'!A1532</f>
        <v>0</v>
      </c>
      <c r="C1532">
        <f>'Raw Data'!C1532</f>
        <v>0</v>
      </c>
      <c r="D1532">
        <f>'Raw Data'!D1532</f>
        <v>0</v>
      </c>
      <c r="E1532">
        <f>IFERROR(VLOOKUP(D1532,'Lookup Tables'!$A:$B,2,FALSE),"Unknown")</f>
        <v>0</v>
      </c>
      <c r="F1532">
        <f>'Raw Data'!E1532</f>
        <v>0</v>
      </c>
      <c r="G1532">
        <f>IFERROR(VLOOKUP(D1532,'Lookup Tables'!$A:$C,3,FALSE),IF(ISNUMBER(SEARCH("STEEL",F1532)),"Steel","Others"))</f>
        <v>0</v>
      </c>
      <c r="H1532">
        <f>IF(ISNUMBER(SEARCH("scrubber",F1532)) , "Scrubber", IF(ISNUMBER(SEARCH("container",F1532)),"Container", IF(ISNUMBER(SEARCH("basket",F1532)),"Basket", IF(ISNUMBER(SEARCH("lunch",F1532)),"Lunch Box", IF(ISNUMBER(SEARCH("cutlery",F1532)),"Cutlery","Other")))))</f>
        <v>0</v>
      </c>
      <c r="I1532">
        <f>IF('Raw Data'!G1532&lt;&gt;'','Raw Data'!G1532,IFERROR(MID(F1532,SEARCH("MODEL",F1532)+6,20),""))</f>
        <v>0</v>
      </c>
      <c r="J1532">
        <f>'Raw Data'!H1532</f>
        <v>0</v>
      </c>
      <c r="K1532">
        <f>'Raw Data'!I1532</f>
        <v>0</v>
      </c>
      <c r="L1532">
        <f>IF('Raw Data'!N1532&lt;&gt;0,'Raw Data'!N1532,IFERROR(VALUE(MID(F1532,SEARCH("QTY",F1532)+4,IFERROR(FIND(" ",F1532,SEARCH("QTY",F1532)+4)-(SEARCH("QTY",F1532)+4),3))),""))</f>
        <v>0</v>
      </c>
      <c r="M1532">
        <f>'Raw Data'!O1532</f>
        <v>0</v>
      </c>
      <c r="N1532">
        <f>'Raw Data'!P1532</f>
        <v>0</v>
      </c>
      <c r="O1532">
        <f>'Raw Data'!Q1532</f>
        <v>0</v>
      </c>
      <c r="P1532">
        <f>'Raw Data'!R1532</f>
        <v>0</v>
      </c>
      <c r="Q1532">
        <f>'Raw Data'!S1532</f>
        <v>0</v>
      </c>
      <c r="R1532">
        <f>'Raw Data'!T1532</f>
        <v>0</v>
      </c>
      <c r="S1532">
        <f>IFERROR(O1532,0)+IFERROR(R1532,0)</f>
        <v>0</v>
      </c>
      <c r="T1532">
        <f>IF(A1532="","",YEAR(A1532))</f>
        <v>0</v>
      </c>
    </row>
    <row r="1533" spans="1:20">
      <c r="A1533">
        <f>'Raw Data'!B1533</f>
        <v>0</v>
      </c>
      <c r="B1533">
        <f>'Raw Data'!A1533</f>
        <v>0</v>
      </c>
      <c r="C1533">
        <f>'Raw Data'!C1533</f>
        <v>0</v>
      </c>
      <c r="D1533">
        <f>'Raw Data'!D1533</f>
        <v>0</v>
      </c>
      <c r="E1533">
        <f>IFERROR(VLOOKUP(D1533,'Lookup Tables'!$A:$B,2,FALSE),"Unknown")</f>
        <v>0</v>
      </c>
      <c r="F1533">
        <f>'Raw Data'!E1533</f>
        <v>0</v>
      </c>
      <c r="G1533">
        <f>IFERROR(VLOOKUP(D1533,'Lookup Tables'!$A:$C,3,FALSE),IF(ISNUMBER(SEARCH("STEEL",F1533)),"Steel","Others"))</f>
        <v>0</v>
      </c>
      <c r="H1533">
        <f>IF(ISNUMBER(SEARCH("scrubber",F1533)) , "Scrubber", IF(ISNUMBER(SEARCH("container",F1533)),"Container", IF(ISNUMBER(SEARCH("basket",F1533)),"Basket", IF(ISNUMBER(SEARCH("lunch",F1533)),"Lunch Box", IF(ISNUMBER(SEARCH("cutlery",F1533)),"Cutlery","Other")))))</f>
        <v>0</v>
      </c>
      <c r="I1533">
        <f>IF('Raw Data'!G1533&lt;&gt;'','Raw Data'!G1533,IFERROR(MID(F1533,SEARCH("MODEL",F1533)+6,20),""))</f>
        <v>0</v>
      </c>
      <c r="J1533">
        <f>'Raw Data'!H1533</f>
        <v>0</v>
      </c>
      <c r="K1533">
        <f>'Raw Data'!I1533</f>
        <v>0</v>
      </c>
      <c r="L1533">
        <f>IF('Raw Data'!N1533&lt;&gt;0,'Raw Data'!N1533,IFERROR(VALUE(MID(F1533,SEARCH("QTY",F1533)+4,IFERROR(FIND(" ",F1533,SEARCH("QTY",F1533)+4)-(SEARCH("QTY",F1533)+4),3))),""))</f>
        <v>0</v>
      </c>
      <c r="M1533">
        <f>'Raw Data'!O1533</f>
        <v>0</v>
      </c>
      <c r="N1533">
        <f>'Raw Data'!P1533</f>
        <v>0</v>
      </c>
      <c r="O1533">
        <f>'Raw Data'!Q1533</f>
        <v>0</v>
      </c>
      <c r="P1533">
        <f>'Raw Data'!R1533</f>
        <v>0</v>
      </c>
      <c r="Q1533">
        <f>'Raw Data'!S1533</f>
        <v>0</v>
      </c>
      <c r="R1533">
        <f>'Raw Data'!T1533</f>
        <v>0</v>
      </c>
      <c r="S1533">
        <f>IFERROR(O1533,0)+IFERROR(R1533,0)</f>
        <v>0</v>
      </c>
      <c r="T1533">
        <f>IF(A1533="","",YEAR(A1533))</f>
        <v>0</v>
      </c>
    </row>
    <row r="1534" spans="1:20">
      <c r="A1534">
        <f>'Raw Data'!B1534</f>
        <v>0</v>
      </c>
      <c r="B1534">
        <f>'Raw Data'!A1534</f>
        <v>0</v>
      </c>
      <c r="C1534">
        <f>'Raw Data'!C1534</f>
        <v>0</v>
      </c>
      <c r="D1534">
        <f>'Raw Data'!D1534</f>
        <v>0</v>
      </c>
      <c r="E1534">
        <f>IFERROR(VLOOKUP(D1534,'Lookup Tables'!$A:$B,2,FALSE),"Unknown")</f>
        <v>0</v>
      </c>
      <c r="F1534">
        <f>'Raw Data'!E1534</f>
        <v>0</v>
      </c>
      <c r="G1534">
        <f>IFERROR(VLOOKUP(D1534,'Lookup Tables'!$A:$C,3,FALSE),IF(ISNUMBER(SEARCH("STEEL",F1534)),"Steel","Others"))</f>
        <v>0</v>
      </c>
      <c r="H1534">
        <f>IF(ISNUMBER(SEARCH("scrubber",F1534)) , "Scrubber", IF(ISNUMBER(SEARCH("container",F1534)),"Container", IF(ISNUMBER(SEARCH("basket",F1534)),"Basket", IF(ISNUMBER(SEARCH("lunch",F1534)),"Lunch Box", IF(ISNUMBER(SEARCH("cutlery",F1534)),"Cutlery","Other")))))</f>
        <v>0</v>
      </c>
      <c r="I1534">
        <f>IF('Raw Data'!G1534&lt;&gt;'','Raw Data'!G1534,IFERROR(MID(F1534,SEARCH("MODEL",F1534)+6,20),""))</f>
        <v>0</v>
      </c>
      <c r="J1534">
        <f>'Raw Data'!H1534</f>
        <v>0</v>
      </c>
      <c r="K1534">
        <f>'Raw Data'!I1534</f>
        <v>0</v>
      </c>
      <c r="L1534">
        <f>IF('Raw Data'!N1534&lt;&gt;0,'Raw Data'!N1534,IFERROR(VALUE(MID(F1534,SEARCH("QTY",F1534)+4,IFERROR(FIND(" ",F1534,SEARCH("QTY",F1534)+4)-(SEARCH("QTY",F1534)+4),3))),""))</f>
        <v>0</v>
      </c>
      <c r="M1534">
        <f>'Raw Data'!O1534</f>
        <v>0</v>
      </c>
      <c r="N1534">
        <f>'Raw Data'!P1534</f>
        <v>0</v>
      </c>
      <c r="O1534">
        <f>'Raw Data'!Q1534</f>
        <v>0</v>
      </c>
      <c r="P1534">
        <f>'Raw Data'!R1534</f>
        <v>0</v>
      </c>
      <c r="Q1534">
        <f>'Raw Data'!S1534</f>
        <v>0</v>
      </c>
      <c r="R1534">
        <f>'Raw Data'!T1534</f>
        <v>0</v>
      </c>
      <c r="S1534">
        <f>IFERROR(O1534,0)+IFERROR(R1534,0)</f>
        <v>0</v>
      </c>
      <c r="T1534">
        <f>IF(A1534="","",YEAR(A1534))</f>
        <v>0</v>
      </c>
    </row>
    <row r="1535" spans="1:20">
      <c r="A1535">
        <f>'Raw Data'!B1535</f>
        <v>0</v>
      </c>
      <c r="B1535">
        <f>'Raw Data'!A1535</f>
        <v>0</v>
      </c>
      <c r="C1535">
        <f>'Raw Data'!C1535</f>
        <v>0</v>
      </c>
      <c r="D1535">
        <f>'Raw Data'!D1535</f>
        <v>0</v>
      </c>
      <c r="E1535">
        <f>IFERROR(VLOOKUP(D1535,'Lookup Tables'!$A:$B,2,FALSE),"Unknown")</f>
        <v>0</v>
      </c>
      <c r="F1535">
        <f>'Raw Data'!E1535</f>
        <v>0</v>
      </c>
      <c r="G1535">
        <f>IFERROR(VLOOKUP(D1535,'Lookup Tables'!$A:$C,3,FALSE),IF(ISNUMBER(SEARCH("STEEL",F1535)),"Steel","Others"))</f>
        <v>0</v>
      </c>
      <c r="H1535">
        <f>IF(ISNUMBER(SEARCH("scrubber",F1535)) , "Scrubber", IF(ISNUMBER(SEARCH("container",F1535)),"Container", IF(ISNUMBER(SEARCH("basket",F1535)),"Basket", IF(ISNUMBER(SEARCH("lunch",F1535)),"Lunch Box", IF(ISNUMBER(SEARCH("cutlery",F1535)),"Cutlery","Other")))))</f>
        <v>0</v>
      </c>
      <c r="I1535">
        <f>IF('Raw Data'!G1535&lt;&gt;'','Raw Data'!G1535,IFERROR(MID(F1535,SEARCH("MODEL",F1535)+6,20),""))</f>
        <v>0</v>
      </c>
      <c r="J1535">
        <f>'Raw Data'!H1535</f>
        <v>0</v>
      </c>
      <c r="K1535">
        <f>'Raw Data'!I1535</f>
        <v>0</v>
      </c>
      <c r="L1535">
        <f>IF('Raw Data'!N1535&lt;&gt;0,'Raw Data'!N1535,IFERROR(VALUE(MID(F1535,SEARCH("QTY",F1535)+4,IFERROR(FIND(" ",F1535,SEARCH("QTY",F1535)+4)-(SEARCH("QTY",F1535)+4),3))),""))</f>
        <v>0</v>
      </c>
      <c r="M1535">
        <f>'Raw Data'!O1535</f>
        <v>0</v>
      </c>
      <c r="N1535">
        <f>'Raw Data'!P1535</f>
        <v>0</v>
      </c>
      <c r="O1535">
        <f>'Raw Data'!Q1535</f>
        <v>0</v>
      </c>
      <c r="P1535">
        <f>'Raw Data'!R1535</f>
        <v>0</v>
      </c>
      <c r="Q1535">
        <f>'Raw Data'!S1535</f>
        <v>0</v>
      </c>
      <c r="R1535">
        <f>'Raw Data'!T1535</f>
        <v>0</v>
      </c>
      <c r="S1535">
        <f>IFERROR(O1535,0)+IFERROR(R1535,0)</f>
        <v>0</v>
      </c>
      <c r="T1535">
        <f>IF(A1535="","",YEAR(A1535))</f>
        <v>0</v>
      </c>
    </row>
    <row r="1536" spans="1:20">
      <c r="A1536">
        <f>'Raw Data'!B1536</f>
        <v>0</v>
      </c>
      <c r="B1536">
        <f>'Raw Data'!A1536</f>
        <v>0</v>
      </c>
      <c r="C1536">
        <f>'Raw Data'!C1536</f>
        <v>0</v>
      </c>
      <c r="D1536">
        <f>'Raw Data'!D1536</f>
        <v>0</v>
      </c>
      <c r="E1536">
        <f>IFERROR(VLOOKUP(D1536,'Lookup Tables'!$A:$B,2,FALSE),"Unknown")</f>
        <v>0</v>
      </c>
      <c r="F1536">
        <f>'Raw Data'!E1536</f>
        <v>0</v>
      </c>
      <c r="G1536">
        <f>IFERROR(VLOOKUP(D1536,'Lookup Tables'!$A:$C,3,FALSE),IF(ISNUMBER(SEARCH("STEEL",F1536)),"Steel","Others"))</f>
        <v>0</v>
      </c>
      <c r="H1536">
        <f>IF(ISNUMBER(SEARCH("scrubber",F1536)) , "Scrubber", IF(ISNUMBER(SEARCH("container",F1536)),"Container", IF(ISNUMBER(SEARCH("basket",F1536)),"Basket", IF(ISNUMBER(SEARCH("lunch",F1536)),"Lunch Box", IF(ISNUMBER(SEARCH("cutlery",F1536)),"Cutlery","Other")))))</f>
        <v>0</v>
      </c>
      <c r="I1536">
        <f>IF('Raw Data'!G1536&lt;&gt;'','Raw Data'!G1536,IFERROR(MID(F1536,SEARCH("MODEL",F1536)+6,20),""))</f>
        <v>0</v>
      </c>
      <c r="J1536">
        <f>'Raw Data'!H1536</f>
        <v>0</v>
      </c>
      <c r="K1536">
        <f>'Raw Data'!I1536</f>
        <v>0</v>
      </c>
      <c r="L1536">
        <f>IF('Raw Data'!N1536&lt;&gt;0,'Raw Data'!N1536,IFERROR(VALUE(MID(F1536,SEARCH("QTY",F1536)+4,IFERROR(FIND(" ",F1536,SEARCH("QTY",F1536)+4)-(SEARCH("QTY",F1536)+4),3))),""))</f>
        <v>0</v>
      </c>
      <c r="M1536">
        <f>'Raw Data'!O1536</f>
        <v>0</v>
      </c>
      <c r="N1536">
        <f>'Raw Data'!P1536</f>
        <v>0</v>
      </c>
      <c r="O1536">
        <f>'Raw Data'!Q1536</f>
        <v>0</v>
      </c>
      <c r="P1536">
        <f>'Raw Data'!R1536</f>
        <v>0</v>
      </c>
      <c r="Q1536">
        <f>'Raw Data'!S1536</f>
        <v>0</v>
      </c>
      <c r="R1536">
        <f>'Raw Data'!T1536</f>
        <v>0</v>
      </c>
      <c r="S1536">
        <f>IFERROR(O1536,0)+IFERROR(R1536,0)</f>
        <v>0</v>
      </c>
      <c r="T1536">
        <f>IF(A1536="","",YEAR(A1536))</f>
        <v>0</v>
      </c>
    </row>
    <row r="1537" spans="1:20">
      <c r="A1537">
        <f>'Raw Data'!B1537</f>
        <v>0</v>
      </c>
      <c r="B1537">
        <f>'Raw Data'!A1537</f>
        <v>0</v>
      </c>
      <c r="C1537">
        <f>'Raw Data'!C1537</f>
        <v>0</v>
      </c>
      <c r="D1537">
        <f>'Raw Data'!D1537</f>
        <v>0</v>
      </c>
      <c r="E1537">
        <f>IFERROR(VLOOKUP(D1537,'Lookup Tables'!$A:$B,2,FALSE),"Unknown")</f>
        <v>0</v>
      </c>
      <c r="F1537">
        <f>'Raw Data'!E1537</f>
        <v>0</v>
      </c>
      <c r="G1537">
        <f>IFERROR(VLOOKUP(D1537,'Lookup Tables'!$A:$C,3,FALSE),IF(ISNUMBER(SEARCH("STEEL",F1537)),"Steel","Others"))</f>
        <v>0</v>
      </c>
      <c r="H1537">
        <f>IF(ISNUMBER(SEARCH("scrubber",F1537)) , "Scrubber", IF(ISNUMBER(SEARCH("container",F1537)),"Container", IF(ISNUMBER(SEARCH("basket",F1537)),"Basket", IF(ISNUMBER(SEARCH("lunch",F1537)),"Lunch Box", IF(ISNUMBER(SEARCH("cutlery",F1537)),"Cutlery","Other")))))</f>
        <v>0</v>
      </c>
      <c r="I1537">
        <f>IF('Raw Data'!G1537&lt;&gt;'','Raw Data'!G1537,IFERROR(MID(F1537,SEARCH("MODEL",F1537)+6,20),""))</f>
        <v>0</v>
      </c>
      <c r="J1537">
        <f>'Raw Data'!H1537</f>
        <v>0</v>
      </c>
      <c r="K1537">
        <f>'Raw Data'!I1537</f>
        <v>0</v>
      </c>
      <c r="L1537">
        <f>IF('Raw Data'!N1537&lt;&gt;0,'Raw Data'!N1537,IFERROR(VALUE(MID(F1537,SEARCH("QTY",F1537)+4,IFERROR(FIND(" ",F1537,SEARCH("QTY",F1537)+4)-(SEARCH("QTY",F1537)+4),3))),""))</f>
        <v>0</v>
      </c>
      <c r="M1537">
        <f>'Raw Data'!O1537</f>
        <v>0</v>
      </c>
      <c r="N1537">
        <f>'Raw Data'!P1537</f>
        <v>0</v>
      </c>
      <c r="O1537">
        <f>'Raw Data'!Q1537</f>
        <v>0</v>
      </c>
      <c r="P1537">
        <f>'Raw Data'!R1537</f>
        <v>0</v>
      </c>
      <c r="Q1537">
        <f>'Raw Data'!S1537</f>
        <v>0</v>
      </c>
      <c r="R1537">
        <f>'Raw Data'!T1537</f>
        <v>0</v>
      </c>
      <c r="S1537">
        <f>IFERROR(O1537,0)+IFERROR(R1537,0)</f>
        <v>0</v>
      </c>
      <c r="T1537">
        <f>IF(A1537="","",YEAR(A1537))</f>
        <v>0</v>
      </c>
    </row>
    <row r="1538" spans="1:20">
      <c r="A1538">
        <f>'Raw Data'!B1538</f>
        <v>0</v>
      </c>
      <c r="B1538">
        <f>'Raw Data'!A1538</f>
        <v>0</v>
      </c>
      <c r="C1538">
        <f>'Raw Data'!C1538</f>
        <v>0</v>
      </c>
      <c r="D1538">
        <f>'Raw Data'!D1538</f>
        <v>0</v>
      </c>
      <c r="E1538">
        <f>IFERROR(VLOOKUP(D1538,'Lookup Tables'!$A:$B,2,FALSE),"Unknown")</f>
        <v>0</v>
      </c>
      <c r="F1538">
        <f>'Raw Data'!E1538</f>
        <v>0</v>
      </c>
      <c r="G1538">
        <f>IFERROR(VLOOKUP(D1538,'Lookup Tables'!$A:$C,3,FALSE),IF(ISNUMBER(SEARCH("STEEL",F1538)),"Steel","Others"))</f>
        <v>0</v>
      </c>
      <c r="H1538">
        <f>IF(ISNUMBER(SEARCH("scrubber",F1538)) , "Scrubber", IF(ISNUMBER(SEARCH("container",F1538)),"Container", IF(ISNUMBER(SEARCH("basket",F1538)),"Basket", IF(ISNUMBER(SEARCH("lunch",F1538)),"Lunch Box", IF(ISNUMBER(SEARCH("cutlery",F1538)),"Cutlery","Other")))))</f>
        <v>0</v>
      </c>
      <c r="I1538">
        <f>IF('Raw Data'!G1538&lt;&gt;'','Raw Data'!G1538,IFERROR(MID(F1538,SEARCH("MODEL",F1538)+6,20),""))</f>
        <v>0</v>
      </c>
      <c r="J1538">
        <f>'Raw Data'!H1538</f>
        <v>0</v>
      </c>
      <c r="K1538">
        <f>'Raw Data'!I1538</f>
        <v>0</v>
      </c>
      <c r="L1538">
        <f>IF('Raw Data'!N1538&lt;&gt;0,'Raw Data'!N1538,IFERROR(VALUE(MID(F1538,SEARCH("QTY",F1538)+4,IFERROR(FIND(" ",F1538,SEARCH("QTY",F1538)+4)-(SEARCH("QTY",F1538)+4),3))),""))</f>
        <v>0</v>
      </c>
      <c r="M1538">
        <f>'Raw Data'!O1538</f>
        <v>0</v>
      </c>
      <c r="N1538">
        <f>'Raw Data'!P1538</f>
        <v>0</v>
      </c>
      <c r="O1538">
        <f>'Raw Data'!Q1538</f>
        <v>0</v>
      </c>
      <c r="P1538">
        <f>'Raw Data'!R1538</f>
        <v>0</v>
      </c>
      <c r="Q1538">
        <f>'Raw Data'!S1538</f>
        <v>0</v>
      </c>
      <c r="R1538">
        <f>'Raw Data'!T1538</f>
        <v>0</v>
      </c>
      <c r="S1538">
        <f>IFERROR(O1538,0)+IFERROR(R1538,0)</f>
        <v>0</v>
      </c>
      <c r="T1538">
        <f>IF(A1538="","",YEAR(A1538))</f>
        <v>0</v>
      </c>
    </row>
    <row r="1539" spans="1:20">
      <c r="A1539">
        <f>'Raw Data'!B1539</f>
        <v>0</v>
      </c>
      <c r="B1539">
        <f>'Raw Data'!A1539</f>
        <v>0</v>
      </c>
      <c r="C1539">
        <f>'Raw Data'!C1539</f>
        <v>0</v>
      </c>
      <c r="D1539">
        <f>'Raw Data'!D1539</f>
        <v>0</v>
      </c>
      <c r="E1539">
        <f>IFERROR(VLOOKUP(D1539,'Lookup Tables'!$A:$B,2,FALSE),"Unknown")</f>
        <v>0</v>
      </c>
      <c r="F1539">
        <f>'Raw Data'!E1539</f>
        <v>0</v>
      </c>
      <c r="G1539">
        <f>IFERROR(VLOOKUP(D1539,'Lookup Tables'!$A:$C,3,FALSE),IF(ISNUMBER(SEARCH("STEEL",F1539)),"Steel","Others"))</f>
        <v>0</v>
      </c>
      <c r="H1539">
        <f>IF(ISNUMBER(SEARCH("scrubber",F1539)) , "Scrubber", IF(ISNUMBER(SEARCH("container",F1539)),"Container", IF(ISNUMBER(SEARCH("basket",F1539)),"Basket", IF(ISNUMBER(SEARCH("lunch",F1539)),"Lunch Box", IF(ISNUMBER(SEARCH("cutlery",F1539)),"Cutlery","Other")))))</f>
        <v>0</v>
      </c>
      <c r="I1539">
        <f>IF('Raw Data'!G1539&lt;&gt;'','Raw Data'!G1539,IFERROR(MID(F1539,SEARCH("MODEL",F1539)+6,20),""))</f>
        <v>0</v>
      </c>
      <c r="J1539">
        <f>'Raw Data'!H1539</f>
        <v>0</v>
      </c>
      <c r="K1539">
        <f>'Raw Data'!I1539</f>
        <v>0</v>
      </c>
      <c r="L1539">
        <f>IF('Raw Data'!N1539&lt;&gt;0,'Raw Data'!N1539,IFERROR(VALUE(MID(F1539,SEARCH("QTY",F1539)+4,IFERROR(FIND(" ",F1539,SEARCH("QTY",F1539)+4)-(SEARCH("QTY",F1539)+4),3))),""))</f>
        <v>0</v>
      </c>
      <c r="M1539">
        <f>'Raw Data'!O1539</f>
        <v>0</v>
      </c>
      <c r="N1539">
        <f>'Raw Data'!P1539</f>
        <v>0</v>
      </c>
      <c r="O1539">
        <f>'Raw Data'!Q1539</f>
        <v>0</v>
      </c>
      <c r="P1539">
        <f>'Raw Data'!R1539</f>
        <v>0</v>
      </c>
      <c r="Q1539">
        <f>'Raw Data'!S1539</f>
        <v>0</v>
      </c>
      <c r="R1539">
        <f>'Raw Data'!T1539</f>
        <v>0</v>
      </c>
      <c r="S1539">
        <f>IFERROR(O1539,0)+IFERROR(R1539,0)</f>
        <v>0</v>
      </c>
      <c r="T1539">
        <f>IF(A1539="","",YEAR(A1539))</f>
        <v>0</v>
      </c>
    </row>
    <row r="1540" spans="1:20">
      <c r="A1540">
        <f>'Raw Data'!B1540</f>
        <v>0</v>
      </c>
      <c r="B1540">
        <f>'Raw Data'!A1540</f>
        <v>0</v>
      </c>
      <c r="C1540">
        <f>'Raw Data'!C1540</f>
        <v>0</v>
      </c>
      <c r="D1540">
        <f>'Raw Data'!D1540</f>
        <v>0</v>
      </c>
      <c r="E1540">
        <f>IFERROR(VLOOKUP(D1540,'Lookup Tables'!$A:$B,2,FALSE),"Unknown")</f>
        <v>0</v>
      </c>
      <c r="F1540">
        <f>'Raw Data'!E1540</f>
        <v>0</v>
      </c>
      <c r="G1540">
        <f>IFERROR(VLOOKUP(D1540,'Lookup Tables'!$A:$C,3,FALSE),IF(ISNUMBER(SEARCH("STEEL",F1540)),"Steel","Others"))</f>
        <v>0</v>
      </c>
      <c r="H1540">
        <f>IF(ISNUMBER(SEARCH("scrubber",F1540)) , "Scrubber", IF(ISNUMBER(SEARCH("container",F1540)),"Container", IF(ISNUMBER(SEARCH("basket",F1540)),"Basket", IF(ISNUMBER(SEARCH("lunch",F1540)),"Lunch Box", IF(ISNUMBER(SEARCH("cutlery",F1540)),"Cutlery","Other")))))</f>
        <v>0</v>
      </c>
      <c r="I1540">
        <f>IF('Raw Data'!G1540&lt;&gt;'','Raw Data'!G1540,IFERROR(MID(F1540,SEARCH("MODEL",F1540)+6,20),""))</f>
        <v>0</v>
      </c>
      <c r="J1540">
        <f>'Raw Data'!H1540</f>
        <v>0</v>
      </c>
      <c r="K1540">
        <f>'Raw Data'!I1540</f>
        <v>0</v>
      </c>
      <c r="L1540">
        <f>IF('Raw Data'!N1540&lt;&gt;0,'Raw Data'!N1540,IFERROR(VALUE(MID(F1540,SEARCH("QTY",F1540)+4,IFERROR(FIND(" ",F1540,SEARCH("QTY",F1540)+4)-(SEARCH("QTY",F1540)+4),3))),""))</f>
        <v>0</v>
      </c>
      <c r="M1540">
        <f>'Raw Data'!O1540</f>
        <v>0</v>
      </c>
      <c r="N1540">
        <f>'Raw Data'!P1540</f>
        <v>0</v>
      </c>
      <c r="O1540">
        <f>'Raw Data'!Q1540</f>
        <v>0</v>
      </c>
      <c r="P1540">
        <f>'Raw Data'!R1540</f>
        <v>0</v>
      </c>
      <c r="Q1540">
        <f>'Raw Data'!S1540</f>
        <v>0</v>
      </c>
      <c r="R1540">
        <f>'Raw Data'!T1540</f>
        <v>0</v>
      </c>
      <c r="S1540">
        <f>IFERROR(O1540,0)+IFERROR(R1540,0)</f>
        <v>0</v>
      </c>
      <c r="T1540">
        <f>IF(A1540="","",YEAR(A1540))</f>
        <v>0</v>
      </c>
    </row>
    <row r="1541" spans="1:20">
      <c r="A1541">
        <f>'Raw Data'!B1541</f>
        <v>0</v>
      </c>
      <c r="B1541">
        <f>'Raw Data'!A1541</f>
        <v>0</v>
      </c>
      <c r="C1541">
        <f>'Raw Data'!C1541</f>
        <v>0</v>
      </c>
      <c r="D1541">
        <f>'Raw Data'!D1541</f>
        <v>0</v>
      </c>
      <c r="E1541">
        <f>IFERROR(VLOOKUP(D1541,'Lookup Tables'!$A:$B,2,FALSE),"Unknown")</f>
        <v>0</v>
      </c>
      <c r="F1541">
        <f>'Raw Data'!E1541</f>
        <v>0</v>
      </c>
      <c r="G1541">
        <f>IFERROR(VLOOKUP(D1541,'Lookup Tables'!$A:$C,3,FALSE),IF(ISNUMBER(SEARCH("STEEL",F1541)),"Steel","Others"))</f>
        <v>0</v>
      </c>
      <c r="H1541">
        <f>IF(ISNUMBER(SEARCH("scrubber",F1541)) , "Scrubber", IF(ISNUMBER(SEARCH("container",F1541)),"Container", IF(ISNUMBER(SEARCH("basket",F1541)),"Basket", IF(ISNUMBER(SEARCH("lunch",F1541)),"Lunch Box", IF(ISNUMBER(SEARCH("cutlery",F1541)),"Cutlery","Other")))))</f>
        <v>0</v>
      </c>
      <c r="I1541">
        <f>IF('Raw Data'!G1541&lt;&gt;'','Raw Data'!G1541,IFERROR(MID(F1541,SEARCH("MODEL",F1541)+6,20),""))</f>
        <v>0</v>
      </c>
      <c r="J1541">
        <f>'Raw Data'!H1541</f>
        <v>0</v>
      </c>
      <c r="K1541">
        <f>'Raw Data'!I1541</f>
        <v>0</v>
      </c>
      <c r="L1541">
        <f>IF('Raw Data'!N1541&lt;&gt;0,'Raw Data'!N1541,IFERROR(VALUE(MID(F1541,SEARCH("QTY",F1541)+4,IFERROR(FIND(" ",F1541,SEARCH("QTY",F1541)+4)-(SEARCH("QTY",F1541)+4),3))),""))</f>
        <v>0</v>
      </c>
      <c r="M1541">
        <f>'Raw Data'!O1541</f>
        <v>0</v>
      </c>
      <c r="N1541">
        <f>'Raw Data'!P1541</f>
        <v>0</v>
      </c>
      <c r="O1541">
        <f>'Raw Data'!Q1541</f>
        <v>0</v>
      </c>
      <c r="P1541">
        <f>'Raw Data'!R1541</f>
        <v>0</v>
      </c>
      <c r="Q1541">
        <f>'Raw Data'!S1541</f>
        <v>0</v>
      </c>
      <c r="R1541">
        <f>'Raw Data'!T1541</f>
        <v>0</v>
      </c>
      <c r="S1541">
        <f>IFERROR(O1541,0)+IFERROR(R1541,0)</f>
        <v>0</v>
      </c>
      <c r="T1541">
        <f>IF(A1541="","",YEAR(A1541))</f>
        <v>0</v>
      </c>
    </row>
    <row r="1542" spans="1:20">
      <c r="A1542">
        <f>'Raw Data'!B1542</f>
        <v>0</v>
      </c>
      <c r="B1542">
        <f>'Raw Data'!A1542</f>
        <v>0</v>
      </c>
      <c r="C1542">
        <f>'Raw Data'!C1542</f>
        <v>0</v>
      </c>
      <c r="D1542">
        <f>'Raw Data'!D1542</f>
        <v>0</v>
      </c>
      <c r="E1542">
        <f>IFERROR(VLOOKUP(D1542,'Lookup Tables'!$A:$B,2,FALSE),"Unknown")</f>
        <v>0</v>
      </c>
      <c r="F1542">
        <f>'Raw Data'!E1542</f>
        <v>0</v>
      </c>
      <c r="G1542">
        <f>IFERROR(VLOOKUP(D1542,'Lookup Tables'!$A:$C,3,FALSE),IF(ISNUMBER(SEARCH("STEEL",F1542)),"Steel","Others"))</f>
        <v>0</v>
      </c>
      <c r="H1542">
        <f>IF(ISNUMBER(SEARCH("scrubber",F1542)) , "Scrubber", IF(ISNUMBER(SEARCH("container",F1542)),"Container", IF(ISNUMBER(SEARCH("basket",F1542)),"Basket", IF(ISNUMBER(SEARCH("lunch",F1542)),"Lunch Box", IF(ISNUMBER(SEARCH("cutlery",F1542)),"Cutlery","Other")))))</f>
        <v>0</v>
      </c>
      <c r="I1542">
        <f>IF('Raw Data'!G1542&lt;&gt;'','Raw Data'!G1542,IFERROR(MID(F1542,SEARCH("MODEL",F1542)+6,20),""))</f>
        <v>0</v>
      </c>
      <c r="J1542">
        <f>'Raw Data'!H1542</f>
        <v>0</v>
      </c>
      <c r="K1542">
        <f>'Raw Data'!I1542</f>
        <v>0</v>
      </c>
      <c r="L1542">
        <f>IF('Raw Data'!N1542&lt;&gt;0,'Raw Data'!N1542,IFERROR(VALUE(MID(F1542,SEARCH("QTY",F1542)+4,IFERROR(FIND(" ",F1542,SEARCH("QTY",F1542)+4)-(SEARCH("QTY",F1542)+4),3))),""))</f>
        <v>0</v>
      </c>
      <c r="M1542">
        <f>'Raw Data'!O1542</f>
        <v>0</v>
      </c>
      <c r="N1542">
        <f>'Raw Data'!P1542</f>
        <v>0</v>
      </c>
      <c r="O1542">
        <f>'Raw Data'!Q1542</f>
        <v>0</v>
      </c>
      <c r="P1542">
        <f>'Raw Data'!R1542</f>
        <v>0</v>
      </c>
      <c r="Q1542">
        <f>'Raw Data'!S1542</f>
        <v>0</v>
      </c>
      <c r="R1542">
        <f>'Raw Data'!T1542</f>
        <v>0</v>
      </c>
      <c r="S1542">
        <f>IFERROR(O1542,0)+IFERROR(R1542,0)</f>
        <v>0</v>
      </c>
      <c r="T1542">
        <f>IF(A1542="","",YEAR(A1542))</f>
        <v>0</v>
      </c>
    </row>
    <row r="1543" spans="1:20">
      <c r="A1543">
        <f>'Raw Data'!B1543</f>
        <v>0</v>
      </c>
      <c r="B1543">
        <f>'Raw Data'!A1543</f>
        <v>0</v>
      </c>
      <c r="C1543">
        <f>'Raw Data'!C1543</f>
        <v>0</v>
      </c>
      <c r="D1543">
        <f>'Raw Data'!D1543</f>
        <v>0</v>
      </c>
      <c r="E1543">
        <f>IFERROR(VLOOKUP(D1543,'Lookup Tables'!$A:$B,2,FALSE),"Unknown")</f>
        <v>0</v>
      </c>
      <c r="F1543">
        <f>'Raw Data'!E1543</f>
        <v>0</v>
      </c>
      <c r="G1543">
        <f>IFERROR(VLOOKUP(D1543,'Lookup Tables'!$A:$C,3,FALSE),IF(ISNUMBER(SEARCH("STEEL",F1543)),"Steel","Others"))</f>
        <v>0</v>
      </c>
      <c r="H1543">
        <f>IF(ISNUMBER(SEARCH("scrubber",F1543)) , "Scrubber", IF(ISNUMBER(SEARCH("container",F1543)),"Container", IF(ISNUMBER(SEARCH("basket",F1543)),"Basket", IF(ISNUMBER(SEARCH("lunch",F1543)),"Lunch Box", IF(ISNUMBER(SEARCH("cutlery",F1543)),"Cutlery","Other")))))</f>
        <v>0</v>
      </c>
      <c r="I1543">
        <f>IF('Raw Data'!G1543&lt;&gt;'','Raw Data'!G1543,IFERROR(MID(F1543,SEARCH("MODEL",F1543)+6,20),""))</f>
        <v>0</v>
      </c>
      <c r="J1543">
        <f>'Raw Data'!H1543</f>
        <v>0</v>
      </c>
      <c r="K1543">
        <f>'Raw Data'!I1543</f>
        <v>0</v>
      </c>
      <c r="L1543">
        <f>IF('Raw Data'!N1543&lt;&gt;0,'Raw Data'!N1543,IFERROR(VALUE(MID(F1543,SEARCH("QTY",F1543)+4,IFERROR(FIND(" ",F1543,SEARCH("QTY",F1543)+4)-(SEARCH("QTY",F1543)+4),3))),""))</f>
        <v>0</v>
      </c>
      <c r="M1543">
        <f>'Raw Data'!O1543</f>
        <v>0</v>
      </c>
      <c r="N1543">
        <f>'Raw Data'!P1543</f>
        <v>0</v>
      </c>
      <c r="O1543">
        <f>'Raw Data'!Q1543</f>
        <v>0</v>
      </c>
      <c r="P1543">
        <f>'Raw Data'!R1543</f>
        <v>0</v>
      </c>
      <c r="Q1543">
        <f>'Raw Data'!S1543</f>
        <v>0</v>
      </c>
      <c r="R1543">
        <f>'Raw Data'!T1543</f>
        <v>0</v>
      </c>
      <c r="S1543">
        <f>IFERROR(O1543,0)+IFERROR(R1543,0)</f>
        <v>0</v>
      </c>
      <c r="T1543">
        <f>IF(A1543="","",YEAR(A1543))</f>
        <v>0</v>
      </c>
    </row>
    <row r="1544" spans="1:20">
      <c r="A1544">
        <f>'Raw Data'!B1544</f>
        <v>0</v>
      </c>
      <c r="B1544">
        <f>'Raw Data'!A1544</f>
        <v>0</v>
      </c>
      <c r="C1544">
        <f>'Raw Data'!C1544</f>
        <v>0</v>
      </c>
      <c r="D1544">
        <f>'Raw Data'!D1544</f>
        <v>0</v>
      </c>
      <c r="E1544">
        <f>IFERROR(VLOOKUP(D1544,'Lookup Tables'!$A:$B,2,FALSE),"Unknown")</f>
        <v>0</v>
      </c>
      <c r="F1544">
        <f>'Raw Data'!E1544</f>
        <v>0</v>
      </c>
      <c r="G1544">
        <f>IFERROR(VLOOKUP(D1544,'Lookup Tables'!$A:$C,3,FALSE),IF(ISNUMBER(SEARCH("STEEL",F1544)),"Steel","Others"))</f>
        <v>0</v>
      </c>
      <c r="H1544">
        <f>IF(ISNUMBER(SEARCH("scrubber",F1544)) , "Scrubber", IF(ISNUMBER(SEARCH("container",F1544)),"Container", IF(ISNUMBER(SEARCH("basket",F1544)),"Basket", IF(ISNUMBER(SEARCH("lunch",F1544)),"Lunch Box", IF(ISNUMBER(SEARCH("cutlery",F1544)),"Cutlery","Other")))))</f>
        <v>0</v>
      </c>
      <c r="I1544">
        <f>IF('Raw Data'!G1544&lt;&gt;'','Raw Data'!G1544,IFERROR(MID(F1544,SEARCH("MODEL",F1544)+6,20),""))</f>
        <v>0</v>
      </c>
      <c r="J1544">
        <f>'Raw Data'!H1544</f>
        <v>0</v>
      </c>
      <c r="K1544">
        <f>'Raw Data'!I1544</f>
        <v>0</v>
      </c>
      <c r="L1544">
        <f>IF('Raw Data'!N1544&lt;&gt;0,'Raw Data'!N1544,IFERROR(VALUE(MID(F1544,SEARCH("QTY",F1544)+4,IFERROR(FIND(" ",F1544,SEARCH("QTY",F1544)+4)-(SEARCH("QTY",F1544)+4),3))),""))</f>
        <v>0</v>
      </c>
      <c r="M1544">
        <f>'Raw Data'!O1544</f>
        <v>0</v>
      </c>
      <c r="N1544">
        <f>'Raw Data'!P1544</f>
        <v>0</v>
      </c>
      <c r="O1544">
        <f>'Raw Data'!Q1544</f>
        <v>0</v>
      </c>
      <c r="P1544">
        <f>'Raw Data'!R1544</f>
        <v>0</v>
      </c>
      <c r="Q1544">
        <f>'Raw Data'!S1544</f>
        <v>0</v>
      </c>
      <c r="R1544">
        <f>'Raw Data'!T1544</f>
        <v>0</v>
      </c>
      <c r="S1544">
        <f>IFERROR(O1544,0)+IFERROR(R1544,0)</f>
        <v>0</v>
      </c>
      <c r="T1544">
        <f>IF(A1544="","",YEAR(A1544))</f>
        <v>0</v>
      </c>
    </row>
    <row r="1545" spans="1:20">
      <c r="A1545">
        <f>'Raw Data'!B1545</f>
        <v>0</v>
      </c>
      <c r="B1545">
        <f>'Raw Data'!A1545</f>
        <v>0</v>
      </c>
      <c r="C1545">
        <f>'Raw Data'!C1545</f>
        <v>0</v>
      </c>
      <c r="D1545">
        <f>'Raw Data'!D1545</f>
        <v>0</v>
      </c>
      <c r="E1545">
        <f>IFERROR(VLOOKUP(D1545,'Lookup Tables'!$A:$B,2,FALSE),"Unknown")</f>
        <v>0</v>
      </c>
      <c r="F1545">
        <f>'Raw Data'!E1545</f>
        <v>0</v>
      </c>
      <c r="G1545">
        <f>IFERROR(VLOOKUP(D1545,'Lookup Tables'!$A:$C,3,FALSE),IF(ISNUMBER(SEARCH("STEEL",F1545)),"Steel","Others"))</f>
        <v>0</v>
      </c>
      <c r="H1545">
        <f>IF(ISNUMBER(SEARCH("scrubber",F1545)) , "Scrubber", IF(ISNUMBER(SEARCH("container",F1545)),"Container", IF(ISNUMBER(SEARCH("basket",F1545)),"Basket", IF(ISNUMBER(SEARCH("lunch",F1545)),"Lunch Box", IF(ISNUMBER(SEARCH("cutlery",F1545)),"Cutlery","Other")))))</f>
        <v>0</v>
      </c>
      <c r="I1545">
        <f>IF('Raw Data'!G1545&lt;&gt;'','Raw Data'!G1545,IFERROR(MID(F1545,SEARCH("MODEL",F1545)+6,20),""))</f>
        <v>0</v>
      </c>
      <c r="J1545">
        <f>'Raw Data'!H1545</f>
        <v>0</v>
      </c>
      <c r="K1545">
        <f>'Raw Data'!I1545</f>
        <v>0</v>
      </c>
      <c r="L1545">
        <f>IF('Raw Data'!N1545&lt;&gt;0,'Raw Data'!N1545,IFERROR(VALUE(MID(F1545,SEARCH("QTY",F1545)+4,IFERROR(FIND(" ",F1545,SEARCH("QTY",F1545)+4)-(SEARCH("QTY",F1545)+4),3))),""))</f>
        <v>0</v>
      </c>
      <c r="M1545">
        <f>'Raw Data'!O1545</f>
        <v>0</v>
      </c>
      <c r="N1545">
        <f>'Raw Data'!P1545</f>
        <v>0</v>
      </c>
      <c r="O1545">
        <f>'Raw Data'!Q1545</f>
        <v>0</v>
      </c>
      <c r="P1545">
        <f>'Raw Data'!R1545</f>
        <v>0</v>
      </c>
      <c r="Q1545">
        <f>'Raw Data'!S1545</f>
        <v>0</v>
      </c>
      <c r="R1545">
        <f>'Raw Data'!T1545</f>
        <v>0</v>
      </c>
      <c r="S1545">
        <f>IFERROR(O1545,0)+IFERROR(R1545,0)</f>
        <v>0</v>
      </c>
      <c r="T1545">
        <f>IF(A1545="","",YEAR(A1545))</f>
        <v>0</v>
      </c>
    </row>
    <row r="1546" spans="1:20">
      <c r="A1546">
        <f>'Raw Data'!B1546</f>
        <v>0</v>
      </c>
      <c r="B1546">
        <f>'Raw Data'!A1546</f>
        <v>0</v>
      </c>
      <c r="C1546">
        <f>'Raw Data'!C1546</f>
        <v>0</v>
      </c>
      <c r="D1546">
        <f>'Raw Data'!D1546</f>
        <v>0</v>
      </c>
      <c r="E1546">
        <f>IFERROR(VLOOKUP(D1546,'Lookup Tables'!$A:$B,2,FALSE),"Unknown")</f>
        <v>0</v>
      </c>
      <c r="F1546">
        <f>'Raw Data'!E1546</f>
        <v>0</v>
      </c>
      <c r="G1546">
        <f>IFERROR(VLOOKUP(D1546,'Lookup Tables'!$A:$C,3,FALSE),IF(ISNUMBER(SEARCH("STEEL",F1546)),"Steel","Others"))</f>
        <v>0</v>
      </c>
      <c r="H1546">
        <f>IF(ISNUMBER(SEARCH("scrubber",F1546)) , "Scrubber", IF(ISNUMBER(SEARCH("container",F1546)),"Container", IF(ISNUMBER(SEARCH("basket",F1546)),"Basket", IF(ISNUMBER(SEARCH("lunch",F1546)),"Lunch Box", IF(ISNUMBER(SEARCH("cutlery",F1546)),"Cutlery","Other")))))</f>
        <v>0</v>
      </c>
      <c r="I1546">
        <f>IF('Raw Data'!G1546&lt;&gt;'','Raw Data'!G1546,IFERROR(MID(F1546,SEARCH("MODEL",F1546)+6,20),""))</f>
        <v>0</v>
      </c>
      <c r="J1546">
        <f>'Raw Data'!H1546</f>
        <v>0</v>
      </c>
      <c r="K1546">
        <f>'Raw Data'!I1546</f>
        <v>0</v>
      </c>
      <c r="L1546">
        <f>IF('Raw Data'!N1546&lt;&gt;0,'Raw Data'!N1546,IFERROR(VALUE(MID(F1546,SEARCH("QTY",F1546)+4,IFERROR(FIND(" ",F1546,SEARCH("QTY",F1546)+4)-(SEARCH("QTY",F1546)+4),3))),""))</f>
        <v>0</v>
      </c>
      <c r="M1546">
        <f>'Raw Data'!O1546</f>
        <v>0</v>
      </c>
      <c r="N1546">
        <f>'Raw Data'!P1546</f>
        <v>0</v>
      </c>
      <c r="O1546">
        <f>'Raw Data'!Q1546</f>
        <v>0</v>
      </c>
      <c r="P1546">
        <f>'Raw Data'!R1546</f>
        <v>0</v>
      </c>
      <c r="Q1546">
        <f>'Raw Data'!S1546</f>
        <v>0</v>
      </c>
      <c r="R1546">
        <f>'Raw Data'!T1546</f>
        <v>0</v>
      </c>
      <c r="S1546">
        <f>IFERROR(O1546,0)+IFERROR(R1546,0)</f>
        <v>0</v>
      </c>
      <c r="T1546">
        <f>IF(A1546="","",YEAR(A1546))</f>
        <v>0</v>
      </c>
    </row>
    <row r="1547" spans="1:20">
      <c r="A1547">
        <f>'Raw Data'!B1547</f>
        <v>0</v>
      </c>
      <c r="B1547">
        <f>'Raw Data'!A1547</f>
        <v>0</v>
      </c>
      <c r="C1547">
        <f>'Raw Data'!C1547</f>
        <v>0</v>
      </c>
      <c r="D1547">
        <f>'Raw Data'!D1547</f>
        <v>0</v>
      </c>
      <c r="E1547">
        <f>IFERROR(VLOOKUP(D1547,'Lookup Tables'!$A:$B,2,FALSE),"Unknown")</f>
        <v>0</v>
      </c>
      <c r="F1547">
        <f>'Raw Data'!E1547</f>
        <v>0</v>
      </c>
      <c r="G1547">
        <f>IFERROR(VLOOKUP(D1547,'Lookup Tables'!$A:$C,3,FALSE),IF(ISNUMBER(SEARCH("STEEL",F1547)),"Steel","Others"))</f>
        <v>0</v>
      </c>
      <c r="H1547">
        <f>IF(ISNUMBER(SEARCH("scrubber",F1547)) , "Scrubber", IF(ISNUMBER(SEARCH("container",F1547)),"Container", IF(ISNUMBER(SEARCH("basket",F1547)),"Basket", IF(ISNUMBER(SEARCH("lunch",F1547)),"Lunch Box", IF(ISNUMBER(SEARCH("cutlery",F1547)),"Cutlery","Other")))))</f>
        <v>0</v>
      </c>
      <c r="I1547">
        <f>IF('Raw Data'!G1547&lt;&gt;'','Raw Data'!G1547,IFERROR(MID(F1547,SEARCH("MODEL",F1547)+6,20),""))</f>
        <v>0</v>
      </c>
      <c r="J1547">
        <f>'Raw Data'!H1547</f>
        <v>0</v>
      </c>
      <c r="K1547">
        <f>'Raw Data'!I1547</f>
        <v>0</v>
      </c>
      <c r="L1547">
        <f>IF('Raw Data'!N1547&lt;&gt;0,'Raw Data'!N1547,IFERROR(VALUE(MID(F1547,SEARCH("QTY",F1547)+4,IFERROR(FIND(" ",F1547,SEARCH("QTY",F1547)+4)-(SEARCH("QTY",F1547)+4),3))),""))</f>
        <v>0</v>
      </c>
      <c r="M1547">
        <f>'Raw Data'!O1547</f>
        <v>0</v>
      </c>
      <c r="N1547">
        <f>'Raw Data'!P1547</f>
        <v>0</v>
      </c>
      <c r="O1547">
        <f>'Raw Data'!Q1547</f>
        <v>0</v>
      </c>
      <c r="P1547">
        <f>'Raw Data'!R1547</f>
        <v>0</v>
      </c>
      <c r="Q1547">
        <f>'Raw Data'!S1547</f>
        <v>0</v>
      </c>
      <c r="R1547">
        <f>'Raw Data'!T1547</f>
        <v>0</v>
      </c>
      <c r="S1547">
        <f>IFERROR(O1547,0)+IFERROR(R1547,0)</f>
        <v>0</v>
      </c>
      <c r="T1547">
        <f>IF(A1547="","",YEAR(A1547))</f>
        <v>0</v>
      </c>
    </row>
    <row r="1548" spans="1:20">
      <c r="A1548">
        <f>'Raw Data'!B1548</f>
        <v>0</v>
      </c>
      <c r="B1548">
        <f>'Raw Data'!A1548</f>
        <v>0</v>
      </c>
      <c r="C1548">
        <f>'Raw Data'!C1548</f>
        <v>0</v>
      </c>
      <c r="D1548">
        <f>'Raw Data'!D1548</f>
        <v>0</v>
      </c>
      <c r="E1548">
        <f>IFERROR(VLOOKUP(D1548,'Lookup Tables'!$A:$B,2,FALSE),"Unknown")</f>
        <v>0</v>
      </c>
      <c r="F1548">
        <f>'Raw Data'!E1548</f>
        <v>0</v>
      </c>
      <c r="G1548">
        <f>IFERROR(VLOOKUP(D1548,'Lookup Tables'!$A:$C,3,FALSE),IF(ISNUMBER(SEARCH("STEEL",F1548)),"Steel","Others"))</f>
        <v>0</v>
      </c>
      <c r="H1548">
        <f>IF(ISNUMBER(SEARCH("scrubber",F1548)) , "Scrubber", IF(ISNUMBER(SEARCH("container",F1548)),"Container", IF(ISNUMBER(SEARCH("basket",F1548)),"Basket", IF(ISNUMBER(SEARCH("lunch",F1548)),"Lunch Box", IF(ISNUMBER(SEARCH("cutlery",F1548)),"Cutlery","Other")))))</f>
        <v>0</v>
      </c>
      <c r="I1548">
        <f>IF('Raw Data'!G1548&lt;&gt;'','Raw Data'!G1548,IFERROR(MID(F1548,SEARCH("MODEL",F1548)+6,20),""))</f>
        <v>0</v>
      </c>
      <c r="J1548">
        <f>'Raw Data'!H1548</f>
        <v>0</v>
      </c>
      <c r="K1548">
        <f>'Raw Data'!I1548</f>
        <v>0</v>
      </c>
      <c r="L1548">
        <f>IF('Raw Data'!N1548&lt;&gt;0,'Raw Data'!N1548,IFERROR(VALUE(MID(F1548,SEARCH("QTY",F1548)+4,IFERROR(FIND(" ",F1548,SEARCH("QTY",F1548)+4)-(SEARCH("QTY",F1548)+4),3))),""))</f>
        <v>0</v>
      </c>
      <c r="M1548">
        <f>'Raw Data'!O1548</f>
        <v>0</v>
      </c>
      <c r="N1548">
        <f>'Raw Data'!P1548</f>
        <v>0</v>
      </c>
      <c r="O1548">
        <f>'Raw Data'!Q1548</f>
        <v>0</v>
      </c>
      <c r="P1548">
        <f>'Raw Data'!R1548</f>
        <v>0</v>
      </c>
      <c r="Q1548">
        <f>'Raw Data'!S1548</f>
        <v>0</v>
      </c>
      <c r="R1548">
        <f>'Raw Data'!T1548</f>
        <v>0</v>
      </c>
      <c r="S1548">
        <f>IFERROR(O1548,0)+IFERROR(R1548,0)</f>
        <v>0</v>
      </c>
      <c r="T1548">
        <f>IF(A1548="","",YEAR(A1548))</f>
        <v>0</v>
      </c>
    </row>
    <row r="1549" spans="1:20">
      <c r="A1549">
        <f>'Raw Data'!B1549</f>
        <v>0</v>
      </c>
      <c r="B1549">
        <f>'Raw Data'!A1549</f>
        <v>0</v>
      </c>
      <c r="C1549">
        <f>'Raw Data'!C1549</f>
        <v>0</v>
      </c>
      <c r="D1549">
        <f>'Raw Data'!D1549</f>
        <v>0</v>
      </c>
      <c r="E1549">
        <f>IFERROR(VLOOKUP(D1549,'Lookup Tables'!$A:$B,2,FALSE),"Unknown")</f>
        <v>0</v>
      </c>
      <c r="F1549">
        <f>'Raw Data'!E1549</f>
        <v>0</v>
      </c>
      <c r="G1549">
        <f>IFERROR(VLOOKUP(D1549,'Lookup Tables'!$A:$C,3,FALSE),IF(ISNUMBER(SEARCH("STEEL",F1549)),"Steel","Others"))</f>
        <v>0</v>
      </c>
      <c r="H1549">
        <f>IF(ISNUMBER(SEARCH("scrubber",F1549)) , "Scrubber", IF(ISNUMBER(SEARCH("container",F1549)),"Container", IF(ISNUMBER(SEARCH("basket",F1549)),"Basket", IF(ISNUMBER(SEARCH("lunch",F1549)),"Lunch Box", IF(ISNUMBER(SEARCH("cutlery",F1549)),"Cutlery","Other")))))</f>
        <v>0</v>
      </c>
      <c r="I1549">
        <f>IF('Raw Data'!G1549&lt;&gt;'','Raw Data'!G1549,IFERROR(MID(F1549,SEARCH("MODEL",F1549)+6,20),""))</f>
        <v>0</v>
      </c>
      <c r="J1549">
        <f>'Raw Data'!H1549</f>
        <v>0</v>
      </c>
      <c r="K1549">
        <f>'Raw Data'!I1549</f>
        <v>0</v>
      </c>
      <c r="L1549">
        <f>IF('Raw Data'!N1549&lt;&gt;0,'Raw Data'!N1549,IFERROR(VALUE(MID(F1549,SEARCH("QTY",F1549)+4,IFERROR(FIND(" ",F1549,SEARCH("QTY",F1549)+4)-(SEARCH("QTY",F1549)+4),3))),""))</f>
        <v>0</v>
      </c>
      <c r="M1549">
        <f>'Raw Data'!O1549</f>
        <v>0</v>
      </c>
      <c r="N1549">
        <f>'Raw Data'!P1549</f>
        <v>0</v>
      </c>
      <c r="O1549">
        <f>'Raw Data'!Q1549</f>
        <v>0</v>
      </c>
      <c r="P1549">
        <f>'Raw Data'!R1549</f>
        <v>0</v>
      </c>
      <c r="Q1549">
        <f>'Raw Data'!S1549</f>
        <v>0</v>
      </c>
      <c r="R1549">
        <f>'Raw Data'!T1549</f>
        <v>0</v>
      </c>
      <c r="S1549">
        <f>IFERROR(O1549,0)+IFERROR(R1549,0)</f>
        <v>0</v>
      </c>
      <c r="T1549">
        <f>IF(A1549="","",YEAR(A1549))</f>
        <v>0</v>
      </c>
    </row>
    <row r="1550" spans="1:20">
      <c r="A1550">
        <f>'Raw Data'!B1550</f>
        <v>0</v>
      </c>
      <c r="B1550">
        <f>'Raw Data'!A1550</f>
        <v>0</v>
      </c>
      <c r="C1550">
        <f>'Raw Data'!C1550</f>
        <v>0</v>
      </c>
      <c r="D1550">
        <f>'Raw Data'!D1550</f>
        <v>0</v>
      </c>
      <c r="E1550">
        <f>IFERROR(VLOOKUP(D1550,'Lookup Tables'!$A:$B,2,FALSE),"Unknown")</f>
        <v>0</v>
      </c>
      <c r="F1550">
        <f>'Raw Data'!E1550</f>
        <v>0</v>
      </c>
      <c r="G1550">
        <f>IFERROR(VLOOKUP(D1550,'Lookup Tables'!$A:$C,3,FALSE),IF(ISNUMBER(SEARCH("STEEL",F1550)),"Steel","Others"))</f>
        <v>0</v>
      </c>
      <c r="H1550">
        <f>IF(ISNUMBER(SEARCH("scrubber",F1550)) , "Scrubber", IF(ISNUMBER(SEARCH("container",F1550)),"Container", IF(ISNUMBER(SEARCH("basket",F1550)),"Basket", IF(ISNUMBER(SEARCH("lunch",F1550)),"Lunch Box", IF(ISNUMBER(SEARCH("cutlery",F1550)),"Cutlery","Other")))))</f>
        <v>0</v>
      </c>
      <c r="I1550">
        <f>IF('Raw Data'!G1550&lt;&gt;'','Raw Data'!G1550,IFERROR(MID(F1550,SEARCH("MODEL",F1550)+6,20),""))</f>
        <v>0</v>
      </c>
      <c r="J1550">
        <f>'Raw Data'!H1550</f>
        <v>0</v>
      </c>
      <c r="K1550">
        <f>'Raw Data'!I1550</f>
        <v>0</v>
      </c>
      <c r="L1550">
        <f>IF('Raw Data'!N1550&lt;&gt;0,'Raw Data'!N1550,IFERROR(VALUE(MID(F1550,SEARCH("QTY",F1550)+4,IFERROR(FIND(" ",F1550,SEARCH("QTY",F1550)+4)-(SEARCH("QTY",F1550)+4),3))),""))</f>
        <v>0</v>
      </c>
      <c r="M1550">
        <f>'Raw Data'!O1550</f>
        <v>0</v>
      </c>
      <c r="N1550">
        <f>'Raw Data'!P1550</f>
        <v>0</v>
      </c>
      <c r="O1550">
        <f>'Raw Data'!Q1550</f>
        <v>0</v>
      </c>
      <c r="P1550">
        <f>'Raw Data'!R1550</f>
        <v>0</v>
      </c>
      <c r="Q1550">
        <f>'Raw Data'!S1550</f>
        <v>0</v>
      </c>
      <c r="R1550">
        <f>'Raw Data'!T1550</f>
        <v>0</v>
      </c>
      <c r="S1550">
        <f>IFERROR(O1550,0)+IFERROR(R1550,0)</f>
        <v>0</v>
      </c>
      <c r="T1550">
        <f>IF(A1550="","",YEAR(A1550))</f>
        <v>0</v>
      </c>
    </row>
    <row r="1551" spans="1:20">
      <c r="A1551">
        <f>'Raw Data'!B1551</f>
        <v>0</v>
      </c>
      <c r="B1551">
        <f>'Raw Data'!A1551</f>
        <v>0</v>
      </c>
      <c r="C1551">
        <f>'Raw Data'!C1551</f>
        <v>0</v>
      </c>
      <c r="D1551">
        <f>'Raw Data'!D1551</f>
        <v>0</v>
      </c>
      <c r="E1551">
        <f>IFERROR(VLOOKUP(D1551,'Lookup Tables'!$A:$B,2,FALSE),"Unknown")</f>
        <v>0</v>
      </c>
      <c r="F1551">
        <f>'Raw Data'!E1551</f>
        <v>0</v>
      </c>
      <c r="G1551">
        <f>IFERROR(VLOOKUP(D1551,'Lookup Tables'!$A:$C,3,FALSE),IF(ISNUMBER(SEARCH("STEEL",F1551)),"Steel","Others"))</f>
        <v>0</v>
      </c>
      <c r="H1551">
        <f>IF(ISNUMBER(SEARCH("scrubber",F1551)) , "Scrubber", IF(ISNUMBER(SEARCH("container",F1551)),"Container", IF(ISNUMBER(SEARCH("basket",F1551)),"Basket", IF(ISNUMBER(SEARCH("lunch",F1551)),"Lunch Box", IF(ISNUMBER(SEARCH("cutlery",F1551)),"Cutlery","Other")))))</f>
        <v>0</v>
      </c>
      <c r="I1551">
        <f>IF('Raw Data'!G1551&lt;&gt;'','Raw Data'!G1551,IFERROR(MID(F1551,SEARCH("MODEL",F1551)+6,20),""))</f>
        <v>0</v>
      </c>
      <c r="J1551">
        <f>'Raw Data'!H1551</f>
        <v>0</v>
      </c>
      <c r="K1551">
        <f>'Raw Data'!I1551</f>
        <v>0</v>
      </c>
      <c r="L1551">
        <f>IF('Raw Data'!N1551&lt;&gt;0,'Raw Data'!N1551,IFERROR(VALUE(MID(F1551,SEARCH("QTY",F1551)+4,IFERROR(FIND(" ",F1551,SEARCH("QTY",F1551)+4)-(SEARCH("QTY",F1551)+4),3))),""))</f>
        <v>0</v>
      </c>
      <c r="M1551">
        <f>'Raw Data'!O1551</f>
        <v>0</v>
      </c>
      <c r="N1551">
        <f>'Raw Data'!P1551</f>
        <v>0</v>
      </c>
      <c r="O1551">
        <f>'Raw Data'!Q1551</f>
        <v>0</v>
      </c>
      <c r="P1551">
        <f>'Raw Data'!R1551</f>
        <v>0</v>
      </c>
      <c r="Q1551">
        <f>'Raw Data'!S1551</f>
        <v>0</v>
      </c>
      <c r="R1551">
        <f>'Raw Data'!T1551</f>
        <v>0</v>
      </c>
      <c r="S1551">
        <f>IFERROR(O1551,0)+IFERROR(R1551,0)</f>
        <v>0</v>
      </c>
      <c r="T1551">
        <f>IF(A1551="","",YEAR(A1551))</f>
        <v>0</v>
      </c>
    </row>
    <row r="1552" spans="1:20">
      <c r="A1552">
        <f>'Raw Data'!B1552</f>
        <v>0</v>
      </c>
      <c r="B1552">
        <f>'Raw Data'!A1552</f>
        <v>0</v>
      </c>
      <c r="C1552">
        <f>'Raw Data'!C1552</f>
        <v>0</v>
      </c>
      <c r="D1552">
        <f>'Raw Data'!D1552</f>
        <v>0</v>
      </c>
      <c r="E1552">
        <f>IFERROR(VLOOKUP(D1552,'Lookup Tables'!$A:$B,2,FALSE),"Unknown")</f>
        <v>0</v>
      </c>
      <c r="F1552">
        <f>'Raw Data'!E1552</f>
        <v>0</v>
      </c>
      <c r="G1552">
        <f>IFERROR(VLOOKUP(D1552,'Lookup Tables'!$A:$C,3,FALSE),IF(ISNUMBER(SEARCH("STEEL",F1552)),"Steel","Others"))</f>
        <v>0</v>
      </c>
      <c r="H1552">
        <f>IF(ISNUMBER(SEARCH("scrubber",F1552)) , "Scrubber", IF(ISNUMBER(SEARCH("container",F1552)),"Container", IF(ISNUMBER(SEARCH("basket",F1552)),"Basket", IF(ISNUMBER(SEARCH("lunch",F1552)),"Lunch Box", IF(ISNUMBER(SEARCH("cutlery",F1552)),"Cutlery","Other")))))</f>
        <v>0</v>
      </c>
      <c r="I1552">
        <f>IF('Raw Data'!G1552&lt;&gt;'','Raw Data'!G1552,IFERROR(MID(F1552,SEARCH("MODEL",F1552)+6,20),""))</f>
        <v>0</v>
      </c>
      <c r="J1552">
        <f>'Raw Data'!H1552</f>
        <v>0</v>
      </c>
      <c r="K1552">
        <f>'Raw Data'!I1552</f>
        <v>0</v>
      </c>
      <c r="L1552">
        <f>IF('Raw Data'!N1552&lt;&gt;0,'Raw Data'!N1552,IFERROR(VALUE(MID(F1552,SEARCH("QTY",F1552)+4,IFERROR(FIND(" ",F1552,SEARCH("QTY",F1552)+4)-(SEARCH("QTY",F1552)+4),3))),""))</f>
        <v>0</v>
      </c>
      <c r="M1552">
        <f>'Raw Data'!O1552</f>
        <v>0</v>
      </c>
      <c r="N1552">
        <f>'Raw Data'!P1552</f>
        <v>0</v>
      </c>
      <c r="O1552">
        <f>'Raw Data'!Q1552</f>
        <v>0</v>
      </c>
      <c r="P1552">
        <f>'Raw Data'!R1552</f>
        <v>0</v>
      </c>
      <c r="Q1552">
        <f>'Raw Data'!S1552</f>
        <v>0</v>
      </c>
      <c r="R1552">
        <f>'Raw Data'!T1552</f>
        <v>0</v>
      </c>
      <c r="S1552">
        <f>IFERROR(O1552,0)+IFERROR(R1552,0)</f>
        <v>0</v>
      </c>
      <c r="T1552">
        <f>IF(A1552="","",YEAR(A1552))</f>
        <v>0</v>
      </c>
    </row>
    <row r="1553" spans="1:20">
      <c r="A1553">
        <f>'Raw Data'!B1553</f>
        <v>0</v>
      </c>
      <c r="B1553">
        <f>'Raw Data'!A1553</f>
        <v>0</v>
      </c>
      <c r="C1553">
        <f>'Raw Data'!C1553</f>
        <v>0</v>
      </c>
      <c r="D1553">
        <f>'Raw Data'!D1553</f>
        <v>0</v>
      </c>
      <c r="E1553">
        <f>IFERROR(VLOOKUP(D1553,'Lookup Tables'!$A:$B,2,FALSE),"Unknown")</f>
        <v>0</v>
      </c>
      <c r="F1553">
        <f>'Raw Data'!E1553</f>
        <v>0</v>
      </c>
      <c r="G1553">
        <f>IFERROR(VLOOKUP(D1553,'Lookup Tables'!$A:$C,3,FALSE),IF(ISNUMBER(SEARCH("STEEL",F1553)),"Steel","Others"))</f>
        <v>0</v>
      </c>
      <c r="H1553">
        <f>IF(ISNUMBER(SEARCH("scrubber",F1553)) , "Scrubber", IF(ISNUMBER(SEARCH("container",F1553)),"Container", IF(ISNUMBER(SEARCH("basket",F1553)),"Basket", IF(ISNUMBER(SEARCH("lunch",F1553)),"Lunch Box", IF(ISNUMBER(SEARCH("cutlery",F1553)),"Cutlery","Other")))))</f>
        <v>0</v>
      </c>
      <c r="I1553">
        <f>IF('Raw Data'!G1553&lt;&gt;'','Raw Data'!G1553,IFERROR(MID(F1553,SEARCH("MODEL",F1553)+6,20),""))</f>
        <v>0</v>
      </c>
      <c r="J1553">
        <f>'Raw Data'!H1553</f>
        <v>0</v>
      </c>
      <c r="K1553">
        <f>'Raw Data'!I1553</f>
        <v>0</v>
      </c>
      <c r="L1553">
        <f>IF('Raw Data'!N1553&lt;&gt;0,'Raw Data'!N1553,IFERROR(VALUE(MID(F1553,SEARCH("QTY",F1553)+4,IFERROR(FIND(" ",F1553,SEARCH("QTY",F1553)+4)-(SEARCH("QTY",F1553)+4),3))),""))</f>
        <v>0</v>
      </c>
      <c r="M1553">
        <f>'Raw Data'!O1553</f>
        <v>0</v>
      </c>
      <c r="N1553">
        <f>'Raw Data'!P1553</f>
        <v>0</v>
      </c>
      <c r="O1553">
        <f>'Raw Data'!Q1553</f>
        <v>0</v>
      </c>
      <c r="P1553">
        <f>'Raw Data'!R1553</f>
        <v>0</v>
      </c>
      <c r="Q1553">
        <f>'Raw Data'!S1553</f>
        <v>0</v>
      </c>
      <c r="R1553">
        <f>'Raw Data'!T1553</f>
        <v>0</v>
      </c>
      <c r="S1553">
        <f>IFERROR(O1553,0)+IFERROR(R1553,0)</f>
        <v>0</v>
      </c>
      <c r="T1553">
        <f>IF(A1553="","",YEAR(A1553))</f>
        <v>0</v>
      </c>
    </row>
    <row r="1554" spans="1:20">
      <c r="A1554">
        <f>'Raw Data'!B1554</f>
        <v>0</v>
      </c>
      <c r="B1554">
        <f>'Raw Data'!A1554</f>
        <v>0</v>
      </c>
      <c r="C1554">
        <f>'Raw Data'!C1554</f>
        <v>0</v>
      </c>
      <c r="D1554">
        <f>'Raw Data'!D1554</f>
        <v>0</v>
      </c>
      <c r="E1554">
        <f>IFERROR(VLOOKUP(D1554,'Lookup Tables'!$A:$B,2,FALSE),"Unknown")</f>
        <v>0</v>
      </c>
      <c r="F1554">
        <f>'Raw Data'!E1554</f>
        <v>0</v>
      </c>
      <c r="G1554">
        <f>IFERROR(VLOOKUP(D1554,'Lookup Tables'!$A:$C,3,FALSE),IF(ISNUMBER(SEARCH("STEEL",F1554)),"Steel","Others"))</f>
        <v>0</v>
      </c>
      <c r="H1554">
        <f>IF(ISNUMBER(SEARCH("scrubber",F1554)) , "Scrubber", IF(ISNUMBER(SEARCH("container",F1554)),"Container", IF(ISNUMBER(SEARCH("basket",F1554)),"Basket", IF(ISNUMBER(SEARCH("lunch",F1554)),"Lunch Box", IF(ISNUMBER(SEARCH("cutlery",F1554)),"Cutlery","Other")))))</f>
        <v>0</v>
      </c>
      <c r="I1554">
        <f>IF('Raw Data'!G1554&lt;&gt;'','Raw Data'!G1554,IFERROR(MID(F1554,SEARCH("MODEL",F1554)+6,20),""))</f>
        <v>0</v>
      </c>
      <c r="J1554">
        <f>'Raw Data'!H1554</f>
        <v>0</v>
      </c>
      <c r="K1554">
        <f>'Raw Data'!I1554</f>
        <v>0</v>
      </c>
      <c r="L1554">
        <f>IF('Raw Data'!N1554&lt;&gt;0,'Raw Data'!N1554,IFERROR(VALUE(MID(F1554,SEARCH("QTY",F1554)+4,IFERROR(FIND(" ",F1554,SEARCH("QTY",F1554)+4)-(SEARCH("QTY",F1554)+4),3))),""))</f>
        <v>0</v>
      </c>
      <c r="M1554">
        <f>'Raw Data'!O1554</f>
        <v>0</v>
      </c>
      <c r="N1554">
        <f>'Raw Data'!P1554</f>
        <v>0</v>
      </c>
      <c r="O1554">
        <f>'Raw Data'!Q1554</f>
        <v>0</v>
      </c>
      <c r="P1554">
        <f>'Raw Data'!R1554</f>
        <v>0</v>
      </c>
      <c r="Q1554">
        <f>'Raw Data'!S1554</f>
        <v>0</v>
      </c>
      <c r="R1554">
        <f>'Raw Data'!T1554</f>
        <v>0</v>
      </c>
      <c r="S1554">
        <f>IFERROR(O1554,0)+IFERROR(R1554,0)</f>
        <v>0</v>
      </c>
      <c r="T1554">
        <f>IF(A1554="","",YEAR(A1554))</f>
        <v>0</v>
      </c>
    </row>
    <row r="1555" spans="1:20">
      <c r="A1555">
        <f>'Raw Data'!B1555</f>
        <v>0</v>
      </c>
      <c r="B1555">
        <f>'Raw Data'!A1555</f>
        <v>0</v>
      </c>
      <c r="C1555">
        <f>'Raw Data'!C1555</f>
        <v>0</v>
      </c>
      <c r="D1555">
        <f>'Raw Data'!D1555</f>
        <v>0</v>
      </c>
      <c r="E1555">
        <f>IFERROR(VLOOKUP(D1555,'Lookup Tables'!$A:$B,2,FALSE),"Unknown")</f>
        <v>0</v>
      </c>
      <c r="F1555">
        <f>'Raw Data'!E1555</f>
        <v>0</v>
      </c>
      <c r="G1555">
        <f>IFERROR(VLOOKUP(D1555,'Lookup Tables'!$A:$C,3,FALSE),IF(ISNUMBER(SEARCH("STEEL",F1555)),"Steel","Others"))</f>
        <v>0</v>
      </c>
      <c r="H1555">
        <f>IF(ISNUMBER(SEARCH("scrubber",F1555)) , "Scrubber", IF(ISNUMBER(SEARCH("container",F1555)),"Container", IF(ISNUMBER(SEARCH("basket",F1555)),"Basket", IF(ISNUMBER(SEARCH("lunch",F1555)),"Lunch Box", IF(ISNUMBER(SEARCH("cutlery",F1555)),"Cutlery","Other")))))</f>
        <v>0</v>
      </c>
      <c r="I1555">
        <f>IF('Raw Data'!G1555&lt;&gt;'','Raw Data'!G1555,IFERROR(MID(F1555,SEARCH("MODEL",F1555)+6,20),""))</f>
        <v>0</v>
      </c>
      <c r="J1555">
        <f>'Raw Data'!H1555</f>
        <v>0</v>
      </c>
      <c r="K1555">
        <f>'Raw Data'!I1555</f>
        <v>0</v>
      </c>
      <c r="L1555">
        <f>IF('Raw Data'!N1555&lt;&gt;0,'Raw Data'!N1555,IFERROR(VALUE(MID(F1555,SEARCH("QTY",F1555)+4,IFERROR(FIND(" ",F1555,SEARCH("QTY",F1555)+4)-(SEARCH("QTY",F1555)+4),3))),""))</f>
        <v>0</v>
      </c>
      <c r="M1555">
        <f>'Raw Data'!O1555</f>
        <v>0</v>
      </c>
      <c r="N1555">
        <f>'Raw Data'!P1555</f>
        <v>0</v>
      </c>
      <c r="O1555">
        <f>'Raw Data'!Q1555</f>
        <v>0</v>
      </c>
      <c r="P1555">
        <f>'Raw Data'!R1555</f>
        <v>0</v>
      </c>
      <c r="Q1555">
        <f>'Raw Data'!S1555</f>
        <v>0</v>
      </c>
      <c r="R1555">
        <f>'Raw Data'!T1555</f>
        <v>0</v>
      </c>
      <c r="S1555">
        <f>IFERROR(O1555,0)+IFERROR(R1555,0)</f>
        <v>0</v>
      </c>
      <c r="T1555">
        <f>IF(A1555="","",YEAR(A1555))</f>
        <v>0</v>
      </c>
    </row>
    <row r="1556" spans="1:20">
      <c r="A1556">
        <f>'Raw Data'!B1556</f>
        <v>0</v>
      </c>
      <c r="B1556">
        <f>'Raw Data'!A1556</f>
        <v>0</v>
      </c>
      <c r="C1556">
        <f>'Raw Data'!C1556</f>
        <v>0</v>
      </c>
      <c r="D1556">
        <f>'Raw Data'!D1556</f>
        <v>0</v>
      </c>
      <c r="E1556">
        <f>IFERROR(VLOOKUP(D1556,'Lookup Tables'!$A:$B,2,FALSE),"Unknown")</f>
        <v>0</v>
      </c>
      <c r="F1556">
        <f>'Raw Data'!E1556</f>
        <v>0</v>
      </c>
      <c r="G1556">
        <f>IFERROR(VLOOKUP(D1556,'Lookup Tables'!$A:$C,3,FALSE),IF(ISNUMBER(SEARCH("STEEL",F1556)),"Steel","Others"))</f>
        <v>0</v>
      </c>
      <c r="H1556">
        <f>IF(ISNUMBER(SEARCH("scrubber",F1556)) , "Scrubber", IF(ISNUMBER(SEARCH("container",F1556)),"Container", IF(ISNUMBER(SEARCH("basket",F1556)),"Basket", IF(ISNUMBER(SEARCH("lunch",F1556)),"Lunch Box", IF(ISNUMBER(SEARCH("cutlery",F1556)),"Cutlery","Other")))))</f>
        <v>0</v>
      </c>
      <c r="I1556">
        <f>IF('Raw Data'!G1556&lt;&gt;'','Raw Data'!G1556,IFERROR(MID(F1556,SEARCH("MODEL",F1556)+6,20),""))</f>
        <v>0</v>
      </c>
      <c r="J1556">
        <f>'Raw Data'!H1556</f>
        <v>0</v>
      </c>
      <c r="K1556">
        <f>'Raw Data'!I1556</f>
        <v>0</v>
      </c>
      <c r="L1556">
        <f>IF('Raw Data'!N1556&lt;&gt;0,'Raw Data'!N1556,IFERROR(VALUE(MID(F1556,SEARCH("QTY",F1556)+4,IFERROR(FIND(" ",F1556,SEARCH("QTY",F1556)+4)-(SEARCH("QTY",F1556)+4),3))),""))</f>
        <v>0</v>
      </c>
      <c r="M1556">
        <f>'Raw Data'!O1556</f>
        <v>0</v>
      </c>
      <c r="N1556">
        <f>'Raw Data'!P1556</f>
        <v>0</v>
      </c>
      <c r="O1556">
        <f>'Raw Data'!Q1556</f>
        <v>0</v>
      </c>
      <c r="P1556">
        <f>'Raw Data'!R1556</f>
        <v>0</v>
      </c>
      <c r="Q1556">
        <f>'Raw Data'!S1556</f>
        <v>0</v>
      </c>
      <c r="R1556">
        <f>'Raw Data'!T1556</f>
        <v>0</v>
      </c>
      <c r="S1556">
        <f>IFERROR(O1556,0)+IFERROR(R1556,0)</f>
        <v>0</v>
      </c>
      <c r="T1556">
        <f>IF(A1556="","",YEAR(A1556))</f>
        <v>0</v>
      </c>
    </row>
    <row r="1557" spans="1:20">
      <c r="A1557">
        <f>'Raw Data'!B1557</f>
        <v>0</v>
      </c>
      <c r="B1557">
        <f>'Raw Data'!A1557</f>
        <v>0</v>
      </c>
      <c r="C1557">
        <f>'Raw Data'!C1557</f>
        <v>0</v>
      </c>
      <c r="D1557">
        <f>'Raw Data'!D1557</f>
        <v>0</v>
      </c>
      <c r="E1557">
        <f>IFERROR(VLOOKUP(D1557,'Lookup Tables'!$A:$B,2,FALSE),"Unknown")</f>
        <v>0</v>
      </c>
      <c r="F1557">
        <f>'Raw Data'!E1557</f>
        <v>0</v>
      </c>
      <c r="G1557">
        <f>IFERROR(VLOOKUP(D1557,'Lookup Tables'!$A:$C,3,FALSE),IF(ISNUMBER(SEARCH("STEEL",F1557)),"Steel","Others"))</f>
        <v>0</v>
      </c>
      <c r="H1557">
        <f>IF(ISNUMBER(SEARCH("scrubber",F1557)) , "Scrubber", IF(ISNUMBER(SEARCH("container",F1557)),"Container", IF(ISNUMBER(SEARCH("basket",F1557)),"Basket", IF(ISNUMBER(SEARCH("lunch",F1557)),"Lunch Box", IF(ISNUMBER(SEARCH("cutlery",F1557)),"Cutlery","Other")))))</f>
        <v>0</v>
      </c>
      <c r="I1557">
        <f>IF('Raw Data'!G1557&lt;&gt;'','Raw Data'!G1557,IFERROR(MID(F1557,SEARCH("MODEL",F1557)+6,20),""))</f>
        <v>0</v>
      </c>
      <c r="J1557">
        <f>'Raw Data'!H1557</f>
        <v>0</v>
      </c>
      <c r="K1557">
        <f>'Raw Data'!I1557</f>
        <v>0</v>
      </c>
      <c r="L1557">
        <f>IF('Raw Data'!N1557&lt;&gt;0,'Raw Data'!N1557,IFERROR(VALUE(MID(F1557,SEARCH("QTY",F1557)+4,IFERROR(FIND(" ",F1557,SEARCH("QTY",F1557)+4)-(SEARCH("QTY",F1557)+4),3))),""))</f>
        <v>0</v>
      </c>
      <c r="M1557">
        <f>'Raw Data'!O1557</f>
        <v>0</v>
      </c>
      <c r="N1557">
        <f>'Raw Data'!P1557</f>
        <v>0</v>
      </c>
      <c r="O1557">
        <f>'Raw Data'!Q1557</f>
        <v>0</v>
      </c>
      <c r="P1557">
        <f>'Raw Data'!R1557</f>
        <v>0</v>
      </c>
      <c r="Q1557">
        <f>'Raw Data'!S1557</f>
        <v>0</v>
      </c>
      <c r="R1557">
        <f>'Raw Data'!T1557</f>
        <v>0</v>
      </c>
      <c r="S1557">
        <f>IFERROR(O1557,0)+IFERROR(R1557,0)</f>
        <v>0</v>
      </c>
      <c r="T1557">
        <f>IF(A1557="","",YEAR(A1557))</f>
        <v>0</v>
      </c>
    </row>
    <row r="1558" spans="1:20">
      <c r="A1558">
        <f>'Raw Data'!B1558</f>
        <v>0</v>
      </c>
      <c r="B1558">
        <f>'Raw Data'!A1558</f>
        <v>0</v>
      </c>
      <c r="C1558">
        <f>'Raw Data'!C1558</f>
        <v>0</v>
      </c>
      <c r="D1558">
        <f>'Raw Data'!D1558</f>
        <v>0</v>
      </c>
      <c r="E1558">
        <f>IFERROR(VLOOKUP(D1558,'Lookup Tables'!$A:$B,2,FALSE),"Unknown")</f>
        <v>0</v>
      </c>
      <c r="F1558">
        <f>'Raw Data'!E1558</f>
        <v>0</v>
      </c>
      <c r="G1558">
        <f>IFERROR(VLOOKUP(D1558,'Lookup Tables'!$A:$C,3,FALSE),IF(ISNUMBER(SEARCH("STEEL",F1558)),"Steel","Others"))</f>
        <v>0</v>
      </c>
      <c r="H1558">
        <f>IF(ISNUMBER(SEARCH("scrubber",F1558)) , "Scrubber", IF(ISNUMBER(SEARCH("container",F1558)),"Container", IF(ISNUMBER(SEARCH("basket",F1558)),"Basket", IF(ISNUMBER(SEARCH("lunch",F1558)),"Lunch Box", IF(ISNUMBER(SEARCH("cutlery",F1558)),"Cutlery","Other")))))</f>
        <v>0</v>
      </c>
      <c r="I1558">
        <f>IF('Raw Data'!G1558&lt;&gt;'','Raw Data'!G1558,IFERROR(MID(F1558,SEARCH("MODEL",F1558)+6,20),""))</f>
        <v>0</v>
      </c>
      <c r="J1558">
        <f>'Raw Data'!H1558</f>
        <v>0</v>
      </c>
      <c r="K1558">
        <f>'Raw Data'!I1558</f>
        <v>0</v>
      </c>
      <c r="L1558">
        <f>IF('Raw Data'!N1558&lt;&gt;0,'Raw Data'!N1558,IFERROR(VALUE(MID(F1558,SEARCH("QTY",F1558)+4,IFERROR(FIND(" ",F1558,SEARCH("QTY",F1558)+4)-(SEARCH("QTY",F1558)+4),3))),""))</f>
        <v>0</v>
      </c>
      <c r="M1558">
        <f>'Raw Data'!O1558</f>
        <v>0</v>
      </c>
      <c r="N1558">
        <f>'Raw Data'!P1558</f>
        <v>0</v>
      </c>
      <c r="O1558">
        <f>'Raw Data'!Q1558</f>
        <v>0</v>
      </c>
      <c r="P1558">
        <f>'Raw Data'!R1558</f>
        <v>0</v>
      </c>
      <c r="Q1558">
        <f>'Raw Data'!S1558</f>
        <v>0</v>
      </c>
      <c r="R1558">
        <f>'Raw Data'!T1558</f>
        <v>0</v>
      </c>
      <c r="S1558">
        <f>IFERROR(O1558,0)+IFERROR(R1558,0)</f>
        <v>0</v>
      </c>
      <c r="T1558">
        <f>IF(A1558="","",YEAR(A1558))</f>
        <v>0</v>
      </c>
    </row>
    <row r="1559" spans="1:20">
      <c r="A1559">
        <f>'Raw Data'!B1559</f>
        <v>0</v>
      </c>
      <c r="B1559">
        <f>'Raw Data'!A1559</f>
        <v>0</v>
      </c>
      <c r="C1559">
        <f>'Raw Data'!C1559</f>
        <v>0</v>
      </c>
      <c r="D1559">
        <f>'Raw Data'!D1559</f>
        <v>0</v>
      </c>
      <c r="E1559">
        <f>IFERROR(VLOOKUP(D1559,'Lookup Tables'!$A:$B,2,FALSE),"Unknown")</f>
        <v>0</v>
      </c>
      <c r="F1559">
        <f>'Raw Data'!E1559</f>
        <v>0</v>
      </c>
      <c r="G1559">
        <f>IFERROR(VLOOKUP(D1559,'Lookup Tables'!$A:$C,3,FALSE),IF(ISNUMBER(SEARCH("STEEL",F1559)),"Steel","Others"))</f>
        <v>0</v>
      </c>
      <c r="H1559">
        <f>IF(ISNUMBER(SEARCH("scrubber",F1559)) , "Scrubber", IF(ISNUMBER(SEARCH("container",F1559)),"Container", IF(ISNUMBER(SEARCH("basket",F1559)),"Basket", IF(ISNUMBER(SEARCH("lunch",F1559)),"Lunch Box", IF(ISNUMBER(SEARCH("cutlery",F1559)),"Cutlery","Other")))))</f>
        <v>0</v>
      </c>
      <c r="I1559">
        <f>IF('Raw Data'!G1559&lt;&gt;'','Raw Data'!G1559,IFERROR(MID(F1559,SEARCH("MODEL",F1559)+6,20),""))</f>
        <v>0</v>
      </c>
      <c r="J1559">
        <f>'Raw Data'!H1559</f>
        <v>0</v>
      </c>
      <c r="K1559">
        <f>'Raw Data'!I1559</f>
        <v>0</v>
      </c>
      <c r="L1559">
        <f>IF('Raw Data'!N1559&lt;&gt;0,'Raw Data'!N1559,IFERROR(VALUE(MID(F1559,SEARCH("QTY",F1559)+4,IFERROR(FIND(" ",F1559,SEARCH("QTY",F1559)+4)-(SEARCH("QTY",F1559)+4),3))),""))</f>
        <v>0</v>
      </c>
      <c r="M1559">
        <f>'Raw Data'!O1559</f>
        <v>0</v>
      </c>
      <c r="N1559">
        <f>'Raw Data'!P1559</f>
        <v>0</v>
      </c>
      <c r="O1559">
        <f>'Raw Data'!Q1559</f>
        <v>0</v>
      </c>
      <c r="P1559">
        <f>'Raw Data'!R1559</f>
        <v>0</v>
      </c>
      <c r="Q1559">
        <f>'Raw Data'!S1559</f>
        <v>0</v>
      </c>
      <c r="R1559">
        <f>'Raw Data'!T1559</f>
        <v>0</v>
      </c>
      <c r="S1559">
        <f>IFERROR(O1559,0)+IFERROR(R1559,0)</f>
        <v>0</v>
      </c>
      <c r="T1559">
        <f>IF(A1559="","",YEAR(A1559))</f>
        <v>0</v>
      </c>
    </row>
    <row r="1560" spans="1:20">
      <c r="A1560">
        <f>'Raw Data'!B1560</f>
        <v>0</v>
      </c>
      <c r="B1560">
        <f>'Raw Data'!A1560</f>
        <v>0</v>
      </c>
      <c r="C1560">
        <f>'Raw Data'!C1560</f>
        <v>0</v>
      </c>
      <c r="D1560">
        <f>'Raw Data'!D1560</f>
        <v>0</v>
      </c>
      <c r="E1560">
        <f>IFERROR(VLOOKUP(D1560,'Lookup Tables'!$A:$B,2,FALSE),"Unknown")</f>
        <v>0</v>
      </c>
      <c r="F1560">
        <f>'Raw Data'!E1560</f>
        <v>0</v>
      </c>
      <c r="G1560">
        <f>IFERROR(VLOOKUP(D1560,'Lookup Tables'!$A:$C,3,FALSE),IF(ISNUMBER(SEARCH("STEEL",F1560)),"Steel","Others"))</f>
        <v>0</v>
      </c>
      <c r="H1560">
        <f>IF(ISNUMBER(SEARCH("scrubber",F1560)) , "Scrubber", IF(ISNUMBER(SEARCH("container",F1560)),"Container", IF(ISNUMBER(SEARCH("basket",F1560)),"Basket", IF(ISNUMBER(SEARCH("lunch",F1560)),"Lunch Box", IF(ISNUMBER(SEARCH("cutlery",F1560)),"Cutlery","Other")))))</f>
        <v>0</v>
      </c>
      <c r="I1560">
        <f>IF('Raw Data'!G1560&lt;&gt;'','Raw Data'!G1560,IFERROR(MID(F1560,SEARCH("MODEL",F1560)+6,20),""))</f>
        <v>0</v>
      </c>
      <c r="J1560">
        <f>'Raw Data'!H1560</f>
        <v>0</v>
      </c>
      <c r="K1560">
        <f>'Raw Data'!I1560</f>
        <v>0</v>
      </c>
      <c r="L1560">
        <f>IF('Raw Data'!N1560&lt;&gt;0,'Raw Data'!N1560,IFERROR(VALUE(MID(F1560,SEARCH("QTY",F1560)+4,IFERROR(FIND(" ",F1560,SEARCH("QTY",F1560)+4)-(SEARCH("QTY",F1560)+4),3))),""))</f>
        <v>0</v>
      </c>
      <c r="M1560">
        <f>'Raw Data'!O1560</f>
        <v>0</v>
      </c>
      <c r="N1560">
        <f>'Raw Data'!P1560</f>
        <v>0</v>
      </c>
      <c r="O1560">
        <f>'Raw Data'!Q1560</f>
        <v>0</v>
      </c>
      <c r="P1560">
        <f>'Raw Data'!R1560</f>
        <v>0</v>
      </c>
      <c r="Q1560">
        <f>'Raw Data'!S1560</f>
        <v>0</v>
      </c>
      <c r="R1560">
        <f>'Raw Data'!T1560</f>
        <v>0</v>
      </c>
      <c r="S1560">
        <f>IFERROR(O1560,0)+IFERROR(R1560,0)</f>
        <v>0</v>
      </c>
      <c r="T1560">
        <f>IF(A1560="","",YEAR(A1560))</f>
        <v>0</v>
      </c>
    </row>
    <row r="1561" spans="1:20">
      <c r="A1561">
        <f>'Raw Data'!B1561</f>
        <v>0</v>
      </c>
      <c r="B1561">
        <f>'Raw Data'!A1561</f>
        <v>0</v>
      </c>
      <c r="C1561">
        <f>'Raw Data'!C1561</f>
        <v>0</v>
      </c>
      <c r="D1561">
        <f>'Raw Data'!D1561</f>
        <v>0</v>
      </c>
      <c r="E1561">
        <f>IFERROR(VLOOKUP(D1561,'Lookup Tables'!$A:$B,2,FALSE),"Unknown")</f>
        <v>0</v>
      </c>
      <c r="F1561">
        <f>'Raw Data'!E1561</f>
        <v>0</v>
      </c>
      <c r="G1561">
        <f>IFERROR(VLOOKUP(D1561,'Lookup Tables'!$A:$C,3,FALSE),IF(ISNUMBER(SEARCH("STEEL",F1561)),"Steel","Others"))</f>
        <v>0</v>
      </c>
      <c r="H1561">
        <f>IF(ISNUMBER(SEARCH("scrubber",F1561)) , "Scrubber", IF(ISNUMBER(SEARCH("container",F1561)),"Container", IF(ISNUMBER(SEARCH("basket",F1561)),"Basket", IF(ISNUMBER(SEARCH("lunch",F1561)),"Lunch Box", IF(ISNUMBER(SEARCH("cutlery",F1561)),"Cutlery","Other")))))</f>
        <v>0</v>
      </c>
      <c r="I1561">
        <f>IF('Raw Data'!G1561&lt;&gt;'','Raw Data'!G1561,IFERROR(MID(F1561,SEARCH("MODEL",F1561)+6,20),""))</f>
        <v>0</v>
      </c>
      <c r="J1561">
        <f>'Raw Data'!H1561</f>
        <v>0</v>
      </c>
      <c r="K1561">
        <f>'Raw Data'!I1561</f>
        <v>0</v>
      </c>
      <c r="L1561">
        <f>IF('Raw Data'!N1561&lt;&gt;0,'Raw Data'!N1561,IFERROR(VALUE(MID(F1561,SEARCH("QTY",F1561)+4,IFERROR(FIND(" ",F1561,SEARCH("QTY",F1561)+4)-(SEARCH("QTY",F1561)+4),3))),""))</f>
        <v>0</v>
      </c>
      <c r="M1561">
        <f>'Raw Data'!O1561</f>
        <v>0</v>
      </c>
      <c r="N1561">
        <f>'Raw Data'!P1561</f>
        <v>0</v>
      </c>
      <c r="O1561">
        <f>'Raw Data'!Q1561</f>
        <v>0</v>
      </c>
      <c r="P1561">
        <f>'Raw Data'!R1561</f>
        <v>0</v>
      </c>
      <c r="Q1561">
        <f>'Raw Data'!S1561</f>
        <v>0</v>
      </c>
      <c r="R1561">
        <f>'Raw Data'!T1561</f>
        <v>0</v>
      </c>
      <c r="S1561">
        <f>IFERROR(O1561,0)+IFERROR(R1561,0)</f>
        <v>0</v>
      </c>
      <c r="T1561">
        <f>IF(A1561="","",YEAR(A1561))</f>
        <v>0</v>
      </c>
    </row>
    <row r="1562" spans="1:20">
      <c r="A1562">
        <f>'Raw Data'!B1562</f>
        <v>0</v>
      </c>
      <c r="B1562">
        <f>'Raw Data'!A1562</f>
        <v>0</v>
      </c>
      <c r="C1562">
        <f>'Raw Data'!C1562</f>
        <v>0</v>
      </c>
      <c r="D1562">
        <f>'Raw Data'!D1562</f>
        <v>0</v>
      </c>
      <c r="E1562">
        <f>IFERROR(VLOOKUP(D1562,'Lookup Tables'!$A:$B,2,FALSE),"Unknown")</f>
        <v>0</v>
      </c>
      <c r="F1562">
        <f>'Raw Data'!E1562</f>
        <v>0</v>
      </c>
      <c r="G1562">
        <f>IFERROR(VLOOKUP(D1562,'Lookup Tables'!$A:$C,3,FALSE),IF(ISNUMBER(SEARCH("STEEL",F1562)),"Steel","Others"))</f>
        <v>0</v>
      </c>
      <c r="H1562">
        <f>IF(ISNUMBER(SEARCH("scrubber",F1562)) , "Scrubber", IF(ISNUMBER(SEARCH("container",F1562)),"Container", IF(ISNUMBER(SEARCH("basket",F1562)),"Basket", IF(ISNUMBER(SEARCH("lunch",F1562)),"Lunch Box", IF(ISNUMBER(SEARCH("cutlery",F1562)),"Cutlery","Other")))))</f>
        <v>0</v>
      </c>
      <c r="I1562">
        <f>IF('Raw Data'!G1562&lt;&gt;'','Raw Data'!G1562,IFERROR(MID(F1562,SEARCH("MODEL",F1562)+6,20),""))</f>
        <v>0</v>
      </c>
      <c r="J1562">
        <f>'Raw Data'!H1562</f>
        <v>0</v>
      </c>
      <c r="K1562">
        <f>'Raw Data'!I1562</f>
        <v>0</v>
      </c>
      <c r="L1562">
        <f>IF('Raw Data'!N1562&lt;&gt;0,'Raw Data'!N1562,IFERROR(VALUE(MID(F1562,SEARCH("QTY",F1562)+4,IFERROR(FIND(" ",F1562,SEARCH("QTY",F1562)+4)-(SEARCH("QTY",F1562)+4),3))),""))</f>
        <v>0</v>
      </c>
      <c r="M1562">
        <f>'Raw Data'!O1562</f>
        <v>0</v>
      </c>
      <c r="N1562">
        <f>'Raw Data'!P1562</f>
        <v>0</v>
      </c>
      <c r="O1562">
        <f>'Raw Data'!Q1562</f>
        <v>0</v>
      </c>
      <c r="P1562">
        <f>'Raw Data'!R1562</f>
        <v>0</v>
      </c>
      <c r="Q1562">
        <f>'Raw Data'!S1562</f>
        <v>0</v>
      </c>
      <c r="R1562">
        <f>'Raw Data'!T1562</f>
        <v>0</v>
      </c>
      <c r="S1562">
        <f>IFERROR(O1562,0)+IFERROR(R1562,0)</f>
        <v>0</v>
      </c>
      <c r="T1562">
        <f>IF(A1562="","",YEAR(A1562))</f>
        <v>0</v>
      </c>
    </row>
    <row r="1563" spans="1:20">
      <c r="A1563">
        <f>'Raw Data'!B1563</f>
        <v>0</v>
      </c>
      <c r="B1563">
        <f>'Raw Data'!A1563</f>
        <v>0</v>
      </c>
      <c r="C1563">
        <f>'Raw Data'!C1563</f>
        <v>0</v>
      </c>
      <c r="D1563">
        <f>'Raw Data'!D1563</f>
        <v>0</v>
      </c>
      <c r="E1563">
        <f>IFERROR(VLOOKUP(D1563,'Lookup Tables'!$A:$B,2,FALSE),"Unknown")</f>
        <v>0</v>
      </c>
      <c r="F1563">
        <f>'Raw Data'!E1563</f>
        <v>0</v>
      </c>
      <c r="G1563">
        <f>IFERROR(VLOOKUP(D1563,'Lookup Tables'!$A:$C,3,FALSE),IF(ISNUMBER(SEARCH("STEEL",F1563)),"Steel","Others"))</f>
        <v>0</v>
      </c>
      <c r="H1563">
        <f>IF(ISNUMBER(SEARCH("scrubber",F1563)) , "Scrubber", IF(ISNUMBER(SEARCH("container",F1563)),"Container", IF(ISNUMBER(SEARCH("basket",F1563)),"Basket", IF(ISNUMBER(SEARCH("lunch",F1563)),"Lunch Box", IF(ISNUMBER(SEARCH("cutlery",F1563)),"Cutlery","Other")))))</f>
        <v>0</v>
      </c>
      <c r="I1563">
        <f>IF('Raw Data'!G1563&lt;&gt;'','Raw Data'!G1563,IFERROR(MID(F1563,SEARCH("MODEL",F1563)+6,20),""))</f>
        <v>0</v>
      </c>
      <c r="J1563">
        <f>'Raw Data'!H1563</f>
        <v>0</v>
      </c>
      <c r="K1563">
        <f>'Raw Data'!I1563</f>
        <v>0</v>
      </c>
      <c r="L1563">
        <f>IF('Raw Data'!N1563&lt;&gt;0,'Raw Data'!N1563,IFERROR(VALUE(MID(F1563,SEARCH("QTY",F1563)+4,IFERROR(FIND(" ",F1563,SEARCH("QTY",F1563)+4)-(SEARCH("QTY",F1563)+4),3))),""))</f>
        <v>0</v>
      </c>
      <c r="M1563">
        <f>'Raw Data'!O1563</f>
        <v>0</v>
      </c>
      <c r="N1563">
        <f>'Raw Data'!P1563</f>
        <v>0</v>
      </c>
      <c r="O1563">
        <f>'Raw Data'!Q1563</f>
        <v>0</v>
      </c>
      <c r="P1563">
        <f>'Raw Data'!R1563</f>
        <v>0</v>
      </c>
      <c r="Q1563">
        <f>'Raw Data'!S1563</f>
        <v>0</v>
      </c>
      <c r="R1563">
        <f>'Raw Data'!T1563</f>
        <v>0</v>
      </c>
      <c r="S1563">
        <f>IFERROR(O1563,0)+IFERROR(R1563,0)</f>
        <v>0</v>
      </c>
      <c r="T1563">
        <f>IF(A1563="","",YEAR(A1563))</f>
        <v>0</v>
      </c>
    </row>
    <row r="1564" spans="1:20">
      <c r="A1564">
        <f>'Raw Data'!B1564</f>
        <v>0</v>
      </c>
      <c r="B1564">
        <f>'Raw Data'!A1564</f>
        <v>0</v>
      </c>
      <c r="C1564">
        <f>'Raw Data'!C1564</f>
        <v>0</v>
      </c>
      <c r="D1564">
        <f>'Raw Data'!D1564</f>
        <v>0</v>
      </c>
      <c r="E1564">
        <f>IFERROR(VLOOKUP(D1564,'Lookup Tables'!$A:$B,2,FALSE),"Unknown")</f>
        <v>0</v>
      </c>
      <c r="F1564">
        <f>'Raw Data'!E1564</f>
        <v>0</v>
      </c>
      <c r="G1564">
        <f>IFERROR(VLOOKUP(D1564,'Lookup Tables'!$A:$C,3,FALSE),IF(ISNUMBER(SEARCH("STEEL",F1564)),"Steel","Others"))</f>
        <v>0</v>
      </c>
      <c r="H1564">
        <f>IF(ISNUMBER(SEARCH("scrubber",F1564)) , "Scrubber", IF(ISNUMBER(SEARCH("container",F1564)),"Container", IF(ISNUMBER(SEARCH("basket",F1564)),"Basket", IF(ISNUMBER(SEARCH("lunch",F1564)),"Lunch Box", IF(ISNUMBER(SEARCH("cutlery",F1564)),"Cutlery","Other")))))</f>
        <v>0</v>
      </c>
      <c r="I1564">
        <f>IF('Raw Data'!G1564&lt;&gt;'','Raw Data'!G1564,IFERROR(MID(F1564,SEARCH("MODEL",F1564)+6,20),""))</f>
        <v>0</v>
      </c>
      <c r="J1564">
        <f>'Raw Data'!H1564</f>
        <v>0</v>
      </c>
      <c r="K1564">
        <f>'Raw Data'!I1564</f>
        <v>0</v>
      </c>
      <c r="L1564">
        <f>IF('Raw Data'!N1564&lt;&gt;0,'Raw Data'!N1564,IFERROR(VALUE(MID(F1564,SEARCH("QTY",F1564)+4,IFERROR(FIND(" ",F1564,SEARCH("QTY",F1564)+4)-(SEARCH("QTY",F1564)+4),3))),""))</f>
        <v>0</v>
      </c>
      <c r="M1564">
        <f>'Raw Data'!O1564</f>
        <v>0</v>
      </c>
      <c r="N1564">
        <f>'Raw Data'!P1564</f>
        <v>0</v>
      </c>
      <c r="O1564">
        <f>'Raw Data'!Q1564</f>
        <v>0</v>
      </c>
      <c r="P1564">
        <f>'Raw Data'!R1564</f>
        <v>0</v>
      </c>
      <c r="Q1564">
        <f>'Raw Data'!S1564</f>
        <v>0</v>
      </c>
      <c r="R1564">
        <f>'Raw Data'!T1564</f>
        <v>0</v>
      </c>
      <c r="S1564">
        <f>IFERROR(O1564,0)+IFERROR(R1564,0)</f>
        <v>0</v>
      </c>
      <c r="T1564">
        <f>IF(A1564="","",YEAR(A1564))</f>
        <v>0</v>
      </c>
    </row>
    <row r="1565" spans="1:20">
      <c r="A1565">
        <f>'Raw Data'!B1565</f>
        <v>0</v>
      </c>
      <c r="B1565">
        <f>'Raw Data'!A1565</f>
        <v>0</v>
      </c>
      <c r="C1565">
        <f>'Raw Data'!C1565</f>
        <v>0</v>
      </c>
      <c r="D1565">
        <f>'Raw Data'!D1565</f>
        <v>0</v>
      </c>
      <c r="E1565">
        <f>IFERROR(VLOOKUP(D1565,'Lookup Tables'!$A:$B,2,FALSE),"Unknown")</f>
        <v>0</v>
      </c>
      <c r="F1565">
        <f>'Raw Data'!E1565</f>
        <v>0</v>
      </c>
      <c r="G1565">
        <f>IFERROR(VLOOKUP(D1565,'Lookup Tables'!$A:$C,3,FALSE),IF(ISNUMBER(SEARCH("STEEL",F1565)),"Steel","Others"))</f>
        <v>0</v>
      </c>
      <c r="H1565">
        <f>IF(ISNUMBER(SEARCH("scrubber",F1565)) , "Scrubber", IF(ISNUMBER(SEARCH("container",F1565)),"Container", IF(ISNUMBER(SEARCH("basket",F1565)),"Basket", IF(ISNUMBER(SEARCH("lunch",F1565)),"Lunch Box", IF(ISNUMBER(SEARCH("cutlery",F1565)),"Cutlery","Other")))))</f>
        <v>0</v>
      </c>
      <c r="I1565">
        <f>IF('Raw Data'!G1565&lt;&gt;'','Raw Data'!G1565,IFERROR(MID(F1565,SEARCH("MODEL",F1565)+6,20),""))</f>
        <v>0</v>
      </c>
      <c r="J1565">
        <f>'Raw Data'!H1565</f>
        <v>0</v>
      </c>
      <c r="K1565">
        <f>'Raw Data'!I1565</f>
        <v>0</v>
      </c>
      <c r="L1565">
        <f>IF('Raw Data'!N1565&lt;&gt;0,'Raw Data'!N1565,IFERROR(VALUE(MID(F1565,SEARCH("QTY",F1565)+4,IFERROR(FIND(" ",F1565,SEARCH("QTY",F1565)+4)-(SEARCH("QTY",F1565)+4),3))),""))</f>
        <v>0</v>
      </c>
      <c r="M1565">
        <f>'Raw Data'!O1565</f>
        <v>0</v>
      </c>
      <c r="N1565">
        <f>'Raw Data'!P1565</f>
        <v>0</v>
      </c>
      <c r="O1565">
        <f>'Raw Data'!Q1565</f>
        <v>0</v>
      </c>
      <c r="P1565">
        <f>'Raw Data'!R1565</f>
        <v>0</v>
      </c>
      <c r="Q1565">
        <f>'Raw Data'!S1565</f>
        <v>0</v>
      </c>
      <c r="R1565">
        <f>'Raw Data'!T1565</f>
        <v>0</v>
      </c>
      <c r="S1565">
        <f>IFERROR(O1565,0)+IFERROR(R1565,0)</f>
        <v>0</v>
      </c>
      <c r="T1565">
        <f>IF(A1565="","",YEAR(A1565))</f>
        <v>0</v>
      </c>
    </row>
    <row r="1566" spans="1:20">
      <c r="A1566">
        <f>'Raw Data'!B1566</f>
        <v>0</v>
      </c>
      <c r="B1566">
        <f>'Raw Data'!A1566</f>
        <v>0</v>
      </c>
      <c r="C1566">
        <f>'Raw Data'!C1566</f>
        <v>0</v>
      </c>
      <c r="D1566">
        <f>'Raw Data'!D1566</f>
        <v>0</v>
      </c>
      <c r="E1566">
        <f>IFERROR(VLOOKUP(D1566,'Lookup Tables'!$A:$B,2,FALSE),"Unknown")</f>
        <v>0</v>
      </c>
      <c r="F1566">
        <f>'Raw Data'!E1566</f>
        <v>0</v>
      </c>
      <c r="G1566">
        <f>IFERROR(VLOOKUP(D1566,'Lookup Tables'!$A:$C,3,FALSE),IF(ISNUMBER(SEARCH("STEEL",F1566)),"Steel","Others"))</f>
        <v>0</v>
      </c>
      <c r="H1566">
        <f>IF(ISNUMBER(SEARCH("scrubber",F1566)) , "Scrubber", IF(ISNUMBER(SEARCH("container",F1566)),"Container", IF(ISNUMBER(SEARCH("basket",F1566)),"Basket", IF(ISNUMBER(SEARCH("lunch",F1566)),"Lunch Box", IF(ISNUMBER(SEARCH("cutlery",F1566)),"Cutlery","Other")))))</f>
        <v>0</v>
      </c>
      <c r="I1566">
        <f>IF('Raw Data'!G1566&lt;&gt;'','Raw Data'!G1566,IFERROR(MID(F1566,SEARCH("MODEL",F1566)+6,20),""))</f>
        <v>0</v>
      </c>
      <c r="J1566">
        <f>'Raw Data'!H1566</f>
        <v>0</v>
      </c>
      <c r="K1566">
        <f>'Raw Data'!I1566</f>
        <v>0</v>
      </c>
      <c r="L1566">
        <f>IF('Raw Data'!N1566&lt;&gt;0,'Raw Data'!N1566,IFERROR(VALUE(MID(F1566,SEARCH("QTY",F1566)+4,IFERROR(FIND(" ",F1566,SEARCH("QTY",F1566)+4)-(SEARCH("QTY",F1566)+4),3))),""))</f>
        <v>0</v>
      </c>
      <c r="M1566">
        <f>'Raw Data'!O1566</f>
        <v>0</v>
      </c>
      <c r="N1566">
        <f>'Raw Data'!P1566</f>
        <v>0</v>
      </c>
      <c r="O1566">
        <f>'Raw Data'!Q1566</f>
        <v>0</v>
      </c>
      <c r="P1566">
        <f>'Raw Data'!R1566</f>
        <v>0</v>
      </c>
      <c r="Q1566">
        <f>'Raw Data'!S1566</f>
        <v>0</v>
      </c>
      <c r="R1566">
        <f>'Raw Data'!T1566</f>
        <v>0</v>
      </c>
      <c r="S1566">
        <f>IFERROR(O1566,0)+IFERROR(R1566,0)</f>
        <v>0</v>
      </c>
      <c r="T1566">
        <f>IF(A1566="","",YEAR(A1566))</f>
        <v>0</v>
      </c>
    </row>
    <row r="1567" spans="1:20">
      <c r="A1567">
        <f>'Raw Data'!B1567</f>
        <v>0</v>
      </c>
      <c r="B1567">
        <f>'Raw Data'!A1567</f>
        <v>0</v>
      </c>
      <c r="C1567">
        <f>'Raw Data'!C1567</f>
        <v>0</v>
      </c>
      <c r="D1567">
        <f>'Raw Data'!D1567</f>
        <v>0</v>
      </c>
      <c r="E1567">
        <f>IFERROR(VLOOKUP(D1567,'Lookup Tables'!$A:$B,2,FALSE),"Unknown")</f>
        <v>0</v>
      </c>
      <c r="F1567">
        <f>'Raw Data'!E1567</f>
        <v>0</v>
      </c>
      <c r="G1567">
        <f>IFERROR(VLOOKUP(D1567,'Lookup Tables'!$A:$C,3,FALSE),IF(ISNUMBER(SEARCH("STEEL",F1567)),"Steel","Others"))</f>
        <v>0</v>
      </c>
      <c r="H1567">
        <f>IF(ISNUMBER(SEARCH("scrubber",F1567)) , "Scrubber", IF(ISNUMBER(SEARCH("container",F1567)),"Container", IF(ISNUMBER(SEARCH("basket",F1567)),"Basket", IF(ISNUMBER(SEARCH("lunch",F1567)),"Lunch Box", IF(ISNUMBER(SEARCH("cutlery",F1567)),"Cutlery","Other")))))</f>
        <v>0</v>
      </c>
      <c r="I1567">
        <f>IF('Raw Data'!G1567&lt;&gt;'','Raw Data'!G1567,IFERROR(MID(F1567,SEARCH("MODEL",F1567)+6,20),""))</f>
        <v>0</v>
      </c>
      <c r="J1567">
        <f>'Raw Data'!H1567</f>
        <v>0</v>
      </c>
      <c r="K1567">
        <f>'Raw Data'!I1567</f>
        <v>0</v>
      </c>
      <c r="L1567">
        <f>IF('Raw Data'!N1567&lt;&gt;0,'Raw Data'!N1567,IFERROR(VALUE(MID(F1567,SEARCH("QTY",F1567)+4,IFERROR(FIND(" ",F1567,SEARCH("QTY",F1567)+4)-(SEARCH("QTY",F1567)+4),3))),""))</f>
        <v>0</v>
      </c>
      <c r="M1567">
        <f>'Raw Data'!O1567</f>
        <v>0</v>
      </c>
      <c r="N1567">
        <f>'Raw Data'!P1567</f>
        <v>0</v>
      </c>
      <c r="O1567">
        <f>'Raw Data'!Q1567</f>
        <v>0</v>
      </c>
      <c r="P1567">
        <f>'Raw Data'!R1567</f>
        <v>0</v>
      </c>
      <c r="Q1567">
        <f>'Raw Data'!S1567</f>
        <v>0</v>
      </c>
      <c r="R1567">
        <f>'Raw Data'!T1567</f>
        <v>0</v>
      </c>
      <c r="S1567">
        <f>IFERROR(O1567,0)+IFERROR(R1567,0)</f>
        <v>0</v>
      </c>
      <c r="T1567">
        <f>IF(A1567="","",YEAR(A1567))</f>
        <v>0</v>
      </c>
    </row>
    <row r="1568" spans="1:20">
      <c r="A1568">
        <f>'Raw Data'!B1568</f>
        <v>0</v>
      </c>
      <c r="B1568">
        <f>'Raw Data'!A1568</f>
        <v>0</v>
      </c>
      <c r="C1568">
        <f>'Raw Data'!C1568</f>
        <v>0</v>
      </c>
      <c r="D1568">
        <f>'Raw Data'!D1568</f>
        <v>0</v>
      </c>
      <c r="E1568">
        <f>IFERROR(VLOOKUP(D1568,'Lookup Tables'!$A:$B,2,FALSE),"Unknown")</f>
        <v>0</v>
      </c>
      <c r="F1568">
        <f>'Raw Data'!E1568</f>
        <v>0</v>
      </c>
      <c r="G1568">
        <f>IFERROR(VLOOKUP(D1568,'Lookup Tables'!$A:$C,3,FALSE),IF(ISNUMBER(SEARCH("STEEL",F1568)),"Steel","Others"))</f>
        <v>0</v>
      </c>
      <c r="H1568">
        <f>IF(ISNUMBER(SEARCH("scrubber",F1568)) , "Scrubber", IF(ISNUMBER(SEARCH("container",F1568)),"Container", IF(ISNUMBER(SEARCH("basket",F1568)),"Basket", IF(ISNUMBER(SEARCH("lunch",F1568)),"Lunch Box", IF(ISNUMBER(SEARCH("cutlery",F1568)),"Cutlery","Other")))))</f>
        <v>0</v>
      </c>
      <c r="I1568">
        <f>IF('Raw Data'!G1568&lt;&gt;'','Raw Data'!G1568,IFERROR(MID(F1568,SEARCH("MODEL",F1568)+6,20),""))</f>
        <v>0</v>
      </c>
      <c r="J1568">
        <f>'Raw Data'!H1568</f>
        <v>0</v>
      </c>
      <c r="K1568">
        <f>'Raw Data'!I1568</f>
        <v>0</v>
      </c>
      <c r="L1568">
        <f>IF('Raw Data'!N1568&lt;&gt;0,'Raw Data'!N1568,IFERROR(VALUE(MID(F1568,SEARCH("QTY",F1568)+4,IFERROR(FIND(" ",F1568,SEARCH("QTY",F1568)+4)-(SEARCH("QTY",F1568)+4),3))),""))</f>
        <v>0</v>
      </c>
      <c r="M1568">
        <f>'Raw Data'!O1568</f>
        <v>0</v>
      </c>
      <c r="N1568">
        <f>'Raw Data'!P1568</f>
        <v>0</v>
      </c>
      <c r="O1568">
        <f>'Raw Data'!Q1568</f>
        <v>0</v>
      </c>
      <c r="P1568">
        <f>'Raw Data'!R1568</f>
        <v>0</v>
      </c>
      <c r="Q1568">
        <f>'Raw Data'!S1568</f>
        <v>0</v>
      </c>
      <c r="R1568">
        <f>'Raw Data'!T1568</f>
        <v>0</v>
      </c>
      <c r="S1568">
        <f>IFERROR(O1568,0)+IFERROR(R1568,0)</f>
        <v>0</v>
      </c>
      <c r="T1568">
        <f>IF(A1568="","",YEAR(A1568))</f>
        <v>0</v>
      </c>
    </row>
    <row r="1569" spans="1:20">
      <c r="A1569">
        <f>'Raw Data'!B1569</f>
        <v>0</v>
      </c>
      <c r="B1569">
        <f>'Raw Data'!A1569</f>
        <v>0</v>
      </c>
      <c r="C1569">
        <f>'Raw Data'!C1569</f>
        <v>0</v>
      </c>
      <c r="D1569">
        <f>'Raw Data'!D1569</f>
        <v>0</v>
      </c>
      <c r="E1569">
        <f>IFERROR(VLOOKUP(D1569,'Lookup Tables'!$A:$B,2,FALSE),"Unknown")</f>
        <v>0</v>
      </c>
      <c r="F1569">
        <f>'Raw Data'!E1569</f>
        <v>0</v>
      </c>
      <c r="G1569">
        <f>IFERROR(VLOOKUP(D1569,'Lookup Tables'!$A:$C,3,FALSE),IF(ISNUMBER(SEARCH("STEEL",F1569)),"Steel","Others"))</f>
        <v>0</v>
      </c>
      <c r="H1569">
        <f>IF(ISNUMBER(SEARCH("scrubber",F1569)) , "Scrubber", IF(ISNUMBER(SEARCH("container",F1569)),"Container", IF(ISNUMBER(SEARCH("basket",F1569)),"Basket", IF(ISNUMBER(SEARCH("lunch",F1569)),"Lunch Box", IF(ISNUMBER(SEARCH("cutlery",F1569)),"Cutlery","Other")))))</f>
        <v>0</v>
      </c>
      <c r="I1569">
        <f>IF('Raw Data'!G1569&lt;&gt;'','Raw Data'!G1569,IFERROR(MID(F1569,SEARCH("MODEL",F1569)+6,20),""))</f>
        <v>0</v>
      </c>
      <c r="J1569">
        <f>'Raw Data'!H1569</f>
        <v>0</v>
      </c>
      <c r="K1569">
        <f>'Raw Data'!I1569</f>
        <v>0</v>
      </c>
      <c r="L1569">
        <f>IF('Raw Data'!N1569&lt;&gt;0,'Raw Data'!N1569,IFERROR(VALUE(MID(F1569,SEARCH("QTY",F1569)+4,IFERROR(FIND(" ",F1569,SEARCH("QTY",F1569)+4)-(SEARCH("QTY",F1569)+4),3))),""))</f>
        <v>0</v>
      </c>
      <c r="M1569">
        <f>'Raw Data'!O1569</f>
        <v>0</v>
      </c>
      <c r="N1569">
        <f>'Raw Data'!P1569</f>
        <v>0</v>
      </c>
      <c r="O1569">
        <f>'Raw Data'!Q1569</f>
        <v>0</v>
      </c>
      <c r="P1569">
        <f>'Raw Data'!R1569</f>
        <v>0</v>
      </c>
      <c r="Q1569">
        <f>'Raw Data'!S1569</f>
        <v>0</v>
      </c>
      <c r="R1569">
        <f>'Raw Data'!T1569</f>
        <v>0</v>
      </c>
      <c r="S1569">
        <f>IFERROR(O1569,0)+IFERROR(R1569,0)</f>
        <v>0</v>
      </c>
      <c r="T1569">
        <f>IF(A1569="","",YEAR(A1569))</f>
        <v>0</v>
      </c>
    </row>
    <row r="1570" spans="1:20">
      <c r="A1570">
        <f>'Raw Data'!B1570</f>
        <v>0</v>
      </c>
      <c r="B1570">
        <f>'Raw Data'!A1570</f>
        <v>0</v>
      </c>
      <c r="C1570">
        <f>'Raw Data'!C1570</f>
        <v>0</v>
      </c>
      <c r="D1570">
        <f>'Raw Data'!D1570</f>
        <v>0</v>
      </c>
      <c r="E1570">
        <f>IFERROR(VLOOKUP(D1570,'Lookup Tables'!$A:$B,2,FALSE),"Unknown")</f>
        <v>0</v>
      </c>
      <c r="F1570">
        <f>'Raw Data'!E1570</f>
        <v>0</v>
      </c>
      <c r="G1570">
        <f>IFERROR(VLOOKUP(D1570,'Lookup Tables'!$A:$C,3,FALSE),IF(ISNUMBER(SEARCH("STEEL",F1570)),"Steel","Others"))</f>
        <v>0</v>
      </c>
      <c r="H1570">
        <f>IF(ISNUMBER(SEARCH("scrubber",F1570)) , "Scrubber", IF(ISNUMBER(SEARCH("container",F1570)),"Container", IF(ISNUMBER(SEARCH("basket",F1570)),"Basket", IF(ISNUMBER(SEARCH("lunch",F1570)),"Lunch Box", IF(ISNUMBER(SEARCH("cutlery",F1570)),"Cutlery","Other")))))</f>
        <v>0</v>
      </c>
      <c r="I1570">
        <f>IF('Raw Data'!G1570&lt;&gt;'','Raw Data'!G1570,IFERROR(MID(F1570,SEARCH("MODEL",F1570)+6,20),""))</f>
        <v>0</v>
      </c>
      <c r="J1570">
        <f>'Raw Data'!H1570</f>
        <v>0</v>
      </c>
      <c r="K1570">
        <f>'Raw Data'!I1570</f>
        <v>0</v>
      </c>
      <c r="L1570">
        <f>IF('Raw Data'!N1570&lt;&gt;0,'Raw Data'!N1570,IFERROR(VALUE(MID(F1570,SEARCH("QTY",F1570)+4,IFERROR(FIND(" ",F1570,SEARCH("QTY",F1570)+4)-(SEARCH("QTY",F1570)+4),3))),""))</f>
        <v>0</v>
      </c>
      <c r="M1570">
        <f>'Raw Data'!O1570</f>
        <v>0</v>
      </c>
      <c r="N1570">
        <f>'Raw Data'!P1570</f>
        <v>0</v>
      </c>
      <c r="O1570">
        <f>'Raw Data'!Q1570</f>
        <v>0</v>
      </c>
      <c r="P1570">
        <f>'Raw Data'!R1570</f>
        <v>0</v>
      </c>
      <c r="Q1570">
        <f>'Raw Data'!S1570</f>
        <v>0</v>
      </c>
      <c r="R1570">
        <f>'Raw Data'!T1570</f>
        <v>0</v>
      </c>
      <c r="S1570">
        <f>IFERROR(O1570,0)+IFERROR(R1570,0)</f>
        <v>0</v>
      </c>
      <c r="T1570">
        <f>IF(A1570="","",YEAR(A1570))</f>
        <v>0</v>
      </c>
    </row>
    <row r="1571" spans="1:20">
      <c r="A1571">
        <f>'Raw Data'!B1571</f>
        <v>0</v>
      </c>
      <c r="B1571">
        <f>'Raw Data'!A1571</f>
        <v>0</v>
      </c>
      <c r="C1571">
        <f>'Raw Data'!C1571</f>
        <v>0</v>
      </c>
      <c r="D1571">
        <f>'Raw Data'!D1571</f>
        <v>0</v>
      </c>
      <c r="E1571">
        <f>IFERROR(VLOOKUP(D1571,'Lookup Tables'!$A:$B,2,FALSE),"Unknown")</f>
        <v>0</v>
      </c>
      <c r="F1571">
        <f>'Raw Data'!E1571</f>
        <v>0</v>
      </c>
      <c r="G1571">
        <f>IFERROR(VLOOKUP(D1571,'Lookup Tables'!$A:$C,3,FALSE),IF(ISNUMBER(SEARCH("STEEL",F1571)),"Steel","Others"))</f>
        <v>0</v>
      </c>
      <c r="H1571">
        <f>IF(ISNUMBER(SEARCH("scrubber",F1571)) , "Scrubber", IF(ISNUMBER(SEARCH("container",F1571)),"Container", IF(ISNUMBER(SEARCH("basket",F1571)),"Basket", IF(ISNUMBER(SEARCH("lunch",F1571)),"Lunch Box", IF(ISNUMBER(SEARCH("cutlery",F1571)),"Cutlery","Other")))))</f>
        <v>0</v>
      </c>
      <c r="I1571">
        <f>IF('Raw Data'!G1571&lt;&gt;'','Raw Data'!G1571,IFERROR(MID(F1571,SEARCH("MODEL",F1571)+6,20),""))</f>
        <v>0</v>
      </c>
      <c r="J1571">
        <f>'Raw Data'!H1571</f>
        <v>0</v>
      </c>
      <c r="K1571">
        <f>'Raw Data'!I1571</f>
        <v>0</v>
      </c>
      <c r="L1571">
        <f>IF('Raw Data'!N1571&lt;&gt;0,'Raw Data'!N1571,IFERROR(VALUE(MID(F1571,SEARCH("QTY",F1571)+4,IFERROR(FIND(" ",F1571,SEARCH("QTY",F1571)+4)-(SEARCH("QTY",F1571)+4),3))),""))</f>
        <v>0</v>
      </c>
      <c r="M1571">
        <f>'Raw Data'!O1571</f>
        <v>0</v>
      </c>
      <c r="N1571">
        <f>'Raw Data'!P1571</f>
        <v>0</v>
      </c>
      <c r="O1571">
        <f>'Raw Data'!Q1571</f>
        <v>0</v>
      </c>
      <c r="P1571">
        <f>'Raw Data'!R1571</f>
        <v>0</v>
      </c>
      <c r="Q1571">
        <f>'Raw Data'!S1571</f>
        <v>0</v>
      </c>
      <c r="R1571">
        <f>'Raw Data'!T1571</f>
        <v>0</v>
      </c>
      <c r="S1571">
        <f>IFERROR(O1571,0)+IFERROR(R1571,0)</f>
        <v>0</v>
      </c>
      <c r="T1571">
        <f>IF(A1571="","",YEAR(A1571))</f>
        <v>0</v>
      </c>
    </row>
    <row r="1572" spans="1:20">
      <c r="A1572">
        <f>'Raw Data'!B1572</f>
        <v>0</v>
      </c>
      <c r="B1572">
        <f>'Raw Data'!A1572</f>
        <v>0</v>
      </c>
      <c r="C1572">
        <f>'Raw Data'!C1572</f>
        <v>0</v>
      </c>
      <c r="D1572">
        <f>'Raw Data'!D1572</f>
        <v>0</v>
      </c>
      <c r="E1572">
        <f>IFERROR(VLOOKUP(D1572,'Lookup Tables'!$A:$B,2,FALSE),"Unknown")</f>
        <v>0</v>
      </c>
      <c r="F1572">
        <f>'Raw Data'!E1572</f>
        <v>0</v>
      </c>
      <c r="G1572">
        <f>IFERROR(VLOOKUP(D1572,'Lookup Tables'!$A:$C,3,FALSE),IF(ISNUMBER(SEARCH("STEEL",F1572)),"Steel","Others"))</f>
        <v>0</v>
      </c>
      <c r="H1572">
        <f>IF(ISNUMBER(SEARCH("scrubber",F1572)) , "Scrubber", IF(ISNUMBER(SEARCH("container",F1572)),"Container", IF(ISNUMBER(SEARCH("basket",F1572)),"Basket", IF(ISNUMBER(SEARCH("lunch",F1572)),"Lunch Box", IF(ISNUMBER(SEARCH("cutlery",F1572)),"Cutlery","Other")))))</f>
        <v>0</v>
      </c>
      <c r="I1572">
        <f>IF('Raw Data'!G1572&lt;&gt;'','Raw Data'!G1572,IFERROR(MID(F1572,SEARCH("MODEL",F1572)+6,20),""))</f>
        <v>0</v>
      </c>
      <c r="J1572">
        <f>'Raw Data'!H1572</f>
        <v>0</v>
      </c>
      <c r="K1572">
        <f>'Raw Data'!I1572</f>
        <v>0</v>
      </c>
      <c r="L1572">
        <f>IF('Raw Data'!N1572&lt;&gt;0,'Raw Data'!N1572,IFERROR(VALUE(MID(F1572,SEARCH("QTY",F1572)+4,IFERROR(FIND(" ",F1572,SEARCH("QTY",F1572)+4)-(SEARCH("QTY",F1572)+4),3))),""))</f>
        <v>0</v>
      </c>
      <c r="M1572">
        <f>'Raw Data'!O1572</f>
        <v>0</v>
      </c>
      <c r="N1572">
        <f>'Raw Data'!P1572</f>
        <v>0</v>
      </c>
      <c r="O1572">
        <f>'Raw Data'!Q1572</f>
        <v>0</v>
      </c>
      <c r="P1572">
        <f>'Raw Data'!R1572</f>
        <v>0</v>
      </c>
      <c r="Q1572">
        <f>'Raw Data'!S1572</f>
        <v>0</v>
      </c>
      <c r="R1572">
        <f>'Raw Data'!T1572</f>
        <v>0</v>
      </c>
      <c r="S1572">
        <f>IFERROR(O1572,0)+IFERROR(R1572,0)</f>
        <v>0</v>
      </c>
      <c r="T1572">
        <f>IF(A1572="","",YEAR(A1572))</f>
        <v>0</v>
      </c>
    </row>
    <row r="1573" spans="1:20">
      <c r="A1573">
        <f>'Raw Data'!B1573</f>
        <v>0</v>
      </c>
      <c r="B1573">
        <f>'Raw Data'!A1573</f>
        <v>0</v>
      </c>
      <c r="C1573">
        <f>'Raw Data'!C1573</f>
        <v>0</v>
      </c>
      <c r="D1573">
        <f>'Raw Data'!D1573</f>
        <v>0</v>
      </c>
      <c r="E1573">
        <f>IFERROR(VLOOKUP(D1573,'Lookup Tables'!$A:$B,2,FALSE),"Unknown")</f>
        <v>0</v>
      </c>
      <c r="F1573">
        <f>'Raw Data'!E1573</f>
        <v>0</v>
      </c>
      <c r="G1573">
        <f>IFERROR(VLOOKUP(D1573,'Lookup Tables'!$A:$C,3,FALSE),IF(ISNUMBER(SEARCH("STEEL",F1573)),"Steel","Others"))</f>
        <v>0</v>
      </c>
      <c r="H1573">
        <f>IF(ISNUMBER(SEARCH("scrubber",F1573)) , "Scrubber", IF(ISNUMBER(SEARCH("container",F1573)),"Container", IF(ISNUMBER(SEARCH("basket",F1573)),"Basket", IF(ISNUMBER(SEARCH("lunch",F1573)),"Lunch Box", IF(ISNUMBER(SEARCH("cutlery",F1573)),"Cutlery","Other")))))</f>
        <v>0</v>
      </c>
      <c r="I1573">
        <f>IF('Raw Data'!G1573&lt;&gt;'','Raw Data'!G1573,IFERROR(MID(F1573,SEARCH("MODEL",F1573)+6,20),""))</f>
        <v>0</v>
      </c>
      <c r="J1573">
        <f>'Raw Data'!H1573</f>
        <v>0</v>
      </c>
      <c r="K1573">
        <f>'Raw Data'!I1573</f>
        <v>0</v>
      </c>
      <c r="L1573">
        <f>IF('Raw Data'!N1573&lt;&gt;0,'Raw Data'!N1573,IFERROR(VALUE(MID(F1573,SEARCH("QTY",F1573)+4,IFERROR(FIND(" ",F1573,SEARCH("QTY",F1573)+4)-(SEARCH("QTY",F1573)+4),3))),""))</f>
        <v>0</v>
      </c>
      <c r="M1573">
        <f>'Raw Data'!O1573</f>
        <v>0</v>
      </c>
      <c r="N1573">
        <f>'Raw Data'!P1573</f>
        <v>0</v>
      </c>
      <c r="O1573">
        <f>'Raw Data'!Q1573</f>
        <v>0</v>
      </c>
      <c r="P1573">
        <f>'Raw Data'!R1573</f>
        <v>0</v>
      </c>
      <c r="Q1573">
        <f>'Raw Data'!S1573</f>
        <v>0</v>
      </c>
      <c r="R1573">
        <f>'Raw Data'!T1573</f>
        <v>0</v>
      </c>
      <c r="S1573">
        <f>IFERROR(O1573,0)+IFERROR(R1573,0)</f>
        <v>0</v>
      </c>
      <c r="T1573">
        <f>IF(A1573="","",YEAR(A1573))</f>
        <v>0</v>
      </c>
    </row>
    <row r="1574" spans="1:20">
      <c r="A1574">
        <f>'Raw Data'!B1574</f>
        <v>0</v>
      </c>
      <c r="B1574">
        <f>'Raw Data'!A1574</f>
        <v>0</v>
      </c>
      <c r="C1574">
        <f>'Raw Data'!C1574</f>
        <v>0</v>
      </c>
      <c r="D1574">
        <f>'Raw Data'!D1574</f>
        <v>0</v>
      </c>
      <c r="E1574">
        <f>IFERROR(VLOOKUP(D1574,'Lookup Tables'!$A:$B,2,FALSE),"Unknown")</f>
        <v>0</v>
      </c>
      <c r="F1574">
        <f>'Raw Data'!E1574</f>
        <v>0</v>
      </c>
      <c r="G1574">
        <f>IFERROR(VLOOKUP(D1574,'Lookup Tables'!$A:$C,3,FALSE),IF(ISNUMBER(SEARCH("STEEL",F1574)),"Steel","Others"))</f>
        <v>0</v>
      </c>
      <c r="H1574">
        <f>IF(ISNUMBER(SEARCH("scrubber",F1574)) , "Scrubber", IF(ISNUMBER(SEARCH("container",F1574)),"Container", IF(ISNUMBER(SEARCH("basket",F1574)),"Basket", IF(ISNUMBER(SEARCH("lunch",F1574)),"Lunch Box", IF(ISNUMBER(SEARCH("cutlery",F1574)),"Cutlery","Other")))))</f>
        <v>0</v>
      </c>
      <c r="I1574">
        <f>IF('Raw Data'!G1574&lt;&gt;'','Raw Data'!G1574,IFERROR(MID(F1574,SEARCH("MODEL",F1574)+6,20),""))</f>
        <v>0</v>
      </c>
      <c r="J1574">
        <f>'Raw Data'!H1574</f>
        <v>0</v>
      </c>
      <c r="K1574">
        <f>'Raw Data'!I1574</f>
        <v>0</v>
      </c>
      <c r="L1574">
        <f>IF('Raw Data'!N1574&lt;&gt;0,'Raw Data'!N1574,IFERROR(VALUE(MID(F1574,SEARCH("QTY",F1574)+4,IFERROR(FIND(" ",F1574,SEARCH("QTY",F1574)+4)-(SEARCH("QTY",F1574)+4),3))),""))</f>
        <v>0</v>
      </c>
      <c r="M1574">
        <f>'Raw Data'!O1574</f>
        <v>0</v>
      </c>
      <c r="N1574">
        <f>'Raw Data'!P1574</f>
        <v>0</v>
      </c>
      <c r="O1574">
        <f>'Raw Data'!Q1574</f>
        <v>0</v>
      </c>
      <c r="P1574">
        <f>'Raw Data'!R1574</f>
        <v>0</v>
      </c>
      <c r="Q1574">
        <f>'Raw Data'!S1574</f>
        <v>0</v>
      </c>
      <c r="R1574">
        <f>'Raw Data'!T1574</f>
        <v>0</v>
      </c>
      <c r="S1574">
        <f>IFERROR(O1574,0)+IFERROR(R1574,0)</f>
        <v>0</v>
      </c>
      <c r="T1574">
        <f>IF(A1574="","",YEAR(A1574))</f>
        <v>0</v>
      </c>
    </row>
    <row r="1575" spans="1:20">
      <c r="A1575">
        <f>'Raw Data'!B1575</f>
        <v>0</v>
      </c>
      <c r="B1575">
        <f>'Raw Data'!A1575</f>
        <v>0</v>
      </c>
      <c r="C1575">
        <f>'Raw Data'!C1575</f>
        <v>0</v>
      </c>
      <c r="D1575">
        <f>'Raw Data'!D1575</f>
        <v>0</v>
      </c>
      <c r="E1575">
        <f>IFERROR(VLOOKUP(D1575,'Lookup Tables'!$A:$B,2,FALSE),"Unknown")</f>
        <v>0</v>
      </c>
      <c r="F1575">
        <f>'Raw Data'!E1575</f>
        <v>0</v>
      </c>
      <c r="G1575">
        <f>IFERROR(VLOOKUP(D1575,'Lookup Tables'!$A:$C,3,FALSE),IF(ISNUMBER(SEARCH("STEEL",F1575)),"Steel","Others"))</f>
        <v>0</v>
      </c>
      <c r="H1575">
        <f>IF(ISNUMBER(SEARCH("scrubber",F1575)) , "Scrubber", IF(ISNUMBER(SEARCH("container",F1575)),"Container", IF(ISNUMBER(SEARCH("basket",F1575)),"Basket", IF(ISNUMBER(SEARCH("lunch",F1575)),"Lunch Box", IF(ISNUMBER(SEARCH("cutlery",F1575)),"Cutlery","Other")))))</f>
        <v>0</v>
      </c>
      <c r="I1575">
        <f>IF('Raw Data'!G1575&lt;&gt;'','Raw Data'!G1575,IFERROR(MID(F1575,SEARCH("MODEL",F1575)+6,20),""))</f>
        <v>0</v>
      </c>
      <c r="J1575">
        <f>'Raw Data'!H1575</f>
        <v>0</v>
      </c>
      <c r="K1575">
        <f>'Raw Data'!I1575</f>
        <v>0</v>
      </c>
      <c r="L1575">
        <f>IF('Raw Data'!N1575&lt;&gt;0,'Raw Data'!N1575,IFERROR(VALUE(MID(F1575,SEARCH("QTY",F1575)+4,IFERROR(FIND(" ",F1575,SEARCH("QTY",F1575)+4)-(SEARCH("QTY",F1575)+4),3))),""))</f>
        <v>0</v>
      </c>
      <c r="M1575">
        <f>'Raw Data'!O1575</f>
        <v>0</v>
      </c>
      <c r="N1575">
        <f>'Raw Data'!P1575</f>
        <v>0</v>
      </c>
      <c r="O1575">
        <f>'Raw Data'!Q1575</f>
        <v>0</v>
      </c>
      <c r="P1575">
        <f>'Raw Data'!R1575</f>
        <v>0</v>
      </c>
      <c r="Q1575">
        <f>'Raw Data'!S1575</f>
        <v>0</v>
      </c>
      <c r="R1575">
        <f>'Raw Data'!T1575</f>
        <v>0</v>
      </c>
      <c r="S1575">
        <f>IFERROR(O1575,0)+IFERROR(R1575,0)</f>
        <v>0</v>
      </c>
      <c r="T1575">
        <f>IF(A1575="","",YEAR(A1575))</f>
        <v>0</v>
      </c>
    </row>
    <row r="1576" spans="1:20">
      <c r="A1576">
        <f>'Raw Data'!B1576</f>
        <v>0</v>
      </c>
      <c r="B1576">
        <f>'Raw Data'!A1576</f>
        <v>0</v>
      </c>
      <c r="C1576">
        <f>'Raw Data'!C1576</f>
        <v>0</v>
      </c>
      <c r="D1576">
        <f>'Raw Data'!D1576</f>
        <v>0</v>
      </c>
      <c r="E1576">
        <f>IFERROR(VLOOKUP(D1576,'Lookup Tables'!$A:$B,2,FALSE),"Unknown")</f>
        <v>0</v>
      </c>
      <c r="F1576">
        <f>'Raw Data'!E1576</f>
        <v>0</v>
      </c>
      <c r="G1576">
        <f>IFERROR(VLOOKUP(D1576,'Lookup Tables'!$A:$C,3,FALSE),IF(ISNUMBER(SEARCH("STEEL",F1576)),"Steel","Others"))</f>
        <v>0</v>
      </c>
      <c r="H1576">
        <f>IF(ISNUMBER(SEARCH("scrubber",F1576)) , "Scrubber", IF(ISNUMBER(SEARCH("container",F1576)),"Container", IF(ISNUMBER(SEARCH("basket",F1576)),"Basket", IF(ISNUMBER(SEARCH("lunch",F1576)),"Lunch Box", IF(ISNUMBER(SEARCH("cutlery",F1576)),"Cutlery","Other")))))</f>
        <v>0</v>
      </c>
      <c r="I1576">
        <f>IF('Raw Data'!G1576&lt;&gt;'','Raw Data'!G1576,IFERROR(MID(F1576,SEARCH("MODEL",F1576)+6,20),""))</f>
        <v>0</v>
      </c>
      <c r="J1576">
        <f>'Raw Data'!H1576</f>
        <v>0</v>
      </c>
      <c r="K1576">
        <f>'Raw Data'!I1576</f>
        <v>0</v>
      </c>
      <c r="L1576">
        <f>IF('Raw Data'!N1576&lt;&gt;0,'Raw Data'!N1576,IFERROR(VALUE(MID(F1576,SEARCH("QTY",F1576)+4,IFERROR(FIND(" ",F1576,SEARCH("QTY",F1576)+4)-(SEARCH("QTY",F1576)+4),3))),""))</f>
        <v>0</v>
      </c>
      <c r="M1576">
        <f>'Raw Data'!O1576</f>
        <v>0</v>
      </c>
      <c r="N1576">
        <f>'Raw Data'!P1576</f>
        <v>0</v>
      </c>
      <c r="O1576">
        <f>'Raw Data'!Q1576</f>
        <v>0</v>
      </c>
      <c r="P1576">
        <f>'Raw Data'!R1576</f>
        <v>0</v>
      </c>
      <c r="Q1576">
        <f>'Raw Data'!S1576</f>
        <v>0</v>
      </c>
      <c r="R1576">
        <f>'Raw Data'!T1576</f>
        <v>0</v>
      </c>
      <c r="S1576">
        <f>IFERROR(O1576,0)+IFERROR(R1576,0)</f>
        <v>0</v>
      </c>
      <c r="T1576">
        <f>IF(A1576="","",YEAR(A1576))</f>
        <v>0</v>
      </c>
    </row>
    <row r="1577" spans="1:20">
      <c r="A1577">
        <f>'Raw Data'!B1577</f>
        <v>0</v>
      </c>
      <c r="B1577">
        <f>'Raw Data'!A1577</f>
        <v>0</v>
      </c>
      <c r="C1577">
        <f>'Raw Data'!C1577</f>
        <v>0</v>
      </c>
      <c r="D1577">
        <f>'Raw Data'!D1577</f>
        <v>0</v>
      </c>
      <c r="E1577">
        <f>IFERROR(VLOOKUP(D1577,'Lookup Tables'!$A:$B,2,FALSE),"Unknown")</f>
        <v>0</v>
      </c>
      <c r="F1577">
        <f>'Raw Data'!E1577</f>
        <v>0</v>
      </c>
      <c r="G1577">
        <f>IFERROR(VLOOKUP(D1577,'Lookup Tables'!$A:$C,3,FALSE),IF(ISNUMBER(SEARCH("STEEL",F1577)),"Steel","Others"))</f>
        <v>0</v>
      </c>
      <c r="H1577">
        <f>IF(ISNUMBER(SEARCH("scrubber",F1577)) , "Scrubber", IF(ISNUMBER(SEARCH("container",F1577)),"Container", IF(ISNUMBER(SEARCH("basket",F1577)),"Basket", IF(ISNUMBER(SEARCH("lunch",F1577)),"Lunch Box", IF(ISNUMBER(SEARCH("cutlery",F1577)),"Cutlery","Other")))))</f>
        <v>0</v>
      </c>
      <c r="I1577">
        <f>IF('Raw Data'!G1577&lt;&gt;'','Raw Data'!G1577,IFERROR(MID(F1577,SEARCH("MODEL",F1577)+6,20),""))</f>
        <v>0</v>
      </c>
      <c r="J1577">
        <f>'Raw Data'!H1577</f>
        <v>0</v>
      </c>
      <c r="K1577">
        <f>'Raw Data'!I1577</f>
        <v>0</v>
      </c>
      <c r="L1577">
        <f>IF('Raw Data'!N1577&lt;&gt;0,'Raw Data'!N1577,IFERROR(VALUE(MID(F1577,SEARCH("QTY",F1577)+4,IFERROR(FIND(" ",F1577,SEARCH("QTY",F1577)+4)-(SEARCH("QTY",F1577)+4),3))),""))</f>
        <v>0</v>
      </c>
      <c r="M1577">
        <f>'Raw Data'!O1577</f>
        <v>0</v>
      </c>
      <c r="N1577">
        <f>'Raw Data'!P1577</f>
        <v>0</v>
      </c>
      <c r="O1577">
        <f>'Raw Data'!Q1577</f>
        <v>0</v>
      </c>
      <c r="P1577">
        <f>'Raw Data'!R1577</f>
        <v>0</v>
      </c>
      <c r="Q1577">
        <f>'Raw Data'!S1577</f>
        <v>0</v>
      </c>
      <c r="R1577">
        <f>'Raw Data'!T1577</f>
        <v>0</v>
      </c>
      <c r="S1577">
        <f>IFERROR(O1577,0)+IFERROR(R1577,0)</f>
        <v>0</v>
      </c>
      <c r="T1577">
        <f>IF(A1577="","",YEAR(A1577))</f>
        <v>0</v>
      </c>
    </row>
    <row r="1578" spans="1:20">
      <c r="A1578">
        <f>'Raw Data'!B1578</f>
        <v>0</v>
      </c>
      <c r="B1578">
        <f>'Raw Data'!A1578</f>
        <v>0</v>
      </c>
      <c r="C1578">
        <f>'Raw Data'!C1578</f>
        <v>0</v>
      </c>
      <c r="D1578">
        <f>'Raw Data'!D1578</f>
        <v>0</v>
      </c>
      <c r="E1578">
        <f>IFERROR(VLOOKUP(D1578,'Lookup Tables'!$A:$B,2,FALSE),"Unknown")</f>
        <v>0</v>
      </c>
      <c r="F1578">
        <f>'Raw Data'!E1578</f>
        <v>0</v>
      </c>
      <c r="G1578">
        <f>IFERROR(VLOOKUP(D1578,'Lookup Tables'!$A:$C,3,FALSE),IF(ISNUMBER(SEARCH("STEEL",F1578)),"Steel","Others"))</f>
        <v>0</v>
      </c>
      <c r="H1578">
        <f>IF(ISNUMBER(SEARCH("scrubber",F1578)) , "Scrubber", IF(ISNUMBER(SEARCH("container",F1578)),"Container", IF(ISNUMBER(SEARCH("basket",F1578)),"Basket", IF(ISNUMBER(SEARCH("lunch",F1578)),"Lunch Box", IF(ISNUMBER(SEARCH("cutlery",F1578)),"Cutlery","Other")))))</f>
        <v>0</v>
      </c>
      <c r="I1578">
        <f>IF('Raw Data'!G1578&lt;&gt;'','Raw Data'!G1578,IFERROR(MID(F1578,SEARCH("MODEL",F1578)+6,20),""))</f>
        <v>0</v>
      </c>
      <c r="J1578">
        <f>'Raw Data'!H1578</f>
        <v>0</v>
      </c>
      <c r="K1578">
        <f>'Raw Data'!I1578</f>
        <v>0</v>
      </c>
      <c r="L1578">
        <f>IF('Raw Data'!N1578&lt;&gt;0,'Raw Data'!N1578,IFERROR(VALUE(MID(F1578,SEARCH("QTY",F1578)+4,IFERROR(FIND(" ",F1578,SEARCH("QTY",F1578)+4)-(SEARCH("QTY",F1578)+4),3))),""))</f>
        <v>0</v>
      </c>
      <c r="M1578">
        <f>'Raw Data'!O1578</f>
        <v>0</v>
      </c>
      <c r="N1578">
        <f>'Raw Data'!P1578</f>
        <v>0</v>
      </c>
      <c r="O1578">
        <f>'Raw Data'!Q1578</f>
        <v>0</v>
      </c>
      <c r="P1578">
        <f>'Raw Data'!R1578</f>
        <v>0</v>
      </c>
      <c r="Q1578">
        <f>'Raw Data'!S1578</f>
        <v>0</v>
      </c>
      <c r="R1578">
        <f>'Raw Data'!T1578</f>
        <v>0</v>
      </c>
      <c r="S1578">
        <f>IFERROR(O1578,0)+IFERROR(R1578,0)</f>
        <v>0</v>
      </c>
      <c r="T1578">
        <f>IF(A1578="","",YEAR(A1578))</f>
        <v>0</v>
      </c>
    </row>
    <row r="1579" spans="1:20">
      <c r="A1579">
        <f>'Raw Data'!B1579</f>
        <v>0</v>
      </c>
      <c r="B1579">
        <f>'Raw Data'!A1579</f>
        <v>0</v>
      </c>
      <c r="C1579">
        <f>'Raw Data'!C1579</f>
        <v>0</v>
      </c>
      <c r="D1579">
        <f>'Raw Data'!D1579</f>
        <v>0</v>
      </c>
      <c r="E1579">
        <f>IFERROR(VLOOKUP(D1579,'Lookup Tables'!$A:$B,2,FALSE),"Unknown")</f>
        <v>0</v>
      </c>
      <c r="F1579">
        <f>'Raw Data'!E1579</f>
        <v>0</v>
      </c>
      <c r="G1579">
        <f>IFERROR(VLOOKUP(D1579,'Lookup Tables'!$A:$C,3,FALSE),IF(ISNUMBER(SEARCH("STEEL",F1579)),"Steel","Others"))</f>
        <v>0</v>
      </c>
      <c r="H1579">
        <f>IF(ISNUMBER(SEARCH("scrubber",F1579)) , "Scrubber", IF(ISNUMBER(SEARCH("container",F1579)),"Container", IF(ISNUMBER(SEARCH("basket",F1579)),"Basket", IF(ISNUMBER(SEARCH("lunch",F1579)),"Lunch Box", IF(ISNUMBER(SEARCH("cutlery",F1579)),"Cutlery","Other")))))</f>
        <v>0</v>
      </c>
      <c r="I1579">
        <f>IF('Raw Data'!G1579&lt;&gt;'','Raw Data'!G1579,IFERROR(MID(F1579,SEARCH("MODEL",F1579)+6,20),""))</f>
        <v>0</v>
      </c>
      <c r="J1579">
        <f>'Raw Data'!H1579</f>
        <v>0</v>
      </c>
      <c r="K1579">
        <f>'Raw Data'!I1579</f>
        <v>0</v>
      </c>
      <c r="L1579">
        <f>IF('Raw Data'!N1579&lt;&gt;0,'Raw Data'!N1579,IFERROR(VALUE(MID(F1579,SEARCH("QTY",F1579)+4,IFERROR(FIND(" ",F1579,SEARCH("QTY",F1579)+4)-(SEARCH("QTY",F1579)+4),3))),""))</f>
        <v>0</v>
      </c>
      <c r="M1579">
        <f>'Raw Data'!O1579</f>
        <v>0</v>
      </c>
      <c r="N1579">
        <f>'Raw Data'!P1579</f>
        <v>0</v>
      </c>
      <c r="O1579">
        <f>'Raw Data'!Q1579</f>
        <v>0</v>
      </c>
      <c r="P1579">
        <f>'Raw Data'!R1579</f>
        <v>0</v>
      </c>
      <c r="Q1579">
        <f>'Raw Data'!S1579</f>
        <v>0</v>
      </c>
      <c r="R1579">
        <f>'Raw Data'!T1579</f>
        <v>0</v>
      </c>
      <c r="S1579">
        <f>IFERROR(O1579,0)+IFERROR(R1579,0)</f>
        <v>0</v>
      </c>
      <c r="T1579">
        <f>IF(A1579="","",YEAR(A1579))</f>
        <v>0</v>
      </c>
    </row>
    <row r="1580" spans="1:20">
      <c r="A1580">
        <f>'Raw Data'!B1580</f>
        <v>0</v>
      </c>
      <c r="B1580">
        <f>'Raw Data'!A1580</f>
        <v>0</v>
      </c>
      <c r="C1580">
        <f>'Raw Data'!C1580</f>
        <v>0</v>
      </c>
      <c r="D1580">
        <f>'Raw Data'!D1580</f>
        <v>0</v>
      </c>
      <c r="E1580">
        <f>IFERROR(VLOOKUP(D1580,'Lookup Tables'!$A:$B,2,FALSE),"Unknown")</f>
        <v>0</v>
      </c>
      <c r="F1580">
        <f>'Raw Data'!E1580</f>
        <v>0</v>
      </c>
      <c r="G1580">
        <f>IFERROR(VLOOKUP(D1580,'Lookup Tables'!$A:$C,3,FALSE),IF(ISNUMBER(SEARCH("STEEL",F1580)),"Steel","Others"))</f>
        <v>0</v>
      </c>
      <c r="H1580">
        <f>IF(ISNUMBER(SEARCH("scrubber",F1580)) , "Scrubber", IF(ISNUMBER(SEARCH("container",F1580)),"Container", IF(ISNUMBER(SEARCH("basket",F1580)),"Basket", IF(ISNUMBER(SEARCH("lunch",F1580)),"Lunch Box", IF(ISNUMBER(SEARCH("cutlery",F1580)),"Cutlery","Other")))))</f>
        <v>0</v>
      </c>
      <c r="I1580">
        <f>IF('Raw Data'!G1580&lt;&gt;'','Raw Data'!G1580,IFERROR(MID(F1580,SEARCH("MODEL",F1580)+6,20),""))</f>
        <v>0</v>
      </c>
      <c r="J1580">
        <f>'Raw Data'!H1580</f>
        <v>0</v>
      </c>
      <c r="K1580">
        <f>'Raw Data'!I1580</f>
        <v>0</v>
      </c>
      <c r="L1580">
        <f>IF('Raw Data'!N1580&lt;&gt;0,'Raw Data'!N1580,IFERROR(VALUE(MID(F1580,SEARCH("QTY",F1580)+4,IFERROR(FIND(" ",F1580,SEARCH("QTY",F1580)+4)-(SEARCH("QTY",F1580)+4),3))),""))</f>
        <v>0</v>
      </c>
      <c r="M1580">
        <f>'Raw Data'!O1580</f>
        <v>0</v>
      </c>
      <c r="N1580">
        <f>'Raw Data'!P1580</f>
        <v>0</v>
      </c>
      <c r="O1580">
        <f>'Raw Data'!Q1580</f>
        <v>0</v>
      </c>
      <c r="P1580">
        <f>'Raw Data'!R1580</f>
        <v>0</v>
      </c>
      <c r="Q1580">
        <f>'Raw Data'!S1580</f>
        <v>0</v>
      </c>
      <c r="R1580">
        <f>'Raw Data'!T1580</f>
        <v>0</v>
      </c>
      <c r="S1580">
        <f>IFERROR(O1580,0)+IFERROR(R1580,0)</f>
        <v>0</v>
      </c>
      <c r="T1580">
        <f>IF(A1580="","",YEAR(A1580))</f>
        <v>0</v>
      </c>
    </row>
    <row r="1581" spans="1:20">
      <c r="A1581">
        <f>'Raw Data'!B1581</f>
        <v>0</v>
      </c>
      <c r="B1581">
        <f>'Raw Data'!A1581</f>
        <v>0</v>
      </c>
      <c r="C1581">
        <f>'Raw Data'!C1581</f>
        <v>0</v>
      </c>
      <c r="D1581">
        <f>'Raw Data'!D1581</f>
        <v>0</v>
      </c>
      <c r="E1581">
        <f>IFERROR(VLOOKUP(D1581,'Lookup Tables'!$A:$B,2,FALSE),"Unknown")</f>
        <v>0</v>
      </c>
      <c r="F1581">
        <f>'Raw Data'!E1581</f>
        <v>0</v>
      </c>
      <c r="G1581">
        <f>IFERROR(VLOOKUP(D1581,'Lookup Tables'!$A:$C,3,FALSE),IF(ISNUMBER(SEARCH("STEEL",F1581)),"Steel","Others"))</f>
        <v>0</v>
      </c>
      <c r="H1581">
        <f>IF(ISNUMBER(SEARCH("scrubber",F1581)) , "Scrubber", IF(ISNUMBER(SEARCH("container",F1581)),"Container", IF(ISNUMBER(SEARCH("basket",F1581)),"Basket", IF(ISNUMBER(SEARCH("lunch",F1581)),"Lunch Box", IF(ISNUMBER(SEARCH("cutlery",F1581)),"Cutlery","Other")))))</f>
        <v>0</v>
      </c>
      <c r="I1581">
        <f>IF('Raw Data'!G1581&lt;&gt;'','Raw Data'!G1581,IFERROR(MID(F1581,SEARCH("MODEL",F1581)+6,20),""))</f>
        <v>0</v>
      </c>
      <c r="J1581">
        <f>'Raw Data'!H1581</f>
        <v>0</v>
      </c>
      <c r="K1581">
        <f>'Raw Data'!I1581</f>
        <v>0</v>
      </c>
      <c r="L1581">
        <f>IF('Raw Data'!N1581&lt;&gt;0,'Raw Data'!N1581,IFERROR(VALUE(MID(F1581,SEARCH("QTY",F1581)+4,IFERROR(FIND(" ",F1581,SEARCH("QTY",F1581)+4)-(SEARCH("QTY",F1581)+4),3))),""))</f>
        <v>0</v>
      </c>
      <c r="M1581">
        <f>'Raw Data'!O1581</f>
        <v>0</v>
      </c>
      <c r="N1581">
        <f>'Raw Data'!P1581</f>
        <v>0</v>
      </c>
      <c r="O1581">
        <f>'Raw Data'!Q1581</f>
        <v>0</v>
      </c>
      <c r="P1581">
        <f>'Raw Data'!R1581</f>
        <v>0</v>
      </c>
      <c r="Q1581">
        <f>'Raw Data'!S1581</f>
        <v>0</v>
      </c>
      <c r="R1581">
        <f>'Raw Data'!T1581</f>
        <v>0</v>
      </c>
      <c r="S1581">
        <f>IFERROR(O1581,0)+IFERROR(R1581,0)</f>
        <v>0</v>
      </c>
      <c r="T1581">
        <f>IF(A1581="","",YEAR(A1581))</f>
        <v>0</v>
      </c>
    </row>
    <row r="1582" spans="1:20">
      <c r="A1582">
        <f>'Raw Data'!B1582</f>
        <v>0</v>
      </c>
      <c r="B1582">
        <f>'Raw Data'!A1582</f>
        <v>0</v>
      </c>
      <c r="C1582">
        <f>'Raw Data'!C1582</f>
        <v>0</v>
      </c>
      <c r="D1582">
        <f>'Raw Data'!D1582</f>
        <v>0</v>
      </c>
      <c r="E1582">
        <f>IFERROR(VLOOKUP(D1582,'Lookup Tables'!$A:$B,2,FALSE),"Unknown")</f>
        <v>0</v>
      </c>
      <c r="F1582">
        <f>'Raw Data'!E1582</f>
        <v>0</v>
      </c>
      <c r="G1582">
        <f>IFERROR(VLOOKUP(D1582,'Lookup Tables'!$A:$C,3,FALSE),IF(ISNUMBER(SEARCH("STEEL",F1582)),"Steel","Others"))</f>
        <v>0</v>
      </c>
      <c r="H1582">
        <f>IF(ISNUMBER(SEARCH("scrubber",F1582)) , "Scrubber", IF(ISNUMBER(SEARCH("container",F1582)),"Container", IF(ISNUMBER(SEARCH("basket",F1582)),"Basket", IF(ISNUMBER(SEARCH("lunch",F1582)),"Lunch Box", IF(ISNUMBER(SEARCH("cutlery",F1582)),"Cutlery","Other")))))</f>
        <v>0</v>
      </c>
      <c r="I1582">
        <f>IF('Raw Data'!G1582&lt;&gt;'','Raw Data'!G1582,IFERROR(MID(F1582,SEARCH("MODEL",F1582)+6,20),""))</f>
        <v>0</v>
      </c>
      <c r="J1582">
        <f>'Raw Data'!H1582</f>
        <v>0</v>
      </c>
      <c r="K1582">
        <f>'Raw Data'!I1582</f>
        <v>0</v>
      </c>
      <c r="L1582">
        <f>IF('Raw Data'!N1582&lt;&gt;0,'Raw Data'!N1582,IFERROR(VALUE(MID(F1582,SEARCH("QTY",F1582)+4,IFERROR(FIND(" ",F1582,SEARCH("QTY",F1582)+4)-(SEARCH("QTY",F1582)+4),3))),""))</f>
        <v>0</v>
      </c>
      <c r="M1582">
        <f>'Raw Data'!O1582</f>
        <v>0</v>
      </c>
      <c r="N1582">
        <f>'Raw Data'!P1582</f>
        <v>0</v>
      </c>
      <c r="O1582">
        <f>'Raw Data'!Q1582</f>
        <v>0</v>
      </c>
      <c r="P1582">
        <f>'Raw Data'!R1582</f>
        <v>0</v>
      </c>
      <c r="Q1582">
        <f>'Raw Data'!S1582</f>
        <v>0</v>
      </c>
      <c r="R1582">
        <f>'Raw Data'!T1582</f>
        <v>0</v>
      </c>
      <c r="S1582">
        <f>IFERROR(O1582,0)+IFERROR(R1582,0)</f>
        <v>0</v>
      </c>
      <c r="T1582">
        <f>IF(A1582="","",YEAR(A1582))</f>
        <v>0</v>
      </c>
    </row>
    <row r="1583" spans="1:20">
      <c r="A1583">
        <f>'Raw Data'!B1583</f>
        <v>0</v>
      </c>
      <c r="B1583">
        <f>'Raw Data'!A1583</f>
        <v>0</v>
      </c>
      <c r="C1583">
        <f>'Raw Data'!C1583</f>
        <v>0</v>
      </c>
      <c r="D1583">
        <f>'Raw Data'!D1583</f>
        <v>0</v>
      </c>
      <c r="E1583">
        <f>IFERROR(VLOOKUP(D1583,'Lookup Tables'!$A:$B,2,FALSE),"Unknown")</f>
        <v>0</v>
      </c>
      <c r="F1583">
        <f>'Raw Data'!E1583</f>
        <v>0</v>
      </c>
      <c r="G1583">
        <f>IFERROR(VLOOKUP(D1583,'Lookup Tables'!$A:$C,3,FALSE),IF(ISNUMBER(SEARCH("STEEL",F1583)),"Steel","Others"))</f>
        <v>0</v>
      </c>
      <c r="H1583">
        <f>IF(ISNUMBER(SEARCH("scrubber",F1583)) , "Scrubber", IF(ISNUMBER(SEARCH("container",F1583)),"Container", IF(ISNUMBER(SEARCH("basket",F1583)),"Basket", IF(ISNUMBER(SEARCH("lunch",F1583)),"Lunch Box", IF(ISNUMBER(SEARCH("cutlery",F1583)),"Cutlery","Other")))))</f>
        <v>0</v>
      </c>
      <c r="I1583">
        <f>IF('Raw Data'!G1583&lt;&gt;'','Raw Data'!G1583,IFERROR(MID(F1583,SEARCH("MODEL",F1583)+6,20),""))</f>
        <v>0</v>
      </c>
      <c r="J1583">
        <f>'Raw Data'!H1583</f>
        <v>0</v>
      </c>
      <c r="K1583">
        <f>'Raw Data'!I1583</f>
        <v>0</v>
      </c>
      <c r="L1583">
        <f>IF('Raw Data'!N1583&lt;&gt;0,'Raw Data'!N1583,IFERROR(VALUE(MID(F1583,SEARCH("QTY",F1583)+4,IFERROR(FIND(" ",F1583,SEARCH("QTY",F1583)+4)-(SEARCH("QTY",F1583)+4),3))),""))</f>
        <v>0</v>
      </c>
      <c r="M1583">
        <f>'Raw Data'!O1583</f>
        <v>0</v>
      </c>
      <c r="N1583">
        <f>'Raw Data'!P1583</f>
        <v>0</v>
      </c>
      <c r="O1583">
        <f>'Raw Data'!Q1583</f>
        <v>0</v>
      </c>
      <c r="P1583">
        <f>'Raw Data'!R1583</f>
        <v>0</v>
      </c>
      <c r="Q1583">
        <f>'Raw Data'!S1583</f>
        <v>0</v>
      </c>
      <c r="R1583">
        <f>'Raw Data'!T1583</f>
        <v>0</v>
      </c>
      <c r="S1583">
        <f>IFERROR(O1583,0)+IFERROR(R1583,0)</f>
        <v>0</v>
      </c>
      <c r="T1583">
        <f>IF(A1583="","",YEAR(A1583))</f>
        <v>0</v>
      </c>
    </row>
    <row r="1584" spans="1:20">
      <c r="A1584">
        <f>'Raw Data'!B1584</f>
        <v>0</v>
      </c>
      <c r="B1584">
        <f>'Raw Data'!A1584</f>
        <v>0</v>
      </c>
      <c r="C1584">
        <f>'Raw Data'!C1584</f>
        <v>0</v>
      </c>
      <c r="D1584">
        <f>'Raw Data'!D1584</f>
        <v>0</v>
      </c>
      <c r="E1584">
        <f>IFERROR(VLOOKUP(D1584,'Lookup Tables'!$A:$B,2,FALSE),"Unknown")</f>
        <v>0</v>
      </c>
      <c r="F1584">
        <f>'Raw Data'!E1584</f>
        <v>0</v>
      </c>
      <c r="G1584">
        <f>IFERROR(VLOOKUP(D1584,'Lookup Tables'!$A:$C,3,FALSE),IF(ISNUMBER(SEARCH("STEEL",F1584)),"Steel","Others"))</f>
        <v>0</v>
      </c>
      <c r="H1584">
        <f>IF(ISNUMBER(SEARCH("scrubber",F1584)) , "Scrubber", IF(ISNUMBER(SEARCH("container",F1584)),"Container", IF(ISNUMBER(SEARCH("basket",F1584)),"Basket", IF(ISNUMBER(SEARCH("lunch",F1584)),"Lunch Box", IF(ISNUMBER(SEARCH("cutlery",F1584)),"Cutlery","Other")))))</f>
        <v>0</v>
      </c>
      <c r="I1584">
        <f>IF('Raw Data'!G1584&lt;&gt;'','Raw Data'!G1584,IFERROR(MID(F1584,SEARCH("MODEL",F1584)+6,20),""))</f>
        <v>0</v>
      </c>
      <c r="J1584">
        <f>'Raw Data'!H1584</f>
        <v>0</v>
      </c>
      <c r="K1584">
        <f>'Raw Data'!I1584</f>
        <v>0</v>
      </c>
      <c r="L1584">
        <f>IF('Raw Data'!N1584&lt;&gt;0,'Raw Data'!N1584,IFERROR(VALUE(MID(F1584,SEARCH("QTY",F1584)+4,IFERROR(FIND(" ",F1584,SEARCH("QTY",F1584)+4)-(SEARCH("QTY",F1584)+4),3))),""))</f>
        <v>0</v>
      </c>
      <c r="M1584">
        <f>'Raw Data'!O1584</f>
        <v>0</v>
      </c>
      <c r="N1584">
        <f>'Raw Data'!P1584</f>
        <v>0</v>
      </c>
      <c r="O1584">
        <f>'Raw Data'!Q1584</f>
        <v>0</v>
      </c>
      <c r="P1584">
        <f>'Raw Data'!R1584</f>
        <v>0</v>
      </c>
      <c r="Q1584">
        <f>'Raw Data'!S1584</f>
        <v>0</v>
      </c>
      <c r="R1584">
        <f>'Raw Data'!T1584</f>
        <v>0</v>
      </c>
      <c r="S1584">
        <f>IFERROR(O1584,0)+IFERROR(R1584,0)</f>
        <v>0</v>
      </c>
      <c r="T1584">
        <f>IF(A1584="","",YEAR(A1584))</f>
        <v>0</v>
      </c>
    </row>
    <row r="1585" spans="1:20">
      <c r="A1585">
        <f>'Raw Data'!B1585</f>
        <v>0</v>
      </c>
      <c r="B1585">
        <f>'Raw Data'!A1585</f>
        <v>0</v>
      </c>
      <c r="C1585">
        <f>'Raw Data'!C1585</f>
        <v>0</v>
      </c>
      <c r="D1585">
        <f>'Raw Data'!D1585</f>
        <v>0</v>
      </c>
      <c r="E1585">
        <f>IFERROR(VLOOKUP(D1585,'Lookup Tables'!$A:$B,2,FALSE),"Unknown")</f>
        <v>0</v>
      </c>
      <c r="F1585">
        <f>'Raw Data'!E1585</f>
        <v>0</v>
      </c>
      <c r="G1585">
        <f>IFERROR(VLOOKUP(D1585,'Lookup Tables'!$A:$C,3,FALSE),IF(ISNUMBER(SEARCH("STEEL",F1585)),"Steel","Others"))</f>
        <v>0</v>
      </c>
      <c r="H1585">
        <f>IF(ISNUMBER(SEARCH("scrubber",F1585)) , "Scrubber", IF(ISNUMBER(SEARCH("container",F1585)),"Container", IF(ISNUMBER(SEARCH("basket",F1585)),"Basket", IF(ISNUMBER(SEARCH("lunch",F1585)),"Lunch Box", IF(ISNUMBER(SEARCH("cutlery",F1585)),"Cutlery","Other")))))</f>
        <v>0</v>
      </c>
      <c r="I1585">
        <f>IF('Raw Data'!G1585&lt;&gt;'','Raw Data'!G1585,IFERROR(MID(F1585,SEARCH("MODEL",F1585)+6,20),""))</f>
        <v>0</v>
      </c>
      <c r="J1585">
        <f>'Raw Data'!H1585</f>
        <v>0</v>
      </c>
      <c r="K1585">
        <f>'Raw Data'!I1585</f>
        <v>0</v>
      </c>
      <c r="L1585">
        <f>IF('Raw Data'!N1585&lt;&gt;0,'Raw Data'!N1585,IFERROR(VALUE(MID(F1585,SEARCH("QTY",F1585)+4,IFERROR(FIND(" ",F1585,SEARCH("QTY",F1585)+4)-(SEARCH("QTY",F1585)+4),3))),""))</f>
        <v>0</v>
      </c>
      <c r="M1585">
        <f>'Raw Data'!O1585</f>
        <v>0</v>
      </c>
      <c r="N1585">
        <f>'Raw Data'!P1585</f>
        <v>0</v>
      </c>
      <c r="O1585">
        <f>'Raw Data'!Q1585</f>
        <v>0</v>
      </c>
      <c r="P1585">
        <f>'Raw Data'!R1585</f>
        <v>0</v>
      </c>
      <c r="Q1585">
        <f>'Raw Data'!S1585</f>
        <v>0</v>
      </c>
      <c r="R1585">
        <f>'Raw Data'!T1585</f>
        <v>0</v>
      </c>
      <c r="S1585">
        <f>IFERROR(O1585,0)+IFERROR(R1585,0)</f>
        <v>0</v>
      </c>
      <c r="T1585">
        <f>IF(A1585="","",YEAR(A1585))</f>
        <v>0</v>
      </c>
    </row>
    <row r="1586" spans="1:20">
      <c r="A1586">
        <f>'Raw Data'!B1586</f>
        <v>0</v>
      </c>
      <c r="B1586">
        <f>'Raw Data'!A1586</f>
        <v>0</v>
      </c>
      <c r="C1586">
        <f>'Raw Data'!C1586</f>
        <v>0</v>
      </c>
      <c r="D1586">
        <f>'Raw Data'!D1586</f>
        <v>0</v>
      </c>
      <c r="E1586">
        <f>IFERROR(VLOOKUP(D1586,'Lookup Tables'!$A:$B,2,FALSE),"Unknown")</f>
        <v>0</v>
      </c>
      <c r="F1586">
        <f>'Raw Data'!E1586</f>
        <v>0</v>
      </c>
      <c r="G1586">
        <f>IFERROR(VLOOKUP(D1586,'Lookup Tables'!$A:$C,3,FALSE),IF(ISNUMBER(SEARCH("STEEL",F1586)),"Steel","Others"))</f>
        <v>0</v>
      </c>
      <c r="H1586">
        <f>IF(ISNUMBER(SEARCH("scrubber",F1586)) , "Scrubber", IF(ISNUMBER(SEARCH("container",F1586)),"Container", IF(ISNUMBER(SEARCH("basket",F1586)),"Basket", IF(ISNUMBER(SEARCH("lunch",F1586)),"Lunch Box", IF(ISNUMBER(SEARCH("cutlery",F1586)),"Cutlery","Other")))))</f>
        <v>0</v>
      </c>
      <c r="I1586">
        <f>IF('Raw Data'!G1586&lt;&gt;'','Raw Data'!G1586,IFERROR(MID(F1586,SEARCH("MODEL",F1586)+6,20),""))</f>
        <v>0</v>
      </c>
      <c r="J1586">
        <f>'Raw Data'!H1586</f>
        <v>0</v>
      </c>
      <c r="K1586">
        <f>'Raw Data'!I1586</f>
        <v>0</v>
      </c>
      <c r="L1586">
        <f>IF('Raw Data'!N1586&lt;&gt;0,'Raw Data'!N1586,IFERROR(VALUE(MID(F1586,SEARCH("QTY",F1586)+4,IFERROR(FIND(" ",F1586,SEARCH("QTY",F1586)+4)-(SEARCH("QTY",F1586)+4),3))),""))</f>
        <v>0</v>
      </c>
      <c r="M1586">
        <f>'Raw Data'!O1586</f>
        <v>0</v>
      </c>
      <c r="N1586">
        <f>'Raw Data'!P1586</f>
        <v>0</v>
      </c>
      <c r="O1586">
        <f>'Raw Data'!Q1586</f>
        <v>0</v>
      </c>
      <c r="P1586">
        <f>'Raw Data'!R1586</f>
        <v>0</v>
      </c>
      <c r="Q1586">
        <f>'Raw Data'!S1586</f>
        <v>0</v>
      </c>
      <c r="R1586">
        <f>'Raw Data'!T1586</f>
        <v>0</v>
      </c>
      <c r="S1586">
        <f>IFERROR(O1586,0)+IFERROR(R1586,0)</f>
        <v>0</v>
      </c>
      <c r="T1586">
        <f>IF(A1586="","",YEAR(A1586))</f>
        <v>0</v>
      </c>
    </row>
    <row r="1587" spans="1:20">
      <c r="A1587">
        <f>'Raw Data'!B1587</f>
        <v>0</v>
      </c>
      <c r="B1587">
        <f>'Raw Data'!A1587</f>
        <v>0</v>
      </c>
      <c r="C1587">
        <f>'Raw Data'!C1587</f>
        <v>0</v>
      </c>
      <c r="D1587">
        <f>'Raw Data'!D1587</f>
        <v>0</v>
      </c>
      <c r="E1587">
        <f>IFERROR(VLOOKUP(D1587,'Lookup Tables'!$A:$B,2,FALSE),"Unknown")</f>
        <v>0</v>
      </c>
      <c r="F1587">
        <f>'Raw Data'!E1587</f>
        <v>0</v>
      </c>
      <c r="G1587">
        <f>IFERROR(VLOOKUP(D1587,'Lookup Tables'!$A:$C,3,FALSE),IF(ISNUMBER(SEARCH("STEEL",F1587)),"Steel","Others"))</f>
        <v>0</v>
      </c>
      <c r="H1587">
        <f>IF(ISNUMBER(SEARCH("scrubber",F1587)) , "Scrubber", IF(ISNUMBER(SEARCH("container",F1587)),"Container", IF(ISNUMBER(SEARCH("basket",F1587)),"Basket", IF(ISNUMBER(SEARCH("lunch",F1587)),"Lunch Box", IF(ISNUMBER(SEARCH("cutlery",F1587)),"Cutlery","Other")))))</f>
        <v>0</v>
      </c>
      <c r="I1587">
        <f>IF('Raw Data'!G1587&lt;&gt;'','Raw Data'!G1587,IFERROR(MID(F1587,SEARCH("MODEL",F1587)+6,20),""))</f>
        <v>0</v>
      </c>
      <c r="J1587">
        <f>'Raw Data'!H1587</f>
        <v>0</v>
      </c>
      <c r="K1587">
        <f>'Raw Data'!I1587</f>
        <v>0</v>
      </c>
      <c r="L1587">
        <f>IF('Raw Data'!N1587&lt;&gt;0,'Raw Data'!N1587,IFERROR(VALUE(MID(F1587,SEARCH("QTY",F1587)+4,IFERROR(FIND(" ",F1587,SEARCH("QTY",F1587)+4)-(SEARCH("QTY",F1587)+4),3))),""))</f>
        <v>0</v>
      </c>
      <c r="M1587">
        <f>'Raw Data'!O1587</f>
        <v>0</v>
      </c>
      <c r="N1587">
        <f>'Raw Data'!P1587</f>
        <v>0</v>
      </c>
      <c r="O1587">
        <f>'Raw Data'!Q1587</f>
        <v>0</v>
      </c>
      <c r="P1587">
        <f>'Raw Data'!R1587</f>
        <v>0</v>
      </c>
      <c r="Q1587">
        <f>'Raw Data'!S1587</f>
        <v>0</v>
      </c>
      <c r="R1587">
        <f>'Raw Data'!T1587</f>
        <v>0</v>
      </c>
      <c r="S1587">
        <f>IFERROR(O1587,0)+IFERROR(R1587,0)</f>
        <v>0</v>
      </c>
      <c r="T1587">
        <f>IF(A1587="","",YEAR(A1587))</f>
        <v>0</v>
      </c>
    </row>
    <row r="1588" spans="1:20">
      <c r="A1588">
        <f>'Raw Data'!B1588</f>
        <v>0</v>
      </c>
      <c r="B1588">
        <f>'Raw Data'!A1588</f>
        <v>0</v>
      </c>
      <c r="C1588">
        <f>'Raw Data'!C1588</f>
        <v>0</v>
      </c>
      <c r="D1588">
        <f>'Raw Data'!D1588</f>
        <v>0</v>
      </c>
      <c r="E1588">
        <f>IFERROR(VLOOKUP(D1588,'Lookup Tables'!$A:$B,2,FALSE),"Unknown")</f>
        <v>0</v>
      </c>
      <c r="F1588">
        <f>'Raw Data'!E1588</f>
        <v>0</v>
      </c>
      <c r="G1588">
        <f>IFERROR(VLOOKUP(D1588,'Lookup Tables'!$A:$C,3,FALSE),IF(ISNUMBER(SEARCH("STEEL",F1588)),"Steel","Others"))</f>
        <v>0</v>
      </c>
      <c r="H1588">
        <f>IF(ISNUMBER(SEARCH("scrubber",F1588)) , "Scrubber", IF(ISNUMBER(SEARCH("container",F1588)),"Container", IF(ISNUMBER(SEARCH("basket",F1588)),"Basket", IF(ISNUMBER(SEARCH("lunch",F1588)),"Lunch Box", IF(ISNUMBER(SEARCH("cutlery",F1588)),"Cutlery","Other")))))</f>
        <v>0</v>
      </c>
      <c r="I1588">
        <f>IF('Raw Data'!G1588&lt;&gt;'','Raw Data'!G1588,IFERROR(MID(F1588,SEARCH("MODEL",F1588)+6,20),""))</f>
        <v>0</v>
      </c>
      <c r="J1588">
        <f>'Raw Data'!H1588</f>
        <v>0</v>
      </c>
      <c r="K1588">
        <f>'Raw Data'!I1588</f>
        <v>0</v>
      </c>
      <c r="L1588">
        <f>IF('Raw Data'!N1588&lt;&gt;0,'Raw Data'!N1588,IFERROR(VALUE(MID(F1588,SEARCH("QTY",F1588)+4,IFERROR(FIND(" ",F1588,SEARCH("QTY",F1588)+4)-(SEARCH("QTY",F1588)+4),3))),""))</f>
        <v>0</v>
      </c>
      <c r="M1588">
        <f>'Raw Data'!O1588</f>
        <v>0</v>
      </c>
      <c r="N1588">
        <f>'Raw Data'!P1588</f>
        <v>0</v>
      </c>
      <c r="O1588">
        <f>'Raw Data'!Q1588</f>
        <v>0</v>
      </c>
      <c r="P1588">
        <f>'Raw Data'!R1588</f>
        <v>0</v>
      </c>
      <c r="Q1588">
        <f>'Raw Data'!S1588</f>
        <v>0</v>
      </c>
      <c r="R1588">
        <f>'Raw Data'!T1588</f>
        <v>0</v>
      </c>
      <c r="S1588">
        <f>IFERROR(O1588,0)+IFERROR(R1588,0)</f>
        <v>0</v>
      </c>
      <c r="T1588">
        <f>IF(A1588="","",YEAR(A1588))</f>
        <v>0</v>
      </c>
    </row>
    <row r="1589" spans="1:20">
      <c r="A1589">
        <f>'Raw Data'!B1589</f>
        <v>0</v>
      </c>
      <c r="B1589">
        <f>'Raw Data'!A1589</f>
        <v>0</v>
      </c>
      <c r="C1589">
        <f>'Raw Data'!C1589</f>
        <v>0</v>
      </c>
      <c r="D1589">
        <f>'Raw Data'!D1589</f>
        <v>0</v>
      </c>
      <c r="E1589">
        <f>IFERROR(VLOOKUP(D1589,'Lookup Tables'!$A:$B,2,FALSE),"Unknown")</f>
        <v>0</v>
      </c>
      <c r="F1589">
        <f>'Raw Data'!E1589</f>
        <v>0</v>
      </c>
      <c r="G1589">
        <f>IFERROR(VLOOKUP(D1589,'Lookup Tables'!$A:$C,3,FALSE),IF(ISNUMBER(SEARCH("STEEL",F1589)),"Steel","Others"))</f>
        <v>0</v>
      </c>
      <c r="H1589">
        <f>IF(ISNUMBER(SEARCH("scrubber",F1589)) , "Scrubber", IF(ISNUMBER(SEARCH("container",F1589)),"Container", IF(ISNUMBER(SEARCH("basket",F1589)),"Basket", IF(ISNUMBER(SEARCH("lunch",F1589)),"Lunch Box", IF(ISNUMBER(SEARCH("cutlery",F1589)),"Cutlery","Other")))))</f>
        <v>0</v>
      </c>
      <c r="I1589">
        <f>IF('Raw Data'!G1589&lt;&gt;'','Raw Data'!G1589,IFERROR(MID(F1589,SEARCH("MODEL",F1589)+6,20),""))</f>
        <v>0</v>
      </c>
      <c r="J1589">
        <f>'Raw Data'!H1589</f>
        <v>0</v>
      </c>
      <c r="K1589">
        <f>'Raw Data'!I1589</f>
        <v>0</v>
      </c>
      <c r="L1589">
        <f>IF('Raw Data'!N1589&lt;&gt;0,'Raw Data'!N1589,IFERROR(VALUE(MID(F1589,SEARCH("QTY",F1589)+4,IFERROR(FIND(" ",F1589,SEARCH("QTY",F1589)+4)-(SEARCH("QTY",F1589)+4),3))),""))</f>
        <v>0</v>
      </c>
      <c r="M1589">
        <f>'Raw Data'!O1589</f>
        <v>0</v>
      </c>
      <c r="N1589">
        <f>'Raw Data'!P1589</f>
        <v>0</v>
      </c>
      <c r="O1589">
        <f>'Raw Data'!Q1589</f>
        <v>0</v>
      </c>
      <c r="P1589">
        <f>'Raw Data'!R1589</f>
        <v>0</v>
      </c>
      <c r="Q1589">
        <f>'Raw Data'!S1589</f>
        <v>0</v>
      </c>
      <c r="R1589">
        <f>'Raw Data'!T1589</f>
        <v>0</v>
      </c>
      <c r="S1589">
        <f>IFERROR(O1589,0)+IFERROR(R1589,0)</f>
        <v>0</v>
      </c>
      <c r="T1589">
        <f>IF(A1589="","",YEAR(A1589))</f>
        <v>0</v>
      </c>
    </row>
    <row r="1590" spans="1:20">
      <c r="A1590">
        <f>'Raw Data'!B1590</f>
        <v>0</v>
      </c>
      <c r="B1590">
        <f>'Raw Data'!A1590</f>
        <v>0</v>
      </c>
      <c r="C1590">
        <f>'Raw Data'!C1590</f>
        <v>0</v>
      </c>
      <c r="D1590">
        <f>'Raw Data'!D1590</f>
        <v>0</v>
      </c>
      <c r="E1590">
        <f>IFERROR(VLOOKUP(D1590,'Lookup Tables'!$A:$B,2,FALSE),"Unknown")</f>
        <v>0</v>
      </c>
      <c r="F1590">
        <f>'Raw Data'!E1590</f>
        <v>0</v>
      </c>
      <c r="G1590">
        <f>IFERROR(VLOOKUP(D1590,'Lookup Tables'!$A:$C,3,FALSE),IF(ISNUMBER(SEARCH("STEEL",F1590)),"Steel","Others"))</f>
        <v>0</v>
      </c>
      <c r="H1590">
        <f>IF(ISNUMBER(SEARCH("scrubber",F1590)) , "Scrubber", IF(ISNUMBER(SEARCH("container",F1590)),"Container", IF(ISNUMBER(SEARCH("basket",F1590)),"Basket", IF(ISNUMBER(SEARCH("lunch",F1590)),"Lunch Box", IF(ISNUMBER(SEARCH("cutlery",F1590)),"Cutlery","Other")))))</f>
        <v>0</v>
      </c>
      <c r="I1590">
        <f>IF('Raw Data'!G1590&lt;&gt;'','Raw Data'!G1590,IFERROR(MID(F1590,SEARCH("MODEL",F1590)+6,20),""))</f>
        <v>0</v>
      </c>
      <c r="J1590">
        <f>'Raw Data'!H1590</f>
        <v>0</v>
      </c>
      <c r="K1590">
        <f>'Raw Data'!I1590</f>
        <v>0</v>
      </c>
      <c r="L1590">
        <f>IF('Raw Data'!N1590&lt;&gt;0,'Raw Data'!N1590,IFERROR(VALUE(MID(F1590,SEARCH("QTY",F1590)+4,IFERROR(FIND(" ",F1590,SEARCH("QTY",F1590)+4)-(SEARCH("QTY",F1590)+4),3))),""))</f>
        <v>0</v>
      </c>
      <c r="M1590">
        <f>'Raw Data'!O1590</f>
        <v>0</v>
      </c>
      <c r="N1590">
        <f>'Raw Data'!P1590</f>
        <v>0</v>
      </c>
      <c r="O1590">
        <f>'Raw Data'!Q1590</f>
        <v>0</v>
      </c>
      <c r="P1590">
        <f>'Raw Data'!R1590</f>
        <v>0</v>
      </c>
      <c r="Q1590">
        <f>'Raw Data'!S1590</f>
        <v>0</v>
      </c>
      <c r="R1590">
        <f>'Raw Data'!T1590</f>
        <v>0</v>
      </c>
      <c r="S1590">
        <f>IFERROR(O1590,0)+IFERROR(R1590,0)</f>
        <v>0</v>
      </c>
      <c r="T1590">
        <f>IF(A1590="","",YEAR(A1590))</f>
        <v>0</v>
      </c>
    </row>
    <row r="1591" spans="1:20">
      <c r="A1591">
        <f>'Raw Data'!B1591</f>
        <v>0</v>
      </c>
      <c r="B1591">
        <f>'Raw Data'!A1591</f>
        <v>0</v>
      </c>
      <c r="C1591">
        <f>'Raw Data'!C1591</f>
        <v>0</v>
      </c>
      <c r="D1591">
        <f>'Raw Data'!D1591</f>
        <v>0</v>
      </c>
      <c r="E1591">
        <f>IFERROR(VLOOKUP(D1591,'Lookup Tables'!$A:$B,2,FALSE),"Unknown")</f>
        <v>0</v>
      </c>
      <c r="F1591">
        <f>'Raw Data'!E1591</f>
        <v>0</v>
      </c>
      <c r="G1591">
        <f>IFERROR(VLOOKUP(D1591,'Lookup Tables'!$A:$C,3,FALSE),IF(ISNUMBER(SEARCH("STEEL",F1591)),"Steel","Others"))</f>
        <v>0</v>
      </c>
      <c r="H1591">
        <f>IF(ISNUMBER(SEARCH("scrubber",F1591)) , "Scrubber", IF(ISNUMBER(SEARCH("container",F1591)),"Container", IF(ISNUMBER(SEARCH("basket",F1591)),"Basket", IF(ISNUMBER(SEARCH("lunch",F1591)),"Lunch Box", IF(ISNUMBER(SEARCH("cutlery",F1591)),"Cutlery","Other")))))</f>
        <v>0</v>
      </c>
      <c r="I1591">
        <f>IF('Raw Data'!G1591&lt;&gt;'','Raw Data'!G1591,IFERROR(MID(F1591,SEARCH("MODEL",F1591)+6,20),""))</f>
        <v>0</v>
      </c>
      <c r="J1591">
        <f>'Raw Data'!H1591</f>
        <v>0</v>
      </c>
      <c r="K1591">
        <f>'Raw Data'!I1591</f>
        <v>0</v>
      </c>
      <c r="L1591">
        <f>IF('Raw Data'!N1591&lt;&gt;0,'Raw Data'!N1591,IFERROR(VALUE(MID(F1591,SEARCH("QTY",F1591)+4,IFERROR(FIND(" ",F1591,SEARCH("QTY",F1591)+4)-(SEARCH("QTY",F1591)+4),3))),""))</f>
        <v>0</v>
      </c>
      <c r="M1591">
        <f>'Raw Data'!O1591</f>
        <v>0</v>
      </c>
      <c r="N1591">
        <f>'Raw Data'!P1591</f>
        <v>0</v>
      </c>
      <c r="O1591">
        <f>'Raw Data'!Q1591</f>
        <v>0</v>
      </c>
      <c r="P1591">
        <f>'Raw Data'!R1591</f>
        <v>0</v>
      </c>
      <c r="Q1591">
        <f>'Raw Data'!S1591</f>
        <v>0</v>
      </c>
      <c r="R1591">
        <f>'Raw Data'!T1591</f>
        <v>0</v>
      </c>
      <c r="S1591">
        <f>IFERROR(O1591,0)+IFERROR(R1591,0)</f>
        <v>0</v>
      </c>
      <c r="T1591">
        <f>IF(A1591="","",YEAR(A1591))</f>
        <v>0</v>
      </c>
    </row>
    <row r="1592" spans="1:20">
      <c r="A1592">
        <f>'Raw Data'!B1592</f>
        <v>0</v>
      </c>
      <c r="B1592">
        <f>'Raw Data'!A1592</f>
        <v>0</v>
      </c>
      <c r="C1592">
        <f>'Raw Data'!C1592</f>
        <v>0</v>
      </c>
      <c r="D1592">
        <f>'Raw Data'!D1592</f>
        <v>0</v>
      </c>
      <c r="E1592">
        <f>IFERROR(VLOOKUP(D1592,'Lookup Tables'!$A:$B,2,FALSE),"Unknown")</f>
        <v>0</v>
      </c>
      <c r="F1592">
        <f>'Raw Data'!E1592</f>
        <v>0</v>
      </c>
      <c r="G1592">
        <f>IFERROR(VLOOKUP(D1592,'Lookup Tables'!$A:$C,3,FALSE),IF(ISNUMBER(SEARCH("STEEL",F1592)),"Steel","Others"))</f>
        <v>0</v>
      </c>
      <c r="H1592">
        <f>IF(ISNUMBER(SEARCH("scrubber",F1592)) , "Scrubber", IF(ISNUMBER(SEARCH("container",F1592)),"Container", IF(ISNUMBER(SEARCH("basket",F1592)),"Basket", IF(ISNUMBER(SEARCH("lunch",F1592)),"Lunch Box", IF(ISNUMBER(SEARCH("cutlery",F1592)),"Cutlery","Other")))))</f>
        <v>0</v>
      </c>
      <c r="I1592">
        <f>IF('Raw Data'!G1592&lt;&gt;'','Raw Data'!G1592,IFERROR(MID(F1592,SEARCH("MODEL",F1592)+6,20),""))</f>
        <v>0</v>
      </c>
      <c r="J1592">
        <f>'Raw Data'!H1592</f>
        <v>0</v>
      </c>
      <c r="K1592">
        <f>'Raw Data'!I1592</f>
        <v>0</v>
      </c>
      <c r="L1592">
        <f>IF('Raw Data'!N1592&lt;&gt;0,'Raw Data'!N1592,IFERROR(VALUE(MID(F1592,SEARCH("QTY",F1592)+4,IFERROR(FIND(" ",F1592,SEARCH("QTY",F1592)+4)-(SEARCH("QTY",F1592)+4),3))),""))</f>
        <v>0</v>
      </c>
      <c r="M1592">
        <f>'Raw Data'!O1592</f>
        <v>0</v>
      </c>
      <c r="N1592">
        <f>'Raw Data'!P1592</f>
        <v>0</v>
      </c>
      <c r="O1592">
        <f>'Raw Data'!Q1592</f>
        <v>0</v>
      </c>
      <c r="P1592">
        <f>'Raw Data'!R1592</f>
        <v>0</v>
      </c>
      <c r="Q1592">
        <f>'Raw Data'!S1592</f>
        <v>0</v>
      </c>
      <c r="R1592">
        <f>'Raw Data'!T1592</f>
        <v>0</v>
      </c>
      <c r="S1592">
        <f>IFERROR(O1592,0)+IFERROR(R1592,0)</f>
        <v>0</v>
      </c>
      <c r="T1592">
        <f>IF(A1592="","",YEAR(A1592))</f>
        <v>0</v>
      </c>
    </row>
    <row r="1593" spans="1:20">
      <c r="A1593">
        <f>'Raw Data'!B1593</f>
        <v>0</v>
      </c>
      <c r="B1593">
        <f>'Raw Data'!A1593</f>
        <v>0</v>
      </c>
      <c r="C1593">
        <f>'Raw Data'!C1593</f>
        <v>0</v>
      </c>
      <c r="D1593">
        <f>'Raw Data'!D1593</f>
        <v>0</v>
      </c>
      <c r="E1593">
        <f>IFERROR(VLOOKUP(D1593,'Lookup Tables'!$A:$B,2,FALSE),"Unknown")</f>
        <v>0</v>
      </c>
      <c r="F1593">
        <f>'Raw Data'!E1593</f>
        <v>0</v>
      </c>
      <c r="G1593">
        <f>IFERROR(VLOOKUP(D1593,'Lookup Tables'!$A:$C,3,FALSE),IF(ISNUMBER(SEARCH("STEEL",F1593)),"Steel","Others"))</f>
        <v>0</v>
      </c>
      <c r="H1593">
        <f>IF(ISNUMBER(SEARCH("scrubber",F1593)) , "Scrubber", IF(ISNUMBER(SEARCH("container",F1593)),"Container", IF(ISNUMBER(SEARCH("basket",F1593)),"Basket", IF(ISNUMBER(SEARCH("lunch",F1593)),"Lunch Box", IF(ISNUMBER(SEARCH("cutlery",F1593)),"Cutlery","Other")))))</f>
        <v>0</v>
      </c>
      <c r="I1593">
        <f>IF('Raw Data'!G1593&lt;&gt;'','Raw Data'!G1593,IFERROR(MID(F1593,SEARCH("MODEL",F1593)+6,20),""))</f>
        <v>0</v>
      </c>
      <c r="J1593">
        <f>'Raw Data'!H1593</f>
        <v>0</v>
      </c>
      <c r="K1593">
        <f>'Raw Data'!I1593</f>
        <v>0</v>
      </c>
      <c r="L1593">
        <f>IF('Raw Data'!N1593&lt;&gt;0,'Raw Data'!N1593,IFERROR(VALUE(MID(F1593,SEARCH("QTY",F1593)+4,IFERROR(FIND(" ",F1593,SEARCH("QTY",F1593)+4)-(SEARCH("QTY",F1593)+4),3))),""))</f>
        <v>0</v>
      </c>
      <c r="M1593">
        <f>'Raw Data'!O1593</f>
        <v>0</v>
      </c>
      <c r="N1593">
        <f>'Raw Data'!P1593</f>
        <v>0</v>
      </c>
      <c r="O1593">
        <f>'Raw Data'!Q1593</f>
        <v>0</v>
      </c>
      <c r="P1593">
        <f>'Raw Data'!R1593</f>
        <v>0</v>
      </c>
      <c r="Q1593">
        <f>'Raw Data'!S1593</f>
        <v>0</v>
      </c>
      <c r="R1593">
        <f>'Raw Data'!T1593</f>
        <v>0</v>
      </c>
      <c r="S1593">
        <f>IFERROR(O1593,0)+IFERROR(R1593,0)</f>
        <v>0</v>
      </c>
      <c r="T1593">
        <f>IF(A1593="","",YEAR(A1593))</f>
        <v>0</v>
      </c>
    </row>
    <row r="1594" spans="1:20">
      <c r="A1594">
        <f>'Raw Data'!B1594</f>
        <v>0</v>
      </c>
      <c r="B1594">
        <f>'Raw Data'!A1594</f>
        <v>0</v>
      </c>
      <c r="C1594">
        <f>'Raw Data'!C1594</f>
        <v>0</v>
      </c>
      <c r="D1594">
        <f>'Raw Data'!D1594</f>
        <v>0</v>
      </c>
      <c r="E1594">
        <f>IFERROR(VLOOKUP(D1594,'Lookup Tables'!$A:$B,2,FALSE),"Unknown")</f>
        <v>0</v>
      </c>
      <c r="F1594">
        <f>'Raw Data'!E1594</f>
        <v>0</v>
      </c>
      <c r="G1594">
        <f>IFERROR(VLOOKUP(D1594,'Lookup Tables'!$A:$C,3,FALSE),IF(ISNUMBER(SEARCH("STEEL",F1594)),"Steel","Others"))</f>
        <v>0</v>
      </c>
      <c r="H1594">
        <f>IF(ISNUMBER(SEARCH("scrubber",F1594)) , "Scrubber", IF(ISNUMBER(SEARCH("container",F1594)),"Container", IF(ISNUMBER(SEARCH("basket",F1594)),"Basket", IF(ISNUMBER(SEARCH("lunch",F1594)),"Lunch Box", IF(ISNUMBER(SEARCH("cutlery",F1594)),"Cutlery","Other")))))</f>
        <v>0</v>
      </c>
      <c r="I1594">
        <f>IF('Raw Data'!G1594&lt;&gt;'','Raw Data'!G1594,IFERROR(MID(F1594,SEARCH("MODEL",F1594)+6,20),""))</f>
        <v>0</v>
      </c>
      <c r="J1594">
        <f>'Raw Data'!H1594</f>
        <v>0</v>
      </c>
      <c r="K1594">
        <f>'Raw Data'!I1594</f>
        <v>0</v>
      </c>
      <c r="L1594">
        <f>IF('Raw Data'!N1594&lt;&gt;0,'Raw Data'!N1594,IFERROR(VALUE(MID(F1594,SEARCH("QTY",F1594)+4,IFERROR(FIND(" ",F1594,SEARCH("QTY",F1594)+4)-(SEARCH("QTY",F1594)+4),3))),""))</f>
        <v>0</v>
      </c>
      <c r="M1594">
        <f>'Raw Data'!O1594</f>
        <v>0</v>
      </c>
      <c r="N1594">
        <f>'Raw Data'!P1594</f>
        <v>0</v>
      </c>
      <c r="O1594">
        <f>'Raw Data'!Q1594</f>
        <v>0</v>
      </c>
      <c r="P1594">
        <f>'Raw Data'!R1594</f>
        <v>0</v>
      </c>
      <c r="Q1594">
        <f>'Raw Data'!S1594</f>
        <v>0</v>
      </c>
      <c r="R1594">
        <f>'Raw Data'!T1594</f>
        <v>0</v>
      </c>
      <c r="S1594">
        <f>IFERROR(O1594,0)+IFERROR(R1594,0)</f>
        <v>0</v>
      </c>
      <c r="T1594">
        <f>IF(A1594="","",YEAR(A1594))</f>
        <v>0</v>
      </c>
    </row>
    <row r="1595" spans="1:20">
      <c r="A1595">
        <f>'Raw Data'!B1595</f>
        <v>0</v>
      </c>
      <c r="B1595">
        <f>'Raw Data'!A1595</f>
        <v>0</v>
      </c>
      <c r="C1595">
        <f>'Raw Data'!C1595</f>
        <v>0</v>
      </c>
      <c r="D1595">
        <f>'Raw Data'!D1595</f>
        <v>0</v>
      </c>
      <c r="E1595">
        <f>IFERROR(VLOOKUP(D1595,'Lookup Tables'!$A:$B,2,FALSE),"Unknown")</f>
        <v>0</v>
      </c>
      <c r="F1595">
        <f>'Raw Data'!E1595</f>
        <v>0</v>
      </c>
      <c r="G1595">
        <f>IFERROR(VLOOKUP(D1595,'Lookup Tables'!$A:$C,3,FALSE),IF(ISNUMBER(SEARCH("STEEL",F1595)),"Steel","Others"))</f>
        <v>0</v>
      </c>
      <c r="H1595">
        <f>IF(ISNUMBER(SEARCH("scrubber",F1595)) , "Scrubber", IF(ISNUMBER(SEARCH("container",F1595)),"Container", IF(ISNUMBER(SEARCH("basket",F1595)),"Basket", IF(ISNUMBER(SEARCH("lunch",F1595)),"Lunch Box", IF(ISNUMBER(SEARCH("cutlery",F1595)),"Cutlery","Other")))))</f>
        <v>0</v>
      </c>
      <c r="I1595">
        <f>IF('Raw Data'!G1595&lt;&gt;'','Raw Data'!G1595,IFERROR(MID(F1595,SEARCH("MODEL",F1595)+6,20),""))</f>
        <v>0</v>
      </c>
      <c r="J1595">
        <f>'Raw Data'!H1595</f>
        <v>0</v>
      </c>
      <c r="K1595">
        <f>'Raw Data'!I1595</f>
        <v>0</v>
      </c>
      <c r="L1595">
        <f>IF('Raw Data'!N1595&lt;&gt;0,'Raw Data'!N1595,IFERROR(VALUE(MID(F1595,SEARCH("QTY",F1595)+4,IFERROR(FIND(" ",F1595,SEARCH("QTY",F1595)+4)-(SEARCH("QTY",F1595)+4),3))),""))</f>
        <v>0</v>
      </c>
      <c r="M1595">
        <f>'Raw Data'!O1595</f>
        <v>0</v>
      </c>
      <c r="N1595">
        <f>'Raw Data'!P1595</f>
        <v>0</v>
      </c>
      <c r="O1595">
        <f>'Raw Data'!Q1595</f>
        <v>0</v>
      </c>
      <c r="P1595">
        <f>'Raw Data'!R1595</f>
        <v>0</v>
      </c>
      <c r="Q1595">
        <f>'Raw Data'!S1595</f>
        <v>0</v>
      </c>
      <c r="R1595">
        <f>'Raw Data'!T1595</f>
        <v>0</v>
      </c>
      <c r="S1595">
        <f>IFERROR(O1595,0)+IFERROR(R1595,0)</f>
        <v>0</v>
      </c>
      <c r="T1595">
        <f>IF(A1595="","",YEAR(A1595))</f>
        <v>0</v>
      </c>
    </row>
    <row r="1596" spans="1:20">
      <c r="A1596">
        <f>'Raw Data'!B1596</f>
        <v>0</v>
      </c>
      <c r="B1596">
        <f>'Raw Data'!A1596</f>
        <v>0</v>
      </c>
      <c r="C1596">
        <f>'Raw Data'!C1596</f>
        <v>0</v>
      </c>
      <c r="D1596">
        <f>'Raw Data'!D1596</f>
        <v>0</v>
      </c>
      <c r="E1596">
        <f>IFERROR(VLOOKUP(D1596,'Lookup Tables'!$A:$B,2,FALSE),"Unknown")</f>
        <v>0</v>
      </c>
      <c r="F1596">
        <f>'Raw Data'!E1596</f>
        <v>0</v>
      </c>
      <c r="G1596">
        <f>IFERROR(VLOOKUP(D1596,'Lookup Tables'!$A:$C,3,FALSE),IF(ISNUMBER(SEARCH("STEEL",F1596)),"Steel","Others"))</f>
        <v>0</v>
      </c>
      <c r="H1596">
        <f>IF(ISNUMBER(SEARCH("scrubber",F1596)) , "Scrubber", IF(ISNUMBER(SEARCH("container",F1596)),"Container", IF(ISNUMBER(SEARCH("basket",F1596)),"Basket", IF(ISNUMBER(SEARCH("lunch",F1596)),"Lunch Box", IF(ISNUMBER(SEARCH("cutlery",F1596)),"Cutlery","Other")))))</f>
        <v>0</v>
      </c>
      <c r="I1596">
        <f>IF('Raw Data'!G1596&lt;&gt;'','Raw Data'!G1596,IFERROR(MID(F1596,SEARCH("MODEL",F1596)+6,20),""))</f>
        <v>0</v>
      </c>
      <c r="J1596">
        <f>'Raw Data'!H1596</f>
        <v>0</v>
      </c>
      <c r="K1596">
        <f>'Raw Data'!I1596</f>
        <v>0</v>
      </c>
      <c r="L1596">
        <f>IF('Raw Data'!N1596&lt;&gt;0,'Raw Data'!N1596,IFERROR(VALUE(MID(F1596,SEARCH("QTY",F1596)+4,IFERROR(FIND(" ",F1596,SEARCH("QTY",F1596)+4)-(SEARCH("QTY",F1596)+4),3))),""))</f>
        <v>0</v>
      </c>
      <c r="M1596">
        <f>'Raw Data'!O1596</f>
        <v>0</v>
      </c>
      <c r="N1596">
        <f>'Raw Data'!P1596</f>
        <v>0</v>
      </c>
      <c r="O1596">
        <f>'Raw Data'!Q1596</f>
        <v>0</v>
      </c>
      <c r="P1596">
        <f>'Raw Data'!R1596</f>
        <v>0</v>
      </c>
      <c r="Q1596">
        <f>'Raw Data'!S1596</f>
        <v>0</v>
      </c>
      <c r="R1596">
        <f>'Raw Data'!T1596</f>
        <v>0</v>
      </c>
      <c r="S1596">
        <f>IFERROR(O1596,0)+IFERROR(R1596,0)</f>
        <v>0</v>
      </c>
      <c r="T1596">
        <f>IF(A1596="","",YEAR(A1596))</f>
        <v>0</v>
      </c>
    </row>
    <row r="1597" spans="1:20">
      <c r="A1597">
        <f>'Raw Data'!B1597</f>
        <v>0</v>
      </c>
      <c r="B1597">
        <f>'Raw Data'!A1597</f>
        <v>0</v>
      </c>
      <c r="C1597">
        <f>'Raw Data'!C1597</f>
        <v>0</v>
      </c>
      <c r="D1597">
        <f>'Raw Data'!D1597</f>
        <v>0</v>
      </c>
      <c r="E1597">
        <f>IFERROR(VLOOKUP(D1597,'Lookup Tables'!$A:$B,2,FALSE),"Unknown")</f>
        <v>0</v>
      </c>
      <c r="F1597">
        <f>'Raw Data'!E1597</f>
        <v>0</v>
      </c>
      <c r="G1597">
        <f>IFERROR(VLOOKUP(D1597,'Lookup Tables'!$A:$C,3,FALSE),IF(ISNUMBER(SEARCH("STEEL",F1597)),"Steel","Others"))</f>
        <v>0</v>
      </c>
      <c r="H1597">
        <f>IF(ISNUMBER(SEARCH("scrubber",F1597)) , "Scrubber", IF(ISNUMBER(SEARCH("container",F1597)),"Container", IF(ISNUMBER(SEARCH("basket",F1597)),"Basket", IF(ISNUMBER(SEARCH("lunch",F1597)),"Lunch Box", IF(ISNUMBER(SEARCH("cutlery",F1597)),"Cutlery","Other")))))</f>
        <v>0</v>
      </c>
      <c r="I1597">
        <f>IF('Raw Data'!G1597&lt;&gt;'','Raw Data'!G1597,IFERROR(MID(F1597,SEARCH("MODEL",F1597)+6,20),""))</f>
        <v>0</v>
      </c>
      <c r="J1597">
        <f>'Raw Data'!H1597</f>
        <v>0</v>
      </c>
      <c r="K1597">
        <f>'Raw Data'!I1597</f>
        <v>0</v>
      </c>
      <c r="L1597">
        <f>IF('Raw Data'!N1597&lt;&gt;0,'Raw Data'!N1597,IFERROR(VALUE(MID(F1597,SEARCH("QTY",F1597)+4,IFERROR(FIND(" ",F1597,SEARCH("QTY",F1597)+4)-(SEARCH("QTY",F1597)+4),3))),""))</f>
        <v>0</v>
      </c>
      <c r="M1597">
        <f>'Raw Data'!O1597</f>
        <v>0</v>
      </c>
      <c r="N1597">
        <f>'Raw Data'!P1597</f>
        <v>0</v>
      </c>
      <c r="O1597">
        <f>'Raw Data'!Q1597</f>
        <v>0</v>
      </c>
      <c r="P1597">
        <f>'Raw Data'!R1597</f>
        <v>0</v>
      </c>
      <c r="Q1597">
        <f>'Raw Data'!S1597</f>
        <v>0</v>
      </c>
      <c r="R1597">
        <f>'Raw Data'!T1597</f>
        <v>0</v>
      </c>
      <c r="S1597">
        <f>IFERROR(O1597,0)+IFERROR(R1597,0)</f>
        <v>0</v>
      </c>
      <c r="T1597">
        <f>IF(A1597="","",YEAR(A1597))</f>
        <v>0</v>
      </c>
    </row>
    <row r="1598" spans="1:20">
      <c r="A1598">
        <f>'Raw Data'!B1598</f>
        <v>0</v>
      </c>
      <c r="B1598">
        <f>'Raw Data'!A1598</f>
        <v>0</v>
      </c>
      <c r="C1598">
        <f>'Raw Data'!C1598</f>
        <v>0</v>
      </c>
      <c r="D1598">
        <f>'Raw Data'!D1598</f>
        <v>0</v>
      </c>
      <c r="E1598">
        <f>IFERROR(VLOOKUP(D1598,'Lookup Tables'!$A:$B,2,FALSE),"Unknown")</f>
        <v>0</v>
      </c>
      <c r="F1598">
        <f>'Raw Data'!E1598</f>
        <v>0</v>
      </c>
      <c r="G1598">
        <f>IFERROR(VLOOKUP(D1598,'Lookup Tables'!$A:$C,3,FALSE),IF(ISNUMBER(SEARCH("STEEL",F1598)),"Steel","Others"))</f>
        <v>0</v>
      </c>
      <c r="H1598">
        <f>IF(ISNUMBER(SEARCH("scrubber",F1598)) , "Scrubber", IF(ISNUMBER(SEARCH("container",F1598)),"Container", IF(ISNUMBER(SEARCH("basket",F1598)),"Basket", IF(ISNUMBER(SEARCH("lunch",F1598)),"Lunch Box", IF(ISNUMBER(SEARCH("cutlery",F1598)),"Cutlery","Other")))))</f>
        <v>0</v>
      </c>
      <c r="I1598">
        <f>IF('Raw Data'!G1598&lt;&gt;'','Raw Data'!G1598,IFERROR(MID(F1598,SEARCH("MODEL",F1598)+6,20),""))</f>
        <v>0</v>
      </c>
      <c r="J1598">
        <f>'Raw Data'!H1598</f>
        <v>0</v>
      </c>
      <c r="K1598">
        <f>'Raw Data'!I1598</f>
        <v>0</v>
      </c>
      <c r="L1598">
        <f>IF('Raw Data'!N1598&lt;&gt;0,'Raw Data'!N1598,IFERROR(VALUE(MID(F1598,SEARCH("QTY",F1598)+4,IFERROR(FIND(" ",F1598,SEARCH("QTY",F1598)+4)-(SEARCH("QTY",F1598)+4),3))),""))</f>
        <v>0</v>
      </c>
      <c r="M1598">
        <f>'Raw Data'!O1598</f>
        <v>0</v>
      </c>
      <c r="N1598">
        <f>'Raw Data'!P1598</f>
        <v>0</v>
      </c>
      <c r="O1598">
        <f>'Raw Data'!Q1598</f>
        <v>0</v>
      </c>
      <c r="P1598">
        <f>'Raw Data'!R1598</f>
        <v>0</v>
      </c>
      <c r="Q1598">
        <f>'Raw Data'!S1598</f>
        <v>0</v>
      </c>
      <c r="R1598">
        <f>'Raw Data'!T1598</f>
        <v>0</v>
      </c>
      <c r="S1598">
        <f>IFERROR(O1598,0)+IFERROR(R1598,0)</f>
        <v>0</v>
      </c>
      <c r="T1598">
        <f>IF(A1598="","",YEAR(A1598))</f>
        <v>0</v>
      </c>
    </row>
    <row r="1599" spans="1:20">
      <c r="A1599">
        <f>'Raw Data'!B1599</f>
        <v>0</v>
      </c>
      <c r="B1599">
        <f>'Raw Data'!A1599</f>
        <v>0</v>
      </c>
      <c r="C1599">
        <f>'Raw Data'!C1599</f>
        <v>0</v>
      </c>
      <c r="D1599">
        <f>'Raw Data'!D1599</f>
        <v>0</v>
      </c>
      <c r="E1599">
        <f>IFERROR(VLOOKUP(D1599,'Lookup Tables'!$A:$B,2,FALSE),"Unknown")</f>
        <v>0</v>
      </c>
      <c r="F1599">
        <f>'Raw Data'!E1599</f>
        <v>0</v>
      </c>
      <c r="G1599">
        <f>IFERROR(VLOOKUP(D1599,'Lookup Tables'!$A:$C,3,FALSE),IF(ISNUMBER(SEARCH("STEEL",F1599)),"Steel","Others"))</f>
        <v>0</v>
      </c>
      <c r="H1599">
        <f>IF(ISNUMBER(SEARCH("scrubber",F1599)) , "Scrubber", IF(ISNUMBER(SEARCH("container",F1599)),"Container", IF(ISNUMBER(SEARCH("basket",F1599)),"Basket", IF(ISNUMBER(SEARCH("lunch",F1599)),"Lunch Box", IF(ISNUMBER(SEARCH("cutlery",F1599)),"Cutlery","Other")))))</f>
        <v>0</v>
      </c>
      <c r="I1599">
        <f>IF('Raw Data'!G1599&lt;&gt;'','Raw Data'!G1599,IFERROR(MID(F1599,SEARCH("MODEL",F1599)+6,20),""))</f>
        <v>0</v>
      </c>
      <c r="J1599">
        <f>'Raw Data'!H1599</f>
        <v>0</v>
      </c>
      <c r="K1599">
        <f>'Raw Data'!I1599</f>
        <v>0</v>
      </c>
      <c r="L1599">
        <f>IF('Raw Data'!N1599&lt;&gt;0,'Raw Data'!N1599,IFERROR(VALUE(MID(F1599,SEARCH("QTY",F1599)+4,IFERROR(FIND(" ",F1599,SEARCH("QTY",F1599)+4)-(SEARCH("QTY",F1599)+4),3))),""))</f>
        <v>0</v>
      </c>
      <c r="M1599">
        <f>'Raw Data'!O1599</f>
        <v>0</v>
      </c>
      <c r="N1599">
        <f>'Raw Data'!P1599</f>
        <v>0</v>
      </c>
      <c r="O1599">
        <f>'Raw Data'!Q1599</f>
        <v>0</v>
      </c>
      <c r="P1599">
        <f>'Raw Data'!R1599</f>
        <v>0</v>
      </c>
      <c r="Q1599">
        <f>'Raw Data'!S1599</f>
        <v>0</v>
      </c>
      <c r="R1599">
        <f>'Raw Data'!T1599</f>
        <v>0</v>
      </c>
      <c r="S1599">
        <f>IFERROR(O1599,0)+IFERROR(R1599,0)</f>
        <v>0</v>
      </c>
      <c r="T1599">
        <f>IF(A1599="","",YEAR(A1599))</f>
        <v>0</v>
      </c>
    </row>
    <row r="1600" spans="1:20">
      <c r="A1600">
        <f>'Raw Data'!B1600</f>
        <v>0</v>
      </c>
      <c r="B1600">
        <f>'Raw Data'!A1600</f>
        <v>0</v>
      </c>
      <c r="C1600">
        <f>'Raw Data'!C1600</f>
        <v>0</v>
      </c>
      <c r="D1600">
        <f>'Raw Data'!D1600</f>
        <v>0</v>
      </c>
      <c r="E1600">
        <f>IFERROR(VLOOKUP(D1600,'Lookup Tables'!$A:$B,2,FALSE),"Unknown")</f>
        <v>0</v>
      </c>
      <c r="F1600">
        <f>'Raw Data'!E1600</f>
        <v>0</v>
      </c>
      <c r="G1600">
        <f>IFERROR(VLOOKUP(D1600,'Lookup Tables'!$A:$C,3,FALSE),IF(ISNUMBER(SEARCH("STEEL",F1600)),"Steel","Others"))</f>
        <v>0</v>
      </c>
      <c r="H1600">
        <f>IF(ISNUMBER(SEARCH("scrubber",F1600)) , "Scrubber", IF(ISNUMBER(SEARCH("container",F1600)),"Container", IF(ISNUMBER(SEARCH("basket",F1600)),"Basket", IF(ISNUMBER(SEARCH("lunch",F1600)),"Lunch Box", IF(ISNUMBER(SEARCH("cutlery",F1600)),"Cutlery","Other")))))</f>
        <v>0</v>
      </c>
      <c r="I1600">
        <f>IF('Raw Data'!G1600&lt;&gt;'','Raw Data'!G1600,IFERROR(MID(F1600,SEARCH("MODEL",F1600)+6,20),""))</f>
        <v>0</v>
      </c>
      <c r="J1600">
        <f>'Raw Data'!H1600</f>
        <v>0</v>
      </c>
      <c r="K1600">
        <f>'Raw Data'!I1600</f>
        <v>0</v>
      </c>
      <c r="L1600">
        <f>IF('Raw Data'!N1600&lt;&gt;0,'Raw Data'!N1600,IFERROR(VALUE(MID(F1600,SEARCH("QTY",F1600)+4,IFERROR(FIND(" ",F1600,SEARCH("QTY",F1600)+4)-(SEARCH("QTY",F1600)+4),3))),""))</f>
        <v>0</v>
      </c>
      <c r="M1600">
        <f>'Raw Data'!O1600</f>
        <v>0</v>
      </c>
      <c r="N1600">
        <f>'Raw Data'!P1600</f>
        <v>0</v>
      </c>
      <c r="O1600">
        <f>'Raw Data'!Q1600</f>
        <v>0</v>
      </c>
      <c r="P1600">
        <f>'Raw Data'!R1600</f>
        <v>0</v>
      </c>
      <c r="Q1600">
        <f>'Raw Data'!S1600</f>
        <v>0</v>
      </c>
      <c r="R1600">
        <f>'Raw Data'!T1600</f>
        <v>0</v>
      </c>
      <c r="S1600">
        <f>IFERROR(O1600,0)+IFERROR(R1600,0)</f>
        <v>0</v>
      </c>
      <c r="T1600">
        <f>IF(A1600="","",YEAR(A1600))</f>
        <v>0</v>
      </c>
    </row>
    <row r="1601" spans="1:20">
      <c r="A1601">
        <f>'Raw Data'!B1601</f>
        <v>0</v>
      </c>
      <c r="B1601">
        <f>'Raw Data'!A1601</f>
        <v>0</v>
      </c>
      <c r="C1601">
        <f>'Raw Data'!C1601</f>
        <v>0</v>
      </c>
      <c r="D1601">
        <f>'Raw Data'!D1601</f>
        <v>0</v>
      </c>
      <c r="E1601">
        <f>IFERROR(VLOOKUP(D1601,'Lookup Tables'!$A:$B,2,FALSE),"Unknown")</f>
        <v>0</v>
      </c>
      <c r="F1601">
        <f>'Raw Data'!E1601</f>
        <v>0</v>
      </c>
      <c r="G1601">
        <f>IFERROR(VLOOKUP(D1601,'Lookup Tables'!$A:$C,3,FALSE),IF(ISNUMBER(SEARCH("STEEL",F1601)),"Steel","Others"))</f>
        <v>0</v>
      </c>
      <c r="H1601">
        <f>IF(ISNUMBER(SEARCH("scrubber",F1601)) , "Scrubber", IF(ISNUMBER(SEARCH("container",F1601)),"Container", IF(ISNUMBER(SEARCH("basket",F1601)),"Basket", IF(ISNUMBER(SEARCH("lunch",F1601)),"Lunch Box", IF(ISNUMBER(SEARCH("cutlery",F1601)),"Cutlery","Other")))))</f>
        <v>0</v>
      </c>
      <c r="I1601">
        <f>IF('Raw Data'!G1601&lt;&gt;'','Raw Data'!G1601,IFERROR(MID(F1601,SEARCH("MODEL",F1601)+6,20),""))</f>
        <v>0</v>
      </c>
      <c r="J1601">
        <f>'Raw Data'!H1601</f>
        <v>0</v>
      </c>
      <c r="K1601">
        <f>'Raw Data'!I1601</f>
        <v>0</v>
      </c>
      <c r="L1601">
        <f>IF('Raw Data'!N1601&lt;&gt;0,'Raw Data'!N1601,IFERROR(VALUE(MID(F1601,SEARCH("QTY",F1601)+4,IFERROR(FIND(" ",F1601,SEARCH("QTY",F1601)+4)-(SEARCH("QTY",F1601)+4),3))),""))</f>
        <v>0</v>
      </c>
      <c r="M1601">
        <f>'Raw Data'!O1601</f>
        <v>0</v>
      </c>
      <c r="N1601">
        <f>'Raw Data'!P1601</f>
        <v>0</v>
      </c>
      <c r="O1601">
        <f>'Raw Data'!Q1601</f>
        <v>0</v>
      </c>
      <c r="P1601">
        <f>'Raw Data'!R1601</f>
        <v>0</v>
      </c>
      <c r="Q1601">
        <f>'Raw Data'!S1601</f>
        <v>0</v>
      </c>
      <c r="R1601">
        <f>'Raw Data'!T1601</f>
        <v>0</v>
      </c>
      <c r="S1601">
        <f>IFERROR(O1601,0)+IFERROR(R1601,0)</f>
        <v>0</v>
      </c>
      <c r="T1601">
        <f>IF(A1601="","",YEAR(A1601))</f>
        <v>0</v>
      </c>
    </row>
    <row r="1602" spans="1:20">
      <c r="A1602">
        <f>'Raw Data'!B1602</f>
        <v>0</v>
      </c>
      <c r="B1602">
        <f>'Raw Data'!A1602</f>
        <v>0</v>
      </c>
      <c r="C1602">
        <f>'Raw Data'!C1602</f>
        <v>0</v>
      </c>
      <c r="D1602">
        <f>'Raw Data'!D1602</f>
        <v>0</v>
      </c>
      <c r="E1602">
        <f>IFERROR(VLOOKUP(D1602,'Lookup Tables'!$A:$B,2,FALSE),"Unknown")</f>
        <v>0</v>
      </c>
      <c r="F1602">
        <f>'Raw Data'!E1602</f>
        <v>0</v>
      </c>
      <c r="G1602">
        <f>IFERROR(VLOOKUP(D1602,'Lookup Tables'!$A:$C,3,FALSE),IF(ISNUMBER(SEARCH("STEEL",F1602)),"Steel","Others"))</f>
        <v>0</v>
      </c>
      <c r="H1602">
        <f>IF(ISNUMBER(SEARCH("scrubber",F1602)) , "Scrubber", IF(ISNUMBER(SEARCH("container",F1602)),"Container", IF(ISNUMBER(SEARCH("basket",F1602)),"Basket", IF(ISNUMBER(SEARCH("lunch",F1602)),"Lunch Box", IF(ISNUMBER(SEARCH("cutlery",F1602)),"Cutlery","Other")))))</f>
        <v>0</v>
      </c>
      <c r="I1602">
        <f>IF('Raw Data'!G1602&lt;&gt;'','Raw Data'!G1602,IFERROR(MID(F1602,SEARCH("MODEL",F1602)+6,20),""))</f>
        <v>0</v>
      </c>
      <c r="J1602">
        <f>'Raw Data'!H1602</f>
        <v>0</v>
      </c>
      <c r="K1602">
        <f>'Raw Data'!I1602</f>
        <v>0</v>
      </c>
      <c r="L1602">
        <f>IF('Raw Data'!N1602&lt;&gt;0,'Raw Data'!N1602,IFERROR(VALUE(MID(F1602,SEARCH("QTY",F1602)+4,IFERROR(FIND(" ",F1602,SEARCH("QTY",F1602)+4)-(SEARCH("QTY",F1602)+4),3))),""))</f>
        <v>0</v>
      </c>
      <c r="M1602">
        <f>'Raw Data'!O1602</f>
        <v>0</v>
      </c>
      <c r="N1602">
        <f>'Raw Data'!P1602</f>
        <v>0</v>
      </c>
      <c r="O1602">
        <f>'Raw Data'!Q1602</f>
        <v>0</v>
      </c>
      <c r="P1602">
        <f>'Raw Data'!R1602</f>
        <v>0</v>
      </c>
      <c r="Q1602">
        <f>'Raw Data'!S1602</f>
        <v>0</v>
      </c>
      <c r="R1602">
        <f>'Raw Data'!T1602</f>
        <v>0</v>
      </c>
      <c r="S1602">
        <f>IFERROR(O1602,0)+IFERROR(R1602,0)</f>
        <v>0</v>
      </c>
      <c r="T1602">
        <f>IF(A1602="","",YEAR(A1602))</f>
        <v>0</v>
      </c>
    </row>
    <row r="1603" spans="1:20">
      <c r="A1603">
        <f>'Raw Data'!B1603</f>
        <v>0</v>
      </c>
      <c r="B1603">
        <f>'Raw Data'!A1603</f>
        <v>0</v>
      </c>
      <c r="C1603">
        <f>'Raw Data'!C1603</f>
        <v>0</v>
      </c>
      <c r="D1603">
        <f>'Raw Data'!D1603</f>
        <v>0</v>
      </c>
      <c r="E1603">
        <f>IFERROR(VLOOKUP(D1603,'Lookup Tables'!$A:$B,2,FALSE),"Unknown")</f>
        <v>0</v>
      </c>
      <c r="F1603">
        <f>'Raw Data'!E1603</f>
        <v>0</v>
      </c>
      <c r="G1603">
        <f>IFERROR(VLOOKUP(D1603,'Lookup Tables'!$A:$C,3,FALSE),IF(ISNUMBER(SEARCH("STEEL",F1603)),"Steel","Others"))</f>
        <v>0</v>
      </c>
      <c r="H1603">
        <f>IF(ISNUMBER(SEARCH("scrubber",F1603)) , "Scrubber", IF(ISNUMBER(SEARCH("container",F1603)),"Container", IF(ISNUMBER(SEARCH("basket",F1603)),"Basket", IF(ISNUMBER(SEARCH("lunch",F1603)),"Lunch Box", IF(ISNUMBER(SEARCH("cutlery",F1603)),"Cutlery","Other")))))</f>
        <v>0</v>
      </c>
      <c r="I1603">
        <f>IF('Raw Data'!G1603&lt;&gt;'','Raw Data'!G1603,IFERROR(MID(F1603,SEARCH("MODEL",F1603)+6,20),""))</f>
        <v>0</v>
      </c>
      <c r="J1603">
        <f>'Raw Data'!H1603</f>
        <v>0</v>
      </c>
      <c r="K1603">
        <f>'Raw Data'!I1603</f>
        <v>0</v>
      </c>
      <c r="L1603">
        <f>IF('Raw Data'!N1603&lt;&gt;0,'Raw Data'!N1603,IFERROR(VALUE(MID(F1603,SEARCH("QTY",F1603)+4,IFERROR(FIND(" ",F1603,SEARCH("QTY",F1603)+4)-(SEARCH("QTY",F1603)+4),3))),""))</f>
        <v>0</v>
      </c>
      <c r="M1603">
        <f>'Raw Data'!O1603</f>
        <v>0</v>
      </c>
      <c r="N1603">
        <f>'Raw Data'!P1603</f>
        <v>0</v>
      </c>
      <c r="O1603">
        <f>'Raw Data'!Q1603</f>
        <v>0</v>
      </c>
      <c r="P1603">
        <f>'Raw Data'!R1603</f>
        <v>0</v>
      </c>
      <c r="Q1603">
        <f>'Raw Data'!S1603</f>
        <v>0</v>
      </c>
      <c r="R1603">
        <f>'Raw Data'!T1603</f>
        <v>0</v>
      </c>
      <c r="S1603">
        <f>IFERROR(O1603,0)+IFERROR(R1603,0)</f>
        <v>0</v>
      </c>
      <c r="T1603">
        <f>IF(A1603="","",YEAR(A1603))</f>
        <v>0</v>
      </c>
    </row>
    <row r="1604" spans="1:20">
      <c r="A1604">
        <f>'Raw Data'!B1604</f>
        <v>0</v>
      </c>
      <c r="B1604">
        <f>'Raw Data'!A1604</f>
        <v>0</v>
      </c>
      <c r="C1604">
        <f>'Raw Data'!C1604</f>
        <v>0</v>
      </c>
      <c r="D1604">
        <f>'Raw Data'!D1604</f>
        <v>0</v>
      </c>
      <c r="E1604">
        <f>IFERROR(VLOOKUP(D1604,'Lookup Tables'!$A:$B,2,FALSE),"Unknown")</f>
        <v>0</v>
      </c>
      <c r="F1604">
        <f>'Raw Data'!E1604</f>
        <v>0</v>
      </c>
      <c r="G1604">
        <f>IFERROR(VLOOKUP(D1604,'Lookup Tables'!$A:$C,3,FALSE),IF(ISNUMBER(SEARCH("STEEL",F1604)),"Steel","Others"))</f>
        <v>0</v>
      </c>
      <c r="H1604">
        <f>IF(ISNUMBER(SEARCH("scrubber",F1604)) , "Scrubber", IF(ISNUMBER(SEARCH("container",F1604)),"Container", IF(ISNUMBER(SEARCH("basket",F1604)),"Basket", IF(ISNUMBER(SEARCH("lunch",F1604)),"Lunch Box", IF(ISNUMBER(SEARCH("cutlery",F1604)),"Cutlery","Other")))))</f>
        <v>0</v>
      </c>
      <c r="I1604">
        <f>IF('Raw Data'!G1604&lt;&gt;'','Raw Data'!G1604,IFERROR(MID(F1604,SEARCH("MODEL",F1604)+6,20),""))</f>
        <v>0</v>
      </c>
      <c r="J1604">
        <f>'Raw Data'!H1604</f>
        <v>0</v>
      </c>
      <c r="K1604">
        <f>'Raw Data'!I1604</f>
        <v>0</v>
      </c>
      <c r="L1604">
        <f>IF('Raw Data'!N1604&lt;&gt;0,'Raw Data'!N1604,IFERROR(VALUE(MID(F1604,SEARCH("QTY",F1604)+4,IFERROR(FIND(" ",F1604,SEARCH("QTY",F1604)+4)-(SEARCH("QTY",F1604)+4),3))),""))</f>
        <v>0</v>
      </c>
      <c r="M1604">
        <f>'Raw Data'!O1604</f>
        <v>0</v>
      </c>
      <c r="N1604">
        <f>'Raw Data'!P1604</f>
        <v>0</v>
      </c>
      <c r="O1604">
        <f>'Raw Data'!Q1604</f>
        <v>0</v>
      </c>
      <c r="P1604">
        <f>'Raw Data'!R1604</f>
        <v>0</v>
      </c>
      <c r="Q1604">
        <f>'Raw Data'!S1604</f>
        <v>0</v>
      </c>
      <c r="R1604">
        <f>'Raw Data'!T1604</f>
        <v>0</v>
      </c>
      <c r="S1604">
        <f>IFERROR(O1604,0)+IFERROR(R1604,0)</f>
        <v>0</v>
      </c>
      <c r="T1604">
        <f>IF(A1604="","",YEAR(A1604))</f>
        <v>0</v>
      </c>
    </row>
    <row r="1605" spans="1:20">
      <c r="A1605">
        <f>'Raw Data'!B1605</f>
        <v>0</v>
      </c>
      <c r="B1605">
        <f>'Raw Data'!A1605</f>
        <v>0</v>
      </c>
      <c r="C1605">
        <f>'Raw Data'!C1605</f>
        <v>0</v>
      </c>
      <c r="D1605">
        <f>'Raw Data'!D1605</f>
        <v>0</v>
      </c>
      <c r="E1605">
        <f>IFERROR(VLOOKUP(D1605,'Lookup Tables'!$A:$B,2,FALSE),"Unknown")</f>
        <v>0</v>
      </c>
      <c r="F1605">
        <f>'Raw Data'!E1605</f>
        <v>0</v>
      </c>
      <c r="G1605">
        <f>IFERROR(VLOOKUP(D1605,'Lookup Tables'!$A:$C,3,FALSE),IF(ISNUMBER(SEARCH("STEEL",F1605)),"Steel","Others"))</f>
        <v>0</v>
      </c>
      <c r="H1605">
        <f>IF(ISNUMBER(SEARCH("scrubber",F1605)) , "Scrubber", IF(ISNUMBER(SEARCH("container",F1605)),"Container", IF(ISNUMBER(SEARCH("basket",F1605)),"Basket", IF(ISNUMBER(SEARCH("lunch",F1605)),"Lunch Box", IF(ISNUMBER(SEARCH("cutlery",F1605)),"Cutlery","Other")))))</f>
        <v>0</v>
      </c>
      <c r="I1605">
        <f>IF('Raw Data'!G1605&lt;&gt;'','Raw Data'!G1605,IFERROR(MID(F1605,SEARCH("MODEL",F1605)+6,20),""))</f>
        <v>0</v>
      </c>
      <c r="J1605">
        <f>'Raw Data'!H1605</f>
        <v>0</v>
      </c>
      <c r="K1605">
        <f>'Raw Data'!I1605</f>
        <v>0</v>
      </c>
      <c r="L1605">
        <f>IF('Raw Data'!N1605&lt;&gt;0,'Raw Data'!N1605,IFERROR(VALUE(MID(F1605,SEARCH("QTY",F1605)+4,IFERROR(FIND(" ",F1605,SEARCH("QTY",F1605)+4)-(SEARCH("QTY",F1605)+4),3))),""))</f>
        <v>0</v>
      </c>
      <c r="M1605">
        <f>'Raw Data'!O1605</f>
        <v>0</v>
      </c>
      <c r="N1605">
        <f>'Raw Data'!P1605</f>
        <v>0</v>
      </c>
      <c r="O1605">
        <f>'Raw Data'!Q1605</f>
        <v>0</v>
      </c>
      <c r="P1605">
        <f>'Raw Data'!R1605</f>
        <v>0</v>
      </c>
      <c r="Q1605">
        <f>'Raw Data'!S1605</f>
        <v>0</v>
      </c>
      <c r="R1605">
        <f>'Raw Data'!T1605</f>
        <v>0</v>
      </c>
      <c r="S1605">
        <f>IFERROR(O1605,0)+IFERROR(R1605,0)</f>
        <v>0</v>
      </c>
      <c r="T1605">
        <f>IF(A1605="","",YEAR(A1605))</f>
        <v>0</v>
      </c>
    </row>
    <row r="1606" spans="1:20">
      <c r="A1606">
        <f>'Raw Data'!B1606</f>
        <v>0</v>
      </c>
      <c r="B1606">
        <f>'Raw Data'!A1606</f>
        <v>0</v>
      </c>
      <c r="C1606">
        <f>'Raw Data'!C1606</f>
        <v>0</v>
      </c>
      <c r="D1606">
        <f>'Raw Data'!D1606</f>
        <v>0</v>
      </c>
      <c r="E1606">
        <f>IFERROR(VLOOKUP(D1606,'Lookup Tables'!$A:$B,2,FALSE),"Unknown")</f>
        <v>0</v>
      </c>
      <c r="F1606">
        <f>'Raw Data'!E1606</f>
        <v>0</v>
      </c>
      <c r="G1606">
        <f>IFERROR(VLOOKUP(D1606,'Lookup Tables'!$A:$C,3,FALSE),IF(ISNUMBER(SEARCH("STEEL",F1606)),"Steel","Others"))</f>
        <v>0</v>
      </c>
      <c r="H1606">
        <f>IF(ISNUMBER(SEARCH("scrubber",F1606)) , "Scrubber", IF(ISNUMBER(SEARCH("container",F1606)),"Container", IF(ISNUMBER(SEARCH("basket",F1606)),"Basket", IF(ISNUMBER(SEARCH("lunch",F1606)),"Lunch Box", IF(ISNUMBER(SEARCH("cutlery",F1606)),"Cutlery","Other")))))</f>
        <v>0</v>
      </c>
      <c r="I1606">
        <f>IF('Raw Data'!G1606&lt;&gt;'','Raw Data'!G1606,IFERROR(MID(F1606,SEARCH("MODEL",F1606)+6,20),""))</f>
        <v>0</v>
      </c>
      <c r="J1606">
        <f>'Raw Data'!H1606</f>
        <v>0</v>
      </c>
      <c r="K1606">
        <f>'Raw Data'!I1606</f>
        <v>0</v>
      </c>
      <c r="L1606">
        <f>IF('Raw Data'!N1606&lt;&gt;0,'Raw Data'!N1606,IFERROR(VALUE(MID(F1606,SEARCH("QTY",F1606)+4,IFERROR(FIND(" ",F1606,SEARCH("QTY",F1606)+4)-(SEARCH("QTY",F1606)+4),3))),""))</f>
        <v>0</v>
      </c>
      <c r="M1606">
        <f>'Raw Data'!O1606</f>
        <v>0</v>
      </c>
      <c r="N1606">
        <f>'Raw Data'!P1606</f>
        <v>0</v>
      </c>
      <c r="O1606">
        <f>'Raw Data'!Q1606</f>
        <v>0</v>
      </c>
      <c r="P1606">
        <f>'Raw Data'!R1606</f>
        <v>0</v>
      </c>
      <c r="Q1606">
        <f>'Raw Data'!S1606</f>
        <v>0</v>
      </c>
      <c r="R1606">
        <f>'Raw Data'!T1606</f>
        <v>0</v>
      </c>
      <c r="S1606">
        <f>IFERROR(O1606,0)+IFERROR(R1606,0)</f>
        <v>0</v>
      </c>
      <c r="T1606">
        <f>IF(A1606="","",YEAR(A1606))</f>
        <v>0</v>
      </c>
    </row>
    <row r="1607" spans="1:20">
      <c r="A1607">
        <f>'Raw Data'!B1607</f>
        <v>0</v>
      </c>
      <c r="B1607">
        <f>'Raw Data'!A1607</f>
        <v>0</v>
      </c>
      <c r="C1607">
        <f>'Raw Data'!C1607</f>
        <v>0</v>
      </c>
      <c r="D1607">
        <f>'Raw Data'!D1607</f>
        <v>0</v>
      </c>
      <c r="E1607">
        <f>IFERROR(VLOOKUP(D1607,'Lookup Tables'!$A:$B,2,FALSE),"Unknown")</f>
        <v>0</v>
      </c>
      <c r="F1607">
        <f>'Raw Data'!E1607</f>
        <v>0</v>
      </c>
      <c r="G1607">
        <f>IFERROR(VLOOKUP(D1607,'Lookup Tables'!$A:$C,3,FALSE),IF(ISNUMBER(SEARCH("STEEL",F1607)),"Steel","Others"))</f>
        <v>0</v>
      </c>
      <c r="H1607">
        <f>IF(ISNUMBER(SEARCH("scrubber",F1607)) , "Scrubber", IF(ISNUMBER(SEARCH("container",F1607)),"Container", IF(ISNUMBER(SEARCH("basket",F1607)),"Basket", IF(ISNUMBER(SEARCH("lunch",F1607)),"Lunch Box", IF(ISNUMBER(SEARCH("cutlery",F1607)),"Cutlery","Other")))))</f>
        <v>0</v>
      </c>
      <c r="I1607">
        <f>IF('Raw Data'!G1607&lt;&gt;'','Raw Data'!G1607,IFERROR(MID(F1607,SEARCH("MODEL",F1607)+6,20),""))</f>
        <v>0</v>
      </c>
      <c r="J1607">
        <f>'Raw Data'!H1607</f>
        <v>0</v>
      </c>
      <c r="K1607">
        <f>'Raw Data'!I1607</f>
        <v>0</v>
      </c>
      <c r="L1607">
        <f>IF('Raw Data'!N1607&lt;&gt;0,'Raw Data'!N1607,IFERROR(VALUE(MID(F1607,SEARCH("QTY",F1607)+4,IFERROR(FIND(" ",F1607,SEARCH("QTY",F1607)+4)-(SEARCH("QTY",F1607)+4),3))),""))</f>
        <v>0</v>
      </c>
      <c r="M1607">
        <f>'Raw Data'!O1607</f>
        <v>0</v>
      </c>
      <c r="N1607">
        <f>'Raw Data'!P1607</f>
        <v>0</v>
      </c>
      <c r="O1607">
        <f>'Raw Data'!Q1607</f>
        <v>0</v>
      </c>
      <c r="P1607">
        <f>'Raw Data'!R1607</f>
        <v>0</v>
      </c>
      <c r="Q1607">
        <f>'Raw Data'!S1607</f>
        <v>0</v>
      </c>
      <c r="R1607">
        <f>'Raw Data'!T1607</f>
        <v>0</v>
      </c>
      <c r="S1607">
        <f>IFERROR(O1607,0)+IFERROR(R1607,0)</f>
        <v>0</v>
      </c>
      <c r="T1607">
        <f>IF(A1607="","",YEAR(A1607))</f>
        <v>0</v>
      </c>
    </row>
    <row r="1608" spans="1:20">
      <c r="A1608">
        <f>'Raw Data'!B1608</f>
        <v>0</v>
      </c>
      <c r="B1608">
        <f>'Raw Data'!A1608</f>
        <v>0</v>
      </c>
      <c r="C1608">
        <f>'Raw Data'!C1608</f>
        <v>0</v>
      </c>
      <c r="D1608">
        <f>'Raw Data'!D1608</f>
        <v>0</v>
      </c>
      <c r="E1608">
        <f>IFERROR(VLOOKUP(D1608,'Lookup Tables'!$A:$B,2,FALSE),"Unknown")</f>
        <v>0</v>
      </c>
      <c r="F1608">
        <f>'Raw Data'!E1608</f>
        <v>0</v>
      </c>
      <c r="G1608">
        <f>IFERROR(VLOOKUP(D1608,'Lookup Tables'!$A:$C,3,FALSE),IF(ISNUMBER(SEARCH("STEEL",F1608)),"Steel","Others"))</f>
        <v>0</v>
      </c>
      <c r="H1608">
        <f>IF(ISNUMBER(SEARCH("scrubber",F1608)) , "Scrubber", IF(ISNUMBER(SEARCH("container",F1608)),"Container", IF(ISNUMBER(SEARCH("basket",F1608)),"Basket", IF(ISNUMBER(SEARCH("lunch",F1608)),"Lunch Box", IF(ISNUMBER(SEARCH("cutlery",F1608)),"Cutlery","Other")))))</f>
        <v>0</v>
      </c>
      <c r="I1608">
        <f>IF('Raw Data'!G1608&lt;&gt;'','Raw Data'!G1608,IFERROR(MID(F1608,SEARCH("MODEL",F1608)+6,20),""))</f>
        <v>0</v>
      </c>
      <c r="J1608">
        <f>'Raw Data'!H1608</f>
        <v>0</v>
      </c>
      <c r="K1608">
        <f>'Raw Data'!I1608</f>
        <v>0</v>
      </c>
      <c r="L1608">
        <f>IF('Raw Data'!N1608&lt;&gt;0,'Raw Data'!N1608,IFERROR(VALUE(MID(F1608,SEARCH("QTY",F1608)+4,IFERROR(FIND(" ",F1608,SEARCH("QTY",F1608)+4)-(SEARCH("QTY",F1608)+4),3))),""))</f>
        <v>0</v>
      </c>
      <c r="M1608">
        <f>'Raw Data'!O1608</f>
        <v>0</v>
      </c>
      <c r="N1608">
        <f>'Raw Data'!P1608</f>
        <v>0</v>
      </c>
      <c r="O1608">
        <f>'Raw Data'!Q1608</f>
        <v>0</v>
      </c>
      <c r="P1608">
        <f>'Raw Data'!R1608</f>
        <v>0</v>
      </c>
      <c r="Q1608">
        <f>'Raw Data'!S1608</f>
        <v>0</v>
      </c>
      <c r="R1608">
        <f>'Raw Data'!T1608</f>
        <v>0</v>
      </c>
      <c r="S1608">
        <f>IFERROR(O1608,0)+IFERROR(R1608,0)</f>
        <v>0</v>
      </c>
      <c r="T1608">
        <f>IF(A1608="","",YEAR(A1608))</f>
        <v>0</v>
      </c>
    </row>
    <row r="1609" spans="1:20">
      <c r="A1609">
        <f>'Raw Data'!B1609</f>
        <v>0</v>
      </c>
      <c r="B1609">
        <f>'Raw Data'!A1609</f>
        <v>0</v>
      </c>
      <c r="C1609">
        <f>'Raw Data'!C1609</f>
        <v>0</v>
      </c>
      <c r="D1609">
        <f>'Raw Data'!D1609</f>
        <v>0</v>
      </c>
      <c r="E1609">
        <f>IFERROR(VLOOKUP(D1609,'Lookup Tables'!$A:$B,2,FALSE),"Unknown")</f>
        <v>0</v>
      </c>
      <c r="F1609">
        <f>'Raw Data'!E1609</f>
        <v>0</v>
      </c>
      <c r="G1609">
        <f>IFERROR(VLOOKUP(D1609,'Lookup Tables'!$A:$C,3,FALSE),IF(ISNUMBER(SEARCH("STEEL",F1609)),"Steel","Others"))</f>
        <v>0</v>
      </c>
      <c r="H1609">
        <f>IF(ISNUMBER(SEARCH("scrubber",F1609)) , "Scrubber", IF(ISNUMBER(SEARCH("container",F1609)),"Container", IF(ISNUMBER(SEARCH("basket",F1609)),"Basket", IF(ISNUMBER(SEARCH("lunch",F1609)),"Lunch Box", IF(ISNUMBER(SEARCH("cutlery",F1609)),"Cutlery","Other")))))</f>
        <v>0</v>
      </c>
      <c r="I1609">
        <f>IF('Raw Data'!G1609&lt;&gt;'','Raw Data'!G1609,IFERROR(MID(F1609,SEARCH("MODEL",F1609)+6,20),""))</f>
        <v>0</v>
      </c>
      <c r="J1609">
        <f>'Raw Data'!H1609</f>
        <v>0</v>
      </c>
      <c r="K1609">
        <f>'Raw Data'!I1609</f>
        <v>0</v>
      </c>
      <c r="L1609">
        <f>IF('Raw Data'!N1609&lt;&gt;0,'Raw Data'!N1609,IFERROR(VALUE(MID(F1609,SEARCH("QTY",F1609)+4,IFERROR(FIND(" ",F1609,SEARCH("QTY",F1609)+4)-(SEARCH("QTY",F1609)+4),3))),""))</f>
        <v>0</v>
      </c>
      <c r="M1609">
        <f>'Raw Data'!O1609</f>
        <v>0</v>
      </c>
      <c r="N1609">
        <f>'Raw Data'!P1609</f>
        <v>0</v>
      </c>
      <c r="O1609">
        <f>'Raw Data'!Q1609</f>
        <v>0</v>
      </c>
      <c r="P1609">
        <f>'Raw Data'!R1609</f>
        <v>0</v>
      </c>
      <c r="Q1609">
        <f>'Raw Data'!S1609</f>
        <v>0</v>
      </c>
      <c r="R1609">
        <f>'Raw Data'!T1609</f>
        <v>0</v>
      </c>
      <c r="S1609">
        <f>IFERROR(O1609,0)+IFERROR(R1609,0)</f>
        <v>0</v>
      </c>
      <c r="T1609">
        <f>IF(A1609="","",YEAR(A1609))</f>
        <v>0</v>
      </c>
    </row>
    <row r="1610" spans="1:20">
      <c r="A1610">
        <f>'Raw Data'!B1610</f>
        <v>0</v>
      </c>
      <c r="B1610">
        <f>'Raw Data'!A1610</f>
        <v>0</v>
      </c>
      <c r="C1610">
        <f>'Raw Data'!C1610</f>
        <v>0</v>
      </c>
      <c r="D1610">
        <f>'Raw Data'!D1610</f>
        <v>0</v>
      </c>
      <c r="E1610">
        <f>IFERROR(VLOOKUP(D1610,'Lookup Tables'!$A:$B,2,FALSE),"Unknown")</f>
        <v>0</v>
      </c>
      <c r="F1610">
        <f>'Raw Data'!E1610</f>
        <v>0</v>
      </c>
      <c r="G1610">
        <f>IFERROR(VLOOKUP(D1610,'Lookup Tables'!$A:$C,3,FALSE),IF(ISNUMBER(SEARCH("STEEL",F1610)),"Steel","Others"))</f>
        <v>0</v>
      </c>
      <c r="H1610">
        <f>IF(ISNUMBER(SEARCH("scrubber",F1610)) , "Scrubber", IF(ISNUMBER(SEARCH("container",F1610)),"Container", IF(ISNUMBER(SEARCH("basket",F1610)),"Basket", IF(ISNUMBER(SEARCH("lunch",F1610)),"Lunch Box", IF(ISNUMBER(SEARCH("cutlery",F1610)),"Cutlery","Other")))))</f>
        <v>0</v>
      </c>
      <c r="I1610">
        <f>IF('Raw Data'!G1610&lt;&gt;'','Raw Data'!G1610,IFERROR(MID(F1610,SEARCH("MODEL",F1610)+6,20),""))</f>
        <v>0</v>
      </c>
      <c r="J1610">
        <f>'Raw Data'!H1610</f>
        <v>0</v>
      </c>
      <c r="K1610">
        <f>'Raw Data'!I1610</f>
        <v>0</v>
      </c>
      <c r="L1610">
        <f>IF('Raw Data'!N1610&lt;&gt;0,'Raw Data'!N1610,IFERROR(VALUE(MID(F1610,SEARCH("QTY",F1610)+4,IFERROR(FIND(" ",F1610,SEARCH("QTY",F1610)+4)-(SEARCH("QTY",F1610)+4),3))),""))</f>
        <v>0</v>
      </c>
      <c r="M1610">
        <f>'Raw Data'!O1610</f>
        <v>0</v>
      </c>
      <c r="N1610">
        <f>'Raw Data'!P1610</f>
        <v>0</v>
      </c>
      <c r="O1610">
        <f>'Raw Data'!Q1610</f>
        <v>0</v>
      </c>
      <c r="P1610">
        <f>'Raw Data'!R1610</f>
        <v>0</v>
      </c>
      <c r="Q1610">
        <f>'Raw Data'!S1610</f>
        <v>0</v>
      </c>
      <c r="R1610">
        <f>'Raw Data'!T1610</f>
        <v>0</v>
      </c>
      <c r="S1610">
        <f>IFERROR(O1610,0)+IFERROR(R1610,0)</f>
        <v>0</v>
      </c>
      <c r="T1610">
        <f>IF(A1610="","",YEAR(A1610))</f>
        <v>0</v>
      </c>
    </row>
    <row r="1611" spans="1:20">
      <c r="A1611">
        <f>'Raw Data'!B1611</f>
        <v>0</v>
      </c>
      <c r="B1611">
        <f>'Raw Data'!A1611</f>
        <v>0</v>
      </c>
      <c r="C1611">
        <f>'Raw Data'!C1611</f>
        <v>0</v>
      </c>
      <c r="D1611">
        <f>'Raw Data'!D1611</f>
        <v>0</v>
      </c>
      <c r="E1611">
        <f>IFERROR(VLOOKUP(D1611,'Lookup Tables'!$A:$B,2,FALSE),"Unknown")</f>
        <v>0</v>
      </c>
      <c r="F1611">
        <f>'Raw Data'!E1611</f>
        <v>0</v>
      </c>
      <c r="G1611">
        <f>IFERROR(VLOOKUP(D1611,'Lookup Tables'!$A:$C,3,FALSE),IF(ISNUMBER(SEARCH("STEEL",F1611)),"Steel","Others"))</f>
        <v>0</v>
      </c>
      <c r="H1611">
        <f>IF(ISNUMBER(SEARCH("scrubber",F1611)) , "Scrubber", IF(ISNUMBER(SEARCH("container",F1611)),"Container", IF(ISNUMBER(SEARCH("basket",F1611)),"Basket", IF(ISNUMBER(SEARCH("lunch",F1611)),"Lunch Box", IF(ISNUMBER(SEARCH("cutlery",F1611)),"Cutlery","Other")))))</f>
        <v>0</v>
      </c>
      <c r="I1611">
        <f>IF('Raw Data'!G1611&lt;&gt;'','Raw Data'!G1611,IFERROR(MID(F1611,SEARCH("MODEL",F1611)+6,20),""))</f>
        <v>0</v>
      </c>
      <c r="J1611">
        <f>'Raw Data'!H1611</f>
        <v>0</v>
      </c>
      <c r="K1611">
        <f>'Raw Data'!I1611</f>
        <v>0</v>
      </c>
      <c r="L1611">
        <f>IF('Raw Data'!N1611&lt;&gt;0,'Raw Data'!N1611,IFERROR(VALUE(MID(F1611,SEARCH("QTY",F1611)+4,IFERROR(FIND(" ",F1611,SEARCH("QTY",F1611)+4)-(SEARCH("QTY",F1611)+4),3))),""))</f>
        <v>0</v>
      </c>
      <c r="M1611">
        <f>'Raw Data'!O1611</f>
        <v>0</v>
      </c>
      <c r="N1611">
        <f>'Raw Data'!P1611</f>
        <v>0</v>
      </c>
      <c r="O1611">
        <f>'Raw Data'!Q1611</f>
        <v>0</v>
      </c>
      <c r="P1611">
        <f>'Raw Data'!R1611</f>
        <v>0</v>
      </c>
      <c r="Q1611">
        <f>'Raw Data'!S1611</f>
        <v>0</v>
      </c>
      <c r="R1611">
        <f>'Raw Data'!T1611</f>
        <v>0</v>
      </c>
      <c r="S1611">
        <f>IFERROR(O1611,0)+IFERROR(R1611,0)</f>
        <v>0</v>
      </c>
      <c r="T1611">
        <f>IF(A1611="","",YEAR(A1611))</f>
        <v>0</v>
      </c>
    </row>
    <row r="1612" spans="1:20">
      <c r="A1612">
        <f>'Raw Data'!B1612</f>
        <v>0</v>
      </c>
      <c r="B1612">
        <f>'Raw Data'!A1612</f>
        <v>0</v>
      </c>
      <c r="C1612">
        <f>'Raw Data'!C1612</f>
        <v>0</v>
      </c>
      <c r="D1612">
        <f>'Raw Data'!D1612</f>
        <v>0</v>
      </c>
      <c r="E1612">
        <f>IFERROR(VLOOKUP(D1612,'Lookup Tables'!$A:$B,2,FALSE),"Unknown")</f>
        <v>0</v>
      </c>
      <c r="F1612">
        <f>'Raw Data'!E1612</f>
        <v>0</v>
      </c>
      <c r="G1612">
        <f>IFERROR(VLOOKUP(D1612,'Lookup Tables'!$A:$C,3,FALSE),IF(ISNUMBER(SEARCH("STEEL",F1612)),"Steel","Others"))</f>
        <v>0</v>
      </c>
      <c r="H1612">
        <f>IF(ISNUMBER(SEARCH("scrubber",F1612)) , "Scrubber", IF(ISNUMBER(SEARCH("container",F1612)),"Container", IF(ISNUMBER(SEARCH("basket",F1612)),"Basket", IF(ISNUMBER(SEARCH("lunch",F1612)),"Lunch Box", IF(ISNUMBER(SEARCH("cutlery",F1612)),"Cutlery","Other")))))</f>
        <v>0</v>
      </c>
      <c r="I1612">
        <f>IF('Raw Data'!G1612&lt;&gt;'','Raw Data'!G1612,IFERROR(MID(F1612,SEARCH("MODEL",F1612)+6,20),""))</f>
        <v>0</v>
      </c>
      <c r="J1612">
        <f>'Raw Data'!H1612</f>
        <v>0</v>
      </c>
      <c r="K1612">
        <f>'Raw Data'!I1612</f>
        <v>0</v>
      </c>
      <c r="L1612">
        <f>IF('Raw Data'!N1612&lt;&gt;0,'Raw Data'!N1612,IFERROR(VALUE(MID(F1612,SEARCH("QTY",F1612)+4,IFERROR(FIND(" ",F1612,SEARCH("QTY",F1612)+4)-(SEARCH("QTY",F1612)+4),3))),""))</f>
        <v>0</v>
      </c>
      <c r="M1612">
        <f>'Raw Data'!O1612</f>
        <v>0</v>
      </c>
      <c r="N1612">
        <f>'Raw Data'!P1612</f>
        <v>0</v>
      </c>
      <c r="O1612">
        <f>'Raw Data'!Q1612</f>
        <v>0</v>
      </c>
      <c r="P1612">
        <f>'Raw Data'!R1612</f>
        <v>0</v>
      </c>
      <c r="Q1612">
        <f>'Raw Data'!S1612</f>
        <v>0</v>
      </c>
      <c r="R1612">
        <f>'Raw Data'!T1612</f>
        <v>0</v>
      </c>
      <c r="S1612">
        <f>IFERROR(O1612,0)+IFERROR(R1612,0)</f>
        <v>0</v>
      </c>
      <c r="T1612">
        <f>IF(A1612="","",YEAR(A1612))</f>
        <v>0</v>
      </c>
    </row>
    <row r="1613" spans="1:20">
      <c r="A1613">
        <f>'Raw Data'!B1613</f>
        <v>0</v>
      </c>
      <c r="B1613">
        <f>'Raw Data'!A1613</f>
        <v>0</v>
      </c>
      <c r="C1613">
        <f>'Raw Data'!C1613</f>
        <v>0</v>
      </c>
      <c r="D1613">
        <f>'Raw Data'!D1613</f>
        <v>0</v>
      </c>
      <c r="E1613">
        <f>IFERROR(VLOOKUP(D1613,'Lookup Tables'!$A:$B,2,FALSE),"Unknown")</f>
        <v>0</v>
      </c>
      <c r="F1613">
        <f>'Raw Data'!E1613</f>
        <v>0</v>
      </c>
      <c r="G1613">
        <f>IFERROR(VLOOKUP(D1613,'Lookup Tables'!$A:$C,3,FALSE),IF(ISNUMBER(SEARCH("STEEL",F1613)),"Steel","Others"))</f>
        <v>0</v>
      </c>
      <c r="H1613">
        <f>IF(ISNUMBER(SEARCH("scrubber",F1613)) , "Scrubber", IF(ISNUMBER(SEARCH("container",F1613)),"Container", IF(ISNUMBER(SEARCH("basket",F1613)),"Basket", IF(ISNUMBER(SEARCH("lunch",F1613)),"Lunch Box", IF(ISNUMBER(SEARCH("cutlery",F1613)),"Cutlery","Other")))))</f>
        <v>0</v>
      </c>
      <c r="I1613">
        <f>IF('Raw Data'!G1613&lt;&gt;'','Raw Data'!G1613,IFERROR(MID(F1613,SEARCH("MODEL",F1613)+6,20),""))</f>
        <v>0</v>
      </c>
      <c r="J1613">
        <f>'Raw Data'!H1613</f>
        <v>0</v>
      </c>
      <c r="K1613">
        <f>'Raw Data'!I1613</f>
        <v>0</v>
      </c>
      <c r="L1613">
        <f>IF('Raw Data'!N1613&lt;&gt;0,'Raw Data'!N1613,IFERROR(VALUE(MID(F1613,SEARCH("QTY",F1613)+4,IFERROR(FIND(" ",F1613,SEARCH("QTY",F1613)+4)-(SEARCH("QTY",F1613)+4),3))),""))</f>
        <v>0</v>
      </c>
      <c r="M1613">
        <f>'Raw Data'!O1613</f>
        <v>0</v>
      </c>
      <c r="N1613">
        <f>'Raw Data'!P1613</f>
        <v>0</v>
      </c>
      <c r="O1613">
        <f>'Raw Data'!Q1613</f>
        <v>0</v>
      </c>
      <c r="P1613">
        <f>'Raw Data'!R1613</f>
        <v>0</v>
      </c>
      <c r="Q1613">
        <f>'Raw Data'!S1613</f>
        <v>0</v>
      </c>
      <c r="R1613">
        <f>'Raw Data'!T1613</f>
        <v>0</v>
      </c>
      <c r="S1613">
        <f>IFERROR(O1613,0)+IFERROR(R1613,0)</f>
        <v>0</v>
      </c>
      <c r="T1613">
        <f>IF(A1613="","",YEAR(A1613))</f>
        <v>0</v>
      </c>
    </row>
    <row r="1614" spans="1:20">
      <c r="A1614">
        <f>'Raw Data'!B1614</f>
        <v>0</v>
      </c>
      <c r="B1614">
        <f>'Raw Data'!A1614</f>
        <v>0</v>
      </c>
      <c r="C1614">
        <f>'Raw Data'!C1614</f>
        <v>0</v>
      </c>
      <c r="D1614">
        <f>'Raw Data'!D1614</f>
        <v>0</v>
      </c>
      <c r="E1614">
        <f>IFERROR(VLOOKUP(D1614,'Lookup Tables'!$A:$B,2,FALSE),"Unknown")</f>
        <v>0</v>
      </c>
      <c r="F1614">
        <f>'Raw Data'!E1614</f>
        <v>0</v>
      </c>
      <c r="G1614">
        <f>IFERROR(VLOOKUP(D1614,'Lookup Tables'!$A:$C,3,FALSE),IF(ISNUMBER(SEARCH("STEEL",F1614)),"Steel","Others"))</f>
        <v>0</v>
      </c>
      <c r="H1614">
        <f>IF(ISNUMBER(SEARCH("scrubber",F1614)) , "Scrubber", IF(ISNUMBER(SEARCH("container",F1614)),"Container", IF(ISNUMBER(SEARCH("basket",F1614)),"Basket", IF(ISNUMBER(SEARCH("lunch",F1614)),"Lunch Box", IF(ISNUMBER(SEARCH("cutlery",F1614)),"Cutlery","Other")))))</f>
        <v>0</v>
      </c>
      <c r="I1614">
        <f>IF('Raw Data'!G1614&lt;&gt;'','Raw Data'!G1614,IFERROR(MID(F1614,SEARCH("MODEL",F1614)+6,20),""))</f>
        <v>0</v>
      </c>
      <c r="J1614">
        <f>'Raw Data'!H1614</f>
        <v>0</v>
      </c>
      <c r="K1614">
        <f>'Raw Data'!I1614</f>
        <v>0</v>
      </c>
      <c r="L1614">
        <f>IF('Raw Data'!N1614&lt;&gt;0,'Raw Data'!N1614,IFERROR(VALUE(MID(F1614,SEARCH("QTY",F1614)+4,IFERROR(FIND(" ",F1614,SEARCH("QTY",F1614)+4)-(SEARCH("QTY",F1614)+4),3))),""))</f>
        <v>0</v>
      </c>
      <c r="M1614">
        <f>'Raw Data'!O1614</f>
        <v>0</v>
      </c>
      <c r="N1614">
        <f>'Raw Data'!P1614</f>
        <v>0</v>
      </c>
      <c r="O1614">
        <f>'Raw Data'!Q1614</f>
        <v>0</v>
      </c>
      <c r="P1614">
        <f>'Raw Data'!R1614</f>
        <v>0</v>
      </c>
      <c r="Q1614">
        <f>'Raw Data'!S1614</f>
        <v>0</v>
      </c>
      <c r="R1614">
        <f>'Raw Data'!T1614</f>
        <v>0</v>
      </c>
      <c r="S1614">
        <f>IFERROR(O1614,0)+IFERROR(R1614,0)</f>
        <v>0</v>
      </c>
      <c r="T1614">
        <f>IF(A1614="","",YEAR(A1614))</f>
        <v>0</v>
      </c>
    </row>
    <row r="1615" spans="1:20">
      <c r="A1615">
        <f>'Raw Data'!B1615</f>
        <v>0</v>
      </c>
      <c r="B1615">
        <f>'Raw Data'!A1615</f>
        <v>0</v>
      </c>
      <c r="C1615">
        <f>'Raw Data'!C1615</f>
        <v>0</v>
      </c>
      <c r="D1615">
        <f>'Raw Data'!D1615</f>
        <v>0</v>
      </c>
      <c r="E1615">
        <f>IFERROR(VLOOKUP(D1615,'Lookup Tables'!$A:$B,2,FALSE),"Unknown")</f>
        <v>0</v>
      </c>
      <c r="F1615">
        <f>'Raw Data'!E1615</f>
        <v>0</v>
      </c>
      <c r="G1615">
        <f>IFERROR(VLOOKUP(D1615,'Lookup Tables'!$A:$C,3,FALSE),IF(ISNUMBER(SEARCH("STEEL",F1615)),"Steel","Others"))</f>
        <v>0</v>
      </c>
      <c r="H1615">
        <f>IF(ISNUMBER(SEARCH("scrubber",F1615)) , "Scrubber", IF(ISNUMBER(SEARCH("container",F1615)),"Container", IF(ISNUMBER(SEARCH("basket",F1615)),"Basket", IF(ISNUMBER(SEARCH("lunch",F1615)),"Lunch Box", IF(ISNUMBER(SEARCH("cutlery",F1615)),"Cutlery","Other")))))</f>
        <v>0</v>
      </c>
      <c r="I1615">
        <f>IF('Raw Data'!G1615&lt;&gt;'','Raw Data'!G1615,IFERROR(MID(F1615,SEARCH("MODEL",F1615)+6,20),""))</f>
        <v>0</v>
      </c>
      <c r="J1615">
        <f>'Raw Data'!H1615</f>
        <v>0</v>
      </c>
      <c r="K1615">
        <f>'Raw Data'!I1615</f>
        <v>0</v>
      </c>
      <c r="L1615">
        <f>IF('Raw Data'!N1615&lt;&gt;0,'Raw Data'!N1615,IFERROR(VALUE(MID(F1615,SEARCH("QTY",F1615)+4,IFERROR(FIND(" ",F1615,SEARCH("QTY",F1615)+4)-(SEARCH("QTY",F1615)+4),3))),""))</f>
        <v>0</v>
      </c>
      <c r="M1615">
        <f>'Raw Data'!O1615</f>
        <v>0</v>
      </c>
      <c r="N1615">
        <f>'Raw Data'!P1615</f>
        <v>0</v>
      </c>
      <c r="O1615">
        <f>'Raw Data'!Q1615</f>
        <v>0</v>
      </c>
      <c r="P1615">
        <f>'Raw Data'!R1615</f>
        <v>0</v>
      </c>
      <c r="Q1615">
        <f>'Raw Data'!S1615</f>
        <v>0</v>
      </c>
      <c r="R1615">
        <f>'Raw Data'!T1615</f>
        <v>0</v>
      </c>
      <c r="S1615">
        <f>IFERROR(O1615,0)+IFERROR(R1615,0)</f>
        <v>0</v>
      </c>
      <c r="T1615">
        <f>IF(A1615="","",YEAR(A1615))</f>
        <v>0</v>
      </c>
    </row>
    <row r="1616" spans="1:20">
      <c r="A1616">
        <f>'Raw Data'!B1616</f>
        <v>0</v>
      </c>
      <c r="B1616">
        <f>'Raw Data'!A1616</f>
        <v>0</v>
      </c>
      <c r="C1616">
        <f>'Raw Data'!C1616</f>
        <v>0</v>
      </c>
      <c r="D1616">
        <f>'Raw Data'!D1616</f>
        <v>0</v>
      </c>
      <c r="E1616">
        <f>IFERROR(VLOOKUP(D1616,'Lookup Tables'!$A:$B,2,FALSE),"Unknown")</f>
        <v>0</v>
      </c>
      <c r="F1616">
        <f>'Raw Data'!E1616</f>
        <v>0</v>
      </c>
      <c r="G1616">
        <f>IFERROR(VLOOKUP(D1616,'Lookup Tables'!$A:$C,3,FALSE),IF(ISNUMBER(SEARCH("STEEL",F1616)),"Steel","Others"))</f>
        <v>0</v>
      </c>
      <c r="H1616">
        <f>IF(ISNUMBER(SEARCH("scrubber",F1616)) , "Scrubber", IF(ISNUMBER(SEARCH("container",F1616)),"Container", IF(ISNUMBER(SEARCH("basket",F1616)),"Basket", IF(ISNUMBER(SEARCH("lunch",F1616)),"Lunch Box", IF(ISNUMBER(SEARCH("cutlery",F1616)),"Cutlery","Other")))))</f>
        <v>0</v>
      </c>
      <c r="I1616">
        <f>IF('Raw Data'!G1616&lt;&gt;'','Raw Data'!G1616,IFERROR(MID(F1616,SEARCH("MODEL",F1616)+6,20),""))</f>
        <v>0</v>
      </c>
      <c r="J1616">
        <f>'Raw Data'!H1616</f>
        <v>0</v>
      </c>
      <c r="K1616">
        <f>'Raw Data'!I1616</f>
        <v>0</v>
      </c>
      <c r="L1616">
        <f>IF('Raw Data'!N1616&lt;&gt;0,'Raw Data'!N1616,IFERROR(VALUE(MID(F1616,SEARCH("QTY",F1616)+4,IFERROR(FIND(" ",F1616,SEARCH("QTY",F1616)+4)-(SEARCH("QTY",F1616)+4),3))),""))</f>
        <v>0</v>
      </c>
      <c r="M1616">
        <f>'Raw Data'!O1616</f>
        <v>0</v>
      </c>
      <c r="N1616">
        <f>'Raw Data'!P1616</f>
        <v>0</v>
      </c>
      <c r="O1616">
        <f>'Raw Data'!Q1616</f>
        <v>0</v>
      </c>
      <c r="P1616">
        <f>'Raw Data'!R1616</f>
        <v>0</v>
      </c>
      <c r="Q1616">
        <f>'Raw Data'!S1616</f>
        <v>0</v>
      </c>
      <c r="R1616">
        <f>'Raw Data'!T1616</f>
        <v>0</v>
      </c>
      <c r="S1616">
        <f>IFERROR(O1616,0)+IFERROR(R1616,0)</f>
        <v>0</v>
      </c>
      <c r="T1616">
        <f>IF(A1616="","",YEAR(A1616))</f>
        <v>0</v>
      </c>
    </row>
    <row r="1617" spans="1:20">
      <c r="A1617">
        <f>'Raw Data'!B1617</f>
        <v>0</v>
      </c>
      <c r="B1617">
        <f>'Raw Data'!A1617</f>
        <v>0</v>
      </c>
      <c r="C1617">
        <f>'Raw Data'!C1617</f>
        <v>0</v>
      </c>
      <c r="D1617">
        <f>'Raw Data'!D1617</f>
        <v>0</v>
      </c>
      <c r="E1617">
        <f>IFERROR(VLOOKUP(D1617,'Lookup Tables'!$A:$B,2,FALSE),"Unknown")</f>
        <v>0</v>
      </c>
      <c r="F1617">
        <f>'Raw Data'!E1617</f>
        <v>0</v>
      </c>
      <c r="G1617">
        <f>IFERROR(VLOOKUP(D1617,'Lookup Tables'!$A:$C,3,FALSE),IF(ISNUMBER(SEARCH("STEEL",F1617)),"Steel","Others"))</f>
        <v>0</v>
      </c>
      <c r="H1617">
        <f>IF(ISNUMBER(SEARCH("scrubber",F1617)) , "Scrubber", IF(ISNUMBER(SEARCH("container",F1617)),"Container", IF(ISNUMBER(SEARCH("basket",F1617)),"Basket", IF(ISNUMBER(SEARCH("lunch",F1617)),"Lunch Box", IF(ISNUMBER(SEARCH("cutlery",F1617)),"Cutlery","Other")))))</f>
        <v>0</v>
      </c>
      <c r="I1617">
        <f>IF('Raw Data'!G1617&lt;&gt;'','Raw Data'!G1617,IFERROR(MID(F1617,SEARCH("MODEL",F1617)+6,20),""))</f>
        <v>0</v>
      </c>
      <c r="J1617">
        <f>'Raw Data'!H1617</f>
        <v>0</v>
      </c>
      <c r="K1617">
        <f>'Raw Data'!I1617</f>
        <v>0</v>
      </c>
      <c r="L1617">
        <f>IF('Raw Data'!N1617&lt;&gt;0,'Raw Data'!N1617,IFERROR(VALUE(MID(F1617,SEARCH("QTY",F1617)+4,IFERROR(FIND(" ",F1617,SEARCH("QTY",F1617)+4)-(SEARCH("QTY",F1617)+4),3))),""))</f>
        <v>0</v>
      </c>
      <c r="M1617">
        <f>'Raw Data'!O1617</f>
        <v>0</v>
      </c>
      <c r="N1617">
        <f>'Raw Data'!P1617</f>
        <v>0</v>
      </c>
      <c r="O1617">
        <f>'Raw Data'!Q1617</f>
        <v>0</v>
      </c>
      <c r="P1617">
        <f>'Raw Data'!R1617</f>
        <v>0</v>
      </c>
      <c r="Q1617">
        <f>'Raw Data'!S1617</f>
        <v>0</v>
      </c>
      <c r="R1617">
        <f>'Raw Data'!T1617</f>
        <v>0</v>
      </c>
      <c r="S1617">
        <f>IFERROR(O1617,0)+IFERROR(R1617,0)</f>
        <v>0</v>
      </c>
      <c r="T1617">
        <f>IF(A1617="","",YEAR(A1617))</f>
        <v>0</v>
      </c>
    </row>
    <row r="1618" spans="1:20">
      <c r="A1618">
        <f>'Raw Data'!B1618</f>
        <v>0</v>
      </c>
      <c r="B1618">
        <f>'Raw Data'!A1618</f>
        <v>0</v>
      </c>
      <c r="C1618">
        <f>'Raw Data'!C1618</f>
        <v>0</v>
      </c>
      <c r="D1618">
        <f>'Raw Data'!D1618</f>
        <v>0</v>
      </c>
      <c r="E1618">
        <f>IFERROR(VLOOKUP(D1618,'Lookup Tables'!$A:$B,2,FALSE),"Unknown")</f>
        <v>0</v>
      </c>
      <c r="F1618">
        <f>'Raw Data'!E1618</f>
        <v>0</v>
      </c>
      <c r="G1618">
        <f>IFERROR(VLOOKUP(D1618,'Lookup Tables'!$A:$C,3,FALSE),IF(ISNUMBER(SEARCH("STEEL",F1618)),"Steel","Others"))</f>
        <v>0</v>
      </c>
      <c r="H1618">
        <f>IF(ISNUMBER(SEARCH("scrubber",F1618)) , "Scrubber", IF(ISNUMBER(SEARCH("container",F1618)),"Container", IF(ISNUMBER(SEARCH("basket",F1618)),"Basket", IF(ISNUMBER(SEARCH("lunch",F1618)),"Lunch Box", IF(ISNUMBER(SEARCH("cutlery",F1618)),"Cutlery","Other")))))</f>
        <v>0</v>
      </c>
      <c r="I1618">
        <f>IF('Raw Data'!G1618&lt;&gt;'','Raw Data'!G1618,IFERROR(MID(F1618,SEARCH("MODEL",F1618)+6,20),""))</f>
        <v>0</v>
      </c>
      <c r="J1618">
        <f>'Raw Data'!H1618</f>
        <v>0</v>
      </c>
      <c r="K1618">
        <f>'Raw Data'!I1618</f>
        <v>0</v>
      </c>
      <c r="L1618">
        <f>IF('Raw Data'!N1618&lt;&gt;0,'Raw Data'!N1618,IFERROR(VALUE(MID(F1618,SEARCH("QTY",F1618)+4,IFERROR(FIND(" ",F1618,SEARCH("QTY",F1618)+4)-(SEARCH("QTY",F1618)+4),3))),""))</f>
        <v>0</v>
      </c>
      <c r="M1618">
        <f>'Raw Data'!O1618</f>
        <v>0</v>
      </c>
      <c r="N1618">
        <f>'Raw Data'!P1618</f>
        <v>0</v>
      </c>
      <c r="O1618">
        <f>'Raw Data'!Q1618</f>
        <v>0</v>
      </c>
      <c r="P1618">
        <f>'Raw Data'!R1618</f>
        <v>0</v>
      </c>
      <c r="Q1618">
        <f>'Raw Data'!S1618</f>
        <v>0</v>
      </c>
      <c r="R1618">
        <f>'Raw Data'!T1618</f>
        <v>0</v>
      </c>
      <c r="S1618">
        <f>IFERROR(O1618,0)+IFERROR(R1618,0)</f>
        <v>0</v>
      </c>
      <c r="T1618">
        <f>IF(A1618="","",YEAR(A1618))</f>
        <v>0</v>
      </c>
    </row>
    <row r="1619" spans="1:20">
      <c r="A1619">
        <f>'Raw Data'!B1619</f>
        <v>0</v>
      </c>
      <c r="B1619">
        <f>'Raw Data'!A1619</f>
        <v>0</v>
      </c>
      <c r="C1619">
        <f>'Raw Data'!C1619</f>
        <v>0</v>
      </c>
      <c r="D1619">
        <f>'Raw Data'!D1619</f>
        <v>0</v>
      </c>
      <c r="E1619">
        <f>IFERROR(VLOOKUP(D1619,'Lookup Tables'!$A:$B,2,FALSE),"Unknown")</f>
        <v>0</v>
      </c>
      <c r="F1619">
        <f>'Raw Data'!E1619</f>
        <v>0</v>
      </c>
      <c r="G1619">
        <f>IFERROR(VLOOKUP(D1619,'Lookup Tables'!$A:$C,3,FALSE),IF(ISNUMBER(SEARCH("STEEL",F1619)),"Steel","Others"))</f>
        <v>0</v>
      </c>
      <c r="H1619">
        <f>IF(ISNUMBER(SEARCH("scrubber",F1619)) , "Scrubber", IF(ISNUMBER(SEARCH("container",F1619)),"Container", IF(ISNUMBER(SEARCH("basket",F1619)),"Basket", IF(ISNUMBER(SEARCH("lunch",F1619)),"Lunch Box", IF(ISNUMBER(SEARCH("cutlery",F1619)),"Cutlery","Other")))))</f>
        <v>0</v>
      </c>
      <c r="I1619">
        <f>IF('Raw Data'!G1619&lt;&gt;'','Raw Data'!G1619,IFERROR(MID(F1619,SEARCH("MODEL",F1619)+6,20),""))</f>
        <v>0</v>
      </c>
      <c r="J1619">
        <f>'Raw Data'!H1619</f>
        <v>0</v>
      </c>
      <c r="K1619">
        <f>'Raw Data'!I1619</f>
        <v>0</v>
      </c>
      <c r="L1619">
        <f>IF('Raw Data'!N1619&lt;&gt;0,'Raw Data'!N1619,IFERROR(VALUE(MID(F1619,SEARCH("QTY",F1619)+4,IFERROR(FIND(" ",F1619,SEARCH("QTY",F1619)+4)-(SEARCH("QTY",F1619)+4),3))),""))</f>
        <v>0</v>
      </c>
      <c r="M1619">
        <f>'Raw Data'!O1619</f>
        <v>0</v>
      </c>
      <c r="N1619">
        <f>'Raw Data'!P1619</f>
        <v>0</v>
      </c>
      <c r="O1619">
        <f>'Raw Data'!Q1619</f>
        <v>0</v>
      </c>
      <c r="P1619">
        <f>'Raw Data'!R1619</f>
        <v>0</v>
      </c>
      <c r="Q1619">
        <f>'Raw Data'!S1619</f>
        <v>0</v>
      </c>
      <c r="R1619">
        <f>'Raw Data'!T1619</f>
        <v>0</v>
      </c>
      <c r="S1619">
        <f>IFERROR(O1619,0)+IFERROR(R1619,0)</f>
        <v>0</v>
      </c>
      <c r="T1619">
        <f>IF(A1619="","",YEAR(A1619))</f>
        <v>0</v>
      </c>
    </row>
    <row r="1620" spans="1:20">
      <c r="A1620">
        <f>'Raw Data'!B1620</f>
        <v>0</v>
      </c>
      <c r="B1620">
        <f>'Raw Data'!A1620</f>
        <v>0</v>
      </c>
      <c r="C1620">
        <f>'Raw Data'!C1620</f>
        <v>0</v>
      </c>
      <c r="D1620">
        <f>'Raw Data'!D1620</f>
        <v>0</v>
      </c>
      <c r="E1620">
        <f>IFERROR(VLOOKUP(D1620,'Lookup Tables'!$A:$B,2,FALSE),"Unknown")</f>
        <v>0</v>
      </c>
      <c r="F1620">
        <f>'Raw Data'!E1620</f>
        <v>0</v>
      </c>
      <c r="G1620">
        <f>IFERROR(VLOOKUP(D1620,'Lookup Tables'!$A:$C,3,FALSE),IF(ISNUMBER(SEARCH("STEEL",F1620)),"Steel","Others"))</f>
        <v>0</v>
      </c>
      <c r="H1620">
        <f>IF(ISNUMBER(SEARCH("scrubber",F1620)) , "Scrubber", IF(ISNUMBER(SEARCH("container",F1620)),"Container", IF(ISNUMBER(SEARCH("basket",F1620)),"Basket", IF(ISNUMBER(SEARCH("lunch",F1620)),"Lunch Box", IF(ISNUMBER(SEARCH("cutlery",F1620)),"Cutlery","Other")))))</f>
        <v>0</v>
      </c>
      <c r="I1620">
        <f>IF('Raw Data'!G1620&lt;&gt;'','Raw Data'!G1620,IFERROR(MID(F1620,SEARCH("MODEL",F1620)+6,20),""))</f>
        <v>0</v>
      </c>
      <c r="J1620">
        <f>'Raw Data'!H1620</f>
        <v>0</v>
      </c>
      <c r="K1620">
        <f>'Raw Data'!I1620</f>
        <v>0</v>
      </c>
      <c r="L1620">
        <f>IF('Raw Data'!N1620&lt;&gt;0,'Raw Data'!N1620,IFERROR(VALUE(MID(F1620,SEARCH("QTY",F1620)+4,IFERROR(FIND(" ",F1620,SEARCH("QTY",F1620)+4)-(SEARCH("QTY",F1620)+4),3))),""))</f>
        <v>0</v>
      </c>
      <c r="M1620">
        <f>'Raw Data'!O1620</f>
        <v>0</v>
      </c>
      <c r="N1620">
        <f>'Raw Data'!P1620</f>
        <v>0</v>
      </c>
      <c r="O1620">
        <f>'Raw Data'!Q1620</f>
        <v>0</v>
      </c>
      <c r="P1620">
        <f>'Raw Data'!R1620</f>
        <v>0</v>
      </c>
      <c r="Q1620">
        <f>'Raw Data'!S1620</f>
        <v>0</v>
      </c>
      <c r="R1620">
        <f>'Raw Data'!T1620</f>
        <v>0</v>
      </c>
      <c r="S1620">
        <f>IFERROR(O1620,0)+IFERROR(R1620,0)</f>
        <v>0</v>
      </c>
      <c r="T1620">
        <f>IF(A1620="","",YEAR(A1620))</f>
        <v>0</v>
      </c>
    </row>
    <row r="1621" spans="1:20">
      <c r="A1621">
        <f>'Raw Data'!B1621</f>
        <v>0</v>
      </c>
      <c r="B1621">
        <f>'Raw Data'!A1621</f>
        <v>0</v>
      </c>
      <c r="C1621">
        <f>'Raw Data'!C1621</f>
        <v>0</v>
      </c>
      <c r="D1621">
        <f>'Raw Data'!D1621</f>
        <v>0</v>
      </c>
      <c r="E1621">
        <f>IFERROR(VLOOKUP(D1621,'Lookup Tables'!$A:$B,2,FALSE),"Unknown")</f>
        <v>0</v>
      </c>
      <c r="F1621">
        <f>'Raw Data'!E1621</f>
        <v>0</v>
      </c>
      <c r="G1621">
        <f>IFERROR(VLOOKUP(D1621,'Lookup Tables'!$A:$C,3,FALSE),IF(ISNUMBER(SEARCH("STEEL",F1621)),"Steel","Others"))</f>
        <v>0</v>
      </c>
      <c r="H1621">
        <f>IF(ISNUMBER(SEARCH("scrubber",F1621)) , "Scrubber", IF(ISNUMBER(SEARCH("container",F1621)),"Container", IF(ISNUMBER(SEARCH("basket",F1621)),"Basket", IF(ISNUMBER(SEARCH("lunch",F1621)),"Lunch Box", IF(ISNUMBER(SEARCH("cutlery",F1621)),"Cutlery","Other")))))</f>
        <v>0</v>
      </c>
      <c r="I1621">
        <f>IF('Raw Data'!G1621&lt;&gt;'','Raw Data'!G1621,IFERROR(MID(F1621,SEARCH("MODEL",F1621)+6,20),""))</f>
        <v>0</v>
      </c>
      <c r="J1621">
        <f>'Raw Data'!H1621</f>
        <v>0</v>
      </c>
      <c r="K1621">
        <f>'Raw Data'!I1621</f>
        <v>0</v>
      </c>
      <c r="L1621">
        <f>IF('Raw Data'!N1621&lt;&gt;0,'Raw Data'!N1621,IFERROR(VALUE(MID(F1621,SEARCH("QTY",F1621)+4,IFERROR(FIND(" ",F1621,SEARCH("QTY",F1621)+4)-(SEARCH("QTY",F1621)+4),3))),""))</f>
        <v>0</v>
      </c>
      <c r="M1621">
        <f>'Raw Data'!O1621</f>
        <v>0</v>
      </c>
      <c r="N1621">
        <f>'Raw Data'!P1621</f>
        <v>0</v>
      </c>
      <c r="O1621">
        <f>'Raw Data'!Q1621</f>
        <v>0</v>
      </c>
      <c r="P1621">
        <f>'Raw Data'!R1621</f>
        <v>0</v>
      </c>
      <c r="Q1621">
        <f>'Raw Data'!S1621</f>
        <v>0</v>
      </c>
      <c r="R1621">
        <f>'Raw Data'!T1621</f>
        <v>0</v>
      </c>
      <c r="S1621">
        <f>IFERROR(O1621,0)+IFERROR(R1621,0)</f>
        <v>0</v>
      </c>
      <c r="T1621">
        <f>IF(A1621="","",YEAR(A1621))</f>
        <v>0</v>
      </c>
    </row>
    <row r="1622" spans="1:20">
      <c r="A1622">
        <f>'Raw Data'!B1622</f>
        <v>0</v>
      </c>
      <c r="B1622">
        <f>'Raw Data'!A1622</f>
        <v>0</v>
      </c>
      <c r="C1622">
        <f>'Raw Data'!C1622</f>
        <v>0</v>
      </c>
      <c r="D1622">
        <f>'Raw Data'!D1622</f>
        <v>0</v>
      </c>
      <c r="E1622">
        <f>IFERROR(VLOOKUP(D1622,'Lookup Tables'!$A:$B,2,FALSE),"Unknown")</f>
        <v>0</v>
      </c>
      <c r="F1622">
        <f>'Raw Data'!E1622</f>
        <v>0</v>
      </c>
      <c r="G1622">
        <f>IFERROR(VLOOKUP(D1622,'Lookup Tables'!$A:$C,3,FALSE),IF(ISNUMBER(SEARCH("STEEL",F1622)),"Steel","Others"))</f>
        <v>0</v>
      </c>
      <c r="H1622">
        <f>IF(ISNUMBER(SEARCH("scrubber",F1622)) , "Scrubber", IF(ISNUMBER(SEARCH("container",F1622)),"Container", IF(ISNUMBER(SEARCH("basket",F1622)),"Basket", IF(ISNUMBER(SEARCH("lunch",F1622)),"Lunch Box", IF(ISNUMBER(SEARCH("cutlery",F1622)),"Cutlery","Other")))))</f>
        <v>0</v>
      </c>
      <c r="I1622">
        <f>IF('Raw Data'!G1622&lt;&gt;'','Raw Data'!G1622,IFERROR(MID(F1622,SEARCH("MODEL",F1622)+6,20),""))</f>
        <v>0</v>
      </c>
      <c r="J1622">
        <f>'Raw Data'!H1622</f>
        <v>0</v>
      </c>
      <c r="K1622">
        <f>'Raw Data'!I1622</f>
        <v>0</v>
      </c>
      <c r="L1622">
        <f>IF('Raw Data'!N1622&lt;&gt;0,'Raw Data'!N1622,IFERROR(VALUE(MID(F1622,SEARCH("QTY",F1622)+4,IFERROR(FIND(" ",F1622,SEARCH("QTY",F1622)+4)-(SEARCH("QTY",F1622)+4),3))),""))</f>
        <v>0</v>
      </c>
      <c r="M1622">
        <f>'Raw Data'!O1622</f>
        <v>0</v>
      </c>
      <c r="N1622">
        <f>'Raw Data'!P1622</f>
        <v>0</v>
      </c>
      <c r="O1622">
        <f>'Raw Data'!Q1622</f>
        <v>0</v>
      </c>
      <c r="P1622">
        <f>'Raw Data'!R1622</f>
        <v>0</v>
      </c>
      <c r="Q1622">
        <f>'Raw Data'!S1622</f>
        <v>0</v>
      </c>
      <c r="R1622">
        <f>'Raw Data'!T1622</f>
        <v>0</v>
      </c>
      <c r="S1622">
        <f>IFERROR(O1622,0)+IFERROR(R1622,0)</f>
        <v>0</v>
      </c>
      <c r="T1622">
        <f>IF(A1622="","",YEAR(A1622))</f>
        <v>0</v>
      </c>
    </row>
    <row r="1623" spans="1:20">
      <c r="A1623">
        <f>'Raw Data'!B1623</f>
        <v>0</v>
      </c>
      <c r="B1623">
        <f>'Raw Data'!A1623</f>
        <v>0</v>
      </c>
      <c r="C1623">
        <f>'Raw Data'!C1623</f>
        <v>0</v>
      </c>
      <c r="D1623">
        <f>'Raw Data'!D1623</f>
        <v>0</v>
      </c>
      <c r="E1623">
        <f>IFERROR(VLOOKUP(D1623,'Lookup Tables'!$A:$B,2,FALSE),"Unknown")</f>
        <v>0</v>
      </c>
      <c r="F1623">
        <f>'Raw Data'!E1623</f>
        <v>0</v>
      </c>
      <c r="G1623">
        <f>IFERROR(VLOOKUP(D1623,'Lookup Tables'!$A:$C,3,FALSE),IF(ISNUMBER(SEARCH("STEEL",F1623)),"Steel","Others"))</f>
        <v>0</v>
      </c>
      <c r="H1623">
        <f>IF(ISNUMBER(SEARCH("scrubber",F1623)) , "Scrubber", IF(ISNUMBER(SEARCH("container",F1623)),"Container", IF(ISNUMBER(SEARCH("basket",F1623)),"Basket", IF(ISNUMBER(SEARCH("lunch",F1623)),"Lunch Box", IF(ISNUMBER(SEARCH("cutlery",F1623)),"Cutlery","Other")))))</f>
        <v>0</v>
      </c>
      <c r="I1623">
        <f>IF('Raw Data'!G1623&lt;&gt;'','Raw Data'!G1623,IFERROR(MID(F1623,SEARCH("MODEL",F1623)+6,20),""))</f>
        <v>0</v>
      </c>
      <c r="J1623">
        <f>'Raw Data'!H1623</f>
        <v>0</v>
      </c>
      <c r="K1623">
        <f>'Raw Data'!I1623</f>
        <v>0</v>
      </c>
      <c r="L1623">
        <f>IF('Raw Data'!N1623&lt;&gt;0,'Raw Data'!N1623,IFERROR(VALUE(MID(F1623,SEARCH("QTY",F1623)+4,IFERROR(FIND(" ",F1623,SEARCH("QTY",F1623)+4)-(SEARCH("QTY",F1623)+4),3))),""))</f>
        <v>0</v>
      </c>
      <c r="M1623">
        <f>'Raw Data'!O1623</f>
        <v>0</v>
      </c>
      <c r="N1623">
        <f>'Raw Data'!P1623</f>
        <v>0</v>
      </c>
      <c r="O1623">
        <f>'Raw Data'!Q1623</f>
        <v>0</v>
      </c>
      <c r="P1623">
        <f>'Raw Data'!R1623</f>
        <v>0</v>
      </c>
      <c r="Q1623">
        <f>'Raw Data'!S1623</f>
        <v>0</v>
      </c>
      <c r="R1623">
        <f>'Raw Data'!T1623</f>
        <v>0</v>
      </c>
      <c r="S1623">
        <f>IFERROR(O1623,0)+IFERROR(R1623,0)</f>
        <v>0</v>
      </c>
      <c r="T1623">
        <f>IF(A1623="","",YEAR(A1623))</f>
        <v>0</v>
      </c>
    </row>
    <row r="1624" spans="1:20">
      <c r="A1624">
        <f>'Raw Data'!B1624</f>
        <v>0</v>
      </c>
      <c r="B1624">
        <f>'Raw Data'!A1624</f>
        <v>0</v>
      </c>
      <c r="C1624">
        <f>'Raw Data'!C1624</f>
        <v>0</v>
      </c>
      <c r="D1624">
        <f>'Raw Data'!D1624</f>
        <v>0</v>
      </c>
      <c r="E1624">
        <f>IFERROR(VLOOKUP(D1624,'Lookup Tables'!$A:$B,2,FALSE),"Unknown")</f>
        <v>0</v>
      </c>
      <c r="F1624">
        <f>'Raw Data'!E1624</f>
        <v>0</v>
      </c>
      <c r="G1624">
        <f>IFERROR(VLOOKUP(D1624,'Lookup Tables'!$A:$C,3,FALSE),IF(ISNUMBER(SEARCH("STEEL",F1624)),"Steel","Others"))</f>
        <v>0</v>
      </c>
      <c r="H1624">
        <f>IF(ISNUMBER(SEARCH("scrubber",F1624)) , "Scrubber", IF(ISNUMBER(SEARCH("container",F1624)),"Container", IF(ISNUMBER(SEARCH("basket",F1624)),"Basket", IF(ISNUMBER(SEARCH("lunch",F1624)),"Lunch Box", IF(ISNUMBER(SEARCH("cutlery",F1624)),"Cutlery","Other")))))</f>
        <v>0</v>
      </c>
      <c r="I1624">
        <f>IF('Raw Data'!G1624&lt;&gt;'','Raw Data'!G1624,IFERROR(MID(F1624,SEARCH("MODEL",F1624)+6,20),""))</f>
        <v>0</v>
      </c>
      <c r="J1624">
        <f>'Raw Data'!H1624</f>
        <v>0</v>
      </c>
      <c r="K1624">
        <f>'Raw Data'!I1624</f>
        <v>0</v>
      </c>
      <c r="L1624">
        <f>IF('Raw Data'!N1624&lt;&gt;0,'Raw Data'!N1624,IFERROR(VALUE(MID(F1624,SEARCH("QTY",F1624)+4,IFERROR(FIND(" ",F1624,SEARCH("QTY",F1624)+4)-(SEARCH("QTY",F1624)+4),3))),""))</f>
        <v>0</v>
      </c>
      <c r="M1624">
        <f>'Raw Data'!O1624</f>
        <v>0</v>
      </c>
      <c r="N1624">
        <f>'Raw Data'!P1624</f>
        <v>0</v>
      </c>
      <c r="O1624">
        <f>'Raw Data'!Q1624</f>
        <v>0</v>
      </c>
      <c r="P1624">
        <f>'Raw Data'!R1624</f>
        <v>0</v>
      </c>
      <c r="Q1624">
        <f>'Raw Data'!S1624</f>
        <v>0</v>
      </c>
      <c r="R1624">
        <f>'Raw Data'!T1624</f>
        <v>0</v>
      </c>
      <c r="S1624">
        <f>IFERROR(O1624,0)+IFERROR(R1624,0)</f>
        <v>0</v>
      </c>
      <c r="T1624">
        <f>IF(A1624="","",YEAR(A1624))</f>
        <v>0</v>
      </c>
    </row>
    <row r="1625" spans="1:20">
      <c r="A1625">
        <f>'Raw Data'!B1625</f>
        <v>0</v>
      </c>
      <c r="B1625">
        <f>'Raw Data'!A1625</f>
        <v>0</v>
      </c>
      <c r="C1625">
        <f>'Raw Data'!C1625</f>
        <v>0</v>
      </c>
      <c r="D1625">
        <f>'Raw Data'!D1625</f>
        <v>0</v>
      </c>
      <c r="E1625">
        <f>IFERROR(VLOOKUP(D1625,'Lookup Tables'!$A:$B,2,FALSE),"Unknown")</f>
        <v>0</v>
      </c>
      <c r="F1625">
        <f>'Raw Data'!E1625</f>
        <v>0</v>
      </c>
      <c r="G1625">
        <f>IFERROR(VLOOKUP(D1625,'Lookup Tables'!$A:$C,3,FALSE),IF(ISNUMBER(SEARCH("STEEL",F1625)),"Steel","Others"))</f>
        <v>0</v>
      </c>
      <c r="H1625">
        <f>IF(ISNUMBER(SEARCH("scrubber",F1625)) , "Scrubber", IF(ISNUMBER(SEARCH("container",F1625)),"Container", IF(ISNUMBER(SEARCH("basket",F1625)),"Basket", IF(ISNUMBER(SEARCH("lunch",F1625)),"Lunch Box", IF(ISNUMBER(SEARCH("cutlery",F1625)),"Cutlery","Other")))))</f>
        <v>0</v>
      </c>
      <c r="I1625">
        <f>IF('Raw Data'!G1625&lt;&gt;'','Raw Data'!G1625,IFERROR(MID(F1625,SEARCH("MODEL",F1625)+6,20),""))</f>
        <v>0</v>
      </c>
      <c r="J1625">
        <f>'Raw Data'!H1625</f>
        <v>0</v>
      </c>
      <c r="K1625">
        <f>'Raw Data'!I1625</f>
        <v>0</v>
      </c>
      <c r="L1625">
        <f>IF('Raw Data'!N1625&lt;&gt;0,'Raw Data'!N1625,IFERROR(VALUE(MID(F1625,SEARCH("QTY",F1625)+4,IFERROR(FIND(" ",F1625,SEARCH("QTY",F1625)+4)-(SEARCH("QTY",F1625)+4),3))),""))</f>
        <v>0</v>
      </c>
      <c r="M1625">
        <f>'Raw Data'!O1625</f>
        <v>0</v>
      </c>
      <c r="N1625">
        <f>'Raw Data'!P1625</f>
        <v>0</v>
      </c>
      <c r="O1625">
        <f>'Raw Data'!Q1625</f>
        <v>0</v>
      </c>
      <c r="P1625">
        <f>'Raw Data'!R1625</f>
        <v>0</v>
      </c>
      <c r="Q1625">
        <f>'Raw Data'!S1625</f>
        <v>0</v>
      </c>
      <c r="R1625">
        <f>'Raw Data'!T1625</f>
        <v>0</v>
      </c>
      <c r="S1625">
        <f>IFERROR(O1625,0)+IFERROR(R1625,0)</f>
        <v>0</v>
      </c>
      <c r="T1625">
        <f>IF(A1625="","",YEAR(A1625))</f>
        <v>0</v>
      </c>
    </row>
    <row r="1626" spans="1:20">
      <c r="A1626">
        <f>'Raw Data'!B1626</f>
        <v>0</v>
      </c>
      <c r="B1626">
        <f>'Raw Data'!A1626</f>
        <v>0</v>
      </c>
      <c r="C1626">
        <f>'Raw Data'!C1626</f>
        <v>0</v>
      </c>
      <c r="D1626">
        <f>'Raw Data'!D1626</f>
        <v>0</v>
      </c>
      <c r="E1626">
        <f>IFERROR(VLOOKUP(D1626,'Lookup Tables'!$A:$B,2,FALSE),"Unknown")</f>
        <v>0</v>
      </c>
      <c r="F1626">
        <f>'Raw Data'!E1626</f>
        <v>0</v>
      </c>
      <c r="G1626">
        <f>IFERROR(VLOOKUP(D1626,'Lookup Tables'!$A:$C,3,FALSE),IF(ISNUMBER(SEARCH("STEEL",F1626)),"Steel","Others"))</f>
        <v>0</v>
      </c>
      <c r="H1626">
        <f>IF(ISNUMBER(SEARCH("scrubber",F1626)) , "Scrubber", IF(ISNUMBER(SEARCH("container",F1626)),"Container", IF(ISNUMBER(SEARCH("basket",F1626)),"Basket", IF(ISNUMBER(SEARCH("lunch",F1626)),"Lunch Box", IF(ISNUMBER(SEARCH("cutlery",F1626)),"Cutlery","Other")))))</f>
        <v>0</v>
      </c>
      <c r="I1626">
        <f>IF('Raw Data'!G1626&lt;&gt;'','Raw Data'!G1626,IFERROR(MID(F1626,SEARCH("MODEL",F1626)+6,20),""))</f>
        <v>0</v>
      </c>
      <c r="J1626">
        <f>'Raw Data'!H1626</f>
        <v>0</v>
      </c>
      <c r="K1626">
        <f>'Raw Data'!I1626</f>
        <v>0</v>
      </c>
      <c r="L1626">
        <f>IF('Raw Data'!N1626&lt;&gt;0,'Raw Data'!N1626,IFERROR(VALUE(MID(F1626,SEARCH("QTY",F1626)+4,IFERROR(FIND(" ",F1626,SEARCH("QTY",F1626)+4)-(SEARCH("QTY",F1626)+4),3))),""))</f>
        <v>0</v>
      </c>
      <c r="M1626">
        <f>'Raw Data'!O1626</f>
        <v>0</v>
      </c>
      <c r="N1626">
        <f>'Raw Data'!P1626</f>
        <v>0</v>
      </c>
      <c r="O1626">
        <f>'Raw Data'!Q1626</f>
        <v>0</v>
      </c>
      <c r="P1626">
        <f>'Raw Data'!R1626</f>
        <v>0</v>
      </c>
      <c r="Q1626">
        <f>'Raw Data'!S1626</f>
        <v>0</v>
      </c>
      <c r="R1626">
        <f>'Raw Data'!T1626</f>
        <v>0</v>
      </c>
      <c r="S1626">
        <f>IFERROR(O1626,0)+IFERROR(R1626,0)</f>
        <v>0</v>
      </c>
      <c r="T1626">
        <f>IF(A1626="","",YEAR(A1626))</f>
        <v>0</v>
      </c>
    </row>
    <row r="1627" spans="1:20">
      <c r="A1627">
        <f>'Raw Data'!B1627</f>
        <v>0</v>
      </c>
      <c r="B1627">
        <f>'Raw Data'!A1627</f>
        <v>0</v>
      </c>
      <c r="C1627">
        <f>'Raw Data'!C1627</f>
        <v>0</v>
      </c>
      <c r="D1627">
        <f>'Raw Data'!D1627</f>
        <v>0</v>
      </c>
      <c r="E1627">
        <f>IFERROR(VLOOKUP(D1627,'Lookup Tables'!$A:$B,2,FALSE),"Unknown")</f>
        <v>0</v>
      </c>
      <c r="F1627">
        <f>'Raw Data'!E1627</f>
        <v>0</v>
      </c>
      <c r="G1627">
        <f>IFERROR(VLOOKUP(D1627,'Lookup Tables'!$A:$C,3,FALSE),IF(ISNUMBER(SEARCH("STEEL",F1627)),"Steel","Others"))</f>
        <v>0</v>
      </c>
      <c r="H1627">
        <f>IF(ISNUMBER(SEARCH("scrubber",F1627)) , "Scrubber", IF(ISNUMBER(SEARCH("container",F1627)),"Container", IF(ISNUMBER(SEARCH("basket",F1627)),"Basket", IF(ISNUMBER(SEARCH("lunch",F1627)),"Lunch Box", IF(ISNUMBER(SEARCH("cutlery",F1627)),"Cutlery","Other")))))</f>
        <v>0</v>
      </c>
      <c r="I1627">
        <f>IF('Raw Data'!G1627&lt;&gt;'','Raw Data'!G1627,IFERROR(MID(F1627,SEARCH("MODEL",F1627)+6,20),""))</f>
        <v>0</v>
      </c>
      <c r="J1627">
        <f>'Raw Data'!H1627</f>
        <v>0</v>
      </c>
      <c r="K1627">
        <f>'Raw Data'!I1627</f>
        <v>0</v>
      </c>
      <c r="L1627">
        <f>IF('Raw Data'!N1627&lt;&gt;0,'Raw Data'!N1627,IFERROR(VALUE(MID(F1627,SEARCH("QTY",F1627)+4,IFERROR(FIND(" ",F1627,SEARCH("QTY",F1627)+4)-(SEARCH("QTY",F1627)+4),3))),""))</f>
        <v>0</v>
      </c>
      <c r="M1627">
        <f>'Raw Data'!O1627</f>
        <v>0</v>
      </c>
      <c r="N1627">
        <f>'Raw Data'!P1627</f>
        <v>0</v>
      </c>
      <c r="O1627">
        <f>'Raw Data'!Q1627</f>
        <v>0</v>
      </c>
      <c r="P1627">
        <f>'Raw Data'!R1627</f>
        <v>0</v>
      </c>
      <c r="Q1627">
        <f>'Raw Data'!S1627</f>
        <v>0</v>
      </c>
      <c r="R1627">
        <f>'Raw Data'!T1627</f>
        <v>0</v>
      </c>
      <c r="S1627">
        <f>IFERROR(O1627,0)+IFERROR(R1627,0)</f>
        <v>0</v>
      </c>
      <c r="T1627">
        <f>IF(A1627="","",YEAR(A1627))</f>
        <v>0</v>
      </c>
    </row>
    <row r="1628" spans="1:20">
      <c r="A1628">
        <f>'Raw Data'!B1628</f>
        <v>0</v>
      </c>
      <c r="B1628">
        <f>'Raw Data'!A1628</f>
        <v>0</v>
      </c>
      <c r="C1628">
        <f>'Raw Data'!C1628</f>
        <v>0</v>
      </c>
      <c r="D1628">
        <f>'Raw Data'!D1628</f>
        <v>0</v>
      </c>
      <c r="E1628">
        <f>IFERROR(VLOOKUP(D1628,'Lookup Tables'!$A:$B,2,FALSE),"Unknown")</f>
        <v>0</v>
      </c>
      <c r="F1628">
        <f>'Raw Data'!E1628</f>
        <v>0</v>
      </c>
      <c r="G1628">
        <f>IFERROR(VLOOKUP(D1628,'Lookup Tables'!$A:$C,3,FALSE),IF(ISNUMBER(SEARCH("STEEL",F1628)),"Steel","Others"))</f>
        <v>0</v>
      </c>
      <c r="H1628">
        <f>IF(ISNUMBER(SEARCH("scrubber",F1628)) , "Scrubber", IF(ISNUMBER(SEARCH("container",F1628)),"Container", IF(ISNUMBER(SEARCH("basket",F1628)),"Basket", IF(ISNUMBER(SEARCH("lunch",F1628)),"Lunch Box", IF(ISNUMBER(SEARCH("cutlery",F1628)),"Cutlery","Other")))))</f>
        <v>0</v>
      </c>
      <c r="I1628">
        <f>IF('Raw Data'!G1628&lt;&gt;'','Raw Data'!G1628,IFERROR(MID(F1628,SEARCH("MODEL",F1628)+6,20),""))</f>
        <v>0</v>
      </c>
      <c r="J1628">
        <f>'Raw Data'!H1628</f>
        <v>0</v>
      </c>
      <c r="K1628">
        <f>'Raw Data'!I1628</f>
        <v>0</v>
      </c>
      <c r="L1628">
        <f>IF('Raw Data'!N1628&lt;&gt;0,'Raw Data'!N1628,IFERROR(VALUE(MID(F1628,SEARCH("QTY",F1628)+4,IFERROR(FIND(" ",F1628,SEARCH("QTY",F1628)+4)-(SEARCH("QTY",F1628)+4),3))),""))</f>
        <v>0</v>
      </c>
      <c r="M1628">
        <f>'Raw Data'!O1628</f>
        <v>0</v>
      </c>
      <c r="N1628">
        <f>'Raw Data'!P1628</f>
        <v>0</v>
      </c>
      <c r="O1628">
        <f>'Raw Data'!Q1628</f>
        <v>0</v>
      </c>
      <c r="P1628">
        <f>'Raw Data'!R1628</f>
        <v>0</v>
      </c>
      <c r="Q1628">
        <f>'Raw Data'!S1628</f>
        <v>0</v>
      </c>
      <c r="R1628">
        <f>'Raw Data'!T1628</f>
        <v>0</v>
      </c>
      <c r="S1628">
        <f>IFERROR(O1628,0)+IFERROR(R1628,0)</f>
        <v>0</v>
      </c>
      <c r="T1628">
        <f>IF(A1628="","",YEAR(A1628))</f>
        <v>0</v>
      </c>
    </row>
    <row r="1629" spans="1:20">
      <c r="A1629">
        <f>'Raw Data'!B1629</f>
        <v>0</v>
      </c>
      <c r="B1629">
        <f>'Raw Data'!A1629</f>
        <v>0</v>
      </c>
      <c r="C1629">
        <f>'Raw Data'!C1629</f>
        <v>0</v>
      </c>
      <c r="D1629">
        <f>'Raw Data'!D1629</f>
        <v>0</v>
      </c>
      <c r="E1629">
        <f>IFERROR(VLOOKUP(D1629,'Lookup Tables'!$A:$B,2,FALSE),"Unknown")</f>
        <v>0</v>
      </c>
      <c r="F1629">
        <f>'Raw Data'!E1629</f>
        <v>0</v>
      </c>
      <c r="G1629">
        <f>IFERROR(VLOOKUP(D1629,'Lookup Tables'!$A:$C,3,FALSE),IF(ISNUMBER(SEARCH("STEEL",F1629)),"Steel","Others"))</f>
        <v>0</v>
      </c>
      <c r="H1629">
        <f>IF(ISNUMBER(SEARCH("scrubber",F1629)) , "Scrubber", IF(ISNUMBER(SEARCH("container",F1629)),"Container", IF(ISNUMBER(SEARCH("basket",F1629)),"Basket", IF(ISNUMBER(SEARCH("lunch",F1629)),"Lunch Box", IF(ISNUMBER(SEARCH("cutlery",F1629)),"Cutlery","Other")))))</f>
        <v>0</v>
      </c>
      <c r="I1629">
        <f>IF('Raw Data'!G1629&lt;&gt;'','Raw Data'!G1629,IFERROR(MID(F1629,SEARCH("MODEL",F1629)+6,20),""))</f>
        <v>0</v>
      </c>
      <c r="J1629">
        <f>'Raw Data'!H1629</f>
        <v>0</v>
      </c>
      <c r="K1629">
        <f>'Raw Data'!I1629</f>
        <v>0</v>
      </c>
      <c r="L1629">
        <f>IF('Raw Data'!N1629&lt;&gt;0,'Raw Data'!N1629,IFERROR(VALUE(MID(F1629,SEARCH("QTY",F1629)+4,IFERROR(FIND(" ",F1629,SEARCH("QTY",F1629)+4)-(SEARCH("QTY",F1629)+4),3))),""))</f>
        <v>0</v>
      </c>
      <c r="M1629">
        <f>'Raw Data'!O1629</f>
        <v>0</v>
      </c>
      <c r="N1629">
        <f>'Raw Data'!P1629</f>
        <v>0</v>
      </c>
      <c r="O1629">
        <f>'Raw Data'!Q1629</f>
        <v>0</v>
      </c>
      <c r="P1629">
        <f>'Raw Data'!R1629</f>
        <v>0</v>
      </c>
      <c r="Q1629">
        <f>'Raw Data'!S1629</f>
        <v>0</v>
      </c>
      <c r="R1629">
        <f>'Raw Data'!T1629</f>
        <v>0</v>
      </c>
      <c r="S1629">
        <f>IFERROR(O1629,0)+IFERROR(R1629,0)</f>
        <v>0</v>
      </c>
      <c r="T1629">
        <f>IF(A1629="","",YEAR(A1629))</f>
        <v>0</v>
      </c>
    </row>
    <row r="1630" spans="1:20">
      <c r="A1630">
        <f>'Raw Data'!B1630</f>
        <v>0</v>
      </c>
      <c r="B1630">
        <f>'Raw Data'!A1630</f>
        <v>0</v>
      </c>
      <c r="C1630">
        <f>'Raw Data'!C1630</f>
        <v>0</v>
      </c>
      <c r="D1630">
        <f>'Raw Data'!D1630</f>
        <v>0</v>
      </c>
      <c r="E1630">
        <f>IFERROR(VLOOKUP(D1630,'Lookup Tables'!$A:$B,2,FALSE),"Unknown")</f>
        <v>0</v>
      </c>
      <c r="F1630">
        <f>'Raw Data'!E1630</f>
        <v>0</v>
      </c>
      <c r="G1630">
        <f>IFERROR(VLOOKUP(D1630,'Lookup Tables'!$A:$C,3,FALSE),IF(ISNUMBER(SEARCH("STEEL",F1630)),"Steel","Others"))</f>
        <v>0</v>
      </c>
      <c r="H1630">
        <f>IF(ISNUMBER(SEARCH("scrubber",F1630)) , "Scrubber", IF(ISNUMBER(SEARCH("container",F1630)),"Container", IF(ISNUMBER(SEARCH("basket",F1630)),"Basket", IF(ISNUMBER(SEARCH("lunch",F1630)),"Lunch Box", IF(ISNUMBER(SEARCH("cutlery",F1630)),"Cutlery","Other")))))</f>
        <v>0</v>
      </c>
      <c r="I1630">
        <f>IF('Raw Data'!G1630&lt;&gt;'','Raw Data'!G1630,IFERROR(MID(F1630,SEARCH("MODEL",F1630)+6,20),""))</f>
        <v>0</v>
      </c>
      <c r="J1630">
        <f>'Raw Data'!H1630</f>
        <v>0</v>
      </c>
      <c r="K1630">
        <f>'Raw Data'!I1630</f>
        <v>0</v>
      </c>
      <c r="L1630">
        <f>IF('Raw Data'!N1630&lt;&gt;0,'Raw Data'!N1630,IFERROR(VALUE(MID(F1630,SEARCH("QTY",F1630)+4,IFERROR(FIND(" ",F1630,SEARCH("QTY",F1630)+4)-(SEARCH("QTY",F1630)+4),3))),""))</f>
        <v>0</v>
      </c>
      <c r="M1630">
        <f>'Raw Data'!O1630</f>
        <v>0</v>
      </c>
      <c r="N1630">
        <f>'Raw Data'!P1630</f>
        <v>0</v>
      </c>
      <c r="O1630">
        <f>'Raw Data'!Q1630</f>
        <v>0</v>
      </c>
      <c r="P1630">
        <f>'Raw Data'!R1630</f>
        <v>0</v>
      </c>
      <c r="Q1630">
        <f>'Raw Data'!S1630</f>
        <v>0</v>
      </c>
      <c r="R1630">
        <f>'Raw Data'!T1630</f>
        <v>0</v>
      </c>
      <c r="S1630">
        <f>IFERROR(O1630,0)+IFERROR(R1630,0)</f>
        <v>0</v>
      </c>
      <c r="T1630">
        <f>IF(A1630="","",YEAR(A1630))</f>
        <v>0</v>
      </c>
    </row>
    <row r="1631" spans="1:20">
      <c r="A1631">
        <f>'Raw Data'!B1631</f>
        <v>0</v>
      </c>
      <c r="B1631">
        <f>'Raw Data'!A1631</f>
        <v>0</v>
      </c>
      <c r="C1631">
        <f>'Raw Data'!C1631</f>
        <v>0</v>
      </c>
      <c r="D1631">
        <f>'Raw Data'!D1631</f>
        <v>0</v>
      </c>
      <c r="E1631">
        <f>IFERROR(VLOOKUP(D1631,'Lookup Tables'!$A:$B,2,FALSE),"Unknown")</f>
        <v>0</v>
      </c>
      <c r="F1631">
        <f>'Raw Data'!E1631</f>
        <v>0</v>
      </c>
      <c r="G1631">
        <f>IFERROR(VLOOKUP(D1631,'Lookup Tables'!$A:$C,3,FALSE),IF(ISNUMBER(SEARCH("STEEL",F1631)),"Steel","Others"))</f>
        <v>0</v>
      </c>
      <c r="H1631">
        <f>IF(ISNUMBER(SEARCH("scrubber",F1631)) , "Scrubber", IF(ISNUMBER(SEARCH("container",F1631)),"Container", IF(ISNUMBER(SEARCH("basket",F1631)),"Basket", IF(ISNUMBER(SEARCH("lunch",F1631)),"Lunch Box", IF(ISNUMBER(SEARCH("cutlery",F1631)),"Cutlery","Other")))))</f>
        <v>0</v>
      </c>
      <c r="I1631">
        <f>IF('Raw Data'!G1631&lt;&gt;'','Raw Data'!G1631,IFERROR(MID(F1631,SEARCH("MODEL",F1631)+6,20),""))</f>
        <v>0</v>
      </c>
      <c r="J1631">
        <f>'Raw Data'!H1631</f>
        <v>0</v>
      </c>
      <c r="K1631">
        <f>'Raw Data'!I1631</f>
        <v>0</v>
      </c>
      <c r="L1631">
        <f>IF('Raw Data'!N1631&lt;&gt;0,'Raw Data'!N1631,IFERROR(VALUE(MID(F1631,SEARCH("QTY",F1631)+4,IFERROR(FIND(" ",F1631,SEARCH("QTY",F1631)+4)-(SEARCH("QTY",F1631)+4),3))),""))</f>
        <v>0</v>
      </c>
      <c r="M1631">
        <f>'Raw Data'!O1631</f>
        <v>0</v>
      </c>
      <c r="N1631">
        <f>'Raw Data'!P1631</f>
        <v>0</v>
      </c>
      <c r="O1631">
        <f>'Raw Data'!Q1631</f>
        <v>0</v>
      </c>
      <c r="P1631">
        <f>'Raw Data'!R1631</f>
        <v>0</v>
      </c>
      <c r="Q1631">
        <f>'Raw Data'!S1631</f>
        <v>0</v>
      </c>
      <c r="R1631">
        <f>'Raw Data'!T1631</f>
        <v>0</v>
      </c>
      <c r="S1631">
        <f>IFERROR(O1631,0)+IFERROR(R1631,0)</f>
        <v>0</v>
      </c>
      <c r="T1631">
        <f>IF(A1631="","",YEAR(A1631))</f>
        <v>0</v>
      </c>
    </row>
    <row r="1632" spans="1:20">
      <c r="A1632">
        <f>'Raw Data'!B1632</f>
        <v>0</v>
      </c>
      <c r="B1632">
        <f>'Raw Data'!A1632</f>
        <v>0</v>
      </c>
      <c r="C1632">
        <f>'Raw Data'!C1632</f>
        <v>0</v>
      </c>
      <c r="D1632">
        <f>'Raw Data'!D1632</f>
        <v>0</v>
      </c>
      <c r="E1632">
        <f>IFERROR(VLOOKUP(D1632,'Lookup Tables'!$A:$B,2,FALSE),"Unknown")</f>
        <v>0</v>
      </c>
      <c r="F1632">
        <f>'Raw Data'!E1632</f>
        <v>0</v>
      </c>
      <c r="G1632">
        <f>IFERROR(VLOOKUP(D1632,'Lookup Tables'!$A:$C,3,FALSE),IF(ISNUMBER(SEARCH("STEEL",F1632)),"Steel","Others"))</f>
        <v>0</v>
      </c>
      <c r="H1632">
        <f>IF(ISNUMBER(SEARCH("scrubber",F1632)) , "Scrubber", IF(ISNUMBER(SEARCH("container",F1632)),"Container", IF(ISNUMBER(SEARCH("basket",F1632)),"Basket", IF(ISNUMBER(SEARCH("lunch",F1632)),"Lunch Box", IF(ISNUMBER(SEARCH("cutlery",F1632)),"Cutlery","Other")))))</f>
        <v>0</v>
      </c>
      <c r="I1632">
        <f>IF('Raw Data'!G1632&lt;&gt;'','Raw Data'!G1632,IFERROR(MID(F1632,SEARCH("MODEL",F1632)+6,20),""))</f>
        <v>0</v>
      </c>
      <c r="J1632">
        <f>'Raw Data'!H1632</f>
        <v>0</v>
      </c>
      <c r="K1632">
        <f>'Raw Data'!I1632</f>
        <v>0</v>
      </c>
      <c r="L1632">
        <f>IF('Raw Data'!N1632&lt;&gt;0,'Raw Data'!N1632,IFERROR(VALUE(MID(F1632,SEARCH("QTY",F1632)+4,IFERROR(FIND(" ",F1632,SEARCH("QTY",F1632)+4)-(SEARCH("QTY",F1632)+4),3))),""))</f>
        <v>0</v>
      </c>
      <c r="M1632">
        <f>'Raw Data'!O1632</f>
        <v>0</v>
      </c>
      <c r="N1632">
        <f>'Raw Data'!P1632</f>
        <v>0</v>
      </c>
      <c r="O1632">
        <f>'Raw Data'!Q1632</f>
        <v>0</v>
      </c>
      <c r="P1632">
        <f>'Raw Data'!R1632</f>
        <v>0</v>
      </c>
      <c r="Q1632">
        <f>'Raw Data'!S1632</f>
        <v>0</v>
      </c>
      <c r="R1632">
        <f>'Raw Data'!T1632</f>
        <v>0</v>
      </c>
      <c r="S1632">
        <f>IFERROR(O1632,0)+IFERROR(R1632,0)</f>
        <v>0</v>
      </c>
      <c r="T1632">
        <f>IF(A1632="","",YEAR(A1632))</f>
        <v>0</v>
      </c>
    </row>
    <row r="1633" spans="1:20">
      <c r="A1633">
        <f>'Raw Data'!B1633</f>
        <v>0</v>
      </c>
      <c r="B1633">
        <f>'Raw Data'!A1633</f>
        <v>0</v>
      </c>
      <c r="C1633">
        <f>'Raw Data'!C1633</f>
        <v>0</v>
      </c>
      <c r="D1633">
        <f>'Raw Data'!D1633</f>
        <v>0</v>
      </c>
      <c r="E1633">
        <f>IFERROR(VLOOKUP(D1633,'Lookup Tables'!$A:$B,2,FALSE),"Unknown")</f>
        <v>0</v>
      </c>
      <c r="F1633">
        <f>'Raw Data'!E1633</f>
        <v>0</v>
      </c>
      <c r="G1633">
        <f>IFERROR(VLOOKUP(D1633,'Lookup Tables'!$A:$C,3,FALSE),IF(ISNUMBER(SEARCH("STEEL",F1633)),"Steel","Others"))</f>
        <v>0</v>
      </c>
      <c r="H1633">
        <f>IF(ISNUMBER(SEARCH("scrubber",F1633)) , "Scrubber", IF(ISNUMBER(SEARCH("container",F1633)),"Container", IF(ISNUMBER(SEARCH("basket",F1633)),"Basket", IF(ISNUMBER(SEARCH("lunch",F1633)),"Lunch Box", IF(ISNUMBER(SEARCH("cutlery",F1633)),"Cutlery","Other")))))</f>
        <v>0</v>
      </c>
      <c r="I1633">
        <f>IF('Raw Data'!G1633&lt;&gt;'','Raw Data'!G1633,IFERROR(MID(F1633,SEARCH("MODEL",F1633)+6,20),""))</f>
        <v>0</v>
      </c>
      <c r="J1633">
        <f>'Raw Data'!H1633</f>
        <v>0</v>
      </c>
      <c r="K1633">
        <f>'Raw Data'!I1633</f>
        <v>0</v>
      </c>
      <c r="L1633">
        <f>IF('Raw Data'!N1633&lt;&gt;0,'Raw Data'!N1633,IFERROR(VALUE(MID(F1633,SEARCH("QTY",F1633)+4,IFERROR(FIND(" ",F1633,SEARCH("QTY",F1633)+4)-(SEARCH("QTY",F1633)+4),3))),""))</f>
        <v>0</v>
      </c>
      <c r="M1633">
        <f>'Raw Data'!O1633</f>
        <v>0</v>
      </c>
      <c r="N1633">
        <f>'Raw Data'!P1633</f>
        <v>0</v>
      </c>
      <c r="O1633">
        <f>'Raw Data'!Q1633</f>
        <v>0</v>
      </c>
      <c r="P1633">
        <f>'Raw Data'!R1633</f>
        <v>0</v>
      </c>
      <c r="Q1633">
        <f>'Raw Data'!S1633</f>
        <v>0</v>
      </c>
      <c r="R1633">
        <f>'Raw Data'!T1633</f>
        <v>0</v>
      </c>
      <c r="S1633">
        <f>IFERROR(O1633,0)+IFERROR(R1633,0)</f>
        <v>0</v>
      </c>
      <c r="T1633">
        <f>IF(A1633="","",YEAR(A1633))</f>
        <v>0</v>
      </c>
    </row>
    <row r="1634" spans="1:20">
      <c r="A1634">
        <f>'Raw Data'!B1634</f>
        <v>0</v>
      </c>
      <c r="B1634">
        <f>'Raw Data'!A1634</f>
        <v>0</v>
      </c>
      <c r="C1634">
        <f>'Raw Data'!C1634</f>
        <v>0</v>
      </c>
      <c r="D1634">
        <f>'Raw Data'!D1634</f>
        <v>0</v>
      </c>
      <c r="E1634">
        <f>IFERROR(VLOOKUP(D1634,'Lookup Tables'!$A:$B,2,FALSE),"Unknown")</f>
        <v>0</v>
      </c>
      <c r="F1634">
        <f>'Raw Data'!E1634</f>
        <v>0</v>
      </c>
      <c r="G1634">
        <f>IFERROR(VLOOKUP(D1634,'Lookup Tables'!$A:$C,3,FALSE),IF(ISNUMBER(SEARCH("STEEL",F1634)),"Steel","Others"))</f>
        <v>0</v>
      </c>
      <c r="H1634">
        <f>IF(ISNUMBER(SEARCH("scrubber",F1634)) , "Scrubber", IF(ISNUMBER(SEARCH("container",F1634)),"Container", IF(ISNUMBER(SEARCH("basket",F1634)),"Basket", IF(ISNUMBER(SEARCH("lunch",F1634)),"Lunch Box", IF(ISNUMBER(SEARCH("cutlery",F1634)),"Cutlery","Other")))))</f>
        <v>0</v>
      </c>
      <c r="I1634">
        <f>IF('Raw Data'!G1634&lt;&gt;'','Raw Data'!G1634,IFERROR(MID(F1634,SEARCH("MODEL",F1634)+6,20),""))</f>
        <v>0</v>
      </c>
      <c r="J1634">
        <f>'Raw Data'!H1634</f>
        <v>0</v>
      </c>
      <c r="K1634">
        <f>'Raw Data'!I1634</f>
        <v>0</v>
      </c>
      <c r="L1634">
        <f>IF('Raw Data'!N1634&lt;&gt;0,'Raw Data'!N1634,IFERROR(VALUE(MID(F1634,SEARCH("QTY",F1634)+4,IFERROR(FIND(" ",F1634,SEARCH("QTY",F1634)+4)-(SEARCH("QTY",F1634)+4),3))),""))</f>
        <v>0</v>
      </c>
      <c r="M1634">
        <f>'Raw Data'!O1634</f>
        <v>0</v>
      </c>
      <c r="N1634">
        <f>'Raw Data'!P1634</f>
        <v>0</v>
      </c>
      <c r="O1634">
        <f>'Raw Data'!Q1634</f>
        <v>0</v>
      </c>
      <c r="P1634">
        <f>'Raw Data'!R1634</f>
        <v>0</v>
      </c>
      <c r="Q1634">
        <f>'Raw Data'!S1634</f>
        <v>0</v>
      </c>
      <c r="R1634">
        <f>'Raw Data'!T1634</f>
        <v>0</v>
      </c>
      <c r="S1634">
        <f>IFERROR(O1634,0)+IFERROR(R1634,0)</f>
        <v>0</v>
      </c>
      <c r="T1634">
        <f>IF(A1634="","",YEAR(A1634))</f>
        <v>0</v>
      </c>
    </row>
    <row r="1635" spans="1:20">
      <c r="A1635">
        <f>'Raw Data'!B1635</f>
        <v>0</v>
      </c>
      <c r="B1635">
        <f>'Raw Data'!A1635</f>
        <v>0</v>
      </c>
      <c r="C1635">
        <f>'Raw Data'!C1635</f>
        <v>0</v>
      </c>
      <c r="D1635">
        <f>'Raw Data'!D1635</f>
        <v>0</v>
      </c>
      <c r="E1635">
        <f>IFERROR(VLOOKUP(D1635,'Lookup Tables'!$A:$B,2,FALSE),"Unknown")</f>
        <v>0</v>
      </c>
      <c r="F1635">
        <f>'Raw Data'!E1635</f>
        <v>0</v>
      </c>
      <c r="G1635">
        <f>IFERROR(VLOOKUP(D1635,'Lookup Tables'!$A:$C,3,FALSE),IF(ISNUMBER(SEARCH("STEEL",F1635)),"Steel","Others"))</f>
        <v>0</v>
      </c>
      <c r="H1635">
        <f>IF(ISNUMBER(SEARCH("scrubber",F1635)) , "Scrubber", IF(ISNUMBER(SEARCH("container",F1635)),"Container", IF(ISNUMBER(SEARCH("basket",F1635)),"Basket", IF(ISNUMBER(SEARCH("lunch",F1635)),"Lunch Box", IF(ISNUMBER(SEARCH("cutlery",F1635)),"Cutlery","Other")))))</f>
        <v>0</v>
      </c>
      <c r="I1635">
        <f>IF('Raw Data'!G1635&lt;&gt;'','Raw Data'!G1635,IFERROR(MID(F1635,SEARCH("MODEL",F1635)+6,20),""))</f>
        <v>0</v>
      </c>
      <c r="J1635">
        <f>'Raw Data'!H1635</f>
        <v>0</v>
      </c>
      <c r="K1635">
        <f>'Raw Data'!I1635</f>
        <v>0</v>
      </c>
      <c r="L1635">
        <f>IF('Raw Data'!N1635&lt;&gt;0,'Raw Data'!N1635,IFERROR(VALUE(MID(F1635,SEARCH("QTY",F1635)+4,IFERROR(FIND(" ",F1635,SEARCH("QTY",F1635)+4)-(SEARCH("QTY",F1635)+4),3))),""))</f>
        <v>0</v>
      </c>
      <c r="M1635">
        <f>'Raw Data'!O1635</f>
        <v>0</v>
      </c>
      <c r="N1635">
        <f>'Raw Data'!P1635</f>
        <v>0</v>
      </c>
      <c r="O1635">
        <f>'Raw Data'!Q1635</f>
        <v>0</v>
      </c>
      <c r="P1635">
        <f>'Raw Data'!R1635</f>
        <v>0</v>
      </c>
      <c r="Q1635">
        <f>'Raw Data'!S1635</f>
        <v>0</v>
      </c>
      <c r="R1635">
        <f>'Raw Data'!T1635</f>
        <v>0</v>
      </c>
      <c r="S1635">
        <f>IFERROR(O1635,0)+IFERROR(R1635,0)</f>
        <v>0</v>
      </c>
      <c r="T1635">
        <f>IF(A1635="","",YEAR(A1635))</f>
        <v>0</v>
      </c>
    </row>
    <row r="1636" spans="1:20">
      <c r="A1636">
        <f>'Raw Data'!B1636</f>
        <v>0</v>
      </c>
      <c r="B1636">
        <f>'Raw Data'!A1636</f>
        <v>0</v>
      </c>
      <c r="C1636">
        <f>'Raw Data'!C1636</f>
        <v>0</v>
      </c>
      <c r="D1636">
        <f>'Raw Data'!D1636</f>
        <v>0</v>
      </c>
      <c r="E1636">
        <f>IFERROR(VLOOKUP(D1636,'Lookup Tables'!$A:$B,2,FALSE),"Unknown")</f>
        <v>0</v>
      </c>
      <c r="F1636">
        <f>'Raw Data'!E1636</f>
        <v>0</v>
      </c>
      <c r="G1636">
        <f>IFERROR(VLOOKUP(D1636,'Lookup Tables'!$A:$C,3,FALSE),IF(ISNUMBER(SEARCH("STEEL",F1636)),"Steel","Others"))</f>
        <v>0</v>
      </c>
      <c r="H1636">
        <f>IF(ISNUMBER(SEARCH("scrubber",F1636)) , "Scrubber", IF(ISNUMBER(SEARCH("container",F1636)),"Container", IF(ISNUMBER(SEARCH("basket",F1636)),"Basket", IF(ISNUMBER(SEARCH("lunch",F1636)),"Lunch Box", IF(ISNUMBER(SEARCH("cutlery",F1636)),"Cutlery","Other")))))</f>
        <v>0</v>
      </c>
      <c r="I1636">
        <f>IF('Raw Data'!G1636&lt;&gt;'','Raw Data'!G1636,IFERROR(MID(F1636,SEARCH("MODEL",F1636)+6,20),""))</f>
        <v>0</v>
      </c>
      <c r="J1636">
        <f>'Raw Data'!H1636</f>
        <v>0</v>
      </c>
      <c r="K1636">
        <f>'Raw Data'!I1636</f>
        <v>0</v>
      </c>
      <c r="L1636">
        <f>IF('Raw Data'!N1636&lt;&gt;0,'Raw Data'!N1636,IFERROR(VALUE(MID(F1636,SEARCH("QTY",F1636)+4,IFERROR(FIND(" ",F1636,SEARCH("QTY",F1636)+4)-(SEARCH("QTY",F1636)+4),3))),""))</f>
        <v>0</v>
      </c>
      <c r="M1636">
        <f>'Raw Data'!O1636</f>
        <v>0</v>
      </c>
      <c r="N1636">
        <f>'Raw Data'!P1636</f>
        <v>0</v>
      </c>
      <c r="O1636">
        <f>'Raw Data'!Q1636</f>
        <v>0</v>
      </c>
      <c r="P1636">
        <f>'Raw Data'!R1636</f>
        <v>0</v>
      </c>
      <c r="Q1636">
        <f>'Raw Data'!S1636</f>
        <v>0</v>
      </c>
      <c r="R1636">
        <f>'Raw Data'!T1636</f>
        <v>0</v>
      </c>
      <c r="S1636">
        <f>IFERROR(O1636,0)+IFERROR(R1636,0)</f>
        <v>0</v>
      </c>
      <c r="T1636">
        <f>IF(A1636="","",YEAR(A1636))</f>
        <v>0</v>
      </c>
    </row>
    <row r="1637" spans="1:20">
      <c r="A1637">
        <f>'Raw Data'!B1637</f>
        <v>0</v>
      </c>
      <c r="B1637">
        <f>'Raw Data'!A1637</f>
        <v>0</v>
      </c>
      <c r="C1637">
        <f>'Raw Data'!C1637</f>
        <v>0</v>
      </c>
      <c r="D1637">
        <f>'Raw Data'!D1637</f>
        <v>0</v>
      </c>
      <c r="E1637">
        <f>IFERROR(VLOOKUP(D1637,'Lookup Tables'!$A:$B,2,FALSE),"Unknown")</f>
        <v>0</v>
      </c>
      <c r="F1637">
        <f>'Raw Data'!E1637</f>
        <v>0</v>
      </c>
      <c r="G1637">
        <f>IFERROR(VLOOKUP(D1637,'Lookup Tables'!$A:$C,3,FALSE),IF(ISNUMBER(SEARCH("STEEL",F1637)),"Steel","Others"))</f>
        <v>0</v>
      </c>
      <c r="H1637">
        <f>IF(ISNUMBER(SEARCH("scrubber",F1637)) , "Scrubber", IF(ISNUMBER(SEARCH("container",F1637)),"Container", IF(ISNUMBER(SEARCH("basket",F1637)),"Basket", IF(ISNUMBER(SEARCH("lunch",F1637)),"Lunch Box", IF(ISNUMBER(SEARCH("cutlery",F1637)),"Cutlery","Other")))))</f>
        <v>0</v>
      </c>
      <c r="I1637">
        <f>IF('Raw Data'!G1637&lt;&gt;'','Raw Data'!G1637,IFERROR(MID(F1637,SEARCH("MODEL",F1637)+6,20),""))</f>
        <v>0</v>
      </c>
      <c r="J1637">
        <f>'Raw Data'!H1637</f>
        <v>0</v>
      </c>
      <c r="K1637">
        <f>'Raw Data'!I1637</f>
        <v>0</v>
      </c>
      <c r="L1637">
        <f>IF('Raw Data'!N1637&lt;&gt;0,'Raw Data'!N1637,IFERROR(VALUE(MID(F1637,SEARCH("QTY",F1637)+4,IFERROR(FIND(" ",F1637,SEARCH("QTY",F1637)+4)-(SEARCH("QTY",F1637)+4),3))),""))</f>
        <v>0</v>
      </c>
      <c r="M1637">
        <f>'Raw Data'!O1637</f>
        <v>0</v>
      </c>
      <c r="N1637">
        <f>'Raw Data'!P1637</f>
        <v>0</v>
      </c>
      <c r="O1637">
        <f>'Raw Data'!Q1637</f>
        <v>0</v>
      </c>
      <c r="P1637">
        <f>'Raw Data'!R1637</f>
        <v>0</v>
      </c>
      <c r="Q1637">
        <f>'Raw Data'!S1637</f>
        <v>0</v>
      </c>
      <c r="R1637">
        <f>'Raw Data'!T1637</f>
        <v>0</v>
      </c>
      <c r="S1637">
        <f>IFERROR(O1637,0)+IFERROR(R1637,0)</f>
        <v>0</v>
      </c>
      <c r="T1637">
        <f>IF(A1637="","",YEAR(A1637))</f>
        <v>0</v>
      </c>
    </row>
    <row r="1638" spans="1:20">
      <c r="A1638">
        <f>'Raw Data'!B1638</f>
        <v>0</v>
      </c>
      <c r="B1638">
        <f>'Raw Data'!A1638</f>
        <v>0</v>
      </c>
      <c r="C1638">
        <f>'Raw Data'!C1638</f>
        <v>0</v>
      </c>
      <c r="D1638">
        <f>'Raw Data'!D1638</f>
        <v>0</v>
      </c>
      <c r="E1638">
        <f>IFERROR(VLOOKUP(D1638,'Lookup Tables'!$A:$B,2,FALSE),"Unknown")</f>
        <v>0</v>
      </c>
      <c r="F1638">
        <f>'Raw Data'!E1638</f>
        <v>0</v>
      </c>
      <c r="G1638">
        <f>IFERROR(VLOOKUP(D1638,'Lookup Tables'!$A:$C,3,FALSE),IF(ISNUMBER(SEARCH("STEEL",F1638)),"Steel","Others"))</f>
        <v>0</v>
      </c>
      <c r="H1638">
        <f>IF(ISNUMBER(SEARCH("scrubber",F1638)) , "Scrubber", IF(ISNUMBER(SEARCH("container",F1638)),"Container", IF(ISNUMBER(SEARCH("basket",F1638)),"Basket", IF(ISNUMBER(SEARCH("lunch",F1638)),"Lunch Box", IF(ISNUMBER(SEARCH("cutlery",F1638)),"Cutlery","Other")))))</f>
        <v>0</v>
      </c>
      <c r="I1638">
        <f>IF('Raw Data'!G1638&lt;&gt;'','Raw Data'!G1638,IFERROR(MID(F1638,SEARCH("MODEL",F1638)+6,20),""))</f>
        <v>0</v>
      </c>
      <c r="J1638">
        <f>'Raw Data'!H1638</f>
        <v>0</v>
      </c>
      <c r="K1638">
        <f>'Raw Data'!I1638</f>
        <v>0</v>
      </c>
      <c r="L1638">
        <f>IF('Raw Data'!N1638&lt;&gt;0,'Raw Data'!N1638,IFERROR(VALUE(MID(F1638,SEARCH("QTY",F1638)+4,IFERROR(FIND(" ",F1638,SEARCH("QTY",F1638)+4)-(SEARCH("QTY",F1638)+4),3))),""))</f>
        <v>0</v>
      </c>
      <c r="M1638">
        <f>'Raw Data'!O1638</f>
        <v>0</v>
      </c>
      <c r="N1638">
        <f>'Raw Data'!P1638</f>
        <v>0</v>
      </c>
      <c r="O1638">
        <f>'Raw Data'!Q1638</f>
        <v>0</v>
      </c>
      <c r="P1638">
        <f>'Raw Data'!R1638</f>
        <v>0</v>
      </c>
      <c r="Q1638">
        <f>'Raw Data'!S1638</f>
        <v>0</v>
      </c>
      <c r="R1638">
        <f>'Raw Data'!T1638</f>
        <v>0</v>
      </c>
      <c r="S1638">
        <f>IFERROR(O1638,0)+IFERROR(R1638,0)</f>
        <v>0</v>
      </c>
      <c r="T1638">
        <f>IF(A1638="","",YEAR(A1638))</f>
        <v>0</v>
      </c>
    </row>
    <row r="1639" spans="1:20">
      <c r="A1639">
        <f>'Raw Data'!B1639</f>
        <v>0</v>
      </c>
      <c r="B1639">
        <f>'Raw Data'!A1639</f>
        <v>0</v>
      </c>
      <c r="C1639">
        <f>'Raw Data'!C1639</f>
        <v>0</v>
      </c>
      <c r="D1639">
        <f>'Raw Data'!D1639</f>
        <v>0</v>
      </c>
      <c r="E1639">
        <f>IFERROR(VLOOKUP(D1639,'Lookup Tables'!$A:$B,2,FALSE),"Unknown")</f>
        <v>0</v>
      </c>
      <c r="F1639">
        <f>'Raw Data'!E1639</f>
        <v>0</v>
      </c>
      <c r="G1639">
        <f>IFERROR(VLOOKUP(D1639,'Lookup Tables'!$A:$C,3,FALSE),IF(ISNUMBER(SEARCH("STEEL",F1639)),"Steel","Others"))</f>
        <v>0</v>
      </c>
      <c r="H1639">
        <f>IF(ISNUMBER(SEARCH("scrubber",F1639)) , "Scrubber", IF(ISNUMBER(SEARCH("container",F1639)),"Container", IF(ISNUMBER(SEARCH("basket",F1639)),"Basket", IF(ISNUMBER(SEARCH("lunch",F1639)),"Lunch Box", IF(ISNUMBER(SEARCH("cutlery",F1639)),"Cutlery","Other")))))</f>
        <v>0</v>
      </c>
      <c r="I1639">
        <f>IF('Raw Data'!G1639&lt;&gt;'','Raw Data'!G1639,IFERROR(MID(F1639,SEARCH("MODEL",F1639)+6,20),""))</f>
        <v>0</v>
      </c>
      <c r="J1639">
        <f>'Raw Data'!H1639</f>
        <v>0</v>
      </c>
      <c r="K1639">
        <f>'Raw Data'!I1639</f>
        <v>0</v>
      </c>
      <c r="L1639">
        <f>IF('Raw Data'!N1639&lt;&gt;0,'Raw Data'!N1639,IFERROR(VALUE(MID(F1639,SEARCH("QTY",F1639)+4,IFERROR(FIND(" ",F1639,SEARCH("QTY",F1639)+4)-(SEARCH("QTY",F1639)+4),3))),""))</f>
        <v>0</v>
      </c>
      <c r="M1639">
        <f>'Raw Data'!O1639</f>
        <v>0</v>
      </c>
      <c r="N1639">
        <f>'Raw Data'!P1639</f>
        <v>0</v>
      </c>
      <c r="O1639">
        <f>'Raw Data'!Q1639</f>
        <v>0</v>
      </c>
      <c r="P1639">
        <f>'Raw Data'!R1639</f>
        <v>0</v>
      </c>
      <c r="Q1639">
        <f>'Raw Data'!S1639</f>
        <v>0</v>
      </c>
      <c r="R1639">
        <f>'Raw Data'!T1639</f>
        <v>0</v>
      </c>
      <c r="S1639">
        <f>IFERROR(O1639,0)+IFERROR(R1639,0)</f>
        <v>0</v>
      </c>
      <c r="T1639">
        <f>IF(A1639="","",YEAR(A1639))</f>
        <v>0</v>
      </c>
    </row>
    <row r="1640" spans="1:20">
      <c r="A1640">
        <f>'Raw Data'!B1640</f>
        <v>0</v>
      </c>
      <c r="B1640">
        <f>'Raw Data'!A1640</f>
        <v>0</v>
      </c>
      <c r="C1640">
        <f>'Raw Data'!C1640</f>
        <v>0</v>
      </c>
      <c r="D1640">
        <f>'Raw Data'!D1640</f>
        <v>0</v>
      </c>
      <c r="E1640">
        <f>IFERROR(VLOOKUP(D1640,'Lookup Tables'!$A:$B,2,FALSE),"Unknown")</f>
        <v>0</v>
      </c>
      <c r="F1640">
        <f>'Raw Data'!E1640</f>
        <v>0</v>
      </c>
      <c r="G1640">
        <f>IFERROR(VLOOKUP(D1640,'Lookup Tables'!$A:$C,3,FALSE),IF(ISNUMBER(SEARCH("STEEL",F1640)),"Steel","Others"))</f>
        <v>0</v>
      </c>
      <c r="H1640">
        <f>IF(ISNUMBER(SEARCH("scrubber",F1640)) , "Scrubber", IF(ISNUMBER(SEARCH("container",F1640)),"Container", IF(ISNUMBER(SEARCH("basket",F1640)),"Basket", IF(ISNUMBER(SEARCH("lunch",F1640)),"Lunch Box", IF(ISNUMBER(SEARCH("cutlery",F1640)),"Cutlery","Other")))))</f>
        <v>0</v>
      </c>
      <c r="I1640">
        <f>IF('Raw Data'!G1640&lt;&gt;'','Raw Data'!G1640,IFERROR(MID(F1640,SEARCH("MODEL",F1640)+6,20),""))</f>
        <v>0</v>
      </c>
      <c r="J1640">
        <f>'Raw Data'!H1640</f>
        <v>0</v>
      </c>
      <c r="K1640">
        <f>'Raw Data'!I1640</f>
        <v>0</v>
      </c>
      <c r="L1640">
        <f>IF('Raw Data'!N1640&lt;&gt;0,'Raw Data'!N1640,IFERROR(VALUE(MID(F1640,SEARCH("QTY",F1640)+4,IFERROR(FIND(" ",F1640,SEARCH("QTY",F1640)+4)-(SEARCH("QTY",F1640)+4),3))),""))</f>
        <v>0</v>
      </c>
      <c r="M1640">
        <f>'Raw Data'!O1640</f>
        <v>0</v>
      </c>
      <c r="N1640">
        <f>'Raw Data'!P1640</f>
        <v>0</v>
      </c>
      <c r="O1640">
        <f>'Raw Data'!Q1640</f>
        <v>0</v>
      </c>
      <c r="P1640">
        <f>'Raw Data'!R1640</f>
        <v>0</v>
      </c>
      <c r="Q1640">
        <f>'Raw Data'!S1640</f>
        <v>0</v>
      </c>
      <c r="R1640">
        <f>'Raw Data'!T1640</f>
        <v>0</v>
      </c>
      <c r="S1640">
        <f>IFERROR(O1640,0)+IFERROR(R1640,0)</f>
        <v>0</v>
      </c>
      <c r="T1640">
        <f>IF(A1640="","",YEAR(A1640))</f>
        <v>0</v>
      </c>
    </row>
    <row r="1641" spans="1:20">
      <c r="A1641">
        <f>'Raw Data'!B1641</f>
        <v>0</v>
      </c>
      <c r="B1641">
        <f>'Raw Data'!A1641</f>
        <v>0</v>
      </c>
      <c r="C1641">
        <f>'Raw Data'!C1641</f>
        <v>0</v>
      </c>
      <c r="D1641">
        <f>'Raw Data'!D1641</f>
        <v>0</v>
      </c>
      <c r="E1641">
        <f>IFERROR(VLOOKUP(D1641,'Lookup Tables'!$A:$B,2,FALSE),"Unknown")</f>
        <v>0</v>
      </c>
      <c r="F1641">
        <f>'Raw Data'!E1641</f>
        <v>0</v>
      </c>
      <c r="G1641">
        <f>IFERROR(VLOOKUP(D1641,'Lookup Tables'!$A:$C,3,FALSE),IF(ISNUMBER(SEARCH("STEEL",F1641)),"Steel","Others"))</f>
        <v>0</v>
      </c>
      <c r="H1641">
        <f>IF(ISNUMBER(SEARCH("scrubber",F1641)) , "Scrubber", IF(ISNUMBER(SEARCH("container",F1641)),"Container", IF(ISNUMBER(SEARCH("basket",F1641)),"Basket", IF(ISNUMBER(SEARCH("lunch",F1641)),"Lunch Box", IF(ISNUMBER(SEARCH("cutlery",F1641)),"Cutlery","Other")))))</f>
        <v>0</v>
      </c>
      <c r="I1641">
        <f>IF('Raw Data'!G1641&lt;&gt;'','Raw Data'!G1641,IFERROR(MID(F1641,SEARCH("MODEL",F1641)+6,20),""))</f>
        <v>0</v>
      </c>
      <c r="J1641">
        <f>'Raw Data'!H1641</f>
        <v>0</v>
      </c>
      <c r="K1641">
        <f>'Raw Data'!I1641</f>
        <v>0</v>
      </c>
      <c r="L1641">
        <f>IF('Raw Data'!N1641&lt;&gt;0,'Raw Data'!N1641,IFERROR(VALUE(MID(F1641,SEARCH("QTY",F1641)+4,IFERROR(FIND(" ",F1641,SEARCH("QTY",F1641)+4)-(SEARCH("QTY",F1641)+4),3))),""))</f>
        <v>0</v>
      </c>
      <c r="M1641">
        <f>'Raw Data'!O1641</f>
        <v>0</v>
      </c>
      <c r="N1641">
        <f>'Raw Data'!P1641</f>
        <v>0</v>
      </c>
      <c r="O1641">
        <f>'Raw Data'!Q1641</f>
        <v>0</v>
      </c>
      <c r="P1641">
        <f>'Raw Data'!R1641</f>
        <v>0</v>
      </c>
      <c r="Q1641">
        <f>'Raw Data'!S1641</f>
        <v>0</v>
      </c>
      <c r="R1641">
        <f>'Raw Data'!T1641</f>
        <v>0</v>
      </c>
      <c r="S1641">
        <f>IFERROR(O1641,0)+IFERROR(R1641,0)</f>
        <v>0</v>
      </c>
      <c r="T1641">
        <f>IF(A1641="","",YEAR(A1641))</f>
        <v>0</v>
      </c>
    </row>
    <row r="1642" spans="1:20">
      <c r="A1642">
        <f>'Raw Data'!B1642</f>
        <v>0</v>
      </c>
      <c r="B1642">
        <f>'Raw Data'!A1642</f>
        <v>0</v>
      </c>
      <c r="C1642">
        <f>'Raw Data'!C1642</f>
        <v>0</v>
      </c>
      <c r="D1642">
        <f>'Raw Data'!D1642</f>
        <v>0</v>
      </c>
      <c r="E1642">
        <f>IFERROR(VLOOKUP(D1642,'Lookup Tables'!$A:$B,2,FALSE),"Unknown")</f>
        <v>0</v>
      </c>
      <c r="F1642">
        <f>'Raw Data'!E1642</f>
        <v>0</v>
      </c>
      <c r="G1642">
        <f>IFERROR(VLOOKUP(D1642,'Lookup Tables'!$A:$C,3,FALSE),IF(ISNUMBER(SEARCH("STEEL",F1642)),"Steel","Others"))</f>
        <v>0</v>
      </c>
      <c r="H1642">
        <f>IF(ISNUMBER(SEARCH("scrubber",F1642)) , "Scrubber", IF(ISNUMBER(SEARCH("container",F1642)),"Container", IF(ISNUMBER(SEARCH("basket",F1642)),"Basket", IF(ISNUMBER(SEARCH("lunch",F1642)),"Lunch Box", IF(ISNUMBER(SEARCH("cutlery",F1642)),"Cutlery","Other")))))</f>
        <v>0</v>
      </c>
      <c r="I1642">
        <f>IF('Raw Data'!G1642&lt;&gt;'','Raw Data'!G1642,IFERROR(MID(F1642,SEARCH("MODEL",F1642)+6,20),""))</f>
        <v>0</v>
      </c>
      <c r="J1642">
        <f>'Raw Data'!H1642</f>
        <v>0</v>
      </c>
      <c r="K1642">
        <f>'Raw Data'!I1642</f>
        <v>0</v>
      </c>
      <c r="L1642">
        <f>IF('Raw Data'!N1642&lt;&gt;0,'Raw Data'!N1642,IFERROR(VALUE(MID(F1642,SEARCH("QTY",F1642)+4,IFERROR(FIND(" ",F1642,SEARCH("QTY",F1642)+4)-(SEARCH("QTY",F1642)+4),3))),""))</f>
        <v>0</v>
      </c>
      <c r="M1642">
        <f>'Raw Data'!O1642</f>
        <v>0</v>
      </c>
      <c r="N1642">
        <f>'Raw Data'!P1642</f>
        <v>0</v>
      </c>
      <c r="O1642">
        <f>'Raw Data'!Q1642</f>
        <v>0</v>
      </c>
      <c r="P1642">
        <f>'Raw Data'!R1642</f>
        <v>0</v>
      </c>
      <c r="Q1642">
        <f>'Raw Data'!S1642</f>
        <v>0</v>
      </c>
      <c r="R1642">
        <f>'Raw Data'!T1642</f>
        <v>0</v>
      </c>
      <c r="S1642">
        <f>IFERROR(O1642,0)+IFERROR(R1642,0)</f>
        <v>0</v>
      </c>
      <c r="T1642">
        <f>IF(A1642="","",YEAR(A1642))</f>
        <v>0</v>
      </c>
    </row>
    <row r="1643" spans="1:20">
      <c r="A1643">
        <f>'Raw Data'!B1643</f>
        <v>0</v>
      </c>
      <c r="B1643">
        <f>'Raw Data'!A1643</f>
        <v>0</v>
      </c>
      <c r="C1643">
        <f>'Raw Data'!C1643</f>
        <v>0</v>
      </c>
      <c r="D1643">
        <f>'Raw Data'!D1643</f>
        <v>0</v>
      </c>
      <c r="E1643">
        <f>IFERROR(VLOOKUP(D1643,'Lookup Tables'!$A:$B,2,FALSE),"Unknown")</f>
        <v>0</v>
      </c>
      <c r="F1643">
        <f>'Raw Data'!E1643</f>
        <v>0</v>
      </c>
      <c r="G1643">
        <f>IFERROR(VLOOKUP(D1643,'Lookup Tables'!$A:$C,3,FALSE),IF(ISNUMBER(SEARCH("STEEL",F1643)),"Steel","Others"))</f>
        <v>0</v>
      </c>
      <c r="H1643">
        <f>IF(ISNUMBER(SEARCH("scrubber",F1643)) , "Scrubber", IF(ISNUMBER(SEARCH("container",F1643)),"Container", IF(ISNUMBER(SEARCH("basket",F1643)),"Basket", IF(ISNUMBER(SEARCH("lunch",F1643)),"Lunch Box", IF(ISNUMBER(SEARCH("cutlery",F1643)),"Cutlery","Other")))))</f>
        <v>0</v>
      </c>
      <c r="I1643">
        <f>IF('Raw Data'!G1643&lt;&gt;'','Raw Data'!G1643,IFERROR(MID(F1643,SEARCH("MODEL",F1643)+6,20),""))</f>
        <v>0</v>
      </c>
      <c r="J1643">
        <f>'Raw Data'!H1643</f>
        <v>0</v>
      </c>
      <c r="K1643">
        <f>'Raw Data'!I1643</f>
        <v>0</v>
      </c>
      <c r="L1643">
        <f>IF('Raw Data'!N1643&lt;&gt;0,'Raw Data'!N1643,IFERROR(VALUE(MID(F1643,SEARCH("QTY",F1643)+4,IFERROR(FIND(" ",F1643,SEARCH("QTY",F1643)+4)-(SEARCH("QTY",F1643)+4),3))),""))</f>
        <v>0</v>
      </c>
      <c r="M1643">
        <f>'Raw Data'!O1643</f>
        <v>0</v>
      </c>
      <c r="N1643">
        <f>'Raw Data'!P1643</f>
        <v>0</v>
      </c>
      <c r="O1643">
        <f>'Raw Data'!Q1643</f>
        <v>0</v>
      </c>
      <c r="P1643">
        <f>'Raw Data'!R1643</f>
        <v>0</v>
      </c>
      <c r="Q1643">
        <f>'Raw Data'!S1643</f>
        <v>0</v>
      </c>
      <c r="R1643">
        <f>'Raw Data'!T1643</f>
        <v>0</v>
      </c>
      <c r="S1643">
        <f>IFERROR(O1643,0)+IFERROR(R1643,0)</f>
        <v>0</v>
      </c>
      <c r="T1643">
        <f>IF(A1643="","",YEAR(A1643))</f>
        <v>0</v>
      </c>
    </row>
    <row r="1644" spans="1:20">
      <c r="A1644">
        <f>'Raw Data'!B1644</f>
        <v>0</v>
      </c>
      <c r="B1644">
        <f>'Raw Data'!A1644</f>
        <v>0</v>
      </c>
      <c r="C1644">
        <f>'Raw Data'!C1644</f>
        <v>0</v>
      </c>
      <c r="D1644">
        <f>'Raw Data'!D1644</f>
        <v>0</v>
      </c>
      <c r="E1644">
        <f>IFERROR(VLOOKUP(D1644,'Lookup Tables'!$A:$B,2,FALSE),"Unknown")</f>
        <v>0</v>
      </c>
      <c r="F1644">
        <f>'Raw Data'!E1644</f>
        <v>0</v>
      </c>
      <c r="G1644">
        <f>IFERROR(VLOOKUP(D1644,'Lookup Tables'!$A:$C,3,FALSE),IF(ISNUMBER(SEARCH("STEEL",F1644)),"Steel","Others"))</f>
        <v>0</v>
      </c>
      <c r="H1644">
        <f>IF(ISNUMBER(SEARCH("scrubber",F1644)) , "Scrubber", IF(ISNUMBER(SEARCH("container",F1644)),"Container", IF(ISNUMBER(SEARCH("basket",F1644)),"Basket", IF(ISNUMBER(SEARCH("lunch",F1644)),"Lunch Box", IF(ISNUMBER(SEARCH("cutlery",F1644)),"Cutlery","Other")))))</f>
        <v>0</v>
      </c>
      <c r="I1644">
        <f>IF('Raw Data'!G1644&lt;&gt;'','Raw Data'!G1644,IFERROR(MID(F1644,SEARCH("MODEL",F1644)+6,20),""))</f>
        <v>0</v>
      </c>
      <c r="J1644">
        <f>'Raw Data'!H1644</f>
        <v>0</v>
      </c>
      <c r="K1644">
        <f>'Raw Data'!I1644</f>
        <v>0</v>
      </c>
      <c r="L1644">
        <f>IF('Raw Data'!N1644&lt;&gt;0,'Raw Data'!N1644,IFERROR(VALUE(MID(F1644,SEARCH("QTY",F1644)+4,IFERROR(FIND(" ",F1644,SEARCH("QTY",F1644)+4)-(SEARCH("QTY",F1644)+4),3))),""))</f>
        <v>0</v>
      </c>
      <c r="M1644">
        <f>'Raw Data'!O1644</f>
        <v>0</v>
      </c>
      <c r="N1644">
        <f>'Raw Data'!P1644</f>
        <v>0</v>
      </c>
      <c r="O1644">
        <f>'Raw Data'!Q1644</f>
        <v>0</v>
      </c>
      <c r="P1644">
        <f>'Raw Data'!R1644</f>
        <v>0</v>
      </c>
      <c r="Q1644">
        <f>'Raw Data'!S1644</f>
        <v>0</v>
      </c>
      <c r="R1644">
        <f>'Raw Data'!T1644</f>
        <v>0</v>
      </c>
      <c r="S1644">
        <f>IFERROR(O1644,0)+IFERROR(R1644,0)</f>
        <v>0</v>
      </c>
      <c r="T1644">
        <f>IF(A1644="","",YEAR(A1644))</f>
        <v>0</v>
      </c>
    </row>
    <row r="1645" spans="1:20">
      <c r="A1645">
        <f>'Raw Data'!B1645</f>
        <v>0</v>
      </c>
      <c r="B1645">
        <f>'Raw Data'!A1645</f>
        <v>0</v>
      </c>
      <c r="C1645">
        <f>'Raw Data'!C1645</f>
        <v>0</v>
      </c>
      <c r="D1645">
        <f>'Raw Data'!D1645</f>
        <v>0</v>
      </c>
      <c r="E1645">
        <f>IFERROR(VLOOKUP(D1645,'Lookup Tables'!$A:$B,2,FALSE),"Unknown")</f>
        <v>0</v>
      </c>
      <c r="F1645">
        <f>'Raw Data'!E1645</f>
        <v>0</v>
      </c>
      <c r="G1645">
        <f>IFERROR(VLOOKUP(D1645,'Lookup Tables'!$A:$C,3,FALSE),IF(ISNUMBER(SEARCH("STEEL",F1645)),"Steel","Others"))</f>
        <v>0</v>
      </c>
      <c r="H1645">
        <f>IF(ISNUMBER(SEARCH("scrubber",F1645)) , "Scrubber", IF(ISNUMBER(SEARCH("container",F1645)),"Container", IF(ISNUMBER(SEARCH("basket",F1645)),"Basket", IF(ISNUMBER(SEARCH("lunch",F1645)),"Lunch Box", IF(ISNUMBER(SEARCH("cutlery",F1645)),"Cutlery","Other")))))</f>
        <v>0</v>
      </c>
      <c r="I1645">
        <f>IF('Raw Data'!G1645&lt;&gt;'','Raw Data'!G1645,IFERROR(MID(F1645,SEARCH("MODEL",F1645)+6,20),""))</f>
        <v>0</v>
      </c>
      <c r="J1645">
        <f>'Raw Data'!H1645</f>
        <v>0</v>
      </c>
      <c r="K1645">
        <f>'Raw Data'!I1645</f>
        <v>0</v>
      </c>
      <c r="L1645">
        <f>IF('Raw Data'!N1645&lt;&gt;0,'Raw Data'!N1645,IFERROR(VALUE(MID(F1645,SEARCH("QTY",F1645)+4,IFERROR(FIND(" ",F1645,SEARCH("QTY",F1645)+4)-(SEARCH("QTY",F1645)+4),3))),""))</f>
        <v>0</v>
      </c>
      <c r="M1645">
        <f>'Raw Data'!O1645</f>
        <v>0</v>
      </c>
      <c r="N1645">
        <f>'Raw Data'!P1645</f>
        <v>0</v>
      </c>
      <c r="O1645">
        <f>'Raw Data'!Q1645</f>
        <v>0</v>
      </c>
      <c r="P1645">
        <f>'Raw Data'!R1645</f>
        <v>0</v>
      </c>
      <c r="Q1645">
        <f>'Raw Data'!S1645</f>
        <v>0</v>
      </c>
      <c r="R1645">
        <f>'Raw Data'!T1645</f>
        <v>0</v>
      </c>
      <c r="S1645">
        <f>IFERROR(O1645,0)+IFERROR(R1645,0)</f>
        <v>0</v>
      </c>
      <c r="T1645">
        <f>IF(A1645="","",YEAR(A1645))</f>
        <v>0</v>
      </c>
    </row>
    <row r="1646" spans="1:20">
      <c r="A1646">
        <f>'Raw Data'!B1646</f>
        <v>0</v>
      </c>
      <c r="B1646">
        <f>'Raw Data'!A1646</f>
        <v>0</v>
      </c>
      <c r="C1646">
        <f>'Raw Data'!C1646</f>
        <v>0</v>
      </c>
      <c r="D1646">
        <f>'Raw Data'!D1646</f>
        <v>0</v>
      </c>
      <c r="E1646">
        <f>IFERROR(VLOOKUP(D1646,'Lookup Tables'!$A:$B,2,FALSE),"Unknown")</f>
        <v>0</v>
      </c>
      <c r="F1646">
        <f>'Raw Data'!E1646</f>
        <v>0</v>
      </c>
      <c r="G1646">
        <f>IFERROR(VLOOKUP(D1646,'Lookup Tables'!$A:$C,3,FALSE),IF(ISNUMBER(SEARCH("STEEL",F1646)),"Steel","Others"))</f>
        <v>0</v>
      </c>
      <c r="H1646">
        <f>IF(ISNUMBER(SEARCH("scrubber",F1646)) , "Scrubber", IF(ISNUMBER(SEARCH("container",F1646)),"Container", IF(ISNUMBER(SEARCH("basket",F1646)),"Basket", IF(ISNUMBER(SEARCH("lunch",F1646)),"Lunch Box", IF(ISNUMBER(SEARCH("cutlery",F1646)),"Cutlery","Other")))))</f>
        <v>0</v>
      </c>
      <c r="I1646">
        <f>IF('Raw Data'!G1646&lt;&gt;'','Raw Data'!G1646,IFERROR(MID(F1646,SEARCH("MODEL",F1646)+6,20),""))</f>
        <v>0</v>
      </c>
      <c r="J1646">
        <f>'Raw Data'!H1646</f>
        <v>0</v>
      </c>
      <c r="K1646">
        <f>'Raw Data'!I1646</f>
        <v>0</v>
      </c>
      <c r="L1646">
        <f>IF('Raw Data'!N1646&lt;&gt;0,'Raw Data'!N1646,IFERROR(VALUE(MID(F1646,SEARCH("QTY",F1646)+4,IFERROR(FIND(" ",F1646,SEARCH("QTY",F1646)+4)-(SEARCH("QTY",F1646)+4),3))),""))</f>
        <v>0</v>
      </c>
      <c r="M1646">
        <f>'Raw Data'!O1646</f>
        <v>0</v>
      </c>
      <c r="N1646">
        <f>'Raw Data'!P1646</f>
        <v>0</v>
      </c>
      <c r="O1646">
        <f>'Raw Data'!Q1646</f>
        <v>0</v>
      </c>
      <c r="P1646">
        <f>'Raw Data'!R1646</f>
        <v>0</v>
      </c>
      <c r="Q1646">
        <f>'Raw Data'!S1646</f>
        <v>0</v>
      </c>
      <c r="R1646">
        <f>'Raw Data'!T1646</f>
        <v>0</v>
      </c>
      <c r="S1646">
        <f>IFERROR(O1646,0)+IFERROR(R1646,0)</f>
        <v>0</v>
      </c>
      <c r="T1646">
        <f>IF(A1646="","",YEAR(A1646))</f>
        <v>0</v>
      </c>
    </row>
    <row r="1647" spans="1:20">
      <c r="A1647">
        <f>'Raw Data'!B1647</f>
        <v>0</v>
      </c>
      <c r="B1647">
        <f>'Raw Data'!A1647</f>
        <v>0</v>
      </c>
      <c r="C1647">
        <f>'Raw Data'!C1647</f>
        <v>0</v>
      </c>
      <c r="D1647">
        <f>'Raw Data'!D1647</f>
        <v>0</v>
      </c>
      <c r="E1647">
        <f>IFERROR(VLOOKUP(D1647,'Lookup Tables'!$A:$B,2,FALSE),"Unknown")</f>
        <v>0</v>
      </c>
      <c r="F1647">
        <f>'Raw Data'!E1647</f>
        <v>0</v>
      </c>
      <c r="G1647">
        <f>IFERROR(VLOOKUP(D1647,'Lookup Tables'!$A:$C,3,FALSE),IF(ISNUMBER(SEARCH("STEEL",F1647)),"Steel","Others"))</f>
        <v>0</v>
      </c>
      <c r="H1647">
        <f>IF(ISNUMBER(SEARCH("scrubber",F1647)) , "Scrubber", IF(ISNUMBER(SEARCH("container",F1647)),"Container", IF(ISNUMBER(SEARCH("basket",F1647)),"Basket", IF(ISNUMBER(SEARCH("lunch",F1647)),"Lunch Box", IF(ISNUMBER(SEARCH("cutlery",F1647)),"Cutlery","Other")))))</f>
        <v>0</v>
      </c>
      <c r="I1647">
        <f>IF('Raw Data'!G1647&lt;&gt;'','Raw Data'!G1647,IFERROR(MID(F1647,SEARCH("MODEL",F1647)+6,20),""))</f>
        <v>0</v>
      </c>
      <c r="J1647">
        <f>'Raw Data'!H1647</f>
        <v>0</v>
      </c>
      <c r="K1647">
        <f>'Raw Data'!I1647</f>
        <v>0</v>
      </c>
      <c r="L1647">
        <f>IF('Raw Data'!N1647&lt;&gt;0,'Raw Data'!N1647,IFERROR(VALUE(MID(F1647,SEARCH("QTY",F1647)+4,IFERROR(FIND(" ",F1647,SEARCH("QTY",F1647)+4)-(SEARCH("QTY",F1647)+4),3))),""))</f>
        <v>0</v>
      </c>
      <c r="M1647">
        <f>'Raw Data'!O1647</f>
        <v>0</v>
      </c>
      <c r="N1647">
        <f>'Raw Data'!P1647</f>
        <v>0</v>
      </c>
      <c r="O1647">
        <f>'Raw Data'!Q1647</f>
        <v>0</v>
      </c>
      <c r="P1647">
        <f>'Raw Data'!R1647</f>
        <v>0</v>
      </c>
      <c r="Q1647">
        <f>'Raw Data'!S1647</f>
        <v>0</v>
      </c>
      <c r="R1647">
        <f>'Raw Data'!T1647</f>
        <v>0</v>
      </c>
      <c r="S1647">
        <f>IFERROR(O1647,0)+IFERROR(R1647,0)</f>
        <v>0</v>
      </c>
      <c r="T1647">
        <f>IF(A1647="","",YEAR(A1647))</f>
        <v>0</v>
      </c>
    </row>
    <row r="1648" spans="1:20">
      <c r="A1648">
        <f>'Raw Data'!B1648</f>
        <v>0</v>
      </c>
      <c r="B1648">
        <f>'Raw Data'!A1648</f>
        <v>0</v>
      </c>
      <c r="C1648">
        <f>'Raw Data'!C1648</f>
        <v>0</v>
      </c>
      <c r="D1648">
        <f>'Raw Data'!D1648</f>
        <v>0</v>
      </c>
      <c r="E1648">
        <f>IFERROR(VLOOKUP(D1648,'Lookup Tables'!$A:$B,2,FALSE),"Unknown")</f>
        <v>0</v>
      </c>
      <c r="F1648">
        <f>'Raw Data'!E1648</f>
        <v>0</v>
      </c>
      <c r="G1648">
        <f>IFERROR(VLOOKUP(D1648,'Lookup Tables'!$A:$C,3,FALSE),IF(ISNUMBER(SEARCH("STEEL",F1648)),"Steel","Others"))</f>
        <v>0</v>
      </c>
      <c r="H1648">
        <f>IF(ISNUMBER(SEARCH("scrubber",F1648)) , "Scrubber", IF(ISNUMBER(SEARCH("container",F1648)),"Container", IF(ISNUMBER(SEARCH("basket",F1648)),"Basket", IF(ISNUMBER(SEARCH("lunch",F1648)),"Lunch Box", IF(ISNUMBER(SEARCH("cutlery",F1648)),"Cutlery","Other")))))</f>
        <v>0</v>
      </c>
      <c r="I1648">
        <f>IF('Raw Data'!G1648&lt;&gt;'','Raw Data'!G1648,IFERROR(MID(F1648,SEARCH("MODEL",F1648)+6,20),""))</f>
        <v>0</v>
      </c>
      <c r="J1648">
        <f>'Raw Data'!H1648</f>
        <v>0</v>
      </c>
      <c r="K1648">
        <f>'Raw Data'!I1648</f>
        <v>0</v>
      </c>
      <c r="L1648">
        <f>IF('Raw Data'!N1648&lt;&gt;0,'Raw Data'!N1648,IFERROR(VALUE(MID(F1648,SEARCH("QTY",F1648)+4,IFERROR(FIND(" ",F1648,SEARCH("QTY",F1648)+4)-(SEARCH("QTY",F1648)+4),3))),""))</f>
        <v>0</v>
      </c>
      <c r="M1648">
        <f>'Raw Data'!O1648</f>
        <v>0</v>
      </c>
      <c r="N1648">
        <f>'Raw Data'!P1648</f>
        <v>0</v>
      </c>
      <c r="O1648">
        <f>'Raw Data'!Q1648</f>
        <v>0</v>
      </c>
      <c r="P1648">
        <f>'Raw Data'!R1648</f>
        <v>0</v>
      </c>
      <c r="Q1648">
        <f>'Raw Data'!S1648</f>
        <v>0</v>
      </c>
      <c r="R1648">
        <f>'Raw Data'!T1648</f>
        <v>0</v>
      </c>
      <c r="S1648">
        <f>IFERROR(O1648,0)+IFERROR(R1648,0)</f>
        <v>0</v>
      </c>
      <c r="T1648">
        <f>IF(A1648="","",YEAR(A1648))</f>
        <v>0</v>
      </c>
    </row>
    <row r="1649" spans="1:20">
      <c r="A1649">
        <f>'Raw Data'!B1649</f>
        <v>0</v>
      </c>
      <c r="B1649">
        <f>'Raw Data'!A1649</f>
        <v>0</v>
      </c>
      <c r="C1649">
        <f>'Raw Data'!C1649</f>
        <v>0</v>
      </c>
      <c r="D1649">
        <f>'Raw Data'!D1649</f>
        <v>0</v>
      </c>
      <c r="E1649">
        <f>IFERROR(VLOOKUP(D1649,'Lookup Tables'!$A:$B,2,FALSE),"Unknown")</f>
        <v>0</v>
      </c>
      <c r="F1649">
        <f>'Raw Data'!E1649</f>
        <v>0</v>
      </c>
      <c r="G1649">
        <f>IFERROR(VLOOKUP(D1649,'Lookup Tables'!$A:$C,3,FALSE),IF(ISNUMBER(SEARCH("STEEL",F1649)),"Steel","Others"))</f>
        <v>0</v>
      </c>
      <c r="H1649">
        <f>IF(ISNUMBER(SEARCH("scrubber",F1649)) , "Scrubber", IF(ISNUMBER(SEARCH("container",F1649)),"Container", IF(ISNUMBER(SEARCH("basket",F1649)),"Basket", IF(ISNUMBER(SEARCH("lunch",F1649)),"Lunch Box", IF(ISNUMBER(SEARCH("cutlery",F1649)),"Cutlery","Other")))))</f>
        <v>0</v>
      </c>
      <c r="I1649">
        <f>IF('Raw Data'!G1649&lt;&gt;'','Raw Data'!G1649,IFERROR(MID(F1649,SEARCH("MODEL",F1649)+6,20),""))</f>
        <v>0</v>
      </c>
      <c r="J1649">
        <f>'Raw Data'!H1649</f>
        <v>0</v>
      </c>
      <c r="K1649">
        <f>'Raw Data'!I1649</f>
        <v>0</v>
      </c>
      <c r="L1649">
        <f>IF('Raw Data'!N1649&lt;&gt;0,'Raw Data'!N1649,IFERROR(VALUE(MID(F1649,SEARCH("QTY",F1649)+4,IFERROR(FIND(" ",F1649,SEARCH("QTY",F1649)+4)-(SEARCH("QTY",F1649)+4),3))),""))</f>
        <v>0</v>
      </c>
      <c r="M1649">
        <f>'Raw Data'!O1649</f>
        <v>0</v>
      </c>
      <c r="N1649">
        <f>'Raw Data'!P1649</f>
        <v>0</v>
      </c>
      <c r="O1649">
        <f>'Raw Data'!Q1649</f>
        <v>0</v>
      </c>
      <c r="P1649">
        <f>'Raw Data'!R1649</f>
        <v>0</v>
      </c>
      <c r="Q1649">
        <f>'Raw Data'!S1649</f>
        <v>0</v>
      </c>
      <c r="R1649">
        <f>'Raw Data'!T1649</f>
        <v>0</v>
      </c>
      <c r="S1649">
        <f>IFERROR(O1649,0)+IFERROR(R1649,0)</f>
        <v>0</v>
      </c>
      <c r="T1649">
        <f>IF(A1649="","",YEAR(A1649))</f>
        <v>0</v>
      </c>
    </row>
    <row r="1650" spans="1:20">
      <c r="A1650">
        <f>'Raw Data'!B1650</f>
        <v>0</v>
      </c>
      <c r="B1650">
        <f>'Raw Data'!A1650</f>
        <v>0</v>
      </c>
      <c r="C1650">
        <f>'Raw Data'!C1650</f>
        <v>0</v>
      </c>
      <c r="D1650">
        <f>'Raw Data'!D1650</f>
        <v>0</v>
      </c>
      <c r="E1650">
        <f>IFERROR(VLOOKUP(D1650,'Lookup Tables'!$A:$B,2,FALSE),"Unknown")</f>
        <v>0</v>
      </c>
      <c r="F1650">
        <f>'Raw Data'!E1650</f>
        <v>0</v>
      </c>
      <c r="G1650">
        <f>IFERROR(VLOOKUP(D1650,'Lookup Tables'!$A:$C,3,FALSE),IF(ISNUMBER(SEARCH("STEEL",F1650)),"Steel","Others"))</f>
        <v>0</v>
      </c>
      <c r="H1650">
        <f>IF(ISNUMBER(SEARCH("scrubber",F1650)) , "Scrubber", IF(ISNUMBER(SEARCH("container",F1650)),"Container", IF(ISNUMBER(SEARCH("basket",F1650)),"Basket", IF(ISNUMBER(SEARCH("lunch",F1650)),"Lunch Box", IF(ISNUMBER(SEARCH("cutlery",F1650)),"Cutlery","Other")))))</f>
        <v>0</v>
      </c>
      <c r="I1650">
        <f>IF('Raw Data'!G1650&lt;&gt;'','Raw Data'!G1650,IFERROR(MID(F1650,SEARCH("MODEL",F1650)+6,20),""))</f>
        <v>0</v>
      </c>
      <c r="J1650">
        <f>'Raw Data'!H1650</f>
        <v>0</v>
      </c>
      <c r="K1650">
        <f>'Raw Data'!I1650</f>
        <v>0</v>
      </c>
      <c r="L1650">
        <f>IF('Raw Data'!N1650&lt;&gt;0,'Raw Data'!N1650,IFERROR(VALUE(MID(F1650,SEARCH("QTY",F1650)+4,IFERROR(FIND(" ",F1650,SEARCH("QTY",F1650)+4)-(SEARCH("QTY",F1650)+4),3))),""))</f>
        <v>0</v>
      </c>
      <c r="M1650">
        <f>'Raw Data'!O1650</f>
        <v>0</v>
      </c>
      <c r="N1650">
        <f>'Raw Data'!P1650</f>
        <v>0</v>
      </c>
      <c r="O1650">
        <f>'Raw Data'!Q1650</f>
        <v>0</v>
      </c>
      <c r="P1650">
        <f>'Raw Data'!R1650</f>
        <v>0</v>
      </c>
      <c r="Q1650">
        <f>'Raw Data'!S1650</f>
        <v>0</v>
      </c>
      <c r="R1650">
        <f>'Raw Data'!T1650</f>
        <v>0</v>
      </c>
      <c r="S1650">
        <f>IFERROR(O1650,0)+IFERROR(R1650,0)</f>
        <v>0</v>
      </c>
      <c r="T1650">
        <f>IF(A1650="","",YEAR(A1650))</f>
        <v>0</v>
      </c>
    </row>
    <row r="1651" spans="1:20">
      <c r="A1651">
        <f>'Raw Data'!B1651</f>
        <v>0</v>
      </c>
      <c r="B1651">
        <f>'Raw Data'!A1651</f>
        <v>0</v>
      </c>
      <c r="C1651">
        <f>'Raw Data'!C1651</f>
        <v>0</v>
      </c>
      <c r="D1651">
        <f>'Raw Data'!D1651</f>
        <v>0</v>
      </c>
      <c r="E1651">
        <f>IFERROR(VLOOKUP(D1651,'Lookup Tables'!$A:$B,2,FALSE),"Unknown")</f>
        <v>0</v>
      </c>
      <c r="F1651">
        <f>'Raw Data'!E1651</f>
        <v>0</v>
      </c>
      <c r="G1651">
        <f>IFERROR(VLOOKUP(D1651,'Lookup Tables'!$A:$C,3,FALSE),IF(ISNUMBER(SEARCH("STEEL",F1651)),"Steel","Others"))</f>
        <v>0</v>
      </c>
      <c r="H1651">
        <f>IF(ISNUMBER(SEARCH("scrubber",F1651)) , "Scrubber", IF(ISNUMBER(SEARCH("container",F1651)),"Container", IF(ISNUMBER(SEARCH("basket",F1651)),"Basket", IF(ISNUMBER(SEARCH("lunch",F1651)),"Lunch Box", IF(ISNUMBER(SEARCH("cutlery",F1651)),"Cutlery","Other")))))</f>
        <v>0</v>
      </c>
      <c r="I1651">
        <f>IF('Raw Data'!G1651&lt;&gt;'','Raw Data'!G1651,IFERROR(MID(F1651,SEARCH("MODEL",F1651)+6,20),""))</f>
        <v>0</v>
      </c>
      <c r="J1651">
        <f>'Raw Data'!H1651</f>
        <v>0</v>
      </c>
      <c r="K1651">
        <f>'Raw Data'!I1651</f>
        <v>0</v>
      </c>
      <c r="L1651">
        <f>IF('Raw Data'!N1651&lt;&gt;0,'Raw Data'!N1651,IFERROR(VALUE(MID(F1651,SEARCH("QTY",F1651)+4,IFERROR(FIND(" ",F1651,SEARCH("QTY",F1651)+4)-(SEARCH("QTY",F1651)+4),3))),""))</f>
        <v>0</v>
      </c>
      <c r="M1651">
        <f>'Raw Data'!O1651</f>
        <v>0</v>
      </c>
      <c r="N1651">
        <f>'Raw Data'!P1651</f>
        <v>0</v>
      </c>
      <c r="O1651">
        <f>'Raw Data'!Q1651</f>
        <v>0</v>
      </c>
      <c r="P1651">
        <f>'Raw Data'!R1651</f>
        <v>0</v>
      </c>
      <c r="Q1651">
        <f>'Raw Data'!S1651</f>
        <v>0</v>
      </c>
      <c r="R1651">
        <f>'Raw Data'!T1651</f>
        <v>0</v>
      </c>
      <c r="S1651">
        <f>IFERROR(O1651,0)+IFERROR(R1651,0)</f>
        <v>0</v>
      </c>
      <c r="T1651">
        <f>IF(A1651="","",YEAR(A1651))</f>
        <v>0</v>
      </c>
    </row>
    <row r="1652" spans="1:20">
      <c r="A1652">
        <f>'Raw Data'!B1652</f>
        <v>0</v>
      </c>
      <c r="B1652">
        <f>'Raw Data'!A1652</f>
        <v>0</v>
      </c>
      <c r="C1652">
        <f>'Raw Data'!C1652</f>
        <v>0</v>
      </c>
      <c r="D1652">
        <f>'Raw Data'!D1652</f>
        <v>0</v>
      </c>
      <c r="E1652">
        <f>IFERROR(VLOOKUP(D1652,'Lookup Tables'!$A:$B,2,FALSE),"Unknown")</f>
        <v>0</v>
      </c>
      <c r="F1652">
        <f>'Raw Data'!E1652</f>
        <v>0</v>
      </c>
      <c r="G1652">
        <f>IFERROR(VLOOKUP(D1652,'Lookup Tables'!$A:$C,3,FALSE),IF(ISNUMBER(SEARCH("STEEL",F1652)),"Steel","Others"))</f>
        <v>0</v>
      </c>
      <c r="H1652">
        <f>IF(ISNUMBER(SEARCH("scrubber",F1652)) , "Scrubber", IF(ISNUMBER(SEARCH("container",F1652)),"Container", IF(ISNUMBER(SEARCH("basket",F1652)),"Basket", IF(ISNUMBER(SEARCH("lunch",F1652)),"Lunch Box", IF(ISNUMBER(SEARCH("cutlery",F1652)),"Cutlery","Other")))))</f>
        <v>0</v>
      </c>
      <c r="I1652">
        <f>IF('Raw Data'!G1652&lt;&gt;'','Raw Data'!G1652,IFERROR(MID(F1652,SEARCH("MODEL",F1652)+6,20),""))</f>
        <v>0</v>
      </c>
      <c r="J1652">
        <f>'Raw Data'!H1652</f>
        <v>0</v>
      </c>
      <c r="K1652">
        <f>'Raw Data'!I1652</f>
        <v>0</v>
      </c>
      <c r="L1652">
        <f>IF('Raw Data'!N1652&lt;&gt;0,'Raw Data'!N1652,IFERROR(VALUE(MID(F1652,SEARCH("QTY",F1652)+4,IFERROR(FIND(" ",F1652,SEARCH("QTY",F1652)+4)-(SEARCH("QTY",F1652)+4),3))),""))</f>
        <v>0</v>
      </c>
      <c r="M1652">
        <f>'Raw Data'!O1652</f>
        <v>0</v>
      </c>
      <c r="N1652">
        <f>'Raw Data'!P1652</f>
        <v>0</v>
      </c>
      <c r="O1652">
        <f>'Raw Data'!Q1652</f>
        <v>0</v>
      </c>
      <c r="P1652">
        <f>'Raw Data'!R1652</f>
        <v>0</v>
      </c>
      <c r="Q1652">
        <f>'Raw Data'!S1652</f>
        <v>0</v>
      </c>
      <c r="R1652">
        <f>'Raw Data'!T1652</f>
        <v>0</v>
      </c>
      <c r="S1652">
        <f>IFERROR(O1652,0)+IFERROR(R1652,0)</f>
        <v>0</v>
      </c>
      <c r="T1652">
        <f>IF(A1652="","",YEAR(A1652))</f>
        <v>0</v>
      </c>
    </row>
    <row r="1653" spans="1:20">
      <c r="A1653">
        <f>'Raw Data'!B1653</f>
        <v>0</v>
      </c>
      <c r="B1653">
        <f>'Raw Data'!A1653</f>
        <v>0</v>
      </c>
      <c r="C1653">
        <f>'Raw Data'!C1653</f>
        <v>0</v>
      </c>
      <c r="D1653">
        <f>'Raw Data'!D1653</f>
        <v>0</v>
      </c>
      <c r="E1653">
        <f>IFERROR(VLOOKUP(D1653,'Lookup Tables'!$A:$B,2,FALSE),"Unknown")</f>
        <v>0</v>
      </c>
      <c r="F1653">
        <f>'Raw Data'!E1653</f>
        <v>0</v>
      </c>
      <c r="G1653">
        <f>IFERROR(VLOOKUP(D1653,'Lookup Tables'!$A:$C,3,FALSE),IF(ISNUMBER(SEARCH("STEEL",F1653)),"Steel","Others"))</f>
        <v>0</v>
      </c>
      <c r="H1653">
        <f>IF(ISNUMBER(SEARCH("scrubber",F1653)) , "Scrubber", IF(ISNUMBER(SEARCH("container",F1653)),"Container", IF(ISNUMBER(SEARCH("basket",F1653)),"Basket", IF(ISNUMBER(SEARCH("lunch",F1653)),"Lunch Box", IF(ISNUMBER(SEARCH("cutlery",F1653)),"Cutlery","Other")))))</f>
        <v>0</v>
      </c>
      <c r="I1653">
        <f>IF('Raw Data'!G1653&lt;&gt;'','Raw Data'!G1653,IFERROR(MID(F1653,SEARCH("MODEL",F1653)+6,20),""))</f>
        <v>0</v>
      </c>
      <c r="J1653">
        <f>'Raw Data'!H1653</f>
        <v>0</v>
      </c>
      <c r="K1653">
        <f>'Raw Data'!I1653</f>
        <v>0</v>
      </c>
      <c r="L1653">
        <f>IF('Raw Data'!N1653&lt;&gt;0,'Raw Data'!N1653,IFERROR(VALUE(MID(F1653,SEARCH("QTY",F1653)+4,IFERROR(FIND(" ",F1653,SEARCH("QTY",F1653)+4)-(SEARCH("QTY",F1653)+4),3))),""))</f>
        <v>0</v>
      </c>
      <c r="M1653">
        <f>'Raw Data'!O1653</f>
        <v>0</v>
      </c>
      <c r="N1653">
        <f>'Raw Data'!P1653</f>
        <v>0</v>
      </c>
      <c r="O1653">
        <f>'Raw Data'!Q1653</f>
        <v>0</v>
      </c>
      <c r="P1653">
        <f>'Raw Data'!R1653</f>
        <v>0</v>
      </c>
      <c r="Q1653">
        <f>'Raw Data'!S1653</f>
        <v>0</v>
      </c>
      <c r="R1653">
        <f>'Raw Data'!T1653</f>
        <v>0</v>
      </c>
      <c r="S1653">
        <f>IFERROR(O1653,0)+IFERROR(R1653,0)</f>
        <v>0</v>
      </c>
      <c r="T1653">
        <f>IF(A1653="","",YEAR(A1653))</f>
        <v>0</v>
      </c>
    </row>
    <row r="1654" spans="1:20">
      <c r="A1654">
        <f>'Raw Data'!B1654</f>
        <v>0</v>
      </c>
      <c r="B1654">
        <f>'Raw Data'!A1654</f>
        <v>0</v>
      </c>
      <c r="C1654">
        <f>'Raw Data'!C1654</f>
        <v>0</v>
      </c>
      <c r="D1654">
        <f>'Raw Data'!D1654</f>
        <v>0</v>
      </c>
      <c r="E1654">
        <f>IFERROR(VLOOKUP(D1654,'Lookup Tables'!$A:$B,2,FALSE),"Unknown")</f>
        <v>0</v>
      </c>
      <c r="F1654">
        <f>'Raw Data'!E1654</f>
        <v>0</v>
      </c>
      <c r="G1654">
        <f>IFERROR(VLOOKUP(D1654,'Lookup Tables'!$A:$C,3,FALSE),IF(ISNUMBER(SEARCH("STEEL",F1654)),"Steel","Others"))</f>
        <v>0</v>
      </c>
      <c r="H1654">
        <f>IF(ISNUMBER(SEARCH("scrubber",F1654)) , "Scrubber", IF(ISNUMBER(SEARCH("container",F1654)),"Container", IF(ISNUMBER(SEARCH("basket",F1654)),"Basket", IF(ISNUMBER(SEARCH("lunch",F1654)),"Lunch Box", IF(ISNUMBER(SEARCH("cutlery",F1654)),"Cutlery","Other")))))</f>
        <v>0</v>
      </c>
      <c r="I1654">
        <f>IF('Raw Data'!G1654&lt;&gt;'','Raw Data'!G1654,IFERROR(MID(F1654,SEARCH("MODEL",F1654)+6,20),""))</f>
        <v>0</v>
      </c>
      <c r="J1654">
        <f>'Raw Data'!H1654</f>
        <v>0</v>
      </c>
      <c r="K1654">
        <f>'Raw Data'!I1654</f>
        <v>0</v>
      </c>
      <c r="L1654">
        <f>IF('Raw Data'!N1654&lt;&gt;0,'Raw Data'!N1654,IFERROR(VALUE(MID(F1654,SEARCH("QTY",F1654)+4,IFERROR(FIND(" ",F1654,SEARCH("QTY",F1654)+4)-(SEARCH("QTY",F1654)+4),3))),""))</f>
        <v>0</v>
      </c>
      <c r="M1654">
        <f>'Raw Data'!O1654</f>
        <v>0</v>
      </c>
      <c r="N1654">
        <f>'Raw Data'!P1654</f>
        <v>0</v>
      </c>
      <c r="O1654">
        <f>'Raw Data'!Q1654</f>
        <v>0</v>
      </c>
      <c r="P1654">
        <f>'Raw Data'!R1654</f>
        <v>0</v>
      </c>
      <c r="Q1654">
        <f>'Raw Data'!S1654</f>
        <v>0</v>
      </c>
      <c r="R1654">
        <f>'Raw Data'!T1654</f>
        <v>0</v>
      </c>
      <c r="S1654">
        <f>IFERROR(O1654,0)+IFERROR(R1654,0)</f>
        <v>0</v>
      </c>
      <c r="T1654">
        <f>IF(A1654="","",YEAR(A1654))</f>
        <v>0</v>
      </c>
    </row>
    <row r="1655" spans="1:20">
      <c r="A1655">
        <f>'Raw Data'!B1655</f>
        <v>0</v>
      </c>
      <c r="B1655">
        <f>'Raw Data'!A1655</f>
        <v>0</v>
      </c>
      <c r="C1655">
        <f>'Raw Data'!C1655</f>
        <v>0</v>
      </c>
      <c r="D1655">
        <f>'Raw Data'!D1655</f>
        <v>0</v>
      </c>
      <c r="E1655">
        <f>IFERROR(VLOOKUP(D1655,'Lookup Tables'!$A:$B,2,FALSE),"Unknown")</f>
        <v>0</v>
      </c>
      <c r="F1655">
        <f>'Raw Data'!E1655</f>
        <v>0</v>
      </c>
      <c r="G1655">
        <f>IFERROR(VLOOKUP(D1655,'Lookup Tables'!$A:$C,3,FALSE),IF(ISNUMBER(SEARCH("STEEL",F1655)),"Steel","Others"))</f>
        <v>0</v>
      </c>
      <c r="H1655">
        <f>IF(ISNUMBER(SEARCH("scrubber",F1655)) , "Scrubber", IF(ISNUMBER(SEARCH("container",F1655)),"Container", IF(ISNUMBER(SEARCH("basket",F1655)),"Basket", IF(ISNUMBER(SEARCH("lunch",F1655)),"Lunch Box", IF(ISNUMBER(SEARCH("cutlery",F1655)),"Cutlery","Other")))))</f>
        <v>0</v>
      </c>
      <c r="I1655">
        <f>IF('Raw Data'!G1655&lt;&gt;'','Raw Data'!G1655,IFERROR(MID(F1655,SEARCH("MODEL",F1655)+6,20),""))</f>
        <v>0</v>
      </c>
      <c r="J1655">
        <f>'Raw Data'!H1655</f>
        <v>0</v>
      </c>
      <c r="K1655">
        <f>'Raw Data'!I1655</f>
        <v>0</v>
      </c>
      <c r="L1655">
        <f>IF('Raw Data'!N1655&lt;&gt;0,'Raw Data'!N1655,IFERROR(VALUE(MID(F1655,SEARCH("QTY",F1655)+4,IFERROR(FIND(" ",F1655,SEARCH("QTY",F1655)+4)-(SEARCH("QTY",F1655)+4),3))),""))</f>
        <v>0</v>
      </c>
      <c r="M1655">
        <f>'Raw Data'!O1655</f>
        <v>0</v>
      </c>
      <c r="N1655">
        <f>'Raw Data'!P1655</f>
        <v>0</v>
      </c>
      <c r="O1655">
        <f>'Raw Data'!Q1655</f>
        <v>0</v>
      </c>
      <c r="P1655">
        <f>'Raw Data'!R1655</f>
        <v>0</v>
      </c>
      <c r="Q1655">
        <f>'Raw Data'!S1655</f>
        <v>0</v>
      </c>
      <c r="R1655">
        <f>'Raw Data'!T1655</f>
        <v>0</v>
      </c>
      <c r="S1655">
        <f>IFERROR(O1655,0)+IFERROR(R1655,0)</f>
        <v>0</v>
      </c>
      <c r="T1655">
        <f>IF(A1655="","",YEAR(A1655))</f>
        <v>0</v>
      </c>
    </row>
    <row r="1656" spans="1:20">
      <c r="A1656">
        <f>'Raw Data'!B1656</f>
        <v>0</v>
      </c>
      <c r="B1656">
        <f>'Raw Data'!A1656</f>
        <v>0</v>
      </c>
      <c r="C1656">
        <f>'Raw Data'!C1656</f>
        <v>0</v>
      </c>
      <c r="D1656">
        <f>'Raw Data'!D1656</f>
        <v>0</v>
      </c>
      <c r="E1656">
        <f>IFERROR(VLOOKUP(D1656,'Lookup Tables'!$A:$B,2,FALSE),"Unknown")</f>
        <v>0</v>
      </c>
      <c r="F1656">
        <f>'Raw Data'!E1656</f>
        <v>0</v>
      </c>
      <c r="G1656">
        <f>IFERROR(VLOOKUP(D1656,'Lookup Tables'!$A:$C,3,FALSE),IF(ISNUMBER(SEARCH("STEEL",F1656)),"Steel","Others"))</f>
        <v>0</v>
      </c>
      <c r="H1656">
        <f>IF(ISNUMBER(SEARCH("scrubber",F1656)) , "Scrubber", IF(ISNUMBER(SEARCH("container",F1656)),"Container", IF(ISNUMBER(SEARCH("basket",F1656)),"Basket", IF(ISNUMBER(SEARCH("lunch",F1656)),"Lunch Box", IF(ISNUMBER(SEARCH("cutlery",F1656)),"Cutlery","Other")))))</f>
        <v>0</v>
      </c>
      <c r="I1656">
        <f>IF('Raw Data'!G1656&lt;&gt;'','Raw Data'!G1656,IFERROR(MID(F1656,SEARCH("MODEL",F1656)+6,20),""))</f>
        <v>0</v>
      </c>
      <c r="J1656">
        <f>'Raw Data'!H1656</f>
        <v>0</v>
      </c>
      <c r="K1656">
        <f>'Raw Data'!I1656</f>
        <v>0</v>
      </c>
      <c r="L1656">
        <f>IF('Raw Data'!N1656&lt;&gt;0,'Raw Data'!N1656,IFERROR(VALUE(MID(F1656,SEARCH("QTY",F1656)+4,IFERROR(FIND(" ",F1656,SEARCH("QTY",F1656)+4)-(SEARCH("QTY",F1656)+4),3))),""))</f>
        <v>0</v>
      </c>
      <c r="M1656">
        <f>'Raw Data'!O1656</f>
        <v>0</v>
      </c>
      <c r="N1656">
        <f>'Raw Data'!P1656</f>
        <v>0</v>
      </c>
      <c r="O1656">
        <f>'Raw Data'!Q1656</f>
        <v>0</v>
      </c>
      <c r="P1656">
        <f>'Raw Data'!R1656</f>
        <v>0</v>
      </c>
      <c r="Q1656">
        <f>'Raw Data'!S1656</f>
        <v>0</v>
      </c>
      <c r="R1656">
        <f>'Raw Data'!T1656</f>
        <v>0</v>
      </c>
      <c r="S1656">
        <f>IFERROR(O1656,0)+IFERROR(R1656,0)</f>
        <v>0</v>
      </c>
      <c r="T1656">
        <f>IF(A1656="","",YEAR(A1656))</f>
        <v>0</v>
      </c>
    </row>
    <row r="1657" spans="1:20">
      <c r="A1657">
        <f>'Raw Data'!B1657</f>
        <v>0</v>
      </c>
      <c r="B1657">
        <f>'Raw Data'!A1657</f>
        <v>0</v>
      </c>
      <c r="C1657">
        <f>'Raw Data'!C1657</f>
        <v>0</v>
      </c>
      <c r="D1657">
        <f>'Raw Data'!D1657</f>
        <v>0</v>
      </c>
      <c r="E1657">
        <f>IFERROR(VLOOKUP(D1657,'Lookup Tables'!$A:$B,2,FALSE),"Unknown")</f>
        <v>0</v>
      </c>
      <c r="F1657">
        <f>'Raw Data'!E1657</f>
        <v>0</v>
      </c>
      <c r="G1657">
        <f>IFERROR(VLOOKUP(D1657,'Lookup Tables'!$A:$C,3,FALSE),IF(ISNUMBER(SEARCH("STEEL",F1657)),"Steel","Others"))</f>
        <v>0</v>
      </c>
      <c r="H1657">
        <f>IF(ISNUMBER(SEARCH("scrubber",F1657)) , "Scrubber", IF(ISNUMBER(SEARCH("container",F1657)),"Container", IF(ISNUMBER(SEARCH("basket",F1657)),"Basket", IF(ISNUMBER(SEARCH("lunch",F1657)),"Lunch Box", IF(ISNUMBER(SEARCH("cutlery",F1657)),"Cutlery","Other")))))</f>
        <v>0</v>
      </c>
      <c r="I1657">
        <f>IF('Raw Data'!G1657&lt;&gt;'','Raw Data'!G1657,IFERROR(MID(F1657,SEARCH("MODEL",F1657)+6,20),""))</f>
        <v>0</v>
      </c>
      <c r="J1657">
        <f>'Raw Data'!H1657</f>
        <v>0</v>
      </c>
      <c r="K1657">
        <f>'Raw Data'!I1657</f>
        <v>0</v>
      </c>
      <c r="L1657">
        <f>IF('Raw Data'!N1657&lt;&gt;0,'Raw Data'!N1657,IFERROR(VALUE(MID(F1657,SEARCH("QTY",F1657)+4,IFERROR(FIND(" ",F1657,SEARCH("QTY",F1657)+4)-(SEARCH("QTY",F1657)+4),3))),""))</f>
        <v>0</v>
      </c>
      <c r="M1657">
        <f>'Raw Data'!O1657</f>
        <v>0</v>
      </c>
      <c r="N1657">
        <f>'Raw Data'!P1657</f>
        <v>0</v>
      </c>
      <c r="O1657">
        <f>'Raw Data'!Q1657</f>
        <v>0</v>
      </c>
      <c r="P1657">
        <f>'Raw Data'!R1657</f>
        <v>0</v>
      </c>
      <c r="Q1657">
        <f>'Raw Data'!S1657</f>
        <v>0</v>
      </c>
      <c r="R1657">
        <f>'Raw Data'!T1657</f>
        <v>0</v>
      </c>
      <c r="S1657">
        <f>IFERROR(O1657,0)+IFERROR(R1657,0)</f>
        <v>0</v>
      </c>
      <c r="T1657">
        <f>IF(A1657="","",YEAR(A1657))</f>
        <v>0</v>
      </c>
    </row>
    <row r="1658" spans="1:20">
      <c r="A1658">
        <f>'Raw Data'!B1658</f>
        <v>0</v>
      </c>
      <c r="B1658">
        <f>'Raw Data'!A1658</f>
        <v>0</v>
      </c>
      <c r="C1658">
        <f>'Raw Data'!C1658</f>
        <v>0</v>
      </c>
      <c r="D1658">
        <f>'Raw Data'!D1658</f>
        <v>0</v>
      </c>
      <c r="E1658">
        <f>IFERROR(VLOOKUP(D1658,'Lookup Tables'!$A:$B,2,FALSE),"Unknown")</f>
        <v>0</v>
      </c>
      <c r="F1658">
        <f>'Raw Data'!E1658</f>
        <v>0</v>
      </c>
      <c r="G1658">
        <f>IFERROR(VLOOKUP(D1658,'Lookup Tables'!$A:$C,3,FALSE),IF(ISNUMBER(SEARCH("STEEL",F1658)),"Steel","Others"))</f>
        <v>0</v>
      </c>
      <c r="H1658">
        <f>IF(ISNUMBER(SEARCH("scrubber",F1658)) , "Scrubber", IF(ISNUMBER(SEARCH("container",F1658)),"Container", IF(ISNUMBER(SEARCH("basket",F1658)),"Basket", IF(ISNUMBER(SEARCH("lunch",F1658)),"Lunch Box", IF(ISNUMBER(SEARCH("cutlery",F1658)),"Cutlery","Other")))))</f>
        <v>0</v>
      </c>
      <c r="I1658">
        <f>IF('Raw Data'!G1658&lt;&gt;'','Raw Data'!G1658,IFERROR(MID(F1658,SEARCH("MODEL",F1658)+6,20),""))</f>
        <v>0</v>
      </c>
      <c r="J1658">
        <f>'Raw Data'!H1658</f>
        <v>0</v>
      </c>
      <c r="K1658">
        <f>'Raw Data'!I1658</f>
        <v>0</v>
      </c>
      <c r="L1658">
        <f>IF('Raw Data'!N1658&lt;&gt;0,'Raw Data'!N1658,IFERROR(VALUE(MID(F1658,SEARCH("QTY",F1658)+4,IFERROR(FIND(" ",F1658,SEARCH("QTY",F1658)+4)-(SEARCH("QTY",F1658)+4),3))),""))</f>
        <v>0</v>
      </c>
      <c r="M1658">
        <f>'Raw Data'!O1658</f>
        <v>0</v>
      </c>
      <c r="N1658">
        <f>'Raw Data'!P1658</f>
        <v>0</v>
      </c>
      <c r="O1658">
        <f>'Raw Data'!Q1658</f>
        <v>0</v>
      </c>
      <c r="P1658">
        <f>'Raw Data'!R1658</f>
        <v>0</v>
      </c>
      <c r="Q1658">
        <f>'Raw Data'!S1658</f>
        <v>0</v>
      </c>
      <c r="R1658">
        <f>'Raw Data'!T1658</f>
        <v>0</v>
      </c>
      <c r="S1658">
        <f>IFERROR(O1658,0)+IFERROR(R1658,0)</f>
        <v>0</v>
      </c>
      <c r="T1658">
        <f>IF(A1658="","",YEAR(A1658))</f>
        <v>0</v>
      </c>
    </row>
    <row r="1659" spans="1:20">
      <c r="A1659">
        <f>'Raw Data'!B1659</f>
        <v>0</v>
      </c>
      <c r="B1659">
        <f>'Raw Data'!A1659</f>
        <v>0</v>
      </c>
      <c r="C1659">
        <f>'Raw Data'!C1659</f>
        <v>0</v>
      </c>
      <c r="D1659">
        <f>'Raw Data'!D1659</f>
        <v>0</v>
      </c>
      <c r="E1659">
        <f>IFERROR(VLOOKUP(D1659,'Lookup Tables'!$A:$B,2,FALSE),"Unknown")</f>
        <v>0</v>
      </c>
      <c r="F1659">
        <f>'Raw Data'!E1659</f>
        <v>0</v>
      </c>
      <c r="G1659">
        <f>IFERROR(VLOOKUP(D1659,'Lookup Tables'!$A:$C,3,FALSE),IF(ISNUMBER(SEARCH("STEEL",F1659)),"Steel","Others"))</f>
        <v>0</v>
      </c>
      <c r="H1659">
        <f>IF(ISNUMBER(SEARCH("scrubber",F1659)) , "Scrubber", IF(ISNUMBER(SEARCH("container",F1659)),"Container", IF(ISNUMBER(SEARCH("basket",F1659)),"Basket", IF(ISNUMBER(SEARCH("lunch",F1659)),"Lunch Box", IF(ISNUMBER(SEARCH("cutlery",F1659)),"Cutlery","Other")))))</f>
        <v>0</v>
      </c>
      <c r="I1659">
        <f>IF('Raw Data'!G1659&lt;&gt;'','Raw Data'!G1659,IFERROR(MID(F1659,SEARCH("MODEL",F1659)+6,20),""))</f>
        <v>0</v>
      </c>
      <c r="J1659">
        <f>'Raw Data'!H1659</f>
        <v>0</v>
      </c>
      <c r="K1659">
        <f>'Raw Data'!I1659</f>
        <v>0</v>
      </c>
      <c r="L1659">
        <f>IF('Raw Data'!N1659&lt;&gt;0,'Raw Data'!N1659,IFERROR(VALUE(MID(F1659,SEARCH("QTY",F1659)+4,IFERROR(FIND(" ",F1659,SEARCH("QTY",F1659)+4)-(SEARCH("QTY",F1659)+4),3))),""))</f>
        <v>0</v>
      </c>
      <c r="M1659">
        <f>'Raw Data'!O1659</f>
        <v>0</v>
      </c>
      <c r="N1659">
        <f>'Raw Data'!P1659</f>
        <v>0</v>
      </c>
      <c r="O1659">
        <f>'Raw Data'!Q1659</f>
        <v>0</v>
      </c>
      <c r="P1659">
        <f>'Raw Data'!R1659</f>
        <v>0</v>
      </c>
      <c r="Q1659">
        <f>'Raw Data'!S1659</f>
        <v>0</v>
      </c>
      <c r="R1659">
        <f>'Raw Data'!T1659</f>
        <v>0</v>
      </c>
      <c r="S1659">
        <f>IFERROR(O1659,0)+IFERROR(R1659,0)</f>
        <v>0</v>
      </c>
      <c r="T1659">
        <f>IF(A1659="","",YEAR(A1659))</f>
        <v>0</v>
      </c>
    </row>
    <row r="1660" spans="1:20">
      <c r="A1660">
        <f>'Raw Data'!B1660</f>
        <v>0</v>
      </c>
      <c r="B1660">
        <f>'Raw Data'!A1660</f>
        <v>0</v>
      </c>
      <c r="C1660">
        <f>'Raw Data'!C1660</f>
        <v>0</v>
      </c>
      <c r="D1660">
        <f>'Raw Data'!D1660</f>
        <v>0</v>
      </c>
      <c r="E1660">
        <f>IFERROR(VLOOKUP(D1660,'Lookup Tables'!$A:$B,2,FALSE),"Unknown")</f>
        <v>0</v>
      </c>
      <c r="F1660">
        <f>'Raw Data'!E1660</f>
        <v>0</v>
      </c>
      <c r="G1660">
        <f>IFERROR(VLOOKUP(D1660,'Lookup Tables'!$A:$C,3,FALSE),IF(ISNUMBER(SEARCH("STEEL",F1660)),"Steel","Others"))</f>
        <v>0</v>
      </c>
      <c r="H1660">
        <f>IF(ISNUMBER(SEARCH("scrubber",F1660)) , "Scrubber", IF(ISNUMBER(SEARCH("container",F1660)),"Container", IF(ISNUMBER(SEARCH("basket",F1660)),"Basket", IF(ISNUMBER(SEARCH("lunch",F1660)),"Lunch Box", IF(ISNUMBER(SEARCH("cutlery",F1660)),"Cutlery","Other")))))</f>
        <v>0</v>
      </c>
      <c r="I1660">
        <f>IF('Raw Data'!G1660&lt;&gt;'','Raw Data'!G1660,IFERROR(MID(F1660,SEARCH("MODEL",F1660)+6,20),""))</f>
        <v>0</v>
      </c>
      <c r="J1660">
        <f>'Raw Data'!H1660</f>
        <v>0</v>
      </c>
      <c r="K1660">
        <f>'Raw Data'!I1660</f>
        <v>0</v>
      </c>
      <c r="L1660">
        <f>IF('Raw Data'!N1660&lt;&gt;0,'Raw Data'!N1660,IFERROR(VALUE(MID(F1660,SEARCH("QTY",F1660)+4,IFERROR(FIND(" ",F1660,SEARCH("QTY",F1660)+4)-(SEARCH("QTY",F1660)+4),3))),""))</f>
        <v>0</v>
      </c>
      <c r="M1660">
        <f>'Raw Data'!O1660</f>
        <v>0</v>
      </c>
      <c r="N1660">
        <f>'Raw Data'!P1660</f>
        <v>0</v>
      </c>
      <c r="O1660">
        <f>'Raw Data'!Q1660</f>
        <v>0</v>
      </c>
      <c r="P1660">
        <f>'Raw Data'!R1660</f>
        <v>0</v>
      </c>
      <c r="Q1660">
        <f>'Raw Data'!S1660</f>
        <v>0</v>
      </c>
      <c r="R1660">
        <f>'Raw Data'!T1660</f>
        <v>0</v>
      </c>
      <c r="S1660">
        <f>IFERROR(O1660,0)+IFERROR(R1660,0)</f>
        <v>0</v>
      </c>
      <c r="T1660">
        <f>IF(A1660="","",YEAR(A1660))</f>
        <v>0</v>
      </c>
    </row>
    <row r="1661" spans="1:20">
      <c r="A1661">
        <f>'Raw Data'!B1661</f>
        <v>0</v>
      </c>
      <c r="B1661">
        <f>'Raw Data'!A1661</f>
        <v>0</v>
      </c>
      <c r="C1661">
        <f>'Raw Data'!C1661</f>
        <v>0</v>
      </c>
      <c r="D1661">
        <f>'Raw Data'!D1661</f>
        <v>0</v>
      </c>
      <c r="E1661">
        <f>IFERROR(VLOOKUP(D1661,'Lookup Tables'!$A:$B,2,FALSE),"Unknown")</f>
        <v>0</v>
      </c>
      <c r="F1661">
        <f>'Raw Data'!E1661</f>
        <v>0</v>
      </c>
      <c r="G1661">
        <f>IFERROR(VLOOKUP(D1661,'Lookup Tables'!$A:$C,3,FALSE),IF(ISNUMBER(SEARCH("STEEL",F1661)),"Steel","Others"))</f>
        <v>0</v>
      </c>
      <c r="H1661">
        <f>IF(ISNUMBER(SEARCH("scrubber",F1661)) , "Scrubber", IF(ISNUMBER(SEARCH("container",F1661)),"Container", IF(ISNUMBER(SEARCH("basket",F1661)),"Basket", IF(ISNUMBER(SEARCH("lunch",F1661)),"Lunch Box", IF(ISNUMBER(SEARCH("cutlery",F1661)),"Cutlery","Other")))))</f>
        <v>0</v>
      </c>
      <c r="I1661">
        <f>IF('Raw Data'!G1661&lt;&gt;'','Raw Data'!G1661,IFERROR(MID(F1661,SEARCH("MODEL",F1661)+6,20),""))</f>
        <v>0</v>
      </c>
      <c r="J1661">
        <f>'Raw Data'!H1661</f>
        <v>0</v>
      </c>
      <c r="K1661">
        <f>'Raw Data'!I1661</f>
        <v>0</v>
      </c>
      <c r="L1661">
        <f>IF('Raw Data'!N1661&lt;&gt;0,'Raw Data'!N1661,IFERROR(VALUE(MID(F1661,SEARCH("QTY",F1661)+4,IFERROR(FIND(" ",F1661,SEARCH("QTY",F1661)+4)-(SEARCH("QTY",F1661)+4),3))),""))</f>
        <v>0</v>
      </c>
      <c r="M1661">
        <f>'Raw Data'!O1661</f>
        <v>0</v>
      </c>
      <c r="N1661">
        <f>'Raw Data'!P1661</f>
        <v>0</v>
      </c>
      <c r="O1661">
        <f>'Raw Data'!Q1661</f>
        <v>0</v>
      </c>
      <c r="P1661">
        <f>'Raw Data'!R1661</f>
        <v>0</v>
      </c>
      <c r="Q1661">
        <f>'Raw Data'!S1661</f>
        <v>0</v>
      </c>
      <c r="R1661">
        <f>'Raw Data'!T1661</f>
        <v>0</v>
      </c>
      <c r="S1661">
        <f>IFERROR(O1661,0)+IFERROR(R1661,0)</f>
        <v>0</v>
      </c>
      <c r="T1661">
        <f>IF(A1661="","",YEAR(A1661))</f>
        <v>0</v>
      </c>
    </row>
    <row r="1662" spans="1:20">
      <c r="A1662">
        <f>'Raw Data'!B1662</f>
        <v>0</v>
      </c>
      <c r="B1662">
        <f>'Raw Data'!A1662</f>
        <v>0</v>
      </c>
      <c r="C1662">
        <f>'Raw Data'!C1662</f>
        <v>0</v>
      </c>
      <c r="D1662">
        <f>'Raw Data'!D1662</f>
        <v>0</v>
      </c>
      <c r="E1662">
        <f>IFERROR(VLOOKUP(D1662,'Lookup Tables'!$A:$B,2,FALSE),"Unknown")</f>
        <v>0</v>
      </c>
      <c r="F1662">
        <f>'Raw Data'!E1662</f>
        <v>0</v>
      </c>
      <c r="G1662">
        <f>IFERROR(VLOOKUP(D1662,'Lookup Tables'!$A:$C,3,FALSE),IF(ISNUMBER(SEARCH("STEEL",F1662)),"Steel","Others"))</f>
        <v>0</v>
      </c>
      <c r="H1662">
        <f>IF(ISNUMBER(SEARCH("scrubber",F1662)) , "Scrubber", IF(ISNUMBER(SEARCH("container",F1662)),"Container", IF(ISNUMBER(SEARCH("basket",F1662)),"Basket", IF(ISNUMBER(SEARCH("lunch",F1662)),"Lunch Box", IF(ISNUMBER(SEARCH("cutlery",F1662)),"Cutlery","Other")))))</f>
        <v>0</v>
      </c>
      <c r="I1662">
        <f>IF('Raw Data'!G1662&lt;&gt;'','Raw Data'!G1662,IFERROR(MID(F1662,SEARCH("MODEL",F1662)+6,20),""))</f>
        <v>0</v>
      </c>
      <c r="J1662">
        <f>'Raw Data'!H1662</f>
        <v>0</v>
      </c>
      <c r="K1662">
        <f>'Raw Data'!I1662</f>
        <v>0</v>
      </c>
      <c r="L1662">
        <f>IF('Raw Data'!N1662&lt;&gt;0,'Raw Data'!N1662,IFERROR(VALUE(MID(F1662,SEARCH("QTY",F1662)+4,IFERROR(FIND(" ",F1662,SEARCH("QTY",F1662)+4)-(SEARCH("QTY",F1662)+4),3))),""))</f>
        <v>0</v>
      </c>
      <c r="M1662">
        <f>'Raw Data'!O1662</f>
        <v>0</v>
      </c>
      <c r="N1662">
        <f>'Raw Data'!P1662</f>
        <v>0</v>
      </c>
      <c r="O1662">
        <f>'Raw Data'!Q1662</f>
        <v>0</v>
      </c>
      <c r="P1662">
        <f>'Raw Data'!R1662</f>
        <v>0</v>
      </c>
      <c r="Q1662">
        <f>'Raw Data'!S1662</f>
        <v>0</v>
      </c>
      <c r="R1662">
        <f>'Raw Data'!T1662</f>
        <v>0</v>
      </c>
      <c r="S1662">
        <f>IFERROR(O1662,0)+IFERROR(R1662,0)</f>
        <v>0</v>
      </c>
      <c r="T1662">
        <f>IF(A1662="","",YEAR(A1662))</f>
        <v>0</v>
      </c>
    </row>
    <row r="1663" spans="1:20">
      <c r="A1663">
        <f>'Raw Data'!B1663</f>
        <v>0</v>
      </c>
      <c r="B1663">
        <f>'Raw Data'!A1663</f>
        <v>0</v>
      </c>
      <c r="C1663">
        <f>'Raw Data'!C1663</f>
        <v>0</v>
      </c>
      <c r="D1663">
        <f>'Raw Data'!D1663</f>
        <v>0</v>
      </c>
      <c r="E1663">
        <f>IFERROR(VLOOKUP(D1663,'Lookup Tables'!$A:$B,2,FALSE),"Unknown")</f>
        <v>0</v>
      </c>
      <c r="F1663">
        <f>'Raw Data'!E1663</f>
        <v>0</v>
      </c>
      <c r="G1663">
        <f>IFERROR(VLOOKUP(D1663,'Lookup Tables'!$A:$C,3,FALSE),IF(ISNUMBER(SEARCH("STEEL",F1663)),"Steel","Others"))</f>
        <v>0</v>
      </c>
      <c r="H1663">
        <f>IF(ISNUMBER(SEARCH("scrubber",F1663)) , "Scrubber", IF(ISNUMBER(SEARCH("container",F1663)),"Container", IF(ISNUMBER(SEARCH("basket",F1663)),"Basket", IF(ISNUMBER(SEARCH("lunch",F1663)),"Lunch Box", IF(ISNUMBER(SEARCH("cutlery",F1663)),"Cutlery","Other")))))</f>
        <v>0</v>
      </c>
      <c r="I1663">
        <f>IF('Raw Data'!G1663&lt;&gt;'','Raw Data'!G1663,IFERROR(MID(F1663,SEARCH("MODEL",F1663)+6,20),""))</f>
        <v>0</v>
      </c>
      <c r="J1663">
        <f>'Raw Data'!H1663</f>
        <v>0</v>
      </c>
      <c r="K1663">
        <f>'Raw Data'!I1663</f>
        <v>0</v>
      </c>
      <c r="L1663">
        <f>IF('Raw Data'!N1663&lt;&gt;0,'Raw Data'!N1663,IFERROR(VALUE(MID(F1663,SEARCH("QTY",F1663)+4,IFERROR(FIND(" ",F1663,SEARCH("QTY",F1663)+4)-(SEARCH("QTY",F1663)+4),3))),""))</f>
        <v>0</v>
      </c>
      <c r="M1663">
        <f>'Raw Data'!O1663</f>
        <v>0</v>
      </c>
      <c r="N1663">
        <f>'Raw Data'!P1663</f>
        <v>0</v>
      </c>
      <c r="O1663">
        <f>'Raw Data'!Q1663</f>
        <v>0</v>
      </c>
      <c r="P1663">
        <f>'Raw Data'!R1663</f>
        <v>0</v>
      </c>
      <c r="Q1663">
        <f>'Raw Data'!S1663</f>
        <v>0</v>
      </c>
      <c r="R1663">
        <f>'Raw Data'!T1663</f>
        <v>0</v>
      </c>
      <c r="S1663">
        <f>IFERROR(O1663,0)+IFERROR(R1663,0)</f>
        <v>0</v>
      </c>
      <c r="T1663">
        <f>IF(A1663="","",YEAR(A1663))</f>
        <v>0</v>
      </c>
    </row>
    <row r="1664" spans="1:20">
      <c r="A1664">
        <f>'Raw Data'!B1664</f>
        <v>0</v>
      </c>
      <c r="B1664">
        <f>'Raw Data'!A1664</f>
        <v>0</v>
      </c>
      <c r="C1664">
        <f>'Raw Data'!C1664</f>
        <v>0</v>
      </c>
      <c r="D1664">
        <f>'Raw Data'!D1664</f>
        <v>0</v>
      </c>
      <c r="E1664">
        <f>IFERROR(VLOOKUP(D1664,'Lookup Tables'!$A:$B,2,FALSE),"Unknown")</f>
        <v>0</v>
      </c>
      <c r="F1664">
        <f>'Raw Data'!E1664</f>
        <v>0</v>
      </c>
      <c r="G1664">
        <f>IFERROR(VLOOKUP(D1664,'Lookup Tables'!$A:$C,3,FALSE),IF(ISNUMBER(SEARCH("STEEL",F1664)),"Steel","Others"))</f>
        <v>0</v>
      </c>
      <c r="H1664">
        <f>IF(ISNUMBER(SEARCH("scrubber",F1664)) , "Scrubber", IF(ISNUMBER(SEARCH("container",F1664)),"Container", IF(ISNUMBER(SEARCH("basket",F1664)),"Basket", IF(ISNUMBER(SEARCH("lunch",F1664)),"Lunch Box", IF(ISNUMBER(SEARCH("cutlery",F1664)),"Cutlery","Other")))))</f>
        <v>0</v>
      </c>
      <c r="I1664">
        <f>IF('Raw Data'!G1664&lt;&gt;'','Raw Data'!G1664,IFERROR(MID(F1664,SEARCH("MODEL",F1664)+6,20),""))</f>
        <v>0</v>
      </c>
      <c r="J1664">
        <f>'Raw Data'!H1664</f>
        <v>0</v>
      </c>
      <c r="K1664">
        <f>'Raw Data'!I1664</f>
        <v>0</v>
      </c>
      <c r="L1664">
        <f>IF('Raw Data'!N1664&lt;&gt;0,'Raw Data'!N1664,IFERROR(VALUE(MID(F1664,SEARCH("QTY",F1664)+4,IFERROR(FIND(" ",F1664,SEARCH("QTY",F1664)+4)-(SEARCH("QTY",F1664)+4),3))),""))</f>
        <v>0</v>
      </c>
      <c r="M1664">
        <f>'Raw Data'!O1664</f>
        <v>0</v>
      </c>
      <c r="N1664">
        <f>'Raw Data'!P1664</f>
        <v>0</v>
      </c>
      <c r="O1664">
        <f>'Raw Data'!Q1664</f>
        <v>0</v>
      </c>
      <c r="P1664">
        <f>'Raw Data'!R1664</f>
        <v>0</v>
      </c>
      <c r="Q1664">
        <f>'Raw Data'!S1664</f>
        <v>0</v>
      </c>
      <c r="R1664">
        <f>'Raw Data'!T1664</f>
        <v>0</v>
      </c>
      <c r="S1664">
        <f>IFERROR(O1664,0)+IFERROR(R1664,0)</f>
        <v>0</v>
      </c>
      <c r="T1664">
        <f>IF(A1664="","",YEAR(A1664))</f>
        <v>0</v>
      </c>
    </row>
    <row r="1665" spans="1:20">
      <c r="A1665">
        <f>'Raw Data'!B1665</f>
        <v>0</v>
      </c>
      <c r="B1665">
        <f>'Raw Data'!A1665</f>
        <v>0</v>
      </c>
      <c r="C1665">
        <f>'Raw Data'!C1665</f>
        <v>0</v>
      </c>
      <c r="D1665">
        <f>'Raw Data'!D1665</f>
        <v>0</v>
      </c>
      <c r="E1665">
        <f>IFERROR(VLOOKUP(D1665,'Lookup Tables'!$A:$B,2,FALSE),"Unknown")</f>
        <v>0</v>
      </c>
      <c r="F1665">
        <f>'Raw Data'!E1665</f>
        <v>0</v>
      </c>
      <c r="G1665">
        <f>IFERROR(VLOOKUP(D1665,'Lookup Tables'!$A:$C,3,FALSE),IF(ISNUMBER(SEARCH("STEEL",F1665)),"Steel","Others"))</f>
        <v>0</v>
      </c>
      <c r="H1665">
        <f>IF(ISNUMBER(SEARCH("scrubber",F1665)) , "Scrubber", IF(ISNUMBER(SEARCH("container",F1665)),"Container", IF(ISNUMBER(SEARCH("basket",F1665)),"Basket", IF(ISNUMBER(SEARCH("lunch",F1665)),"Lunch Box", IF(ISNUMBER(SEARCH("cutlery",F1665)),"Cutlery","Other")))))</f>
        <v>0</v>
      </c>
      <c r="I1665">
        <f>IF('Raw Data'!G1665&lt;&gt;'','Raw Data'!G1665,IFERROR(MID(F1665,SEARCH("MODEL",F1665)+6,20),""))</f>
        <v>0</v>
      </c>
      <c r="J1665">
        <f>'Raw Data'!H1665</f>
        <v>0</v>
      </c>
      <c r="K1665">
        <f>'Raw Data'!I1665</f>
        <v>0</v>
      </c>
      <c r="L1665">
        <f>IF('Raw Data'!N1665&lt;&gt;0,'Raw Data'!N1665,IFERROR(VALUE(MID(F1665,SEARCH("QTY",F1665)+4,IFERROR(FIND(" ",F1665,SEARCH("QTY",F1665)+4)-(SEARCH("QTY",F1665)+4),3))),""))</f>
        <v>0</v>
      </c>
      <c r="M1665">
        <f>'Raw Data'!O1665</f>
        <v>0</v>
      </c>
      <c r="N1665">
        <f>'Raw Data'!P1665</f>
        <v>0</v>
      </c>
      <c r="O1665">
        <f>'Raw Data'!Q1665</f>
        <v>0</v>
      </c>
      <c r="P1665">
        <f>'Raw Data'!R1665</f>
        <v>0</v>
      </c>
      <c r="Q1665">
        <f>'Raw Data'!S1665</f>
        <v>0</v>
      </c>
      <c r="R1665">
        <f>'Raw Data'!T1665</f>
        <v>0</v>
      </c>
      <c r="S1665">
        <f>IFERROR(O1665,0)+IFERROR(R1665,0)</f>
        <v>0</v>
      </c>
      <c r="T1665">
        <f>IF(A1665="","",YEAR(A1665))</f>
        <v>0</v>
      </c>
    </row>
    <row r="1666" spans="1:20">
      <c r="A1666">
        <f>'Raw Data'!B1666</f>
        <v>0</v>
      </c>
      <c r="B1666">
        <f>'Raw Data'!A1666</f>
        <v>0</v>
      </c>
      <c r="C1666">
        <f>'Raw Data'!C1666</f>
        <v>0</v>
      </c>
      <c r="D1666">
        <f>'Raw Data'!D1666</f>
        <v>0</v>
      </c>
      <c r="E1666">
        <f>IFERROR(VLOOKUP(D1666,'Lookup Tables'!$A:$B,2,FALSE),"Unknown")</f>
        <v>0</v>
      </c>
      <c r="F1666">
        <f>'Raw Data'!E1666</f>
        <v>0</v>
      </c>
      <c r="G1666">
        <f>IFERROR(VLOOKUP(D1666,'Lookup Tables'!$A:$C,3,FALSE),IF(ISNUMBER(SEARCH("STEEL",F1666)),"Steel","Others"))</f>
        <v>0</v>
      </c>
      <c r="H1666">
        <f>IF(ISNUMBER(SEARCH("scrubber",F1666)) , "Scrubber", IF(ISNUMBER(SEARCH("container",F1666)),"Container", IF(ISNUMBER(SEARCH("basket",F1666)),"Basket", IF(ISNUMBER(SEARCH("lunch",F1666)),"Lunch Box", IF(ISNUMBER(SEARCH("cutlery",F1666)),"Cutlery","Other")))))</f>
        <v>0</v>
      </c>
      <c r="I1666">
        <f>IF('Raw Data'!G1666&lt;&gt;'','Raw Data'!G1666,IFERROR(MID(F1666,SEARCH("MODEL",F1666)+6,20),""))</f>
        <v>0</v>
      </c>
      <c r="J1666">
        <f>'Raw Data'!H1666</f>
        <v>0</v>
      </c>
      <c r="K1666">
        <f>'Raw Data'!I1666</f>
        <v>0</v>
      </c>
      <c r="L1666">
        <f>IF('Raw Data'!N1666&lt;&gt;0,'Raw Data'!N1666,IFERROR(VALUE(MID(F1666,SEARCH("QTY",F1666)+4,IFERROR(FIND(" ",F1666,SEARCH("QTY",F1666)+4)-(SEARCH("QTY",F1666)+4),3))),""))</f>
        <v>0</v>
      </c>
      <c r="M1666">
        <f>'Raw Data'!O1666</f>
        <v>0</v>
      </c>
      <c r="N1666">
        <f>'Raw Data'!P1666</f>
        <v>0</v>
      </c>
      <c r="O1666">
        <f>'Raw Data'!Q1666</f>
        <v>0</v>
      </c>
      <c r="P1666">
        <f>'Raw Data'!R1666</f>
        <v>0</v>
      </c>
      <c r="Q1666">
        <f>'Raw Data'!S1666</f>
        <v>0</v>
      </c>
      <c r="R1666">
        <f>'Raw Data'!T1666</f>
        <v>0</v>
      </c>
      <c r="S1666">
        <f>IFERROR(O1666,0)+IFERROR(R1666,0)</f>
        <v>0</v>
      </c>
      <c r="T1666">
        <f>IF(A1666="","",YEAR(A1666))</f>
        <v>0</v>
      </c>
    </row>
    <row r="1667" spans="1:20">
      <c r="A1667">
        <f>'Raw Data'!B1667</f>
        <v>0</v>
      </c>
      <c r="B1667">
        <f>'Raw Data'!A1667</f>
        <v>0</v>
      </c>
      <c r="C1667">
        <f>'Raw Data'!C1667</f>
        <v>0</v>
      </c>
      <c r="D1667">
        <f>'Raw Data'!D1667</f>
        <v>0</v>
      </c>
      <c r="E1667">
        <f>IFERROR(VLOOKUP(D1667,'Lookup Tables'!$A:$B,2,FALSE),"Unknown")</f>
        <v>0</v>
      </c>
      <c r="F1667">
        <f>'Raw Data'!E1667</f>
        <v>0</v>
      </c>
      <c r="G1667">
        <f>IFERROR(VLOOKUP(D1667,'Lookup Tables'!$A:$C,3,FALSE),IF(ISNUMBER(SEARCH("STEEL",F1667)),"Steel","Others"))</f>
        <v>0</v>
      </c>
      <c r="H1667">
        <f>IF(ISNUMBER(SEARCH("scrubber",F1667)) , "Scrubber", IF(ISNUMBER(SEARCH("container",F1667)),"Container", IF(ISNUMBER(SEARCH("basket",F1667)),"Basket", IF(ISNUMBER(SEARCH("lunch",F1667)),"Lunch Box", IF(ISNUMBER(SEARCH("cutlery",F1667)),"Cutlery","Other")))))</f>
        <v>0</v>
      </c>
      <c r="I1667">
        <f>IF('Raw Data'!G1667&lt;&gt;'','Raw Data'!G1667,IFERROR(MID(F1667,SEARCH("MODEL",F1667)+6,20),""))</f>
        <v>0</v>
      </c>
      <c r="J1667">
        <f>'Raw Data'!H1667</f>
        <v>0</v>
      </c>
      <c r="K1667">
        <f>'Raw Data'!I1667</f>
        <v>0</v>
      </c>
      <c r="L1667">
        <f>IF('Raw Data'!N1667&lt;&gt;0,'Raw Data'!N1667,IFERROR(VALUE(MID(F1667,SEARCH("QTY",F1667)+4,IFERROR(FIND(" ",F1667,SEARCH("QTY",F1667)+4)-(SEARCH("QTY",F1667)+4),3))),""))</f>
        <v>0</v>
      </c>
      <c r="M1667">
        <f>'Raw Data'!O1667</f>
        <v>0</v>
      </c>
      <c r="N1667">
        <f>'Raw Data'!P1667</f>
        <v>0</v>
      </c>
      <c r="O1667">
        <f>'Raw Data'!Q1667</f>
        <v>0</v>
      </c>
      <c r="P1667">
        <f>'Raw Data'!R1667</f>
        <v>0</v>
      </c>
      <c r="Q1667">
        <f>'Raw Data'!S1667</f>
        <v>0</v>
      </c>
      <c r="R1667">
        <f>'Raw Data'!T1667</f>
        <v>0</v>
      </c>
      <c r="S1667">
        <f>IFERROR(O1667,0)+IFERROR(R1667,0)</f>
        <v>0</v>
      </c>
      <c r="T1667">
        <f>IF(A1667="","",YEAR(A1667))</f>
        <v>0</v>
      </c>
    </row>
    <row r="1668" spans="1:20">
      <c r="A1668">
        <f>'Raw Data'!B1668</f>
        <v>0</v>
      </c>
      <c r="B1668">
        <f>'Raw Data'!A1668</f>
        <v>0</v>
      </c>
      <c r="C1668">
        <f>'Raw Data'!C1668</f>
        <v>0</v>
      </c>
      <c r="D1668">
        <f>'Raw Data'!D1668</f>
        <v>0</v>
      </c>
      <c r="E1668">
        <f>IFERROR(VLOOKUP(D1668,'Lookup Tables'!$A:$B,2,FALSE),"Unknown")</f>
        <v>0</v>
      </c>
      <c r="F1668">
        <f>'Raw Data'!E1668</f>
        <v>0</v>
      </c>
      <c r="G1668">
        <f>IFERROR(VLOOKUP(D1668,'Lookup Tables'!$A:$C,3,FALSE),IF(ISNUMBER(SEARCH("STEEL",F1668)),"Steel","Others"))</f>
        <v>0</v>
      </c>
      <c r="H1668">
        <f>IF(ISNUMBER(SEARCH("scrubber",F1668)) , "Scrubber", IF(ISNUMBER(SEARCH("container",F1668)),"Container", IF(ISNUMBER(SEARCH("basket",F1668)),"Basket", IF(ISNUMBER(SEARCH("lunch",F1668)),"Lunch Box", IF(ISNUMBER(SEARCH("cutlery",F1668)),"Cutlery","Other")))))</f>
        <v>0</v>
      </c>
      <c r="I1668">
        <f>IF('Raw Data'!G1668&lt;&gt;'','Raw Data'!G1668,IFERROR(MID(F1668,SEARCH("MODEL",F1668)+6,20),""))</f>
        <v>0</v>
      </c>
      <c r="J1668">
        <f>'Raw Data'!H1668</f>
        <v>0</v>
      </c>
      <c r="K1668">
        <f>'Raw Data'!I1668</f>
        <v>0</v>
      </c>
      <c r="L1668">
        <f>IF('Raw Data'!N1668&lt;&gt;0,'Raw Data'!N1668,IFERROR(VALUE(MID(F1668,SEARCH("QTY",F1668)+4,IFERROR(FIND(" ",F1668,SEARCH("QTY",F1668)+4)-(SEARCH("QTY",F1668)+4),3))),""))</f>
        <v>0</v>
      </c>
      <c r="M1668">
        <f>'Raw Data'!O1668</f>
        <v>0</v>
      </c>
      <c r="N1668">
        <f>'Raw Data'!P1668</f>
        <v>0</v>
      </c>
      <c r="O1668">
        <f>'Raw Data'!Q1668</f>
        <v>0</v>
      </c>
      <c r="P1668">
        <f>'Raw Data'!R1668</f>
        <v>0</v>
      </c>
      <c r="Q1668">
        <f>'Raw Data'!S1668</f>
        <v>0</v>
      </c>
      <c r="R1668">
        <f>'Raw Data'!T1668</f>
        <v>0</v>
      </c>
      <c r="S1668">
        <f>IFERROR(O1668,0)+IFERROR(R1668,0)</f>
        <v>0</v>
      </c>
      <c r="T1668">
        <f>IF(A1668="","",YEAR(A1668))</f>
        <v>0</v>
      </c>
    </row>
    <row r="1669" spans="1:20">
      <c r="A1669">
        <f>'Raw Data'!B1669</f>
        <v>0</v>
      </c>
      <c r="B1669">
        <f>'Raw Data'!A1669</f>
        <v>0</v>
      </c>
      <c r="C1669">
        <f>'Raw Data'!C1669</f>
        <v>0</v>
      </c>
      <c r="D1669">
        <f>'Raw Data'!D1669</f>
        <v>0</v>
      </c>
      <c r="E1669">
        <f>IFERROR(VLOOKUP(D1669,'Lookup Tables'!$A:$B,2,FALSE),"Unknown")</f>
        <v>0</v>
      </c>
      <c r="F1669">
        <f>'Raw Data'!E1669</f>
        <v>0</v>
      </c>
      <c r="G1669">
        <f>IFERROR(VLOOKUP(D1669,'Lookup Tables'!$A:$C,3,FALSE),IF(ISNUMBER(SEARCH("STEEL",F1669)),"Steel","Others"))</f>
        <v>0</v>
      </c>
      <c r="H1669">
        <f>IF(ISNUMBER(SEARCH("scrubber",F1669)) , "Scrubber", IF(ISNUMBER(SEARCH("container",F1669)),"Container", IF(ISNUMBER(SEARCH("basket",F1669)),"Basket", IF(ISNUMBER(SEARCH("lunch",F1669)),"Lunch Box", IF(ISNUMBER(SEARCH("cutlery",F1669)),"Cutlery","Other")))))</f>
        <v>0</v>
      </c>
      <c r="I1669">
        <f>IF('Raw Data'!G1669&lt;&gt;'','Raw Data'!G1669,IFERROR(MID(F1669,SEARCH("MODEL",F1669)+6,20),""))</f>
        <v>0</v>
      </c>
      <c r="J1669">
        <f>'Raw Data'!H1669</f>
        <v>0</v>
      </c>
      <c r="K1669">
        <f>'Raw Data'!I1669</f>
        <v>0</v>
      </c>
      <c r="L1669">
        <f>IF('Raw Data'!N1669&lt;&gt;0,'Raw Data'!N1669,IFERROR(VALUE(MID(F1669,SEARCH("QTY",F1669)+4,IFERROR(FIND(" ",F1669,SEARCH("QTY",F1669)+4)-(SEARCH("QTY",F1669)+4),3))),""))</f>
        <v>0</v>
      </c>
      <c r="M1669">
        <f>'Raw Data'!O1669</f>
        <v>0</v>
      </c>
      <c r="N1669">
        <f>'Raw Data'!P1669</f>
        <v>0</v>
      </c>
      <c r="O1669">
        <f>'Raw Data'!Q1669</f>
        <v>0</v>
      </c>
      <c r="P1669">
        <f>'Raw Data'!R1669</f>
        <v>0</v>
      </c>
      <c r="Q1669">
        <f>'Raw Data'!S1669</f>
        <v>0</v>
      </c>
      <c r="R1669">
        <f>'Raw Data'!T1669</f>
        <v>0</v>
      </c>
      <c r="S1669">
        <f>IFERROR(O1669,0)+IFERROR(R1669,0)</f>
        <v>0</v>
      </c>
      <c r="T1669">
        <f>IF(A1669="","",YEAR(A1669))</f>
        <v>0</v>
      </c>
    </row>
    <row r="1670" spans="1:20">
      <c r="A1670">
        <f>'Raw Data'!B1670</f>
        <v>0</v>
      </c>
      <c r="B1670">
        <f>'Raw Data'!A1670</f>
        <v>0</v>
      </c>
      <c r="C1670">
        <f>'Raw Data'!C1670</f>
        <v>0</v>
      </c>
      <c r="D1670">
        <f>'Raw Data'!D1670</f>
        <v>0</v>
      </c>
      <c r="E1670">
        <f>IFERROR(VLOOKUP(D1670,'Lookup Tables'!$A:$B,2,FALSE),"Unknown")</f>
        <v>0</v>
      </c>
      <c r="F1670">
        <f>'Raw Data'!E1670</f>
        <v>0</v>
      </c>
      <c r="G1670">
        <f>IFERROR(VLOOKUP(D1670,'Lookup Tables'!$A:$C,3,FALSE),IF(ISNUMBER(SEARCH("STEEL",F1670)),"Steel","Others"))</f>
        <v>0</v>
      </c>
      <c r="H1670">
        <f>IF(ISNUMBER(SEARCH("scrubber",F1670)) , "Scrubber", IF(ISNUMBER(SEARCH("container",F1670)),"Container", IF(ISNUMBER(SEARCH("basket",F1670)),"Basket", IF(ISNUMBER(SEARCH("lunch",F1670)),"Lunch Box", IF(ISNUMBER(SEARCH("cutlery",F1670)),"Cutlery","Other")))))</f>
        <v>0</v>
      </c>
      <c r="I1670">
        <f>IF('Raw Data'!G1670&lt;&gt;'','Raw Data'!G1670,IFERROR(MID(F1670,SEARCH("MODEL",F1670)+6,20),""))</f>
        <v>0</v>
      </c>
      <c r="J1670">
        <f>'Raw Data'!H1670</f>
        <v>0</v>
      </c>
      <c r="K1670">
        <f>'Raw Data'!I1670</f>
        <v>0</v>
      </c>
      <c r="L1670">
        <f>IF('Raw Data'!N1670&lt;&gt;0,'Raw Data'!N1670,IFERROR(VALUE(MID(F1670,SEARCH("QTY",F1670)+4,IFERROR(FIND(" ",F1670,SEARCH("QTY",F1670)+4)-(SEARCH("QTY",F1670)+4),3))),""))</f>
        <v>0</v>
      </c>
      <c r="M1670">
        <f>'Raw Data'!O1670</f>
        <v>0</v>
      </c>
      <c r="N1670">
        <f>'Raw Data'!P1670</f>
        <v>0</v>
      </c>
      <c r="O1670">
        <f>'Raw Data'!Q1670</f>
        <v>0</v>
      </c>
      <c r="P1670">
        <f>'Raw Data'!R1670</f>
        <v>0</v>
      </c>
      <c r="Q1670">
        <f>'Raw Data'!S1670</f>
        <v>0</v>
      </c>
      <c r="R1670">
        <f>'Raw Data'!T1670</f>
        <v>0</v>
      </c>
      <c r="S1670">
        <f>IFERROR(O1670,0)+IFERROR(R1670,0)</f>
        <v>0</v>
      </c>
      <c r="T1670">
        <f>IF(A1670="","",YEAR(A1670))</f>
        <v>0</v>
      </c>
    </row>
    <row r="1671" spans="1:20">
      <c r="A1671">
        <f>'Raw Data'!B1671</f>
        <v>0</v>
      </c>
      <c r="B1671">
        <f>'Raw Data'!A1671</f>
        <v>0</v>
      </c>
      <c r="C1671">
        <f>'Raw Data'!C1671</f>
        <v>0</v>
      </c>
      <c r="D1671">
        <f>'Raw Data'!D1671</f>
        <v>0</v>
      </c>
      <c r="E1671">
        <f>IFERROR(VLOOKUP(D1671,'Lookup Tables'!$A:$B,2,FALSE),"Unknown")</f>
        <v>0</v>
      </c>
      <c r="F1671">
        <f>'Raw Data'!E1671</f>
        <v>0</v>
      </c>
      <c r="G1671">
        <f>IFERROR(VLOOKUP(D1671,'Lookup Tables'!$A:$C,3,FALSE),IF(ISNUMBER(SEARCH("STEEL",F1671)),"Steel","Others"))</f>
        <v>0</v>
      </c>
      <c r="H1671">
        <f>IF(ISNUMBER(SEARCH("scrubber",F1671)) , "Scrubber", IF(ISNUMBER(SEARCH("container",F1671)),"Container", IF(ISNUMBER(SEARCH("basket",F1671)),"Basket", IF(ISNUMBER(SEARCH("lunch",F1671)),"Lunch Box", IF(ISNUMBER(SEARCH("cutlery",F1671)),"Cutlery","Other")))))</f>
        <v>0</v>
      </c>
      <c r="I1671">
        <f>IF('Raw Data'!G1671&lt;&gt;'','Raw Data'!G1671,IFERROR(MID(F1671,SEARCH("MODEL",F1671)+6,20),""))</f>
        <v>0</v>
      </c>
      <c r="J1671">
        <f>'Raw Data'!H1671</f>
        <v>0</v>
      </c>
      <c r="K1671">
        <f>'Raw Data'!I1671</f>
        <v>0</v>
      </c>
      <c r="L1671">
        <f>IF('Raw Data'!N1671&lt;&gt;0,'Raw Data'!N1671,IFERROR(VALUE(MID(F1671,SEARCH("QTY",F1671)+4,IFERROR(FIND(" ",F1671,SEARCH("QTY",F1671)+4)-(SEARCH("QTY",F1671)+4),3))),""))</f>
        <v>0</v>
      </c>
      <c r="M1671">
        <f>'Raw Data'!O1671</f>
        <v>0</v>
      </c>
      <c r="N1671">
        <f>'Raw Data'!P1671</f>
        <v>0</v>
      </c>
      <c r="O1671">
        <f>'Raw Data'!Q1671</f>
        <v>0</v>
      </c>
      <c r="P1671">
        <f>'Raw Data'!R1671</f>
        <v>0</v>
      </c>
      <c r="Q1671">
        <f>'Raw Data'!S1671</f>
        <v>0</v>
      </c>
      <c r="R1671">
        <f>'Raw Data'!T1671</f>
        <v>0</v>
      </c>
      <c r="S1671">
        <f>IFERROR(O1671,0)+IFERROR(R1671,0)</f>
        <v>0</v>
      </c>
      <c r="T1671">
        <f>IF(A1671="","",YEAR(A1671))</f>
        <v>0</v>
      </c>
    </row>
    <row r="1672" spans="1:20">
      <c r="A1672">
        <f>'Raw Data'!B1672</f>
        <v>0</v>
      </c>
      <c r="B1672">
        <f>'Raw Data'!A1672</f>
        <v>0</v>
      </c>
      <c r="C1672">
        <f>'Raw Data'!C1672</f>
        <v>0</v>
      </c>
      <c r="D1672">
        <f>'Raw Data'!D1672</f>
        <v>0</v>
      </c>
      <c r="E1672">
        <f>IFERROR(VLOOKUP(D1672,'Lookup Tables'!$A:$B,2,FALSE),"Unknown")</f>
        <v>0</v>
      </c>
      <c r="F1672">
        <f>'Raw Data'!E1672</f>
        <v>0</v>
      </c>
      <c r="G1672">
        <f>IFERROR(VLOOKUP(D1672,'Lookup Tables'!$A:$C,3,FALSE),IF(ISNUMBER(SEARCH("STEEL",F1672)),"Steel","Others"))</f>
        <v>0</v>
      </c>
      <c r="H1672">
        <f>IF(ISNUMBER(SEARCH("scrubber",F1672)) , "Scrubber", IF(ISNUMBER(SEARCH("container",F1672)),"Container", IF(ISNUMBER(SEARCH("basket",F1672)),"Basket", IF(ISNUMBER(SEARCH("lunch",F1672)),"Lunch Box", IF(ISNUMBER(SEARCH("cutlery",F1672)),"Cutlery","Other")))))</f>
        <v>0</v>
      </c>
      <c r="I1672">
        <f>IF('Raw Data'!G1672&lt;&gt;'','Raw Data'!G1672,IFERROR(MID(F1672,SEARCH("MODEL",F1672)+6,20),""))</f>
        <v>0</v>
      </c>
      <c r="J1672">
        <f>'Raw Data'!H1672</f>
        <v>0</v>
      </c>
      <c r="K1672">
        <f>'Raw Data'!I1672</f>
        <v>0</v>
      </c>
      <c r="L1672">
        <f>IF('Raw Data'!N1672&lt;&gt;0,'Raw Data'!N1672,IFERROR(VALUE(MID(F1672,SEARCH("QTY",F1672)+4,IFERROR(FIND(" ",F1672,SEARCH("QTY",F1672)+4)-(SEARCH("QTY",F1672)+4),3))),""))</f>
        <v>0</v>
      </c>
      <c r="M1672">
        <f>'Raw Data'!O1672</f>
        <v>0</v>
      </c>
      <c r="N1672">
        <f>'Raw Data'!P1672</f>
        <v>0</v>
      </c>
      <c r="O1672">
        <f>'Raw Data'!Q1672</f>
        <v>0</v>
      </c>
      <c r="P1672">
        <f>'Raw Data'!R1672</f>
        <v>0</v>
      </c>
      <c r="Q1672">
        <f>'Raw Data'!S1672</f>
        <v>0</v>
      </c>
      <c r="R1672">
        <f>'Raw Data'!T1672</f>
        <v>0</v>
      </c>
      <c r="S1672">
        <f>IFERROR(O1672,0)+IFERROR(R1672,0)</f>
        <v>0</v>
      </c>
      <c r="T1672">
        <f>IF(A1672="","",YEAR(A1672))</f>
        <v>0</v>
      </c>
    </row>
    <row r="1673" spans="1:20">
      <c r="A1673">
        <f>'Raw Data'!B1673</f>
        <v>0</v>
      </c>
      <c r="B1673">
        <f>'Raw Data'!A1673</f>
        <v>0</v>
      </c>
      <c r="C1673">
        <f>'Raw Data'!C1673</f>
        <v>0</v>
      </c>
      <c r="D1673">
        <f>'Raw Data'!D1673</f>
        <v>0</v>
      </c>
      <c r="E1673">
        <f>IFERROR(VLOOKUP(D1673,'Lookup Tables'!$A:$B,2,FALSE),"Unknown")</f>
        <v>0</v>
      </c>
      <c r="F1673">
        <f>'Raw Data'!E1673</f>
        <v>0</v>
      </c>
      <c r="G1673">
        <f>IFERROR(VLOOKUP(D1673,'Lookup Tables'!$A:$C,3,FALSE),IF(ISNUMBER(SEARCH("STEEL",F1673)),"Steel","Others"))</f>
        <v>0</v>
      </c>
      <c r="H1673">
        <f>IF(ISNUMBER(SEARCH("scrubber",F1673)) , "Scrubber", IF(ISNUMBER(SEARCH("container",F1673)),"Container", IF(ISNUMBER(SEARCH("basket",F1673)),"Basket", IF(ISNUMBER(SEARCH("lunch",F1673)),"Lunch Box", IF(ISNUMBER(SEARCH("cutlery",F1673)),"Cutlery","Other")))))</f>
        <v>0</v>
      </c>
      <c r="I1673">
        <f>IF('Raw Data'!G1673&lt;&gt;'','Raw Data'!G1673,IFERROR(MID(F1673,SEARCH("MODEL",F1673)+6,20),""))</f>
        <v>0</v>
      </c>
      <c r="J1673">
        <f>'Raw Data'!H1673</f>
        <v>0</v>
      </c>
      <c r="K1673">
        <f>'Raw Data'!I1673</f>
        <v>0</v>
      </c>
      <c r="L1673">
        <f>IF('Raw Data'!N1673&lt;&gt;0,'Raw Data'!N1673,IFERROR(VALUE(MID(F1673,SEARCH("QTY",F1673)+4,IFERROR(FIND(" ",F1673,SEARCH("QTY",F1673)+4)-(SEARCH("QTY",F1673)+4),3))),""))</f>
        <v>0</v>
      </c>
      <c r="M1673">
        <f>'Raw Data'!O1673</f>
        <v>0</v>
      </c>
      <c r="N1673">
        <f>'Raw Data'!P1673</f>
        <v>0</v>
      </c>
      <c r="O1673">
        <f>'Raw Data'!Q1673</f>
        <v>0</v>
      </c>
      <c r="P1673">
        <f>'Raw Data'!R1673</f>
        <v>0</v>
      </c>
      <c r="Q1673">
        <f>'Raw Data'!S1673</f>
        <v>0</v>
      </c>
      <c r="R1673">
        <f>'Raw Data'!T1673</f>
        <v>0</v>
      </c>
      <c r="S1673">
        <f>IFERROR(O1673,0)+IFERROR(R1673,0)</f>
        <v>0</v>
      </c>
      <c r="T1673">
        <f>IF(A1673="","",YEAR(A1673))</f>
        <v>0</v>
      </c>
    </row>
    <row r="1674" spans="1:20">
      <c r="A1674">
        <f>'Raw Data'!B1674</f>
        <v>0</v>
      </c>
      <c r="B1674">
        <f>'Raw Data'!A1674</f>
        <v>0</v>
      </c>
      <c r="C1674">
        <f>'Raw Data'!C1674</f>
        <v>0</v>
      </c>
      <c r="D1674">
        <f>'Raw Data'!D1674</f>
        <v>0</v>
      </c>
      <c r="E1674">
        <f>IFERROR(VLOOKUP(D1674,'Lookup Tables'!$A:$B,2,FALSE),"Unknown")</f>
        <v>0</v>
      </c>
      <c r="F1674">
        <f>'Raw Data'!E1674</f>
        <v>0</v>
      </c>
      <c r="G1674">
        <f>IFERROR(VLOOKUP(D1674,'Lookup Tables'!$A:$C,3,FALSE),IF(ISNUMBER(SEARCH("STEEL",F1674)),"Steel","Others"))</f>
        <v>0</v>
      </c>
      <c r="H1674">
        <f>IF(ISNUMBER(SEARCH("scrubber",F1674)) , "Scrubber", IF(ISNUMBER(SEARCH("container",F1674)),"Container", IF(ISNUMBER(SEARCH("basket",F1674)),"Basket", IF(ISNUMBER(SEARCH("lunch",F1674)),"Lunch Box", IF(ISNUMBER(SEARCH("cutlery",F1674)),"Cutlery","Other")))))</f>
        <v>0</v>
      </c>
      <c r="I1674">
        <f>IF('Raw Data'!G1674&lt;&gt;'','Raw Data'!G1674,IFERROR(MID(F1674,SEARCH("MODEL",F1674)+6,20),""))</f>
        <v>0</v>
      </c>
      <c r="J1674">
        <f>'Raw Data'!H1674</f>
        <v>0</v>
      </c>
      <c r="K1674">
        <f>'Raw Data'!I1674</f>
        <v>0</v>
      </c>
      <c r="L1674">
        <f>IF('Raw Data'!N1674&lt;&gt;0,'Raw Data'!N1674,IFERROR(VALUE(MID(F1674,SEARCH("QTY",F1674)+4,IFERROR(FIND(" ",F1674,SEARCH("QTY",F1674)+4)-(SEARCH("QTY",F1674)+4),3))),""))</f>
        <v>0</v>
      </c>
      <c r="M1674">
        <f>'Raw Data'!O1674</f>
        <v>0</v>
      </c>
      <c r="N1674">
        <f>'Raw Data'!P1674</f>
        <v>0</v>
      </c>
      <c r="O1674">
        <f>'Raw Data'!Q1674</f>
        <v>0</v>
      </c>
      <c r="P1674">
        <f>'Raw Data'!R1674</f>
        <v>0</v>
      </c>
      <c r="Q1674">
        <f>'Raw Data'!S1674</f>
        <v>0</v>
      </c>
      <c r="R1674">
        <f>'Raw Data'!T1674</f>
        <v>0</v>
      </c>
      <c r="S1674">
        <f>IFERROR(O1674,0)+IFERROR(R1674,0)</f>
        <v>0</v>
      </c>
      <c r="T1674">
        <f>IF(A1674="","",YEAR(A1674))</f>
        <v>0</v>
      </c>
    </row>
    <row r="1675" spans="1:20">
      <c r="A1675">
        <f>'Raw Data'!B1675</f>
        <v>0</v>
      </c>
      <c r="B1675">
        <f>'Raw Data'!A1675</f>
        <v>0</v>
      </c>
      <c r="C1675">
        <f>'Raw Data'!C1675</f>
        <v>0</v>
      </c>
      <c r="D1675">
        <f>'Raw Data'!D1675</f>
        <v>0</v>
      </c>
      <c r="E1675">
        <f>IFERROR(VLOOKUP(D1675,'Lookup Tables'!$A:$B,2,FALSE),"Unknown")</f>
        <v>0</v>
      </c>
      <c r="F1675">
        <f>'Raw Data'!E1675</f>
        <v>0</v>
      </c>
      <c r="G1675">
        <f>IFERROR(VLOOKUP(D1675,'Lookup Tables'!$A:$C,3,FALSE),IF(ISNUMBER(SEARCH("STEEL",F1675)),"Steel","Others"))</f>
        <v>0</v>
      </c>
      <c r="H1675">
        <f>IF(ISNUMBER(SEARCH("scrubber",F1675)) , "Scrubber", IF(ISNUMBER(SEARCH("container",F1675)),"Container", IF(ISNUMBER(SEARCH("basket",F1675)),"Basket", IF(ISNUMBER(SEARCH("lunch",F1675)),"Lunch Box", IF(ISNUMBER(SEARCH("cutlery",F1675)),"Cutlery","Other")))))</f>
        <v>0</v>
      </c>
      <c r="I1675">
        <f>IF('Raw Data'!G1675&lt;&gt;'','Raw Data'!G1675,IFERROR(MID(F1675,SEARCH("MODEL",F1675)+6,20),""))</f>
        <v>0</v>
      </c>
      <c r="J1675">
        <f>'Raw Data'!H1675</f>
        <v>0</v>
      </c>
      <c r="K1675">
        <f>'Raw Data'!I1675</f>
        <v>0</v>
      </c>
      <c r="L1675">
        <f>IF('Raw Data'!N1675&lt;&gt;0,'Raw Data'!N1675,IFERROR(VALUE(MID(F1675,SEARCH("QTY",F1675)+4,IFERROR(FIND(" ",F1675,SEARCH("QTY",F1675)+4)-(SEARCH("QTY",F1675)+4),3))),""))</f>
        <v>0</v>
      </c>
      <c r="M1675">
        <f>'Raw Data'!O1675</f>
        <v>0</v>
      </c>
      <c r="N1675">
        <f>'Raw Data'!P1675</f>
        <v>0</v>
      </c>
      <c r="O1675">
        <f>'Raw Data'!Q1675</f>
        <v>0</v>
      </c>
      <c r="P1675">
        <f>'Raw Data'!R1675</f>
        <v>0</v>
      </c>
      <c r="Q1675">
        <f>'Raw Data'!S1675</f>
        <v>0</v>
      </c>
      <c r="R1675">
        <f>'Raw Data'!T1675</f>
        <v>0</v>
      </c>
      <c r="S1675">
        <f>IFERROR(O1675,0)+IFERROR(R1675,0)</f>
        <v>0</v>
      </c>
      <c r="T1675">
        <f>IF(A1675="","",YEAR(A1675))</f>
        <v>0</v>
      </c>
    </row>
    <row r="1676" spans="1:20">
      <c r="A1676">
        <f>'Raw Data'!B1676</f>
        <v>0</v>
      </c>
      <c r="B1676">
        <f>'Raw Data'!A1676</f>
        <v>0</v>
      </c>
      <c r="C1676">
        <f>'Raw Data'!C1676</f>
        <v>0</v>
      </c>
      <c r="D1676">
        <f>'Raw Data'!D1676</f>
        <v>0</v>
      </c>
      <c r="E1676">
        <f>IFERROR(VLOOKUP(D1676,'Lookup Tables'!$A:$B,2,FALSE),"Unknown")</f>
        <v>0</v>
      </c>
      <c r="F1676">
        <f>'Raw Data'!E1676</f>
        <v>0</v>
      </c>
      <c r="G1676">
        <f>IFERROR(VLOOKUP(D1676,'Lookup Tables'!$A:$C,3,FALSE),IF(ISNUMBER(SEARCH("STEEL",F1676)),"Steel","Others"))</f>
        <v>0</v>
      </c>
      <c r="H1676">
        <f>IF(ISNUMBER(SEARCH("scrubber",F1676)) , "Scrubber", IF(ISNUMBER(SEARCH("container",F1676)),"Container", IF(ISNUMBER(SEARCH("basket",F1676)),"Basket", IF(ISNUMBER(SEARCH("lunch",F1676)),"Lunch Box", IF(ISNUMBER(SEARCH("cutlery",F1676)),"Cutlery","Other")))))</f>
        <v>0</v>
      </c>
      <c r="I1676">
        <f>IF('Raw Data'!G1676&lt;&gt;'','Raw Data'!G1676,IFERROR(MID(F1676,SEARCH("MODEL",F1676)+6,20),""))</f>
        <v>0</v>
      </c>
      <c r="J1676">
        <f>'Raw Data'!H1676</f>
        <v>0</v>
      </c>
      <c r="K1676">
        <f>'Raw Data'!I1676</f>
        <v>0</v>
      </c>
      <c r="L1676">
        <f>IF('Raw Data'!N1676&lt;&gt;0,'Raw Data'!N1676,IFERROR(VALUE(MID(F1676,SEARCH("QTY",F1676)+4,IFERROR(FIND(" ",F1676,SEARCH("QTY",F1676)+4)-(SEARCH("QTY",F1676)+4),3))),""))</f>
        <v>0</v>
      </c>
      <c r="M1676">
        <f>'Raw Data'!O1676</f>
        <v>0</v>
      </c>
      <c r="N1676">
        <f>'Raw Data'!P1676</f>
        <v>0</v>
      </c>
      <c r="O1676">
        <f>'Raw Data'!Q1676</f>
        <v>0</v>
      </c>
      <c r="P1676">
        <f>'Raw Data'!R1676</f>
        <v>0</v>
      </c>
      <c r="Q1676">
        <f>'Raw Data'!S1676</f>
        <v>0</v>
      </c>
      <c r="R1676">
        <f>'Raw Data'!T1676</f>
        <v>0</v>
      </c>
      <c r="S1676">
        <f>IFERROR(O1676,0)+IFERROR(R1676,0)</f>
        <v>0</v>
      </c>
      <c r="T1676">
        <f>IF(A1676="","",YEAR(A1676))</f>
        <v>0</v>
      </c>
    </row>
    <row r="1677" spans="1:20">
      <c r="A1677">
        <f>'Raw Data'!B1677</f>
        <v>0</v>
      </c>
      <c r="B1677">
        <f>'Raw Data'!A1677</f>
        <v>0</v>
      </c>
      <c r="C1677">
        <f>'Raw Data'!C1677</f>
        <v>0</v>
      </c>
      <c r="D1677">
        <f>'Raw Data'!D1677</f>
        <v>0</v>
      </c>
      <c r="E1677">
        <f>IFERROR(VLOOKUP(D1677,'Lookup Tables'!$A:$B,2,FALSE),"Unknown")</f>
        <v>0</v>
      </c>
      <c r="F1677">
        <f>'Raw Data'!E1677</f>
        <v>0</v>
      </c>
      <c r="G1677">
        <f>IFERROR(VLOOKUP(D1677,'Lookup Tables'!$A:$C,3,FALSE),IF(ISNUMBER(SEARCH("STEEL",F1677)),"Steel","Others"))</f>
        <v>0</v>
      </c>
      <c r="H1677">
        <f>IF(ISNUMBER(SEARCH("scrubber",F1677)) , "Scrubber", IF(ISNUMBER(SEARCH("container",F1677)),"Container", IF(ISNUMBER(SEARCH("basket",F1677)),"Basket", IF(ISNUMBER(SEARCH("lunch",F1677)),"Lunch Box", IF(ISNUMBER(SEARCH("cutlery",F1677)),"Cutlery","Other")))))</f>
        <v>0</v>
      </c>
      <c r="I1677">
        <f>IF('Raw Data'!G1677&lt;&gt;'','Raw Data'!G1677,IFERROR(MID(F1677,SEARCH("MODEL",F1677)+6,20),""))</f>
        <v>0</v>
      </c>
      <c r="J1677">
        <f>'Raw Data'!H1677</f>
        <v>0</v>
      </c>
      <c r="K1677">
        <f>'Raw Data'!I1677</f>
        <v>0</v>
      </c>
      <c r="L1677">
        <f>IF('Raw Data'!N1677&lt;&gt;0,'Raw Data'!N1677,IFERROR(VALUE(MID(F1677,SEARCH("QTY",F1677)+4,IFERROR(FIND(" ",F1677,SEARCH("QTY",F1677)+4)-(SEARCH("QTY",F1677)+4),3))),""))</f>
        <v>0</v>
      </c>
      <c r="M1677">
        <f>'Raw Data'!O1677</f>
        <v>0</v>
      </c>
      <c r="N1677">
        <f>'Raw Data'!P1677</f>
        <v>0</v>
      </c>
      <c r="O1677">
        <f>'Raw Data'!Q1677</f>
        <v>0</v>
      </c>
      <c r="P1677">
        <f>'Raw Data'!R1677</f>
        <v>0</v>
      </c>
      <c r="Q1677">
        <f>'Raw Data'!S1677</f>
        <v>0</v>
      </c>
      <c r="R1677">
        <f>'Raw Data'!T1677</f>
        <v>0</v>
      </c>
      <c r="S1677">
        <f>IFERROR(O1677,0)+IFERROR(R1677,0)</f>
        <v>0</v>
      </c>
      <c r="T1677">
        <f>IF(A1677="","",YEAR(A1677))</f>
        <v>0</v>
      </c>
    </row>
    <row r="1678" spans="1:20">
      <c r="A1678">
        <f>'Raw Data'!B1678</f>
        <v>0</v>
      </c>
      <c r="B1678">
        <f>'Raw Data'!A1678</f>
        <v>0</v>
      </c>
      <c r="C1678">
        <f>'Raw Data'!C1678</f>
        <v>0</v>
      </c>
      <c r="D1678">
        <f>'Raw Data'!D1678</f>
        <v>0</v>
      </c>
      <c r="E1678">
        <f>IFERROR(VLOOKUP(D1678,'Lookup Tables'!$A:$B,2,FALSE),"Unknown")</f>
        <v>0</v>
      </c>
      <c r="F1678">
        <f>'Raw Data'!E1678</f>
        <v>0</v>
      </c>
      <c r="G1678">
        <f>IFERROR(VLOOKUP(D1678,'Lookup Tables'!$A:$C,3,FALSE),IF(ISNUMBER(SEARCH("STEEL",F1678)),"Steel","Others"))</f>
        <v>0</v>
      </c>
      <c r="H1678">
        <f>IF(ISNUMBER(SEARCH("scrubber",F1678)) , "Scrubber", IF(ISNUMBER(SEARCH("container",F1678)),"Container", IF(ISNUMBER(SEARCH("basket",F1678)),"Basket", IF(ISNUMBER(SEARCH("lunch",F1678)),"Lunch Box", IF(ISNUMBER(SEARCH("cutlery",F1678)),"Cutlery","Other")))))</f>
        <v>0</v>
      </c>
      <c r="I1678">
        <f>IF('Raw Data'!G1678&lt;&gt;'','Raw Data'!G1678,IFERROR(MID(F1678,SEARCH("MODEL",F1678)+6,20),""))</f>
        <v>0</v>
      </c>
      <c r="J1678">
        <f>'Raw Data'!H1678</f>
        <v>0</v>
      </c>
      <c r="K1678">
        <f>'Raw Data'!I1678</f>
        <v>0</v>
      </c>
      <c r="L1678">
        <f>IF('Raw Data'!N1678&lt;&gt;0,'Raw Data'!N1678,IFERROR(VALUE(MID(F1678,SEARCH("QTY",F1678)+4,IFERROR(FIND(" ",F1678,SEARCH("QTY",F1678)+4)-(SEARCH("QTY",F1678)+4),3))),""))</f>
        <v>0</v>
      </c>
      <c r="M1678">
        <f>'Raw Data'!O1678</f>
        <v>0</v>
      </c>
      <c r="N1678">
        <f>'Raw Data'!P1678</f>
        <v>0</v>
      </c>
      <c r="O1678">
        <f>'Raw Data'!Q1678</f>
        <v>0</v>
      </c>
      <c r="P1678">
        <f>'Raw Data'!R1678</f>
        <v>0</v>
      </c>
      <c r="Q1678">
        <f>'Raw Data'!S1678</f>
        <v>0</v>
      </c>
      <c r="R1678">
        <f>'Raw Data'!T1678</f>
        <v>0</v>
      </c>
      <c r="S1678">
        <f>IFERROR(O1678,0)+IFERROR(R1678,0)</f>
        <v>0</v>
      </c>
      <c r="T1678">
        <f>IF(A1678="","",YEAR(A1678))</f>
        <v>0</v>
      </c>
    </row>
    <row r="1679" spans="1:20">
      <c r="A1679">
        <f>'Raw Data'!B1679</f>
        <v>0</v>
      </c>
      <c r="B1679">
        <f>'Raw Data'!A1679</f>
        <v>0</v>
      </c>
      <c r="C1679">
        <f>'Raw Data'!C1679</f>
        <v>0</v>
      </c>
      <c r="D1679">
        <f>'Raw Data'!D1679</f>
        <v>0</v>
      </c>
      <c r="E1679">
        <f>IFERROR(VLOOKUP(D1679,'Lookup Tables'!$A:$B,2,FALSE),"Unknown")</f>
        <v>0</v>
      </c>
      <c r="F1679">
        <f>'Raw Data'!E1679</f>
        <v>0</v>
      </c>
      <c r="G1679">
        <f>IFERROR(VLOOKUP(D1679,'Lookup Tables'!$A:$C,3,FALSE),IF(ISNUMBER(SEARCH("STEEL",F1679)),"Steel","Others"))</f>
        <v>0</v>
      </c>
      <c r="H1679">
        <f>IF(ISNUMBER(SEARCH("scrubber",F1679)) , "Scrubber", IF(ISNUMBER(SEARCH("container",F1679)),"Container", IF(ISNUMBER(SEARCH("basket",F1679)),"Basket", IF(ISNUMBER(SEARCH("lunch",F1679)),"Lunch Box", IF(ISNUMBER(SEARCH("cutlery",F1679)),"Cutlery","Other")))))</f>
        <v>0</v>
      </c>
      <c r="I1679">
        <f>IF('Raw Data'!G1679&lt;&gt;'','Raw Data'!G1679,IFERROR(MID(F1679,SEARCH("MODEL",F1679)+6,20),""))</f>
        <v>0</v>
      </c>
      <c r="J1679">
        <f>'Raw Data'!H1679</f>
        <v>0</v>
      </c>
      <c r="K1679">
        <f>'Raw Data'!I1679</f>
        <v>0</v>
      </c>
      <c r="L1679">
        <f>IF('Raw Data'!N1679&lt;&gt;0,'Raw Data'!N1679,IFERROR(VALUE(MID(F1679,SEARCH("QTY",F1679)+4,IFERROR(FIND(" ",F1679,SEARCH("QTY",F1679)+4)-(SEARCH("QTY",F1679)+4),3))),""))</f>
        <v>0</v>
      </c>
      <c r="M1679">
        <f>'Raw Data'!O1679</f>
        <v>0</v>
      </c>
      <c r="N1679">
        <f>'Raw Data'!P1679</f>
        <v>0</v>
      </c>
      <c r="O1679">
        <f>'Raw Data'!Q1679</f>
        <v>0</v>
      </c>
      <c r="P1679">
        <f>'Raw Data'!R1679</f>
        <v>0</v>
      </c>
      <c r="Q1679">
        <f>'Raw Data'!S1679</f>
        <v>0</v>
      </c>
      <c r="R1679">
        <f>'Raw Data'!T1679</f>
        <v>0</v>
      </c>
      <c r="S1679">
        <f>IFERROR(O1679,0)+IFERROR(R1679,0)</f>
        <v>0</v>
      </c>
      <c r="T1679">
        <f>IF(A1679="","",YEAR(A1679))</f>
        <v>0</v>
      </c>
    </row>
    <row r="1680" spans="1:20">
      <c r="A1680">
        <f>'Raw Data'!B1680</f>
        <v>0</v>
      </c>
      <c r="B1680">
        <f>'Raw Data'!A1680</f>
        <v>0</v>
      </c>
      <c r="C1680">
        <f>'Raw Data'!C1680</f>
        <v>0</v>
      </c>
      <c r="D1680">
        <f>'Raw Data'!D1680</f>
        <v>0</v>
      </c>
      <c r="E1680">
        <f>IFERROR(VLOOKUP(D1680,'Lookup Tables'!$A:$B,2,FALSE),"Unknown")</f>
        <v>0</v>
      </c>
      <c r="F1680">
        <f>'Raw Data'!E1680</f>
        <v>0</v>
      </c>
      <c r="G1680">
        <f>IFERROR(VLOOKUP(D1680,'Lookup Tables'!$A:$C,3,FALSE),IF(ISNUMBER(SEARCH("STEEL",F1680)),"Steel","Others"))</f>
        <v>0</v>
      </c>
      <c r="H1680">
        <f>IF(ISNUMBER(SEARCH("scrubber",F1680)) , "Scrubber", IF(ISNUMBER(SEARCH("container",F1680)),"Container", IF(ISNUMBER(SEARCH("basket",F1680)),"Basket", IF(ISNUMBER(SEARCH("lunch",F1680)),"Lunch Box", IF(ISNUMBER(SEARCH("cutlery",F1680)),"Cutlery","Other")))))</f>
        <v>0</v>
      </c>
      <c r="I1680">
        <f>IF('Raw Data'!G1680&lt;&gt;'','Raw Data'!G1680,IFERROR(MID(F1680,SEARCH("MODEL",F1680)+6,20),""))</f>
        <v>0</v>
      </c>
      <c r="J1680">
        <f>'Raw Data'!H1680</f>
        <v>0</v>
      </c>
      <c r="K1680">
        <f>'Raw Data'!I1680</f>
        <v>0</v>
      </c>
      <c r="L1680">
        <f>IF('Raw Data'!N1680&lt;&gt;0,'Raw Data'!N1680,IFERROR(VALUE(MID(F1680,SEARCH("QTY",F1680)+4,IFERROR(FIND(" ",F1680,SEARCH("QTY",F1680)+4)-(SEARCH("QTY",F1680)+4),3))),""))</f>
        <v>0</v>
      </c>
      <c r="M1680">
        <f>'Raw Data'!O1680</f>
        <v>0</v>
      </c>
      <c r="N1680">
        <f>'Raw Data'!P1680</f>
        <v>0</v>
      </c>
      <c r="O1680">
        <f>'Raw Data'!Q1680</f>
        <v>0</v>
      </c>
      <c r="P1680">
        <f>'Raw Data'!R1680</f>
        <v>0</v>
      </c>
      <c r="Q1680">
        <f>'Raw Data'!S1680</f>
        <v>0</v>
      </c>
      <c r="R1680">
        <f>'Raw Data'!T1680</f>
        <v>0</v>
      </c>
      <c r="S1680">
        <f>IFERROR(O1680,0)+IFERROR(R1680,0)</f>
        <v>0</v>
      </c>
      <c r="T1680">
        <f>IF(A1680="","",YEAR(A1680))</f>
        <v>0</v>
      </c>
    </row>
    <row r="1681" spans="1:20">
      <c r="A1681">
        <f>'Raw Data'!B1681</f>
        <v>0</v>
      </c>
      <c r="B1681">
        <f>'Raw Data'!A1681</f>
        <v>0</v>
      </c>
      <c r="C1681">
        <f>'Raw Data'!C1681</f>
        <v>0</v>
      </c>
      <c r="D1681">
        <f>'Raw Data'!D1681</f>
        <v>0</v>
      </c>
      <c r="E1681">
        <f>IFERROR(VLOOKUP(D1681,'Lookup Tables'!$A:$B,2,FALSE),"Unknown")</f>
        <v>0</v>
      </c>
      <c r="F1681">
        <f>'Raw Data'!E1681</f>
        <v>0</v>
      </c>
      <c r="G1681">
        <f>IFERROR(VLOOKUP(D1681,'Lookup Tables'!$A:$C,3,FALSE),IF(ISNUMBER(SEARCH("STEEL",F1681)),"Steel","Others"))</f>
        <v>0</v>
      </c>
      <c r="H1681">
        <f>IF(ISNUMBER(SEARCH("scrubber",F1681)) , "Scrubber", IF(ISNUMBER(SEARCH("container",F1681)),"Container", IF(ISNUMBER(SEARCH("basket",F1681)),"Basket", IF(ISNUMBER(SEARCH("lunch",F1681)),"Lunch Box", IF(ISNUMBER(SEARCH("cutlery",F1681)),"Cutlery","Other")))))</f>
        <v>0</v>
      </c>
      <c r="I1681">
        <f>IF('Raw Data'!G1681&lt;&gt;'','Raw Data'!G1681,IFERROR(MID(F1681,SEARCH("MODEL",F1681)+6,20),""))</f>
        <v>0</v>
      </c>
      <c r="J1681">
        <f>'Raw Data'!H1681</f>
        <v>0</v>
      </c>
      <c r="K1681">
        <f>'Raw Data'!I1681</f>
        <v>0</v>
      </c>
      <c r="L1681">
        <f>IF('Raw Data'!N1681&lt;&gt;0,'Raw Data'!N1681,IFERROR(VALUE(MID(F1681,SEARCH("QTY",F1681)+4,IFERROR(FIND(" ",F1681,SEARCH("QTY",F1681)+4)-(SEARCH("QTY",F1681)+4),3))),""))</f>
        <v>0</v>
      </c>
      <c r="M1681">
        <f>'Raw Data'!O1681</f>
        <v>0</v>
      </c>
      <c r="N1681">
        <f>'Raw Data'!P1681</f>
        <v>0</v>
      </c>
      <c r="O1681">
        <f>'Raw Data'!Q1681</f>
        <v>0</v>
      </c>
      <c r="P1681">
        <f>'Raw Data'!R1681</f>
        <v>0</v>
      </c>
      <c r="Q1681">
        <f>'Raw Data'!S1681</f>
        <v>0</v>
      </c>
      <c r="R1681">
        <f>'Raw Data'!T1681</f>
        <v>0</v>
      </c>
      <c r="S1681">
        <f>IFERROR(O1681,0)+IFERROR(R1681,0)</f>
        <v>0</v>
      </c>
      <c r="T1681">
        <f>IF(A1681="","",YEAR(A1681))</f>
        <v>0</v>
      </c>
    </row>
    <row r="1682" spans="1:20">
      <c r="A1682">
        <f>'Raw Data'!B1682</f>
        <v>0</v>
      </c>
      <c r="B1682">
        <f>'Raw Data'!A1682</f>
        <v>0</v>
      </c>
      <c r="C1682">
        <f>'Raw Data'!C1682</f>
        <v>0</v>
      </c>
      <c r="D1682">
        <f>'Raw Data'!D1682</f>
        <v>0</v>
      </c>
      <c r="E1682">
        <f>IFERROR(VLOOKUP(D1682,'Lookup Tables'!$A:$B,2,FALSE),"Unknown")</f>
        <v>0</v>
      </c>
      <c r="F1682">
        <f>'Raw Data'!E1682</f>
        <v>0</v>
      </c>
      <c r="G1682">
        <f>IFERROR(VLOOKUP(D1682,'Lookup Tables'!$A:$C,3,FALSE),IF(ISNUMBER(SEARCH("STEEL",F1682)),"Steel","Others"))</f>
        <v>0</v>
      </c>
      <c r="H1682">
        <f>IF(ISNUMBER(SEARCH("scrubber",F1682)) , "Scrubber", IF(ISNUMBER(SEARCH("container",F1682)),"Container", IF(ISNUMBER(SEARCH("basket",F1682)),"Basket", IF(ISNUMBER(SEARCH("lunch",F1682)),"Lunch Box", IF(ISNUMBER(SEARCH("cutlery",F1682)),"Cutlery","Other")))))</f>
        <v>0</v>
      </c>
      <c r="I1682">
        <f>IF('Raw Data'!G1682&lt;&gt;'','Raw Data'!G1682,IFERROR(MID(F1682,SEARCH("MODEL",F1682)+6,20),""))</f>
        <v>0</v>
      </c>
      <c r="J1682">
        <f>'Raw Data'!H1682</f>
        <v>0</v>
      </c>
      <c r="K1682">
        <f>'Raw Data'!I1682</f>
        <v>0</v>
      </c>
      <c r="L1682">
        <f>IF('Raw Data'!N1682&lt;&gt;0,'Raw Data'!N1682,IFERROR(VALUE(MID(F1682,SEARCH("QTY",F1682)+4,IFERROR(FIND(" ",F1682,SEARCH("QTY",F1682)+4)-(SEARCH("QTY",F1682)+4),3))),""))</f>
        <v>0</v>
      </c>
      <c r="M1682">
        <f>'Raw Data'!O1682</f>
        <v>0</v>
      </c>
      <c r="N1682">
        <f>'Raw Data'!P1682</f>
        <v>0</v>
      </c>
      <c r="O1682">
        <f>'Raw Data'!Q1682</f>
        <v>0</v>
      </c>
      <c r="P1682">
        <f>'Raw Data'!R1682</f>
        <v>0</v>
      </c>
      <c r="Q1682">
        <f>'Raw Data'!S1682</f>
        <v>0</v>
      </c>
      <c r="R1682">
        <f>'Raw Data'!T1682</f>
        <v>0</v>
      </c>
      <c r="S1682">
        <f>IFERROR(O1682,0)+IFERROR(R1682,0)</f>
        <v>0</v>
      </c>
      <c r="T1682">
        <f>IF(A1682="","",YEAR(A1682))</f>
        <v>0</v>
      </c>
    </row>
    <row r="1683" spans="1:20">
      <c r="A1683">
        <f>'Raw Data'!B1683</f>
        <v>0</v>
      </c>
      <c r="B1683">
        <f>'Raw Data'!A1683</f>
        <v>0</v>
      </c>
      <c r="C1683">
        <f>'Raw Data'!C1683</f>
        <v>0</v>
      </c>
      <c r="D1683">
        <f>'Raw Data'!D1683</f>
        <v>0</v>
      </c>
      <c r="E1683">
        <f>IFERROR(VLOOKUP(D1683,'Lookup Tables'!$A:$B,2,FALSE),"Unknown")</f>
        <v>0</v>
      </c>
      <c r="F1683">
        <f>'Raw Data'!E1683</f>
        <v>0</v>
      </c>
      <c r="G1683">
        <f>IFERROR(VLOOKUP(D1683,'Lookup Tables'!$A:$C,3,FALSE),IF(ISNUMBER(SEARCH("STEEL",F1683)),"Steel","Others"))</f>
        <v>0</v>
      </c>
      <c r="H1683">
        <f>IF(ISNUMBER(SEARCH("scrubber",F1683)) , "Scrubber", IF(ISNUMBER(SEARCH("container",F1683)),"Container", IF(ISNUMBER(SEARCH("basket",F1683)),"Basket", IF(ISNUMBER(SEARCH("lunch",F1683)),"Lunch Box", IF(ISNUMBER(SEARCH("cutlery",F1683)),"Cutlery","Other")))))</f>
        <v>0</v>
      </c>
      <c r="I1683">
        <f>IF('Raw Data'!G1683&lt;&gt;'','Raw Data'!G1683,IFERROR(MID(F1683,SEARCH("MODEL",F1683)+6,20),""))</f>
        <v>0</v>
      </c>
      <c r="J1683">
        <f>'Raw Data'!H1683</f>
        <v>0</v>
      </c>
      <c r="K1683">
        <f>'Raw Data'!I1683</f>
        <v>0</v>
      </c>
      <c r="L1683">
        <f>IF('Raw Data'!N1683&lt;&gt;0,'Raw Data'!N1683,IFERROR(VALUE(MID(F1683,SEARCH("QTY",F1683)+4,IFERROR(FIND(" ",F1683,SEARCH("QTY",F1683)+4)-(SEARCH("QTY",F1683)+4),3))),""))</f>
        <v>0</v>
      </c>
      <c r="M1683">
        <f>'Raw Data'!O1683</f>
        <v>0</v>
      </c>
      <c r="N1683">
        <f>'Raw Data'!P1683</f>
        <v>0</v>
      </c>
      <c r="O1683">
        <f>'Raw Data'!Q1683</f>
        <v>0</v>
      </c>
      <c r="P1683">
        <f>'Raw Data'!R1683</f>
        <v>0</v>
      </c>
      <c r="Q1683">
        <f>'Raw Data'!S1683</f>
        <v>0</v>
      </c>
      <c r="R1683">
        <f>'Raw Data'!T1683</f>
        <v>0</v>
      </c>
      <c r="S1683">
        <f>IFERROR(O1683,0)+IFERROR(R1683,0)</f>
        <v>0</v>
      </c>
      <c r="T1683">
        <f>IF(A1683="","",YEAR(A1683))</f>
        <v>0</v>
      </c>
    </row>
    <row r="1684" spans="1:20">
      <c r="A1684">
        <f>'Raw Data'!B1684</f>
        <v>0</v>
      </c>
      <c r="B1684">
        <f>'Raw Data'!A1684</f>
        <v>0</v>
      </c>
      <c r="C1684">
        <f>'Raw Data'!C1684</f>
        <v>0</v>
      </c>
      <c r="D1684">
        <f>'Raw Data'!D1684</f>
        <v>0</v>
      </c>
      <c r="E1684">
        <f>IFERROR(VLOOKUP(D1684,'Lookup Tables'!$A:$B,2,FALSE),"Unknown")</f>
        <v>0</v>
      </c>
      <c r="F1684">
        <f>'Raw Data'!E1684</f>
        <v>0</v>
      </c>
      <c r="G1684">
        <f>IFERROR(VLOOKUP(D1684,'Lookup Tables'!$A:$C,3,FALSE),IF(ISNUMBER(SEARCH("STEEL",F1684)),"Steel","Others"))</f>
        <v>0</v>
      </c>
      <c r="H1684">
        <f>IF(ISNUMBER(SEARCH("scrubber",F1684)) , "Scrubber", IF(ISNUMBER(SEARCH("container",F1684)),"Container", IF(ISNUMBER(SEARCH("basket",F1684)),"Basket", IF(ISNUMBER(SEARCH("lunch",F1684)),"Lunch Box", IF(ISNUMBER(SEARCH("cutlery",F1684)),"Cutlery","Other")))))</f>
        <v>0</v>
      </c>
      <c r="I1684">
        <f>IF('Raw Data'!G1684&lt;&gt;'','Raw Data'!G1684,IFERROR(MID(F1684,SEARCH("MODEL",F1684)+6,20),""))</f>
        <v>0</v>
      </c>
      <c r="J1684">
        <f>'Raw Data'!H1684</f>
        <v>0</v>
      </c>
      <c r="K1684">
        <f>'Raw Data'!I1684</f>
        <v>0</v>
      </c>
      <c r="L1684">
        <f>IF('Raw Data'!N1684&lt;&gt;0,'Raw Data'!N1684,IFERROR(VALUE(MID(F1684,SEARCH("QTY",F1684)+4,IFERROR(FIND(" ",F1684,SEARCH("QTY",F1684)+4)-(SEARCH("QTY",F1684)+4),3))),""))</f>
        <v>0</v>
      </c>
      <c r="M1684">
        <f>'Raw Data'!O1684</f>
        <v>0</v>
      </c>
      <c r="N1684">
        <f>'Raw Data'!P1684</f>
        <v>0</v>
      </c>
      <c r="O1684">
        <f>'Raw Data'!Q1684</f>
        <v>0</v>
      </c>
      <c r="P1684">
        <f>'Raw Data'!R1684</f>
        <v>0</v>
      </c>
      <c r="Q1684">
        <f>'Raw Data'!S1684</f>
        <v>0</v>
      </c>
      <c r="R1684">
        <f>'Raw Data'!T1684</f>
        <v>0</v>
      </c>
      <c r="S1684">
        <f>IFERROR(O1684,0)+IFERROR(R1684,0)</f>
        <v>0</v>
      </c>
      <c r="T1684">
        <f>IF(A1684="","",YEAR(A1684))</f>
        <v>0</v>
      </c>
    </row>
    <row r="1685" spans="1:20">
      <c r="A1685">
        <f>'Raw Data'!B1685</f>
        <v>0</v>
      </c>
      <c r="B1685">
        <f>'Raw Data'!A1685</f>
        <v>0</v>
      </c>
      <c r="C1685">
        <f>'Raw Data'!C1685</f>
        <v>0</v>
      </c>
      <c r="D1685">
        <f>'Raw Data'!D1685</f>
        <v>0</v>
      </c>
      <c r="E1685">
        <f>IFERROR(VLOOKUP(D1685,'Lookup Tables'!$A:$B,2,FALSE),"Unknown")</f>
        <v>0</v>
      </c>
      <c r="F1685">
        <f>'Raw Data'!E1685</f>
        <v>0</v>
      </c>
      <c r="G1685">
        <f>IFERROR(VLOOKUP(D1685,'Lookup Tables'!$A:$C,3,FALSE),IF(ISNUMBER(SEARCH("STEEL",F1685)),"Steel","Others"))</f>
        <v>0</v>
      </c>
      <c r="H1685">
        <f>IF(ISNUMBER(SEARCH("scrubber",F1685)) , "Scrubber", IF(ISNUMBER(SEARCH("container",F1685)),"Container", IF(ISNUMBER(SEARCH("basket",F1685)),"Basket", IF(ISNUMBER(SEARCH("lunch",F1685)),"Lunch Box", IF(ISNUMBER(SEARCH("cutlery",F1685)),"Cutlery","Other")))))</f>
        <v>0</v>
      </c>
      <c r="I1685">
        <f>IF('Raw Data'!G1685&lt;&gt;'','Raw Data'!G1685,IFERROR(MID(F1685,SEARCH("MODEL",F1685)+6,20),""))</f>
        <v>0</v>
      </c>
      <c r="J1685">
        <f>'Raw Data'!H1685</f>
        <v>0</v>
      </c>
      <c r="K1685">
        <f>'Raw Data'!I1685</f>
        <v>0</v>
      </c>
      <c r="L1685">
        <f>IF('Raw Data'!N1685&lt;&gt;0,'Raw Data'!N1685,IFERROR(VALUE(MID(F1685,SEARCH("QTY",F1685)+4,IFERROR(FIND(" ",F1685,SEARCH("QTY",F1685)+4)-(SEARCH("QTY",F1685)+4),3))),""))</f>
        <v>0</v>
      </c>
      <c r="M1685">
        <f>'Raw Data'!O1685</f>
        <v>0</v>
      </c>
      <c r="N1685">
        <f>'Raw Data'!P1685</f>
        <v>0</v>
      </c>
      <c r="O1685">
        <f>'Raw Data'!Q1685</f>
        <v>0</v>
      </c>
      <c r="P1685">
        <f>'Raw Data'!R1685</f>
        <v>0</v>
      </c>
      <c r="Q1685">
        <f>'Raw Data'!S1685</f>
        <v>0</v>
      </c>
      <c r="R1685">
        <f>'Raw Data'!T1685</f>
        <v>0</v>
      </c>
      <c r="S1685">
        <f>IFERROR(O1685,0)+IFERROR(R1685,0)</f>
        <v>0</v>
      </c>
      <c r="T1685">
        <f>IF(A1685="","",YEAR(A1685))</f>
        <v>0</v>
      </c>
    </row>
    <row r="1686" spans="1:20">
      <c r="A1686">
        <f>'Raw Data'!B1686</f>
        <v>0</v>
      </c>
      <c r="B1686">
        <f>'Raw Data'!A1686</f>
        <v>0</v>
      </c>
      <c r="C1686">
        <f>'Raw Data'!C1686</f>
        <v>0</v>
      </c>
      <c r="D1686">
        <f>'Raw Data'!D1686</f>
        <v>0</v>
      </c>
      <c r="E1686">
        <f>IFERROR(VLOOKUP(D1686,'Lookup Tables'!$A:$B,2,FALSE),"Unknown")</f>
        <v>0</v>
      </c>
      <c r="F1686">
        <f>'Raw Data'!E1686</f>
        <v>0</v>
      </c>
      <c r="G1686">
        <f>IFERROR(VLOOKUP(D1686,'Lookup Tables'!$A:$C,3,FALSE),IF(ISNUMBER(SEARCH("STEEL",F1686)),"Steel","Others"))</f>
        <v>0</v>
      </c>
      <c r="H1686">
        <f>IF(ISNUMBER(SEARCH("scrubber",F1686)) , "Scrubber", IF(ISNUMBER(SEARCH("container",F1686)),"Container", IF(ISNUMBER(SEARCH("basket",F1686)),"Basket", IF(ISNUMBER(SEARCH("lunch",F1686)),"Lunch Box", IF(ISNUMBER(SEARCH("cutlery",F1686)),"Cutlery","Other")))))</f>
        <v>0</v>
      </c>
      <c r="I1686">
        <f>IF('Raw Data'!G1686&lt;&gt;'','Raw Data'!G1686,IFERROR(MID(F1686,SEARCH("MODEL",F1686)+6,20),""))</f>
        <v>0</v>
      </c>
      <c r="J1686">
        <f>'Raw Data'!H1686</f>
        <v>0</v>
      </c>
      <c r="K1686">
        <f>'Raw Data'!I1686</f>
        <v>0</v>
      </c>
      <c r="L1686">
        <f>IF('Raw Data'!N1686&lt;&gt;0,'Raw Data'!N1686,IFERROR(VALUE(MID(F1686,SEARCH("QTY",F1686)+4,IFERROR(FIND(" ",F1686,SEARCH("QTY",F1686)+4)-(SEARCH("QTY",F1686)+4),3))),""))</f>
        <v>0</v>
      </c>
      <c r="M1686">
        <f>'Raw Data'!O1686</f>
        <v>0</v>
      </c>
      <c r="N1686">
        <f>'Raw Data'!P1686</f>
        <v>0</v>
      </c>
      <c r="O1686">
        <f>'Raw Data'!Q1686</f>
        <v>0</v>
      </c>
      <c r="P1686">
        <f>'Raw Data'!R1686</f>
        <v>0</v>
      </c>
      <c r="Q1686">
        <f>'Raw Data'!S1686</f>
        <v>0</v>
      </c>
      <c r="R1686">
        <f>'Raw Data'!T1686</f>
        <v>0</v>
      </c>
      <c r="S1686">
        <f>IFERROR(O1686,0)+IFERROR(R1686,0)</f>
        <v>0</v>
      </c>
      <c r="T1686">
        <f>IF(A1686="","",YEAR(A1686))</f>
        <v>0</v>
      </c>
    </row>
    <row r="1687" spans="1:20">
      <c r="A1687">
        <f>'Raw Data'!B1687</f>
        <v>0</v>
      </c>
      <c r="B1687">
        <f>'Raw Data'!A1687</f>
        <v>0</v>
      </c>
      <c r="C1687">
        <f>'Raw Data'!C1687</f>
        <v>0</v>
      </c>
      <c r="D1687">
        <f>'Raw Data'!D1687</f>
        <v>0</v>
      </c>
      <c r="E1687">
        <f>IFERROR(VLOOKUP(D1687,'Lookup Tables'!$A:$B,2,FALSE),"Unknown")</f>
        <v>0</v>
      </c>
      <c r="F1687">
        <f>'Raw Data'!E1687</f>
        <v>0</v>
      </c>
      <c r="G1687">
        <f>IFERROR(VLOOKUP(D1687,'Lookup Tables'!$A:$C,3,FALSE),IF(ISNUMBER(SEARCH("STEEL",F1687)),"Steel","Others"))</f>
        <v>0</v>
      </c>
      <c r="H1687">
        <f>IF(ISNUMBER(SEARCH("scrubber",F1687)) , "Scrubber", IF(ISNUMBER(SEARCH("container",F1687)),"Container", IF(ISNUMBER(SEARCH("basket",F1687)),"Basket", IF(ISNUMBER(SEARCH("lunch",F1687)),"Lunch Box", IF(ISNUMBER(SEARCH("cutlery",F1687)),"Cutlery","Other")))))</f>
        <v>0</v>
      </c>
      <c r="I1687">
        <f>IF('Raw Data'!G1687&lt;&gt;'','Raw Data'!G1687,IFERROR(MID(F1687,SEARCH("MODEL",F1687)+6,20),""))</f>
        <v>0</v>
      </c>
      <c r="J1687">
        <f>'Raw Data'!H1687</f>
        <v>0</v>
      </c>
      <c r="K1687">
        <f>'Raw Data'!I1687</f>
        <v>0</v>
      </c>
      <c r="L1687">
        <f>IF('Raw Data'!N1687&lt;&gt;0,'Raw Data'!N1687,IFERROR(VALUE(MID(F1687,SEARCH("QTY",F1687)+4,IFERROR(FIND(" ",F1687,SEARCH("QTY",F1687)+4)-(SEARCH("QTY",F1687)+4),3))),""))</f>
        <v>0</v>
      </c>
      <c r="M1687">
        <f>'Raw Data'!O1687</f>
        <v>0</v>
      </c>
      <c r="N1687">
        <f>'Raw Data'!P1687</f>
        <v>0</v>
      </c>
      <c r="O1687">
        <f>'Raw Data'!Q1687</f>
        <v>0</v>
      </c>
      <c r="P1687">
        <f>'Raw Data'!R1687</f>
        <v>0</v>
      </c>
      <c r="Q1687">
        <f>'Raw Data'!S1687</f>
        <v>0</v>
      </c>
      <c r="R1687">
        <f>'Raw Data'!T1687</f>
        <v>0</v>
      </c>
      <c r="S1687">
        <f>IFERROR(O1687,0)+IFERROR(R1687,0)</f>
        <v>0</v>
      </c>
      <c r="T1687">
        <f>IF(A1687="","",YEAR(A1687))</f>
        <v>0</v>
      </c>
    </row>
    <row r="1688" spans="1:20">
      <c r="A1688">
        <f>'Raw Data'!B1688</f>
        <v>0</v>
      </c>
      <c r="B1688">
        <f>'Raw Data'!A1688</f>
        <v>0</v>
      </c>
      <c r="C1688">
        <f>'Raw Data'!C1688</f>
        <v>0</v>
      </c>
      <c r="D1688">
        <f>'Raw Data'!D1688</f>
        <v>0</v>
      </c>
      <c r="E1688">
        <f>IFERROR(VLOOKUP(D1688,'Lookup Tables'!$A:$B,2,FALSE),"Unknown")</f>
        <v>0</v>
      </c>
      <c r="F1688">
        <f>'Raw Data'!E1688</f>
        <v>0</v>
      </c>
      <c r="G1688">
        <f>IFERROR(VLOOKUP(D1688,'Lookup Tables'!$A:$C,3,FALSE),IF(ISNUMBER(SEARCH("STEEL",F1688)),"Steel","Others"))</f>
        <v>0</v>
      </c>
      <c r="H1688">
        <f>IF(ISNUMBER(SEARCH("scrubber",F1688)) , "Scrubber", IF(ISNUMBER(SEARCH("container",F1688)),"Container", IF(ISNUMBER(SEARCH("basket",F1688)),"Basket", IF(ISNUMBER(SEARCH("lunch",F1688)),"Lunch Box", IF(ISNUMBER(SEARCH("cutlery",F1688)),"Cutlery","Other")))))</f>
        <v>0</v>
      </c>
      <c r="I1688">
        <f>IF('Raw Data'!G1688&lt;&gt;'','Raw Data'!G1688,IFERROR(MID(F1688,SEARCH("MODEL",F1688)+6,20),""))</f>
        <v>0</v>
      </c>
      <c r="J1688">
        <f>'Raw Data'!H1688</f>
        <v>0</v>
      </c>
      <c r="K1688">
        <f>'Raw Data'!I1688</f>
        <v>0</v>
      </c>
      <c r="L1688">
        <f>IF('Raw Data'!N1688&lt;&gt;0,'Raw Data'!N1688,IFERROR(VALUE(MID(F1688,SEARCH("QTY",F1688)+4,IFERROR(FIND(" ",F1688,SEARCH("QTY",F1688)+4)-(SEARCH("QTY",F1688)+4),3))),""))</f>
        <v>0</v>
      </c>
      <c r="M1688">
        <f>'Raw Data'!O1688</f>
        <v>0</v>
      </c>
      <c r="N1688">
        <f>'Raw Data'!P1688</f>
        <v>0</v>
      </c>
      <c r="O1688">
        <f>'Raw Data'!Q1688</f>
        <v>0</v>
      </c>
      <c r="P1688">
        <f>'Raw Data'!R1688</f>
        <v>0</v>
      </c>
      <c r="Q1688">
        <f>'Raw Data'!S1688</f>
        <v>0</v>
      </c>
      <c r="R1688">
        <f>'Raw Data'!T1688</f>
        <v>0</v>
      </c>
      <c r="S1688">
        <f>IFERROR(O1688,0)+IFERROR(R1688,0)</f>
        <v>0</v>
      </c>
      <c r="T1688">
        <f>IF(A1688="","",YEAR(A1688))</f>
        <v>0</v>
      </c>
    </row>
    <row r="1689" spans="1:20">
      <c r="A1689">
        <f>'Raw Data'!B1689</f>
        <v>0</v>
      </c>
      <c r="B1689">
        <f>'Raw Data'!A1689</f>
        <v>0</v>
      </c>
      <c r="C1689">
        <f>'Raw Data'!C1689</f>
        <v>0</v>
      </c>
      <c r="D1689">
        <f>'Raw Data'!D1689</f>
        <v>0</v>
      </c>
      <c r="E1689">
        <f>IFERROR(VLOOKUP(D1689,'Lookup Tables'!$A:$B,2,FALSE),"Unknown")</f>
        <v>0</v>
      </c>
      <c r="F1689">
        <f>'Raw Data'!E1689</f>
        <v>0</v>
      </c>
      <c r="G1689">
        <f>IFERROR(VLOOKUP(D1689,'Lookup Tables'!$A:$C,3,FALSE),IF(ISNUMBER(SEARCH("STEEL",F1689)),"Steel","Others"))</f>
        <v>0</v>
      </c>
      <c r="H1689">
        <f>IF(ISNUMBER(SEARCH("scrubber",F1689)) , "Scrubber", IF(ISNUMBER(SEARCH("container",F1689)),"Container", IF(ISNUMBER(SEARCH("basket",F1689)),"Basket", IF(ISNUMBER(SEARCH("lunch",F1689)),"Lunch Box", IF(ISNUMBER(SEARCH("cutlery",F1689)),"Cutlery","Other")))))</f>
        <v>0</v>
      </c>
      <c r="I1689">
        <f>IF('Raw Data'!G1689&lt;&gt;'','Raw Data'!G1689,IFERROR(MID(F1689,SEARCH("MODEL",F1689)+6,20),""))</f>
        <v>0</v>
      </c>
      <c r="J1689">
        <f>'Raw Data'!H1689</f>
        <v>0</v>
      </c>
      <c r="K1689">
        <f>'Raw Data'!I1689</f>
        <v>0</v>
      </c>
      <c r="L1689">
        <f>IF('Raw Data'!N1689&lt;&gt;0,'Raw Data'!N1689,IFERROR(VALUE(MID(F1689,SEARCH("QTY",F1689)+4,IFERROR(FIND(" ",F1689,SEARCH("QTY",F1689)+4)-(SEARCH("QTY",F1689)+4),3))),""))</f>
        <v>0</v>
      </c>
      <c r="M1689">
        <f>'Raw Data'!O1689</f>
        <v>0</v>
      </c>
      <c r="N1689">
        <f>'Raw Data'!P1689</f>
        <v>0</v>
      </c>
      <c r="O1689">
        <f>'Raw Data'!Q1689</f>
        <v>0</v>
      </c>
      <c r="P1689">
        <f>'Raw Data'!R1689</f>
        <v>0</v>
      </c>
      <c r="Q1689">
        <f>'Raw Data'!S1689</f>
        <v>0</v>
      </c>
      <c r="R1689">
        <f>'Raw Data'!T1689</f>
        <v>0</v>
      </c>
      <c r="S1689">
        <f>IFERROR(O1689,0)+IFERROR(R1689,0)</f>
        <v>0</v>
      </c>
      <c r="T1689">
        <f>IF(A1689="","",YEAR(A1689))</f>
        <v>0</v>
      </c>
    </row>
    <row r="1690" spans="1:20">
      <c r="A1690">
        <f>'Raw Data'!B1690</f>
        <v>0</v>
      </c>
      <c r="B1690">
        <f>'Raw Data'!A1690</f>
        <v>0</v>
      </c>
      <c r="C1690">
        <f>'Raw Data'!C1690</f>
        <v>0</v>
      </c>
      <c r="D1690">
        <f>'Raw Data'!D1690</f>
        <v>0</v>
      </c>
      <c r="E1690">
        <f>IFERROR(VLOOKUP(D1690,'Lookup Tables'!$A:$B,2,FALSE),"Unknown")</f>
        <v>0</v>
      </c>
      <c r="F1690">
        <f>'Raw Data'!E1690</f>
        <v>0</v>
      </c>
      <c r="G1690">
        <f>IFERROR(VLOOKUP(D1690,'Lookup Tables'!$A:$C,3,FALSE),IF(ISNUMBER(SEARCH("STEEL",F1690)),"Steel","Others"))</f>
        <v>0</v>
      </c>
      <c r="H1690">
        <f>IF(ISNUMBER(SEARCH("scrubber",F1690)) , "Scrubber", IF(ISNUMBER(SEARCH("container",F1690)),"Container", IF(ISNUMBER(SEARCH("basket",F1690)),"Basket", IF(ISNUMBER(SEARCH("lunch",F1690)),"Lunch Box", IF(ISNUMBER(SEARCH("cutlery",F1690)),"Cutlery","Other")))))</f>
        <v>0</v>
      </c>
      <c r="I1690">
        <f>IF('Raw Data'!G1690&lt;&gt;'','Raw Data'!G1690,IFERROR(MID(F1690,SEARCH("MODEL",F1690)+6,20),""))</f>
        <v>0</v>
      </c>
      <c r="J1690">
        <f>'Raw Data'!H1690</f>
        <v>0</v>
      </c>
      <c r="K1690">
        <f>'Raw Data'!I1690</f>
        <v>0</v>
      </c>
      <c r="L1690">
        <f>IF('Raw Data'!N1690&lt;&gt;0,'Raw Data'!N1690,IFERROR(VALUE(MID(F1690,SEARCH("QTY",F1690)+4,IFERROR(FIND(" ",F1690,SEARCH("QTY",F1690)+4)-(SEARCH("QTY",F1690)+4),3))),""))</f>
        <v>0</v>
      </c>
      <c r="M1690">
        <f>'Raw Data'!O1690</f>
        <v>0</v>
      </c>
      <c r="N1690">
        <f>'Raw Data'!P1690</f>
        <v>0</v>
      </c>
      <c r="O1690">
        <f>'Raw Data'!Q1690</f>
        <v>0</v>
      </c>
      <c r="P1690">
        <f>'Raw Data'!R1690</f>
        <v>0</v>
      </c>
      <c r="Q1690">
        <f>'Raw Data'!S1690</f>
        <v>0</v>
      </c>
      <c r="R1690">
        <f>'Raw Data'!T1690</f>
        <v>0</v>
      </c>
      <c r="S1690">
        <f>IFERROR(O1690,0)+IFERROR(R1690,0)</f>
        <v>0</v>
      </c>
      <c r="T1690">
        <f>IF(A1690="","",YEAR(A1690))</f>
        <v>0</v>
      </c>
    </row>
    <row r="1691" spans="1:20">
      <c r="A1691">
        <f>'Raw Data'!B1691</f>
        <v>0</v>
      </c>
      <c r="B1691">
        <f>'Raw Data'!A1691</f>
        <v>0</v>
      </c>
      <c r="C1691">
        <f>'Raw Data'!C1691</f>
        <v>0</v>
      </c>
      <c r="D1691">
        <f>'Raw Data'!D1691</f>
        <v>0</v>
      </c>
      <c r="E1691">
        <f>IFERROR(VLOOKUP(D1691,'Lookup Tables'!$A:$B,2,FALSE),"Unknown")</f>
        <v>0</v>
      </c>
      <c r="F1691">
        <f>'Raw Data'!E1691</f>
        <v>0</v>
      </c>
      <c r="G1691">
        <f>IFERROR(VLOOKUP(D1691,'Lookup Tables'!$A:$C,3,FALSE),IF(ISNUMBER(SEARCH("STEEL",F1691)),"Steel","Others"))</f>
        <v>0</v>
      </c>
      <c r="H1691">
        <f>IF(ISNUMBER(SEARCH("scrubber",F1691)) , "Scrubber", IF(ISNUMBER(SEARCH("container",F1691)),"Container", IF(ISNUMBER(SEARCH("basket",F1691)),"Basket", IF(ISNUMBER(SEARCH("lunch",F1691)),"Lunch Box", IF(ISNUMBER(SEARCH("cutlery",F1691)),"Cutlery","Other")))))</f>
        <v>0</v>
      </c>
      <c r="I1691">
        <f>IF('Raw Data'!G1691&lt;&gt;'','Raw Data'!G1691,IFERROR(MID(F1691,SEARCH("MODEL",F1691)+6,20),""))</f>
        <v>0</v>
      </c>
      <c r="J1691">
        <f>'Raw Data'!H1691</f>
        <v>0</v>
      </c>
      <c r="K1691">
        <f>'Raw Data'!I1691</f>
        <v>0</v>
      </c>
      <c r="L1691">
        <f>IF('Raw Data'!N1691&lt;&gt;0,'Raw Data'!N1691,IFERROR(VALUE(MID(F1691,SEARCH("QTY",F1691)+4,IFERROR(FIND(" ",F1691,SEARCH("QTY",F1691)+4)-(SEARCH("QTY",F1691)+4),3))),""))</f>
        <v>0</v>
      </c>
      <c r="M1691">
        <f>'Raw Data'!O1691</f>
        <v>0</v>
      </c>
      <c r="N1691">
        <f>'Raw Data'!P1691</f>
        <v>0</v>
      </c>
      <c r="O1691">
        <f>'Raw Data'!Q1691</f>
        <v>0</v>
      </c>
      <c r="P1691">
        <f>'Raw Data'!R1691</f>
        <v>0</v>
      </c>
      <c r="Q1691">
        <f>'Raw Data'!S1691</f>
        <v>0</v>
      </c>
      <c r="R1691">
        <f>'Raw Data'!T1691</f>
        <v>0</v>
      </c>
      <c r="S1691">
        <f>IFERROR(O1691,0)+IFERROR(R1691,0)</f>
        <v>0</v>
      </c>
      <c r="T1691">
        <f>IF(A1691="","",YEAR(A1691))</f>
        <v>0</v>
      </c>
    </row>
    <row r="1692" spans="1:20">
      <c r="A1692">
        <f>'Raw Data'!B1692</f>
        <v>0</v>
      </c>
      <c r="B1692">
        <f>'Raw Data'!A1692</f>
        <v>0</v>
      </c>
      <c r="C1692">
        <f>'Raw Data'!C1692</f>
        <v>0</v>
      </c>
      <c r="D1692">
        <f>'Raw Data'!D1692</f>
        <v>0</v>
      </c>
      <c r="E1692">
        <f>IFERROR(VLOOKUP(D1692,'Lookup Tables'!$A:$B,2,FALSE),"Unknown")</f>
        <v>0</v>
      </c>
      <c r="F1692">
        <f>'Raw Data'!E1692</f>
        <v>0</v>
      </c>
      <c r="G1692">
        <f>IFERROR(VLOOKUP(D1692,'Lookup Tables'!$A:$C,3,FALSE),IF(ISNUMBER(SEARCH("STEEL",F1692)),"Steel","Others"))</f>
        <v>0</v>
      </c>
      <c r="H1692">
        <f>IF(ISNUMBER(SEARCH("scrubber",F1692)) , "Scrubber", IF(ISNUMBER(SEARCH("container",F1692)),"Container", IF(ISNUMBER(SEARCH("basket",F1692)),"Basket", IF(ISNUMBER(SEARCH("lunch",F1692)),"Lunch Box", IF(ISNUMBER(SEARCH("cutlery",F1692)),"Cutlery","Other")))))</f>
        <v>0</v>
      </c>
      <c r="I1692">
        <f>IF('Raw Data'!G1692&lt;&gt;'','Raw Data'!G1692,IFERROR(MID(F1692,SEARCH("MODEL",F1692)+6,20),""))</f>
        <v>0</v>
      </c>
      <c r="J1692">
        <f>'Raw Data'!H1692</f>
        <v>0</v>
      </c>
      <c r="K1692">
        <f>'Raw Data'!I1692</f>
        <v>0</v>
      </c>
      <c r="L1692">
        <f>IF('Raw Data'!N1692&lt;&gt;0,'Raw Data'!N1692,IFERROR(VALUE(MID(F1692,SEARCH("QTY",F1692)+4,IFERROR(FIND(" ",F1692,SEARCH("QTY",F1692)+4)-(SEARCH("QTY",F1692)+4),3))),""))</f>
        <v>0</v>
      </c>
      <c r="M1692">
        <f>'Raw Data'!O1692</f>
        <v>0</v>
      </c>
      <c r="N1692">
        <f>'Raw Data'!P1692</f>
        <v>0</v>
      </c>
      <c r="O1692">
        <f>'Raw Data'!Q1692</f>
        <v>0</v>
      </c>
      <c r="P1692">
        <f>'Raw Data'!R1692</f>
        <v>0</v>
      </c>
      <c r="Q1692">
        <f>'Raw Data'!S1692</f>
        <v>0</v>
      </c>
      <c r="R1692">
        <f>'Raw Data'!T1692</f>
        <v>0</v>
      </c>
      <c r="S1692">
        <f>IFERROR(O1692,0)+IFERROR(R1692,0)</f>
        <v>0</v>
      </c>
      <c r="T1692">
        <f>IF(A1692="","",YEAR(A1692))</f>
        <v>0</v>
      </c>
    </row>
    <row r="1693" spans="1:20">
      <c r="A1693">
        <f>'Raw Data'!B1693</f>
        <v>0</v>
      </c>
      <c r="B1693">
        <f>'Raw Data'!A1693</f>
        <v>0</v>
      </c>
      <c r="C1693">
        <f>'Raw Data'!C1693</f>
        <v>0</v>
      </c>
      <c r="D1693">
        <f>'Raw Data'!D1693</f>
        <v>0</v>
      </c>
      <c r="E1693">
        <f>IFERROR(VLOOKUP(D1693,'Lookup Tables'!$A:$B,2,FALSE),"Unknown")</f>
        <v>0</v>
      </c>
      <c r="F1693">
        <f>'Raw Data'!E1693</f>
        <v>0</v>
      </c>
      <c r="G1693">
        <f>IFERROR(VLOOKUP(D1693,'Lookup Tables'!$A:$C,3,FALSE),IF(ISNUMBER(SEARCH("STEEL",F1693)),"Steel","Others"))</f>
        <v>0</v>
      </c>
      <c r="H1693">
        <f>IF(ISNUMBER(SEARCH("scrubber",F1693)) , "Scrubber", IF(ISNUMBER(SEARCH("container",F1693)),"Container", IF(ISNUMBER(SEARCH("basket",F1693)),"Basket", IF(ISNUMBER(SEARCH("lunch",F1693)),"Lunch Box", IF(ISNUMBER(SEARCH("cutlery",F1693)),"Cutlery","Other")))))</f>
        <v>0</v>
      </c>
      <c r="I1693">
        <f>IF('Raw Data'!G1693&lt;&gt;'','Raw Data'!G1693,IFERROR(MID(F1693,SEARCH("MODEL",F1693)+6,20),""))</f>
        <v>0</v>
      </c>
      <c r="J1693">
        <f>'Raw Data'!H1693</f>
        <v>0</v>
      </c>
      <c r="K1693">
        <f>'Raw Data'!I1693</f>
        <v>0</v>
      </c>
      <c r="L1693">
        <f>IF('Raw Data'!N1693&lt;&gt;0,'Raw Data'!N1693,IFERROR(VALUE(MID(F1693,SEARCH("QTY",F1693)+4,IFERROR(FIND(" ",F1693,SEARCH("QTY",F1693)+4)-(SEARCH("QTY",F1693)+4),3))),""))</f>
        <v>0</v>
      </c>
      <c r="M1693">
        <f>'Raw Data'!O1693</f>
        <v>0</v>
      </c>
      <c r="N1693">
        <f>'Raw Data'!P1693</f>
        <v>0</v>
      </c>
      <c r="O1693">
        <f>'Raw Data'!Q1693</f>
        <v>0</v>
      </c>
      <c r="P1693">
        <f>'Raw Data'!R1693</f>
        <v>0</v>
      </c>
      <c r="Q1693">
        <f>'Raw Data'!S1693</f>
        <v>0</v>
      </c>
      <c r="R1693">
        <f>'Raw Data'!T1693</f>
        <v>0</v>
      </c>
      <c r="S1693">
        <f>IFERROR(O1693,0)+IFERROR(R1693,0)</f>
        <v>0</v>
      </c>
      <c r="T1693">
        <f>IF(A1693="","",YEAR(A1693))</f>
        <v>0</v>
      </c>
    </row>
    <row r="1694" spans="1:20">
      <c r="A1694">
        <f>'Raw Data'!B1694</f>
        <v>0</v>
      </c>
      <c r="B1694">
        <f>'Raw Data'!A1694</f>
        <v>0</v>
      </c>
      <c r="C1694">
        <f>'Raw Data'!C1694</f>
        <v>0</v>
      </c>
      <c r="D1694">
        <f>'Raw Data'!D1694</f>
        <v>0</v>
      </c>
      <c r="E1694">
        <f>IFERROR(VLOOKUP(D1694,'Lookup Tables'!$A:$B,2,FALSE),"Unknown")</f>
        <v>0</v>
      </c>
      <c r="F1694">
        <f>'Raw Data'!E1694</f>
        <v>0</v>
      </c>
      <c r="G1694">
        <f>IFERROR(VLOOKUP(D1694,'Lookup Tables'!$A:$C,3,FALSE),IF(ISNUMBER(SEARCH("STEEL",F1694)),"Steel","Others"))</f>
        <v>0</v>
      </c>
      <c r="H1694">
        <f>IF(ISNUMBER(SEARCH("scrubber",F1694)) , "Scrubber", IF(ISNUMBER(SEARCH("container",F1694)),"Container", IF(ISNUMBER(SEARCH("basket",F1694)),"Basket", IF(ISNUMBER(SEARCH("lunch",F1694)),"Lunch Box", IF(ISNUMBER(SEARCH("cutlery",F1694)),"Cutlery","Other")))))</f>
        <v>0</v>
      </c>
      <c r="I1694">
        <f>IF('Raw Data'!G1694&lt;&gt;'','Raw Data'!G1694,IFERROR(MID(F1694,SEARCH("MODEL",F1694)+6,20),""))</f>
        <v>0</v>
      </c>
      <c r="J1694">
        <f>'Raw Data'!H1694</f>
        <v>0</v>
      </c>
      <c r="K1694">
        <f>'Raw Data'!I1694</f>
        <v>0</v>
      </c>
      <c r="L1694">
        <f>IF('Raw Data'!N1694&lt;&gt;0,'Raw Data'!N1694,IFERROR(VALUE(MID(F1694,SEARCH("QTY",F1694)+4,IFERROR(FIND(" ",F1694,SEARCH("QTY",F1694)+4)-(SEARCH("QTY",F1694)+4),3))),""))</f>
        <v>0</v>
      </c>
      <c r="M1694">
        <f>'Raw Data'!O1694</f>
        <v>0</v>
      </c>
      <c r="N1694">
        <f>'Raw Data'!P1694</f>
        <v>0</v>
      </c>
      <c r="O1694">
        <f>'Raw Data'!Q1694</f>
        <v>0</v>
      </c>
      <c r="P1694">
        <f>'Raw Data'!R1694</f>
        <v>0</v>
      </c>
      <c r="Q1694">
        <f>'Raw Data'!S1694</f>
        <v>0</v>
      </c>
      <c r="R1694">
        <f>'Raw Data'!T1694</f>
        <v>0</v>
      </c>
      <c r="S1694">
        <f>IFERROR(O1694,0)+IFERROR(R1694,0)</f>
        <v>0</v>
      </c>
      <c r="T1694">
        <f>IF(A1694="","",YEAR(A1694))</f>
        <v>0</v>
      </c>
    </row>
    <row r="1695" spans="1:20">
      <c r="A1695">
        <f>'Raw Data'!B1695</f>
        <v>0</v>
      </c>
      <c r="B1695">
        <f>'Raw Data'!A1695</f>
        <v>0</v>
      </c>
      <c r="C1695">
        <f>'Raw Data'!C1695</f>
        <v>0</v>
      </c>
      <c r="D1695">
        <f>'Raw Data'!D1695</f>
        <v>0</v>
      </c>
      <c r="E1695">
        <f>IFERROR(VLOOKUP(D1695,'Lookup Tables'!$A:$B,2,FALSE),"Unknown")</f>
        <v>0</v>
      </c>
      <c r="F1695">
        <f>'Raw Data'!E1695</f>
        <v>0</v>
      </c>
      <c r="G1695">
        <f>IFERROR(VLOOKUP(D1695,'Lookup Tables'!$A:$C,3,FALSE),IF(ISNUMBER(SEARCH("STEEL",F1695)),"Steel","Others"))</f>
        <v>0</v>
      </c>
      <c r="H1695">
        <f>IF(ISNUMBER(SEARCH("scrubber",F1695)) , "Scrubber", IF(ISNUMBER(SEARCH("container",F1695)),"Container", IF(ISNUMBER(SEARCH("basket",F1695)),"Basket", IF(ISNUMBER(SEARCH("lunch",F1695)),"Lunch Box", IF(ISNUMBER(SEARCH("cutlery",F1695)),"Cutlery","Other")))))</f>
        <v>0</v>
      </c>
      <c r="I1695">
        <f>IF('Raw Data'!G1695&lt;&gt;'','Raw Data'!G1695,IFERROR(MID(F1695,SEARCH("MODEL",F1695)+6,20),""))</f>
        <v>0</v>
      </c>
      <c r="J1695">
        <f>'Raw Data'!H1695</f>
        <v>0</v>
      </c>
      <c r="K1695">
        <f>'Raw Data'!I1695</f>
        <v>0</v>
      </c>
      <c r="L1695">
        <f>IF('Raw Data'!N1695&lt;&gt;0,'Raw Data'!N1695,IFERROR(VALUE(MID(F1695,SEARCH("QTY",F1695)+4,IFERROR(FIND(" ",F1695,SEARCH("QTY",F1695)+4)-(SEARCH("QTY",F1695)+4),3))),""))</f>
        <v>0</v>
      </c>
      <c r="M1695">
        <f>'Raw Data'!O1695</f>
        <v>0</v>
      </c>
      <c r="N1695">
        <f>'Raw Data'!P1695</f>
        <v>0</v>
      </c>
      <c r="O1695">
        <f>'Raw Data'!Q1695</f>
        <v>0</v>
      </c>
      <c r="P1695">
        <f>'Raw Data'!R1695</f>
        <v>0</v>
      </c>
      <c r="Q1695">
        <f>'Raw Data'!S1695</f>
        <v>0</v>
      </c>
      <c r="R1695">
        <f>'Raw Data'!T1695</f>
        <v>0</v>
      </c>
      <c r="S1695">
        <f>IFERROR(O1695,0)+IFERROR(R1695,0)</f>
        <v>0</v>
      </c>
      <c r="T1695">
        <f>IF(A1695="","",YEAR(A1695))</f>
        <v>0</v>
      </c>
    </row>
    <row r="1696" spans="1:20">
      <c r="A1696">
        <f>'Raw Data'!B1696</f>
        <v>0</v>
      </c>
      <c r="B1696">
        <f>'Raw Data'!A1696</f>
        <v>0</v>
      </c>
      <c r="C1696">
        <f>'Raw Data'!C1696</f>
        <v>0</v>
      </c>
      <c r="D1696">
        <f>'Raw Data'!D1696</f>
        <v>0</v>
      </c>
      <c r="E1696">
        <f>IFERROR(VLOOKUP(D1696,'Lookup Tables'!$A:$B,2,FALSE),"Unknown")</f>
        <v>0</v>
      </c>
      <c r="F1696">
        <f>'Raw Data'!E1696</f>
        <v>0</v>
      </c>
      <c r="G1696">
        <f>IFERROR(VLOOKUP(D1696,'Lookup Tables'!$A:$C,3,FALSE),IF(ISNUMBER(SEARCH("STEEL",F1696)),"Steel","Others"))</f>
        <v>0</v>
      </c>
      <c r="H1696">
        <f>IF(ISNUMBER(SEARCH("scrubber",F1696)) , "Scrubber", IF(ISNUMBER(SEARCH("container",F1696)),"Container", IF(ISNUMBER(SEARCH("basket",F1696)),"Basket", IF(ISNUMBER(SEARCH("lunch",F1696)),"Lunch Box", IF(ISNUMBER(SEARCH("cutlery",F1696)),"Cutlery","Other")))))</f>
        <v>0</v>
      </c>
      <c r="I1696">
        <f>IF('Raw Data'!G1696&lt;&gt;'','Raw Data'!G1696,IFERROR(MID(F1696,SEARCH("MODEL",F1696)+6,20),""))</f>
        <v>0</v>
      </c>
      <c r="J1696">
        <f>'Raw Data'!H1696</f>
        <v>0</v>
      </c>
      <c r="K1696">
        <f>'Raw Data'!I1696</f>
        <v>0</v>
      </c>
      <c r="L1696">
        <f>IF('Raw Data'!N1696&lt;&gt;0,'Raw Data'!N1696,IFERROR(VALUE(MID(F1696,SEARCH("QTY",F1696)+4,IFERROR(FIND(" ",F1696,SEARCH("QTY",F1696)+4)-(SEARCH("QTY",F1696)+4),3))),""))</f>
        <v>0</v>
      </c>
      <c r="M1696">
        <f>'Raw Data'!O1696</f>
        <v>0</v>
      </c>
      <c r="N1696">
        <f>'Raw Data'!P1696</f>
        <v>0</v>
      </c>
      <c r="O1696">
        <f>'Raw Data'!Q1696</f>
        <v>0</v>
      </c>
      <c r="P1696">
        <f>'Raw Data'!R1696</f>
        <v>0</v>
      </c>
      <c r="Q1696">
        <f>'Raw Data'!S1696</f>
        <v>0</v>
      </c>
      <c r="R1696">
        <f>'Raw Data'!T1696</f>
        <v>0</v>
      </c>
      <c r="S1696">
        <f>IFERROR(O1696,0)+IFERROR(R1696,0)</f>
        <v>0</v>
      </c>
      <c r="T1696">
        <f>IF(A1696="","",YEAR(A1696))</f>
        <v>0</v>
      </c>
    </row>
    <row r="1697" spans="1:20">
      <c r="A1697">
        <f>'Raw Data'!B1697</f>
        <v>0</v>
      </c>
      <c r="B1697">
        <f>'Raw Data'!A1697</f>
        <v>0</v>
      </c>
      <c r="C1697">
        <f>'Raw Data'!C1697</f>
        <v>0</v>
      </c>
      <c r="D1697">
        <f>'Raw Data'!D1697</f>
        <v>0</v>
      </c>
      <c r="E1697">
        <f>IFERROR(VLOOKUP(D1697,'Lookup Tables'!$A:$B,2,FALSE),"Unknown")</f>
        <v>0</v>
      </c>
      <c r="F1697">
        <f>'Raw Data'!E1697</f>
        <v>0</v>
      </c>
      <c r="G1697">
        <f>IFERROR(VLOOKUP(D1697,'Lookup Tables'!$A:$C,3,FALSE),IF(ISNUMBER(SEARCH("STEEL",F1697)),"Steel","Others"))</f>
        <v>0</v>
      </c>
      <c r="H1697">
        <f>IF(ISNUMBER(SEARCH("scrubber",F1697)) , "Scrubber", IF(ISNUMBER(SEARCH("container",F1697)),"Container", IF(ISNUMBER(SEARCH("basket",F1697)),"Basket", IF(ISNUMBER(SEARCH("lunch",F1697)),"Lunch Box", IF(ISNUMBER(SEARCH("cutlery",F1697)),"Cutlery","Other")))))</f>
        <v>0</v>
      </c>
      <c r="I1697">
        <f>IF('Raw Data'!G1697&lt;&gt;'','Raw Data'!G1697,IFERROR(MID(F1697,SEARCH("MODEL",F1697)+6,20),""))</f>
        <v>0</v>
      </c>
      <c r="J1697">
        <f>'Raw Data'!H1697</f>
        <v>0</v>
      </c>
      <c r="K1697">
        <f>'Raw Data'!I1697</f>
        <v>0</v>
      </c>
      <c r="L1697">
        <f>IF('Raw Data'!N1697&lt;&gt;0,'Raw Data'!N1697,IFERROR(VALUE(MID(F1697,SEARCH("QTY",F1697)+4,IFERROR(FIND(" ",F1697,SEARCH("QTY",F1697)+4)-(SEARCH("QTY",F1697)+4),3))),""))</f>
        <v>0</v>
      </c>
      <c r="M1697">
        <f>'Raw Data'!O1697</f>
        <v>0</v>
      </c>
      <c r="N1697">
        <f>'Raw Data'!P1697</f>
        <v>0</v>
      </c>
      <c r="O1697">
        <f>'Raw Data'!Q1697</f>
        <v>0</v>
      </c>
      <c r="P1697">
        <f>'Raw Data'!R1697</f>
        <v>0</v>
      </c>
      <c r="Q1697">
        <f>'Raw Data'!S1697</f>
        <v>0</v>
      </c>
      <c r="R1697">
        <f>'Raw Data'!T1697</f>
        <v>0</v>
      </c>
      <c r="S1697">
        <f>IFERROR(O1697,0)+IFERROR(R1697,0)</f>
        <v>0</v>
      </c>
      <c r="T1697">
        <f>IF(A1697="","",YEAR(A1697))</f>
        <v>0</v>
      </c>
    </row>
    <row r="1698" spans="1:20">
      <c r="A1698">
        <f>'Raw Data'!B1698</f>
        <v>0</v>
      </c>
      <c r="B1698">
        <f>'Raw Data'!A1698</f>
        <v>0</v>
      </c>
      <c r="C1698">
        <f>'Raw Data'!C1698</f>
        <v>0</v>
      </c>
      <c r="D1698">
        <f>'Raw Data'!D1698</f>
        <v>0</v>
      </c>
      <c r="E1698">
        <f>IFERROR(VLOOKUP(D1698,'Lookup Tables'!$A:$B,2,FALSE),"Unknown")</f>
        <v>0</v>
      </c>
      <c r="F1698">
        <f>'Raw Data'!E1698</f>
        <v>0</v>
      </c>
      <c r="G1698">
        <f>IFERROR(VLOOKUP(D1698,'Lookup Tables'!$A:$C,3,FALSE),IF(ISNUMBER(SEARCH("STEEL",F1698)),"Steel","Others"))</f>
        <v>0</v>
      </c>
      <c r="H1698">
        <f>IF(ISNUMBER(SEARCH("scrubber",F1698)) , "Scrubber", IF(ISNUMBER(SEARCH("container",F1698)),"Container", IF(ISNUMBER(SEARCH("basket",F1698)),"Basket", IF(ISNUMBER(SEARCH("lunch",F1698)),"Lunch Box", IF(ISNUMBER(SEARCH("cutlery",F1698)),"Cutlery","Other")))))</f>
        <v>0</v>
      </c>
      <c r="I1698">
        <f>IF('Raw Data'!G1698&lt;&gt;'','Raw Data'!G1698,IFERROR(MID(F1698,SEARCH("MODEL",F1698)+6,20),""))</f>
        <v>0</v>
      </c>
      <c r="J1698">
        <f>'Raw Data'!H1698</f>
        <v>0</v>
      </c>
      <c r="K1698">
        <f>'Raw Data'!I1698</f>
        <v>0</v>
      </c>
      <c r="L1698">
        <f>IF('Raw Data'!N1698&lt;&gt;0,'Raw Data'!N1698,IFERROR(VALUE(MID(F1698,SEARCH("QTY",F1698)+4,IFERROR(FIND(" ",F1698,SEARCH("QTY",F1698)+4)-(SEARCH("QTY",F1698)+4),3))),""))</f>
        <v>0</v>
      </c>
      <c r="M1698">
        <f>'Raw Data'!O1698</f>
        <v>0</v>
      </c>
      <c r="N1698">
        <f>'Raw Data'!P1698</f>
        <v>0</v>
      </c>
      <c r="O1698">
        <f>'Raw Data'!Q1698</f>
        <v>0</v>
      </c>
      <c r="P1698">
        <f>'Raw Data'!R1698</f>
        <v>0</v>
      </c>
      <c r="Q1698">
        <f>'Raw Data'!S1698</f>
        <v>0</v>
      </c>
      <c r="R1698">
        <f>'Raw Data'!T1698</f>
        <v>0</v>
      </c>
      <c r="S1698">
        <f>IFERROR(O1698,0)+IFERROR(R1698,0)</f>
        <v>0</v>
      </c>
      <c r="T1698">
        <f>IF(A1698="","",YEAR(A1698))</f>
        <v>0</v>
      </c>
    </row>
    <row r="1699" spans="1:20">
      <c r="A1699">
        <f>'Raw Data'!B1699</f>
        <v>0</v>
      </c>
      <c r="B1699">
        <f>'Raw Data'!A1699</f>
        <v>0</v>
      </c>
      <c r="C1699">
        <f>'Raw Data'!C1699</f>
        <v>0</v>
      </c>
      <c r="D1699">
        <f>'Raw Data'!D1699</f>
        <v>0</v>
      </c>
      <c r="E1699">
        <f>IFERROR(VLOOKUP(D1699,'Lookup Tables'!$A:$B,2,FALSE),"Unknown")</f>
        <v>0</v>
      </c>
      <c r="F1699">
        <f>'Raw Data'!E1699</f>
        <v>0</v>
      </c>
      <c r="G1699">
        <f>IFERROR(VLOOKUP(D1699,'Lookup Tables'!$A:$C,3,FALSE),IF(ISNUMBER(SEARCH("STEEL",F1699)),"Steel","Others"))</f>
        <v>0</v>
      </c>
      <c r="H1699">
        <f>IF(ISNUMBER(SEARCH("scrubber",F1699)) , "Scrubber", IF(ISNUMBER(SEARCH("container",F1699)),"Container", IF(ISNUMBER(SEARCH("basket",F1699)),"Basket", IF(ISNUMBER(SEARCH("lunch",F1699)),"Lunch Box", IF(ISNUMBER(SEARCH("cutlery",F1699)),"Cutlery","Other")))))</f>
        <v>0</v>
      </c>
      <c r="I1699">
        <f>IF('Raw Data'!G1699&lt;&gt;'','Raw Data'!G1699,IFERROR(MID(F1699,SEARCH("MODEL",F1699)+6,20),""))</f>
        <v>0</v>
      </c>
      <c r="J1699">
        <f>'Raw Data'!H1699</f>
        <v>0</v>
      </c>
      <c r="K1699">
        <f>'Raw Data'!I1699</f>
        <v>0</v>
      </c>
      <c r="L1699">
        <f>IF('Raw Data'!N1699&lt;&gt;0,'Raw Data'!N1699,IFERROR(VALUE(MID(F1699,SEARCH("QTY",F1699)+4,IFERROR(FIND(" ",F1699,SEARCH("QTY",F1699)+4)-(SEARCH("QTY",F1699)+4),3))),""))</f>
        <v>0</v>
      </c>
      <c r="M1699">
        <f>'Raw Data'!O1699</f>
        <v>0</v>
      </c>
      <c r="N1699">
        <f>'Raw Data'!P1699</f>
        <v>0</v>
      </c>
      <c r="O1699">
        <f>'Raw Data'!Q1699</f>
        <v>0</v>
      </c>
      <c r="P1699">
        <f>'Raw Data'!R1699</f>
        <v>0</v>
      </c>
      <c r="Q1699">
        <f>'Raw Data'!S1699</f>
        <v>0</v>
      </c>
      <c r="R1699">
        <f>'Raw Data'!T1699</f>
        <v>0</v>
      </c>
      <c r="S1699">
        <f>IFERROR(O1699,0)+IFERROR(R1699,0)</f>
        <v>0</v>
      </c>
      <c r="T1699">
        <f>IF(A1699="","",YEAR(A1699))</f>
        <v>0</v>
      </c>
    </row>
    <row r="1700" spans="1:20">
      <c r="A1700">
        <f>'Raw Data'!B1700</f>
        <v>0</v>
      </c>
      <c r="B1700">
        <f>'Raw Data'!A1700</f>
        <v>0</v>
      </c>
      <c r="C1700">
        <f>'Raw Data'!C1700</f>
        <v>0</v>
      </c>
      <c r="D1700">
        <f>'Raw Data'!D1700</f>
        <v>0</v>
      </c>
      <c r="E1700">
        <f>IFERROR(VLOOKUP(D1700,'Lookup Tables'!$A:$B,2,FALSE),"Unknown")</f>
        <v>0</v>
      </c>
      <c r="F1700">
        <f>'Raw Data'!E1700</f>
        <v>0</v>
      </c>
      <c r="G1700">
        <f>IFERROR(VLOOKUP(D1700,'Lookup Tables'!$A:$C,3,FALSE),IF(ISNUMBER(SEARCH("STEEL",F1700)),"Steel","Others"))</f>
        <v>0</v>
      </c>
      <c r="H1700">
        <f>IF(ISNUMBER(SEARCH("scrubber",F1700)) , "Scrubber", IF(ISNUMBER(SEARCH("container",F1700)),"Container", IF(ISNUMBER(SEARCH("basket",F1700)),"Basket", IF(ISNUMBER(SEARCH("lunch",F1700)),"Lunch Box", IF(ISNUMBER(SEARCH("cutlery",F1700)),"Cutlery","Other")))))</f>
        <v>0</v>
      </c>
      <c r="I1700">
        <f>IF('Raw Data'!G1700&lt;&gt;'','Raw Data'!G1700,IFERROR(MID(F1700,SEARCH("MODEL",F1700)+6,20),""))</f>
        <v>0</v>
      </c>
      <c r="J1700">
        <f>'Raw Data'!H1700</f>
        <v>0</v>
      </c>
      <c r="K1700">
        <f>'Raw Data'!I1700</f>
        <v>0</v>
      </c>
      <c r="L1700">
        <f>IF('Raw Data'!N1700&lt;&gt;0,'Raw Data'!N1700,IFERROR(VALUE(MID(F1700,SEARCH("QTY",F1700)+4,IFERROR(FIND(" ",F1700,SEARCH("QTY",F1700)+4)-(SEARCH("QTY",F1700)+4),3))),""))</f>
        <v>0</v>
      </c>
      <c r="M1700">
        <f>'Raw Data'!O1700</f>
        <v>0</v>
      </c>
      <c r="N1700">
        <f>'Raw Data'!P1700</f>
        <v>0</v>
      </c>
      <c r="O1700">
        <f>'Raw Data'!Q1700</f>
        <v>0</v>
      </c>
      <c r="P1700">
        <f>'Raw Data'!R1700</f>
        <v>0</v>
      </c>
      <c r="Q1700">
        <f>'Raw Data'!S1700</f>
        <v>0</v>
      </c>
      <c r="R1700">
        <f>'Raw Data'!T1700</f>
        <v>0</v>
      </c>
      <c r="S1700">
        <f>IFERROR(O1700,0)+IFERROR(R1700,0)</f>
        <v>0</v>
      </c>
      <c r="T1700">
        <f>IF(A1700="","",YEAR(A1700))</f>
        <v>0</v>
      </c>
    </row>
    <row r="1701" spans="1:20">
      <c r="A1701">
        <f>'Raw Data'!B1701</f>
        <v>0</v>
      </c>
      <c r="B1701">
        <f>'Raw Data'!A1701</f>
        <v>0</v>
      </c>
      <c r="C1701">
        <f>'Raw Data'!C1701</f>
        <v>0</v>
      </c>
      <c r="D1701">
        <f>'Raw Data'!D1701</f>
        <v>0</v>
      </c>
      <c r="E1701">
        <f>IFERROR(VLOOKUP(D1701,'Lookup Tables'!$A:$B,2,FALSE),"Unknown")</f>
        <v>0</v>
      </c>
      <c r="F1701">
        <f>'Raw Data'!E1701</f>
        <v>0</v>
      </c>
      <c r="G1701">
        <f>IFERROR(VLOOKUP(D1701,'Lookup Tables'!$A:$C,3,FALSE),IF(ISNUMBER(SEARCH("STEEL",F1701)),"Steel","Others"))</f>
        <v>0</v>
      </c>
      <c r="H1701">
        <f>IF(ISNUMBER(SEARCH("scrubber",F1701)) , "Scrubber", IF(ISNUMBER(SEARCH("container",F1701)),"Container", IF(ISNUMBER(SEARCH("basket",F1701)),"Basket", IF(ISNUMBER(SEARCH("lunch",F1701)),"Lunch Box", IF(ISNUMBER(SEARCH("cutlery",F1701)),"Cutlery","Other")))))</f>
        <v>0</v>
      </c>
      <c r="I1701">
        <f>IF('Raw Data'!G1701&lt;&gt;'','Raw Data'!G1701,IFERROR(MID(F1701,SEARCH("MODEL",F1701)+6,20),""))</f>
        <v>0</v>
      </c>
      <c r="J1701">
        <f>'Raw Data'!H1701</f>
        <v>0</v>
      </c>
      <c r="K1701">
        <f>'Raw Data'!I1701</f>
        <v>0</v>
      </c>
      <c r="L1701">
        <f>IF('Raw Data'!N1701&lt;&gt;0,'Raw Data'!N1701,IFERROR(VALUE(MID(F1701,SEARCH("QTY",F1701)+4,IFERROR(FIND(" ",F1701,SEARCH("QTY",F1701)+4)-(SEARCH("QTY",F1701)+4),3))),""))</f>
        <v>0</v>
      </c>
      <c r="M1701">
        <f>'Raw Data'!O1701</f>
        <v>0</v>
      </c>
      <c r="N1701">
        <f>'Raw Data'!P1701</f>
        <v>0</v>
      </c>
      <c r="O1701">
        <f>'Raw Data'!Q1701</f>
        <v>0</v>
      </c>
      <c r="P1701">
        <f>'Raw Data'!R1701</f>
        <v>0</v>
      </c>
      <c r="Q1701">
        <f>'Raw Data'!S1701</f>
        <v>0</v>
      </c>
      <c r="R1701">
        <f>'Raw Data'!T1701</f>
        <v>0</v>
      </c>
      <c r="S1701">
        <f>IFERROR(O1701,0)+IFERROR(R1701,0)</f>
        <v>0</v>
      </c>
      <c r="T1701">
        <f>IF(A1701="","",YEAR(A1701))</f>
        <v>0</v>
      </c>
    </row>
    <row r="1702" spans="1:20">
      <c r="A1702">
        <f>'Raw Data'!B1702</f>
        <v>0</v>
      </c>
      <c r="B1702">
        <f>'Raw Data'!A1702</f>
        <v>0</v>
      </c>
      <c r="C1702">
        <f>'Raw Data'!C1702</f>
        <v>0</v>
      </c>
      <c r="D1702">
        <f>'Raw Data'!D1702</f>
        <v>0</v>
      </c>
      <c r="E1702">
        <f>IFERROR(VLOOKUP(D1702,'Lookup Tables'!$A:$B,2,FALSE),"Unknown")</f>
        <v>0</v>
      </c>
      <c r="F1702">
        <f>'Raw Data'!E1702</f>
        <v>0</v>
      </c>
      <c r="G1702">
        <f>IFERROR(VLOOKUP(D1702,'Lookup Tables'!$A:$C,3,FALSE),IF(ISNUMBER(SEARCH("STEEL",F1702)),"Steel","Others"))</f>
        <v>0</v>
      </c>
      <c r="H1702">
        <f>IF(ISNUMBER(SEARCH("scrubber",F1702)) , "Scrubber", IF(ISNUMBER(SEARCH("container",F1702)),"Container", IF(ISNUMBER(SEARCH("basket",F1702)),"Basket", IF(ISNUMBER(SEARCH("lunch",F1702)),"Lunch Box", IF(ISNUMBER(SEARCH("cutlery",F1702)),"Cutlery","Other")))))</f>
        <v>0</v>
      </c>
      <c r="I1702">
        <f>IF('Raw Data'!G1702&lt;&gt;'','Raw Data'!G1702,IFERROR(MID(F1702,SEARCH("MODEL",F1702)+6,20),""))</f>
        <v>0</v>
      </c>
      <c r="J1702">
        <f>'Raw Data'!H1702</f>
        <v>0</v>
      </c>
      <c r="K1702">
        <f>'Raw Data'!I1702</f>
        <v>0</v>
      </c>
      <c r="L1702">
        <f>IF('Raw Data'!N1702&lt;&gt;0,'Raw Data'!N1702,IFERROR(VALUE(MID(F1702,SEARCH("QTY",F1702)+4,IFERROR(FIND(" ",F1702,SEARCH("QTY",F1702)+4)-(SEARCH("QTY",F1702)+4),3))),""))</f>
        <v>0</v>
      </c>
      <c r="M1702">
        <f>'Raw Data'!O1702</f>
        <v>0</v>
      </c>
      <c r="N1702">
        <f>'Raw Data'!P1702</f>
        <v>0</v>
      </c>
      <c r="O1702">
        <f>'Raw Data'!Q1702</f>
        <v>0</v>
      </c>
      <c r="P1702">
        <f>'Raw Data'!R1702</f>
        <v>0</v>
      </c>
      <c r="Q1702">
        <f>'Raw Data'!S1702</f>
        <v>0</v>
      </c>
      <c r="R1702">
        <f>'Raw Data'!T1702</f>
        <v>0</v>
      </c>
      <c r="S1702">
        <f>IFERROR(O1702,0)+IFERROR(R1702,0)</f>
        <v>0</v>
      </c>
      <c r="T1702">
        <f>IF(A1702="","",YEAR(A1702))</f>
        <v>0</v>
      </c>
    </row>
    <row r="1703" spans="1:20">
      <c r="A1703">
        <f>'Raw Data'!B1703</f>
        <v>0</v>
      </c>
      <c r="B1703">
        <f>'Raw Data'!A1703</f>
        <v>0</v>
      </c>
      <c r="C1703">
        <f>'Raw Data'!C1703</f>
        <v>0</v>
      </c>
      <c r="D1703">
        <f>'Raw Data'!D1703</f>
        <v>0</v>
      </c>
      <c r="E1703">
        <f>IFERROR(VLOOKUP(D1703,'Lookup Tables'!$A:$B,2,FALSE),"Unknown")</f>
        <v>0</v>
      </c>
      <c r="F1703">
        <f>'Raw Data'!E1703</f>
        <v>0</v>
      </c>
      <c r="G1703">
        <f>IFERROR(VLOOKUP(D1703,'Lookup Tables'!$A:$C,3,FALSE),IF(ISNUMBER(SEARCH("STEEL",F1703)),"Steel","Others"))</f>
        <v>0</v>
      </c>
      <c r="H1703">
        <f>IF(ISNUMBER(SEARCH("scrubber",F1703)) , "Scrubber", IF(ISNUMBER(SEARCH("container",F1703)),"Container", IF(ISNUMBER(SEARCH("basket",F1703)),"Basket", IF(ISNUMBER(SEARCH("lunch",F1703)),"Lunch Box", IF(ISNUMBER(SEARCH("cutlery",F1703)),"Cutlery","Other")))))</f>
        <v>0</v>
      </c>
      <c r="I1703">
        <f>IF('Raw Data'!G1703&lt;&gt;'','Raw Data'!G1703,IFERROR(MID(F1703,SEARCH("MODEL",F1703)+6,20),""))</f>
        <v>0</v>
      </c>
      <c r="J1703">
        <f>'Raw Data'!H1703</f>
        <v>0</v>
      </c>
      <c r="K1703">
        <f>'Raw Data'!I1703</f>
        <v>0</v>
      </c>
      <c r="L1703">
        <f>IF('Raw Data'!N1703&lt;&gt;0,'Raw Data'!N1703,IFERROR(VALUE(MID(F1703,SEARCH("QTY",F1703)+4,IFERROR(FIND(" ",F1703,SEARCH("QTY",F1703)+4)-(SEARCH("QTY",F1703)+4),3))),""))</f>
        <v>0</v>
      </c>
      <c r="M1703">
        <f>'Raw Data'!O1703</f>
        <v>0</v>
      </c>
      <c r="N1703">
        <f>'Raw Data'!P1703</f>
        <v>0</v>
      </c>
      <c r="O1703">
        <f>'Raw Data'!Q1703</f>
        <v>0</v>
      </c>
      <c r="P1703">
        <f>'Raw Data'!R1703</f>
        <v>0</v>
      </c>
      <c r="Q1703">
        <f>'Raw Data'!S1703</f>
        <v>0</v>
      </c>
      <c r="R1703">
        <f>'Raw Data'!T1703</f>
        <v>0</v>
      </c>
      <c r="S1703">
        <f>IFERROR(O1703,0)+IFERROR(R1703,0)</f>
        <v>0</v>
      </c>
      <c r="T1703">
        <f>IF(A1703="","",YEAR(A1703))</f>
        <v>0</v>
      </c>
    </row>
    <row r="1704" spans="1:20">
      <c r="A1704">
        <f>'Raw Data'!B1704</f>
        <v>0</v>
      </c>
      <c r="B1704">
        <f>'Raw Data'!A1704</f>
        <v>0</v>
      </c>
      <c r="C1704">
        <f>'Raw Data'!C1704</f>
        <v>0</v>
      </c>
      <c r="D1704">
        <f>'Raw Data'!D1704</f>
        <v>0</v>
      </c>
      <c r="E1704">
        <f>IFERROR(VLOOKUP(D1704,'Lookup Tables'!$A:$B,2,FALSE),"Unknown")</f>
        <v>0</v>
      </c>
      <c r="F1704">
        <f>'Raw Data'!E1704</f>
        <v>0</v>
      </c>
      <c r="G1704">
        <f>IFERROR(VLOOKUP(D1704,'Lookup Tables'!$A:$C,3,FALSE),IF(ISNUMBER(SEARCH("STEEL",F1704)),"Steel","Others"))</f>
        <v>0</v>
      </c>
      <c r="H1704">
        <f>IF(ISNUMBER(SEARCH("scrubber",F1704)) , "Scrubber", IF(ISNUMBER(SEARCH("container",F1704)),"Container", IF(ISNUMBER(SEARCH("basket",F1704)),"Basket", IF(ISNUMBER(SEARCH("lunch",F1704)),"Lunch Box", IF(ISNUMBER(SEARCH("cutlery",F1704)),"Cutlery","Other")))))</f>
        <v>0</v>
      </c>
      <c r="I1704">
        <f>IF('Raw Data'!G1704&lt;&gt;'','Raw Data'!G1704,IFERROR(MID(F1704,SEARCH("MODEL",F1704)+6,20),""))</f>
        <v>0</v>
      </c>
      <c r="J1704">
        <f>'Raw Data'!H1704</f>
        <v>0</v>
      </c>
      <c r="K1704">
        <f>'Raw Data'!I1704</f>
        <v>0</v>
      </c>
      <c r="L1704">
        <f>IF('Raw Data'!N1704&lt;&gt;0,'Raw Data'!N1704,IFERROR(VALUE(MID(F1704,SEARCH("QTY",F1704)+4,IFERROR(FIND(" ",F1704,SEARCH("QTY",F1704)+4)-(SEARCH("QTY",F1704)+4),3))),""))</f>
        <v>0</v>
      </c>
      <c r="M1704">
        <f>'Raw Data'!O1704</f>
        <v>0</v>
      </c>
      <c r="N1704">
        <f>'Raw Data'!P1704</f>
        <v>0</v>
      </c>
      <c r="O1704">
        <f>'Raw Data'!Q1704</f>
        <v>0</v>
      </c>
      <c r="P1704">
        <f>'Raw Data'!R1704</f>
        <v>0</v>
      </c>
      <c r="Q1704">
        <f>'Raw Data'!S1704</f>
        <v>0</v>
      </c>
      <c r="R1704">
        <f>'Raw Data'!T1704</f>
        <v>0</v>
      </c>
      <c r="S1704">
        <f>IFERROR(O1704,0)+IFERROR(R1704,0)</f>
        <v>0</v>
      </c>
      <c r="T1704">
        <f>IF(A1704="","",YEAR(A1704))</f>
        <v>0</v>
      </c>
    </row>
    <row r="1705" spans="1:20">
      <c r="A1705">
        <f>'Raw Data'!B1705</f>
        <v>0</v>
      </c>
      <c r="B1705">
        <f>'Raw Data'!A1705</f>
        <v>0</v>
      </c>
      <c r="C1705">
        <f>'Raw Data'!C1705</f>
        <v>0</v>
      </c>
      <c r="D1705">
        <f>'Raw Data'!D1705</f>
        <v>0</v>
      </c>
      <c r="E1705">
        <f>IFERROR(VLOOKUP(D1705,'Lookup Tables'!$A:$B,2,FALSE),"Unknown")</f>
        <v>0</v>
      </c>
      <c r="F1705">
        <f>'Raw Data'!E1705</f>
        <v>0</v>
      </c>
      <c r="G1705">
        <f>IFERROR(VLOOKUP(D1705,'Lookup Tables'!$A:$C,3,FALSE),IF(ISNUMBER(SEARCH("STEEL",F1705)),"Steel","Others"))</f>
        <v>0</v>
      </c>
      <c r="H1705">
        <f>IF(ISNUMBER(SEARCH("scrubber",F1705)) , "Scrubber", IF(ISNUMBER(SEARCH("container",F1705)),"Container", IF(ISNUMBER(SEARCH("basket",F1705)),"Basket", IF(ISNUMBER(SEARCH("lunch",F1705)),"Lunch Box", IF(ISNUMBER(SEARCH("cutlery",F1705)),"Cutlery","Other")))))</f>
        <v>0</v>
      </c>
      <c r="I1705">
        <f>IF('Raw Data'!G1705&lt;&gt;'','Raw Data'!G1705,IFERROR(MID(F1705,SEARCH("MODEL",F1705)+6,20),""))</f>
        <v>0</v>
      </c>
      <c r="J1705">
        <f>'Raw Data'!H1705</f>
        <v>0</v>
      </c>
      <c r="K1705">
        <f>'Raw Data'!I1705</f>
        <v>0</v>
      </c>
      <c r="L1705">
        <f>IF('Raw Data'!N1705&lt;&gt;0,'Raw Data'!N1705,IFERROR(VALUE(MID(F1705,SEARCH("QTY",F1705)+4,IFERROR(FIND(" ",F1705,SEARCH("QTY",F1705)+4)-(SEARCH("QTY",F1705)+4),3))),""))</f>
        <v>0</v>
      </c>
      <c r="M1705">
        <f>'Raw Data'!O1705</f>
        <v>0</v>
      </c>
      <c r="N1705">
        <f>'Raw Data'!P1705</f>
        <v>0</v>
      </c>
      <c r="O1705">
        <f>'Raw Data'!Q1705</f>
        <v>0</v>
      </c>
      <c r="P1705">
        <f>'Raw Data'!R1705</f>
        <v>0</v>
      </c>
      <c r="Q1705">
        <f>'Raw Data'!S1705</f>
        <v>0</v>
      </c>
      <c r="R1705">
        <f>'Raw Data'!T1705</f>
        <v>0</v>
      </c>
      <c r="S1705">
        <f>IFERROR(O1705,0)+IFERROR(R1705,0)</f>
        <v>0</v>
      </c>
      <c r="T1705">
        <f>IF(A1705="","",YEAR(A1705))</f>
        <v>0</v>
      </c>
    </row>
    <row r="1706" spans="1:20">
      <c r="A1706">
        <f>'Raw Data'!B1706</f>
        <v>0</v>
      </c>
      <c r="B1706">
        <f>'Raw Data'!A1706</f>
        <v>0</v>
      </c>
      <c r="C1706">
        <f>'Raw Data'!C1706</f>
        <v>0</v>
      </c>
      <c r="D1706">
        <f>'Raw Data'!D1706</f>
        <v>0</v>
      </c>
      <c r="E1706">
        <f>IFERROR(VLOOKUP(D1706,'Lookup Tables'!$A:$B,2,FALSE),"Unknown")</f>
        <v>0</v>
      </c>
      <c r="F1706">
        <f>'Raw Data'!E1706</f>
        <v>0</v>
      </c>
      <c r="G1706">
        <f>IFERROR(VLOOKUP(D1706,'Lookup Tables'!$A:$C,3,FALSE),IF(ISNUMBER(SEARCH("STEEL",F1706)),"Steel","Others"))</f>
        <v>0</v>
      </c>
      <c r="H1706">
        <f>IF(ISNUMBER(SEARCH("scrubber",F1706)) , "Scrubber", IF(ISNUMBER(SEARCH("container",F1706)),"Container", IF(ISNUMBER(SEARCH("basket",F1706)),"Basket", IF(ISNUMBER(SEARCH("lunch",F1706)),"Lunch Box", IF(ISNUMBER(SEARCH("cutlery",F1706)),"Cutlery","Other")))))</f>
        <v>0</v>
      </c>
      <c r="I1706">
        <f>IF('Raw Data'!G1706&lt;&gt;'','Raw Data'!G1706,IFERROR(MID(F1706,SEARCH("MODEL",F1706)+6,20),""))</f>
        <v>0</v>
      </c>
      <c r="J1706">
        <f>'Raw Data'!H1706</f>
        <v>0</v>
      </c>
      <c r="K1706">
        <f>'Raw Data'!I1706</f>
        <v>0</v>
      </c>
      <c r="L1706">
        <f>IF('Raw Data'!N1706&lt;&gt;0,'Raw Data'!N1706,IFERROR(VALUE(MID(F1706,SEARCH("QTY",F1706)+4,IFERROR(FIND(" ",F1706,SEARCH("QTY",F1706)+4)-(SEARCH("QTY",F1706)+4),3))),""))</f>
        <v>0</v>
      </c>
      <c r="M1706">
        <f>'Raw Data'!O1706</f>
        <v>0</v>
      </c>
      <c r="N1706">
        <f>'Raw Data'!P1706</f>
        <v>0</v>
      </c>
      <c r="O1706">
        <f>'Raw Data'!Q1706</f>
        <v>0</v>
      </c>
      <c r="P1706">
        <f>'Raw Data'!R1706</f>
        <v>0</v>
      </c>
      <c r="Q1706">
        <f>'Raw Data'!S1706</f>
        <v>0</v>
      </c>
      <c r="R1706">
        <f>'Raw Data'!T1706</f>
        <v>0</v>
      </c>
      <c r="S1706">
        <f>IFERROR(O1706,0)+IFERROR(R1706,0)</f>
        <v>0</v>
      </c>
      <c r="T1706">
        <f>IF(A1706="","",YEAR(A1706))</f>
        <v>0</v>
      </c>
    </row>
    <row r="1707" spans="1:20">
      <c r="A1707">
        <f>'Raw Data'!B1707</f>
        <v>0</v>
      </c>
      <c r="B1707">
        <f>'Raw Data'!A1707</f>
        <v>0</v>
      </c>
      <c r="C1707">
        <f>'Raw Data'!C1707</f>
        <v>0</v>
      </c>
      <c r="D1707">
        <f>'Raw Data'!D1707</f>
        <v>0</v>
      </c>
      <c r="E1707">
        <f>IFERROR(VLOOKUP(D1707,'Lookup Tables'!$A:$B,2,FALSE),"Unknown")</f>
        <v>0</v>
      </c>
      <c r="F1707">
        <f>'Raw Data'!E1707</f>
        <v>0</v>
      </c>
      <c r="G1707">
        <f>IFERROR(VLOOKUP(D1707,'Lookup Tables'!$A:$C,3,FALSE),IF(ISNUMBER(SEARCH("STEEL",F1707)),"Steel","Others"))</f>
        <v>0</v>
      </c>
      <c r="H1707">
        <f>IF(ISNUMBER(SEARCH("scrubber",F1707)) , "Scrubber", IF(ISNUMBER(SEARCH("container",F1707)),"Container", IF(ISNUMBER(SEARCH("basket",F1707)),"Basket", IF(ISNUMBER(SEARCH("lunch",F1707)),"Lunch Box", IF(ISNUMBER(SEARCH("cutlery",F1707)),"Cutlery","Other")))))</f>
        <v>0</v>
      </c>
      <c r="I1707">
        <f>IF('Raw Data'!G1707&lt;&gt;'','Raw Data'!G1707,IFERROR(MID(F1707,SEARCH("MODEL",F1707)+6,20),""))</f>
        <v>0</v>
      </c>
      <c r="J1707">
        <f>'Raw Data'!H1707</f>
        <v>0</v>
      </c>
      <c r="K1707">
        <f>'Raw Data'!I1707</f>
        <v>0</v>
      </c>
      <c r="L1707">
        <f>IF('Raw Data'!N1707&lt;&gt;0,'Raw Data'!N1707,IFERROR(VALUE(MID(F1707,SEARCH("QTY",F1707)+4,IFERROR(FIND(" ",F1707,SEARCH("QTY",F1707)+4)-(SEARCH("QTY",F1707)+4),3))),""))</f>
        <v>0</v>
      </c>
      <c r="M1707">
        <f>'Raw Data'!O1707</f>
        <v>0</v>
      </c>
      <c r="N1707">
        <f>'Raw Data'!P1707</f>
        <v>0</v>
      </c>
      <c r="O1707">
        <f>'Raw Data'!Q1707</f>
        <v>0</v>
      </c>
      <c r="P1707">
        <f>'Raw Data'!R1707</f>
        <v>0</v>
      </c>
      <c r="Q1707">
        <f>'Raw Data'!S1707</f>
        <v>0</v>
      </c>
      <c r="R1707">
        <f>'Raw Data'!T1707</f>
        <v>0</v>
      </c>
      <c r="S1707">
        <f>IFERROR(O1707,0)+IFERROR(R1707,0)</f>
        <v>0</v>
      </c>
      <c r="T1707">
        <f>IF(A1707="","",YEAR(A1707))</f>
        <v>0</v>
      </c>
    </row>
    <row r="1708" spans="1:20">
      <c r="A1708">
        <f>'Raw Data'!B1708</f>
        <v>0</v>
      </c>
      <c r="B1708">
        <f>'Raw Data'!A1708</f>
        <v>0</v>
      </c>
      <c r="C1708">
        <f>'Raw Data'!C1708</f>
        <v>0</v>
      </c>
      <c r="D1708">
        <f>'Raw Data'!D1708</f>
        <v>0</v>
      </c>
      <c r="E1708">
        <f>IFERROR(VLOOKUP(D1708,'Lookup Tables'!$A:$B,2,FALSE),"Unknown")</f>
        <v>0</v>
      </c>
      <c r="F1708">
        <f>'Raw Data'!E1708</f>
        <v>0</v>
      </c>
      <c r="G1708">
        <f>IFERROR(VLOOKUP(D1708,'Lookup Tables'!$A:$C,3,FALSE),IF(ISNUMBER(SEARCH("STEEL",F1708)),"Steel","Others"))</f>
        <v>0</v>
      </c>
      <c r="H1708">
        <f>IF(ISNUMBER(SEARCH("scrubber",F1708)) , "Scrubber", IF(ISNUMBER(SEARCH("container",F1708)),"Container", IF(ISNUMBER(SEARCH("basket",F1708)),"Basket", IF(ISNUMBER(SEARCH("lunch",F1708)),"Lunch Box", IF(ISNUMBER(SEARCH("cutlery",F1708)),"Cutlery","Other")))))</f>
        <v>0</v>
      </c>
      <c r="I1708">
        <f>IF('Raw Data'!G1708&lt;&gt;'','Raw Data'!G1708,IFERROR(MID(F1708,SEARCH("MODEL",F1708)+6,20),""))</f>
        <v>0</v>
      </c>
      <c r="J1708">
        <f>'Raw Data'!H1708</f>
        <v>0</v>
      </c>
      <c r="K1708">
        <f>'Raw Data'!I1708</f>
        <v>0</v>
      </c>
      <c r="L1708">
        <f>IF('Raw Data'!N1708&lt;&gt;0,'Raw Data'!N1708,IFERROR(VALUE(MID(F1708,SEARCH("QTY",F1708)+4,IFERROR(FIND(" ",F1708,SEARCH("QTY",F1708)+4)-(SEARCH("QTY",F1708)+4),3))),""))</f>
        <v>0</v>
      </c>
      <c r="M1708">
        <f>'Raw Data'!O1708</f>
        <v>0</v>
      </c>
      <c r="N1708">
        <f>'Raw Data'!P1708</f>
        <v>0</v>
      </c>
      <c r="O1708">
        <f>'Raw Data'!Q1708</f>
        <v>0</v>
      </c>
      <c r="P1708">
        <f>'Raw Data'!R1708</f>
        <v>0</v>
      </c>
      <c r="Q1708">
        <f>'Raw Data'!S1708</f>
        <v>0</v>
      </c>
      <c r="R1708">
        <f>'Raw Data'!T1708</f>
        <v>0</v>
      </c>
      <c r="S1708">
        <f>IFERROR(O1708,0)+IFERROR(R1708,0)</f>
        <v>0</v>
      </c>
      <c r="T1708">
        <f>IF(A1708="","",YEAR(A1708))</f>
        <v>0</v>
      </c>
    </row>
    <row r="1709" spans="1:20">
      <c r="A1709">
        <f>'Raw Data'!B1709</f>
        <v>0</v>
      </c>
      <c r="B1709">
        <f>'Raw Data'!A1709</f>
        <v>0</v>
      </c>
      <c r="C1709">
        <f>'Raw Data'!C1709</f>
        <v>0</v>
      </c>
      <c r="D1709">
        <f>'Raw Data'!D1709</f>
        <v>0</v>
      </c>
      <c r="E1709">
        <f>IFERROR(VLOOKUP(D1709,'Lookup Tables'!$A:$B,2,FALSE),"Unknown")</f>
        <v>0</v>
      </c>
      <c r="F1709">
        <f>'Raw Data'!E1709</f>
        <v>0</v>
      </c>
      <c r="G1709">
        <f>IFERROR(VLOOKUP(D1709,'Lookup Tables'!$A:$C,3,FALSE),IF(ISNUMBER(SEARCH("STEEL",F1709)),"Steel","Others"))</f>
        <v>0</v>
      </c>
      <c r="H1709">
        <f>IF(ISNUMBER(SEARCH("scrubber",F1709)) , "Scrubber", IF(ISNUMBER(SEARCH("container",F1709)),"Container", IF(ISNUMBER(SEARCH("basket",F1709)),"Basket", IF(ISNUMBER(SEARCH("lunch",F1709)),"Lunch Box", IF(ISNUMBER(SEARCH("cutlery",F1709)),"Cutlery","Other")))))</f>
        <v>0</v>
      </c>
      <c r="I1709">
        <f>IF('Raw Data'!G1709&lt;&gt;'','Raw Data'!G1709,IFERROR(MID(F1709,SEARCH("MODEL",F1709)+6,20),""))</f>
        <v>0</v>
      </c>
      <c r="J1709">
        <f>'Raw Data'!H1709</f>
        <v>0</v>
      </c>
      <c r="K1709">
        <f>'Raw Data'!I1709</f>
        <v>0</v>
      </c>
      <c r="L1709">
        <f>IF('Raw Data'!N1709&lt;&gt;0,'Raw Data'!N1709,IFERROR(VALUE(MID(F1709,SEARCH("QTY",F1709)+4,IFERROR(FIND(" ",F1709,SEARCH("QTY",F1709)+4)-(SEARCH("QTY",F1709)+4),3))),""))</f>
        <v>0</v>
      </c>
      <c r="M1709">
        <f>'Raw Data'!O1709</f>
        <v>0</v>
      </c>
      <c r="N1709">
        <f>'Raw Data'!P1709</f>
        <v>0</v>
      </c>
      <c r="O1709">
        <f>'Raw Data'!Q1709</f>
        <v>0</v>
      </c>
      <c r="P1709">
        <f>'Raw Data'!R1709</f>
        <v>0</v>
      </c>
      <c r="Q1709">
        <f>'Raw Data'!S1709</f>
        <v>0</v>
      </c>
      <c r="R1709">
        <f>'Raw Data'!T1709</f>
        <v>0</v>
      </c>
      <c r="S1709">
        <f>IFERROR(O1709,0)+IFERROR(R1709,0)</f>
        <v>0</v>
      </c>
      <c r="T1709">
        <f>IF(A1709="","",YEAR(A1709))</f>
        <v>0</v>
      </c>
    </row>
    <row r="1710" spans="1:20">
      <c r="A1710">
        <f>'Raw Data'!B1710</f>
        <v>0</v>
      </c>
      <c r="B1710">
        <f>'Raw Data'!A1710</f>
        <v>0</v>
      </c>
      <c r="C1710">
        <f>'Raw Data'!C1710</f>
        <v>0</v>
      </c>
      <c r="D1710">
        <f>'Raw Data'!D1710</f>
        <v>0</v>
      </c>
      <c r="E1710">
        <f>IFERROR(VLOOKUP(D1710,'Lookup Tables'!$A:$B,2,FALSE),"Unknown")</f>
        <v>0</v>
      </c>
      <c r="F1710">
        <f>'Raw Data'!E1710</f>
        <v>0</v>
      </c>
      <c r="G1710">
        <f>IFERROR(VLOOKUP(D1710,'Lookup Tables'!$A:$C,3,FALSE),IF(ISNUMBER(SEARCH("STEEL",F1710)),"Steel","Others"))</f>
        <v>0</v>
      </c>
      <c r="H1710">
        <f>IF(ISNUMBER(SEARCH("scrubber",F1710)) , "Scrubber", IF(ISNUMBER(SEARCH("container",F1710)),"Container", IF(ISNUMBER(SEARCH("basket",F1710)),"Basket", IF(ISNUMBER(SEARCH("lunch",F1710)),"Lunch Box", IF(ISNUMBER(SEARCH("cutlery",F1710)),"Cutlery","Other")))))</f>
        <v>0</v>
      </c>
      <c r="I1710">
        <f>IF('Raw Data'!G1710&lt;&gt;'','Raw Data'!G1710,IFERROR(MID(F1710,SEARCH("MODEL",F1710)+6,20),""))</f>
        <v>0</v>
      </c>
      <c r="J1710">
        <f>'Raw Data'!H1710</f>
        <v>0</v>
      </c>
      <c r="K1710">
        <f>'Raw Data'!I1710</f>
        <v>0</v>
      </c>
      <c r="L1710">
        <f>IF('Raw Data'!N1710&lt;&gt;0,'Raw Data'!N1710,IFERROR(VALUE(MID(F1710,SEARCH("QTY",F1710)+4,IFERROR(FIND(" ",F1710,SEARCH("QTY",F1710)+4)-(SEARCH("QTY",F1710)+4),3))),""))</f>
        <v>0</v>
      </c>
      <c r="M1710">
        <f>'Raw Data'!O1710</f>
        <v>0</v>
      </c>
      <c r="N1710">
        <f>'Raw Data'!P1710</f>
        <v>0</v>
      </c>
      <c r="O1710">
        <f>'Raw Data'!Q1710</f>
        <v>0</v>
      </c>
      <c r="P1710">
        <f>'Raw Data'!R1710</f>
        <v>0</v>
      </c>
      <c r="Q1710">
        <f>'Raw Data'!S1710</f>
        <v>0</v>
      </c>
      <c r="R1710">
        <f>'Raw Data'!T1710</f>
        <v>0</v>
      </c>
      <c r="S1710">
        <f>IFERROR(O1710,0)+IFERROR(R1710,0)</f>
        <v>0</v>
      </c>
      <c r="T1710">
        <f>IF(A1710="","",YEAR(A1710))</f>
        <v>0</v>
      </c>
    </row>
    <row r="1711" spans="1:20">
      <c r="A1711">
        <f>'Raw Data'!B1711</f>
        <v>0</v>
      </c>
      <c r="B1711">
        <f>'Raw Data'!A1711</f>
        <v>0</v>
      </c>
      <c r="C1711">
        <f>'Raw Data'!C1711</f>
        <v>0</v>
      </c>
      <c r="D1711">
        <f>'Raw Data'!D1711</f>
        <v>0</v>
      </c>
      <c r="E1711">
        <f>IFERROR(VLOOKUP(D1711,'Lookup Tables'!$A:$B,2,FALSE),"Unknown")</f>
        <v>0</v>
      </c>
      <c r="F1711">
        <f>'Raw Data'!E1711</f>
        <v>0</v>
      </c>
      <c r="G1711">
        <f>IFERROR(VLOOKUP(D1711,'Lookup Tables'!$A:$C,3,FALSE),IF(ISNUMBER(SEARCH("STEEL",F1711)),"Steel","Others"))</f>
        <v>0</v>
      </c>
      <c r="H1711">
        <f>IF(ISNUMBER(SEARCH("scrubber",F1711)) , "Scrubber", IF(ISNUMBER(SEARCH("container",F1711)),"Container", IF(ISNUMBER(SEARCH("basket",F1711)),"Basket", IF(ISNUMBER(SEARCH("lunch",F1711)),"Lunch Box", IF(ISNUMBER(SEARCH("cutlery",F1711)),"Cutlery","Other")))))</f>
        <v>0</v>
      </c>
      <c r="I1711">
        <f>IF('Raw Data'!G1711&lt;&gt;'','Raw Data'!G1711,IFERROR(MID(F1711,SEARCH("MODEL",F1711)+6,20),""))</f>
        <v>0</v>
      </c>
      <c r="J1711">
        <f>'Raw Data'!H1711</f>
        <v>0</v>
      </c>
      <c r="K1711">
        <f>'Raw Data'!I1711</f>
        <v>0</v>
      </c>
      <c r="L1711">
        <f>IF('Raw Data'!N1711&lt;&gt;0,'Raw Data'!N1711,IFERROR(VALUE(MID(F1711,SEARCH("QTY",F1711)+4,IFERROR(FIND(" ",F1711,SEARCH("QTY",F1711)+4)-(SEARCH("QTY",F1711)+4),3))),""))</f>
        <v>0</v>
      </c>
      <c r="M1711">
        <f>'Raw Data'!O1711</f>
        <v>0</v>
      </c>
      <c r="N1711">
        <f>'Raw Data'!P1711</f>
        <v>0</v>
      </c>
      <c r="O1711">
        <f>'Raw Data'!Q1711</f>
        <v>0</v>
      </c>
      <c r="P1711">
        <f>'Raw Data'!R1711</f>
        <v>0</v>
      </c>
      <c r="Q1711">
        <f>'Raw Data'!S1711</f>
        <v>0</v>
      </c>
      <c r="R1711">
        <f>'Raw Data'!T1711</f>
        <v>0</v>
      </c>
      <c r="S1711">
        <f>IFERROR(O1711,0)+IFERROR(R1711,0)</f>
        <v>0</v>
      </c>
      <c r="T1711">
        <f>IF(A1711="","",YEAR(A1711))</f>
        <v>0</v>
      </c>
    </row>
    <row r="1712" spans="1:20">
      <c r="A1712">
        <f>'Raw Data'!B1712</f>
        <v>0</v>
      </c>
      <c r="B1712">
        <f>'Raw Data'!A1712</f>
        <v>0</v>
      </c>
      <c r="C1712">
        <f>'Raw Data'!C1712</f>
        <v>0</v>
      </c>
      <c r="D1712">
        <f>'Raw Data'!D1712</f>
        <v>0</v>
      </c>
      <c r="E1712">
        <f>IFERROR(VLOOKUP(D1712,'Lookup Tables'!$A:$B,2,FALSE),"Unknown")</f>
        <v>0</v>
      </c>
      <c r="F1712">
        <f>'Raw Data'!E1712</f>
        <v>0</v>
      </c>
      <c r="G1712">
        <f>IFERROR(VLOOKUP(D1712,'Lookup Tables'!$A:$C,3,FALSE),IF(ISNUMBER(SEARCH("STEEL",F1712)),"Steel","Others"))</f>
        <v>0</v>
      </c>
      <c r="H1712">
        <f>IF(ISNUMBER(SEARCH("scrubber",F1712)) , "Scrubber", IF(ISNUMBER(SEARCH("container",F1712)),"Container", IF(ISNUMBER(SEARCH("basket",F1712)),"Basket", IF(ISNUMBER(SEARCH("lunch",F1712)),"Lunch Box", IF(ISNUMBER(SEARCH("cutlery",F1712)),"Cutlery","Other")))))</f>
        <v>0</v>
      </c>
      <c r="I1712">
        <f>IF('Raw Data'!G1712&lt;&gt;'','Raw Data'!G1712,IFERROR(MID(F1712,SEARCH("MODEL",F1712)+6,20),""))</f>
        <v>0</v>
      </c>
      <c r="J1712">
        <f>'Raw Data'!H1712</f>
        <v>0</v>
      </c>
      <c r="K1712">
        <f>'Raw Data'!I1712</f>
        <v>0</v>
      </c>
      <c r="L1712">
        <f>IF('Raw Data'!N1712&lt;&gt;0,'Raw Data'!N1712,IFERROR(VALUE(MID(F1712,SEARCH("QTY",F1712)+4,IFERROR(FIND(" ",F1712,SEARCH("QTY",F1712)+4)-(SEARCH("QTY",F1712)+4),3))),""))</f>
        <v>0</v>
      </c>
      <c r="M1712">
        <f>'Raw Data'!O1712</f>
        <v>0</v>
      </c>
      <c r="N1712">
        <f>'Raw Data'!P1712</f>
        <v>0</v>
      </c>
      <c r="O1712">
        <f>'Raw Data'!Q1712</f>
        <v>0</v>
      </c>
      <c r="P1712">
        <f>'Raw Data'!R1712</f>
        <v>0</v>
      </c>
      <c r="Q1712">
        <f>'Raw Data'!S1712</f>
        <v>0</v>
      </c>
      <c r="R1712">
        <f>'Raw Data'!T1712</f>
        <v>0</v>
      </c>
      <c r="S1712">
        <f>IFERROR(O1712,0)+IFERROR(R1712,0)</f>
        <v>0</v>
      </c>
      <c r="T1712">
        <f>IF(A1712="","",YEAR(A1712))</f>
        <v>0</v>
      </c>
    </row>
    <row r="1713" spans="1:20">
      <c r="A1713">
        <f>'Raw Data'!B1713</f>
        <v>0</v>
      </c>
      <c r="B1713">
        <f>'Raw Data'!A1713</f>
        <v>0</v>
      </c>
      <c r="C1713">
        <f>'Raw Data'!C1713</f>
        <v>0</v>
      </c>
      <c r="D1713">
        <f>'Raw Data'!D1713</f>
        <v>0</v>
      </c>
      <c r="E1713">
        <f>IFERROR(VLOOKUP(D1713,'Lookup Tables'!$A:$B,2,FALSE),"Unknown")</f>
        <v>0</v>
      </c>
      <c r="F1713">
        <f>'Raw Data'!E1713</f>
        <v>0</v>
      </c>
      <c r="G1713">
        <f>IFERROR(VLOOKUP(D1713,'Lookup Tables'!$A:$C,3,FALSE),IF(ISNUMBER(SEARCH("STEEL",F1713)),"Steel","Others"))</f>
        <v>0</v>
      </c>
      <c r="H1713">
        <f>IF(ISNUMBER(SEARCH("scrubber",F1713)) , "Scrubber", IF(ISNUMBER(SEARCH("container",F1713)),"Container", IF(ISNUMBER(SEARCH("basket",F1713)),"Basket", IF(ISNUMBER(SEARCH("lunch",F1713)),"Lunch Box", IF(ISNUMBER(SEARCH("cutlery",F1713)),"Cutlery","Other")))))</f>
        <v>0</v>
      </c>
      <c r="I1713">
        <f>IF('Raw Data'!G1713&lt;&gt;'','Raw Data'!G1713,IFERROR(MID(F1713,SEARCH("MODEL",F1713)+6,20),""))</f>
        <v>0</v>
      </c>
      <c r="J1713">
        <f>'Raw Data'!H1713</f>
        <v>0</v>
      </c>
      <c r="K1713">
        <f>'Raw Data'!I1713</f>
        <v>0</v>
      </c>
      <c r="L1713">
        <f>IF('Raw Data'!N1713&lt;&gt;0,'Raw Data'!N1713,IFERROR(VALUE(MID(F1713,SEARCH("QTY",F1713)+4,IFERROR(FIND(" ",F1713,SEARCH("QTY",F1713)+4)-(SEARCH("QTY",F1713)+4),3))),""))</f>
        <v>0</v>
      </c>
      <c r="M1713">
        <f>'Raw Data'!O1713</f>
        <v>0</v>
      </c>
      <c r="N1713">
        <f>'Raw Data'!P1713</f>
        <v>0</v>
      </c>
      <c r="O1713">
        <f>'Raw Data'!Q1713</f>
        <v>0</v>
      </c>
      <c r="P1713">
        <f>'Raw Data'!R1713</f>
        <v>0</v>
      </c>
      <c r="Q1713">
        <f>'Raw Data'!S1713</f>
        <v>0</v>
      </c>
      <c r="R1713">
        <f>'Raw Data'!T1713</f>
        <v>0</v>
      </c>
      <c r="S1713">
        <f>IFERROR(O1713,0)+IFERROR(R1713,0)</f>
        <v>0</v>
      </c>
      <c r="T1713">
        <f>IF(A1713="","",YEAR(A1713))</f>
        <v>0</v>
      </c>
    </row>
    <row r="1714" spans="1:20">
      <c r="A1714">
        <f>'Raw Data'!B1714</f>
        <v>0</v>
      </c>
      <c r="B1714">
        <f>'Raw Data'!A1714</f>
        <v>0</v>
      </c>
      <c r="C1714">
        <f>'Raw Data'!C1714</f>
        <v>0</v>
      </c>
      <c r="D1714">
        <f>'Raw Data'!D1714</f>
        <v>0</v>
      </c>
      <c r="E1714">
        <f>IFERROR(VLOOKUP(D1714,'Lookup Tables'!$A:$B,2,FALSE),"Unknown")</f>
        <v>0</v>
      </c>
      <c r="F1714">
        <f>'Raw Data'!E1714</f>
        <v>0</v>
      </c>
      <c r="G1714">
        <f>IFERROR(VLOOKUP(D1714,'Lookup Tables'!$A:$C,3,FALSE),IF(ISNUMBER(SEARCH("STEEL",F1714)),"Steel","Others"))</f>
        <v>0</v>
      </c>
      <c r="H1714">
        <f>IF(ISNUMBER(SEARCH("scrubber",F1714)) , "Scrubber", IF(ISNUMBER(SEARCH("container",F1714)),"Container", IF(ISNUMBER(SEARCH("basket",F1714)),"Basket", IF(ISNUMBER(SEARCH("lunch",F1714)),"Lunch Box", IF(ISNUMBER(SEARCH("cutlery",F1714)),"Cutlery","Other")))))</f>
        <v>0</v>
      </c>
      <c r="I1714">
        <f>IF('Raw Data'!G1714&lt;&gt;'','Raw Data'!G1714,IFERROR(MID(F1714,SEARCH("MODEL",F1714)+6,20),""))</f>
        <v>0</v>
      </c>
      <c r="J1714">
        <f>'Raw Data'!H1714</f>
        <v>0</v>
      </c>
      <c r="K1714">
        <f>'Raw Data'!I1714</f>
        <v>0</v>
      </c>
      <c r="L1714">
        <f>IF('Raw Data'!N1714&lt;&gt;0,'Raw Data'!N1714,IFERROR(VALUE(MID(F1714,SEARCH("QTY",F1714)+4,IFERROR(FIND(" ",F1714,SEARCH("QTY",F1714)+4)-(SEARCH("QTY",F1714)+4),3))),""))</f>
        <v>0</v>
      </c>
      <c r="M1714">
        <f>'Raw Data'!O1714</f>
        <v>0</v>
      </c>
      <c r="N1714">
        <f>'Raw Data'!P1714</f>
        <v>0</v>
      </c>
      <c r="O1714">
        <f>'Raw Data'!Q1714</f>
        <v>0</v>
      </c>
      <c r="P1714">
        <f>'Raw Data'!R1714</f>
        <v>0</v>
      </c>
      <c r="Q1714">
        <f>'Raw Data'!S1714</f>
        <v>0</v>
      </c>
      <c r="R1714">
        <f>'Raw Data'!T1714</f>
        <v>0</v>
      </c>
      <c r="S1714">
        <f>IFERROR(O1714,0)+IFERROR(R1714,0)</f>
        <v>0</v>
      </c>
      <c r="T1714">
        <f>IF(A1714="","",YEAR(A1714))</f>
        <v>0</v>
      </c>
    </row>
    <row r="1715" spans="1:20">
      <c r="A1715">
        <f>'Raw Data'!B1715</f>
        <v>0</v>
      </c>
      <c r="B1715">
        <f>'Raw Data'!A1715</f>
        <v>0</v>
      </c>
      <c r="C1715">
        <f>'Raw Data'!C1715</f>
        <v>0</v>
      </c>
      <c r="D1715">
        <f>'Raw Data'!D1715</f>
        <v>0</v>
      </c>
      <c r="E1715">
        <f>IFERROR(VLOOKUP(D1715,'Lookup Tables'!$A:$B,2,FALSE),"Unknown")</f>
        <v>0</v>
      </c>
      <c r="F1715">
        <f>'Raw Data'!E1715</f>
        <v>0</v>
      </c>
      <c r="G1715">
        <f>IFERROR(VLOOKUP(D1715,'Lookup Tables'!$A:$C,3,FALSE),IF(ISNUMBER(SEARCH("STEEL",F1715)),"Steel","Others"))</f>
        <v>0</v>
      </c>
      <c r="H1715">
        <f>IF(ISNUMBER(SEARCH("scrubber",F1715)) , "Scrubber", IF(ISNUMBER(SEARCH("container",F1715)),"Container", IF(ISNUMBER(SEARCH("basket",F1715)),"Basket", IF(ISNUMBER(SEARCH("lunch",F1715)),"Lunch Box", IF(ISNUMBER(SEARCH("cutlery",F1715)),"Cutlery","Other")))))</f>
        <v>0</v>
      </c>
      <c r="I1715">
        <f>IF('Raw Data'!G1715&lt;&gt;'','Raw Data'!G1715,IFERROR(MID(F1715,SEARCH("MODEL",F1715)+6,20),""))</f>
        <v>0</v>
      </c>
      <c r="J1715">
        <f>'Raw Data'!H1715</f>
        <v>0</v>
      </c>
      <c r="K1715">
        <f>'Raw Data'!I1715</f>
        <v>0</v>
      </c>
      <c r="L1715">
        <f>IF('Raw Data'!N1715&lt;&gt;0,'Raw Data'!N1715,IFERROR(VALUE(MID(F1715,SEARCH("QTY",F1715)+4,IFERROR(FIND(" ",F1715,SEARCH("QTY",F1715)+4)-(SEARCH("QTY",F1715)+4),3))),""))</f>
        <v>0</v>
      </c>
      <c r="M1715">
        <f>'Raw Data'!O1715</f>
        <v>0</v>
      </c>
      <c r="N1715">
        <f>'Raw Data'!P1715</f>
        <v>0</v>
      </c>
      <c r="O1715">
        <f>'Raw Data'!Q1715</f>
        <v>0</v>
      </c>
      <c r="P1715">
        <f>'Raw Data'!R1715</f>
        <v>0</v>
      </c>
      <c r="Q1715">
        <f>'Raw Data'!S1715</f>
        <v>0</v>
      </c>
      <c r="R1715">
        <f>'Raw Data'!T1715</f>
        <v>0</v>
      </c>
      <c r="S1715">
        <f>IFERROR(O1715,0)+IFERROR(R1715,0)</f>
        <v>0</v>
      </c>
      <c r="T1715">
        <f>IF(A1715="","",YEAR(A1715))</f>
        <v>0</v>
      </c>
    </row>
    <row r="1716" spans="1:20">
      <c r="A1716">
        <f>'Raw Data'!B1716</f>
        <v>0</v>
      </c>
      <c r="B1716">
        <f>'Raw Data'!A1716</f>
        <v>0</v>
      </c>
      <c r="C1716">
        <f>'Raw Data'!C1716</f>
        <v>0</v>
      </c>
      <c r="D1716">
        <f>'Raw Data'!D1716</f>
        <v>0</v>
      </c>
      <c r="E1716">
        <f>IFERROR(VLOOKUP(D1716,'Lookup Tables'!$A:$B,2,FALSE),"Unknown")</f>
        <v>0</v>
      </c>
      <c r="F1716">
        <f>'Raw Data'!E1716</f>
        <v>0</v>
      </c>
      <c r="G1716">
        <f>IFERROR(VLOOKUP(D1716,'Lookup Tables'!$A:$C,3,FALSE),IF(ISNUMBER(SEARCH("STEEL",F1716)),"Steel","Others"))</f>
        <v>0</v>
      </c>
      <c r="H1716">
        <f>IF(ISNUMBER(SEARCH("scrubber",F1716)) , "Scrubber", IF(ISNUMBER(SEARCH("container",F1716)),"Container", IF(ISNUMBER(SEARCH("basket",F1716)),"Basket", IF(ISNUMBER(SEARCH("lunch",F1716)),"Lunch Box", IF(ISNUMBER(SEARCH("cutlery",F1716)),"Cutlery","Other")))))</f>
        <v>0</v>
      </c>
      <c r="I1716">
        <f>IF('Raw Data'!G1716&lt;&gt;'','Raw Data'!G1716,IFERROR(MID(F1716,SEARCH("MODEL",F1716)+6,20),""))</f>
        <v>0</v>
      </c>
      <c r="J1716">
        <f>'Raw Data'!H1716</f>
        <v>0</v>
      </c>
      <c r="K1716">
        <f>'Raw Data'!I1716</f>
        <v>0</v>
      </c>
      <c r="L1716">
        <f>IF('Raw Data'!N1716&lt;&gt;0,'Raw Data'!N1716,IFERROR(VALUE(MID(F1716,SEARCH("QTY",F1716)+4,IFERROR(FIND(" ",F1716,SEARCH("QTY",F1716)+4)-(SEARCH("QTY",F1716)+4),3))),""))</f>
        <v>0</v>
      </c>
      <c r="M1716">
        <f>'Raw Data'!O1716</f>
        <v>0</v>
      </c>
      <c r="N1716">
        <f>'Raw Data'!P1716</f>
        <v>0</v>
      </c>
      <c r="O1716">
        <f>'Raw Data'!Q1716</f>
        <v>0</v>
      </c>
      <c r="P1716">
        <f>'Raw Data'!R1716</f>
        <v>0</v>
      </c>
      <c r="Q1716">
        <f>'Raw Data'!S1716</f>
        <v>0</v>
      </c>
      <c r="R1716">
        <f>'Raw Data'!T1716</f>
        <v>0</v>
      </c>
      <c r="S1716">
        <f>IFERROR(O1716,0)+IFERROR(R1716,0)</f>
        <v>0</v>
      </c>
      <c r="T1716">
        <f>IF(A1716="","",YEAR(A1716))</f>
        <v>0</v>
      </c>
    </row>
    <row r="1717" spans="1:20">
      <c r="A1717">
        <f>'Raw Data'!B1717</f>
        <v>0</v>
      </c>
      <c r="B1717">
        <f>'Raw Data'!A1717</f>
        <v>0</v>
      </c>
      <c r="C1717">
        <f>'Raw Data'!C1717</f>
        <v>0</v>
      </c>
      <c r="D1717">
        <f>'Raw Data'!D1717</f>
        <v>0</v>
      </c>
      <c r="E1717">
        <f>IFERROR(VLOOKUP(D1717,'Lookup Tables'!$A:$B,2,FALSE),"Unknown")</f>
        <v>0</v>
      </c>
      <c r="F1717">
        <f>'Raw Data'!E1717</f>
        <v>0</v>
      </c>
      <c r="G1717">
        <f>IFERROR(VLOOKUP(D1717,'Lookup Tables'!$A:$C,3,FALSE),IF(ISNUMBER(SEARCH("STEEL",F1717)),"Steel","Others"))</f>
        <v>0</v>
      </c>
      <c r="H1717">
        <f>IF(ISNUMBER(SEARCH("scrubber",F1717)) , "Scrubber", IF(ISNUMBER(SEARCH("container",F1717)),"Container", IF(ISNUMBER(SEARCH("basket",F1717)),"Basket", IF(ISNUMBER(SEARCH("lunch",F1717)),"Lunch Box", IF(ISNUMBER(SEARCH("cutlery",F1717)),"Cutlery","Other")))))</f>
        <v>0</v>
      </c>
      <c r="I1717">
        <f>IF('Raw Data'!G1717&lt;&gt;'','Raw Data'!G1717,IFERROR(MID(F1717,SEARCH("MODEL",F1717)+6,20),""))</f>
        <v>0</v>
      </c>
      <c r="J1717">
        <f>'Raw Data'!H1717</f>
        <v>0</v>
      </c>
      <c r="K1717">
        <f>'Raw Data'!I1717</f>
        <v>0</v>
      </c>
      <c r="L1717">
        <f>IF('Raw Data'!N1717&lt;&gt;0,'Raw Data'!N1717,IFERROR(VALUE(MID(F1717,SEARCH("QTY",F1717)+4,IFERROR(FIND(" ",F1717,SEARCH("QTY",F1717)+4)-(SEARCH("QTY",F1717)+4),3))),""))</f>
        <v>0</v>
      </c>
      <c r="M1717">
        <f>'Raw Data'!O1717</f>
        <v>0</v>
      </c>
      <c r="N1717">
        <f>'Raw Data'!P1717</f>
        <v>0</v>
      </c>
      <c r="O1717">
        <f>'Raw Data'!Q1717</f>
        <v>0</v>
      </c>
      <c r="P1717">
        <f>'Raw Data'!R1717</f>
        <v>0</v>
      </c>
      <c r="Q1717">
        <f>'Raw Data'!S1717</f>
        <v>0</v>
      </c>
      <c r="R1717">
        <f>'Raw Data'!T1717</f>
        <v>0</v>
      </c>
      <c r="S1717">
        <f>IFERROR(O1717,0)+IFERROR(R1717,0)</f>
        <v>0</v>
      </c>
      <c r="T1717">
        <f>IF(A1717="","",YEAR(A1717))</f>
        <v>0</v>
      </c>
    </row>
    <row r="1718" spans="1:20">
      <c r="A1718">
        <f>'Raw Data'!B1718</f>
        <v>0</v>
      </c>
      <c r="B1718">
        <f>'Raw Data'!A1718</f>
        <v>0</v>
      </c>
      <c r="C1718">
        <f>'Raw Data'!C1718</f>
        <v>0</v>
      </c>
      <c r="D1718">
        <f>'Raw Data'!D1718</f>
        <v>0</v>
      </c>
      <c r="E1718">
        <f>IFERROR(VLOOKUP(D1718,'Lookup Tables'!$A:$B,2,FALSE),"Unknown")</f>
        <v>0</v>
      </c>
      <c r="F1718">
        <f>'Raw Data'!E1718</f>
        <v>0</v>
      </c>
      <c r="G1718">
        <f>IFERROR(VLOOKUP(D1718,'Lookup Tables'!$A:$C,3,FALSE),IF(ISNUMBER(SEARCH("STEEL",F1718)),"Steel","Others"))</f>
        <v>0</v>
      </c>
      <c r="H1718">
        <f>IF(ISNUMBER(SEARCH("scrubber",F1718)) , "Scrubber", IF(ISNUMBER(SEARCH("container",F1718)),"Container", IF(ISNUMBER(SEARCH("basket",F1718)),"Basket", IF(ISNUMBER(SEARCH("lunch",F1718)),"Lunch Box", IF(ISNUMBER(SEARCH("cutlery",F1718)),"Cutlery","Other")))))</f>
        <v>0</v>
      </c>
      <c r="I1718">
        <f>IF('Raw Data'!G1718&lt;&gt;'','Raw Data'!G1718,IFERROR(MID(F1718,SEARCH("MODEL",F1718)+6,20),""))</f>
        <v>0</v>
      </c>
      <c r="J1718">
        <f>'Raw Data'!H1718</f>
        <v>0</v>
      </c>
      <c r="K1718">
        <f>'Raw Data'!I1718</f>
        <v>0</v>
      </c>
      <c r="L1718">
        <f>IF('Raw Data'!N1718&lt;&gt;0,'Raw Data'!N1718,IFERROR(VALUE(MID(F1718,SEARCH("QTY",F1718)+4,IFERROR(FIND(" ",F1718,SEARCH("QTY",F1718)+4)-(SEARCH("QTY",F1718)+4),3))),""))</f>
        <v>0</v>
      </c>
      <c r="M1718">
        <f>'Raw Data'!O1718</f>
        <v>0</v>
      </c>
      <c r="N1718">
        <f>'Raw Data'!P1718</f>
        <v>0</v>
      </c>
      <c r="O1718">
        <f>'Raw Data'!Q1718</f>
        <v>0</v>
      </c>
      <c r="P1718">
        <f>'Raw Data'!R1718</f>
        <v>0</v>
      </c>
      <c r="Q1718">
        <f>'Raw Data'!S1718</f>
        <v>0</v>
      </c>
      <c r="R1718">
        <f>'Raw Data'!T1718</f>
        <v>0</v>
      </c>
      <c r="S1718">
        <f>IFERROR(O1718,0)+IFERROR(R1718,0)</f>
        <v>0</v>
      </c>
      <c r="T1718">
        <f>IF(A1718="","",YEAR(A1718))</f>
        <v>0</v>
      </c>
    </row>
    <row r="1719" spans="1:20">
      <c r="A1719">
        <f>'Raw Data'!B1719</f>
        <v>0</v>
      </c>
      <c r="B1719">
        <f>'Raw Data'!A1719</f>
        <v>0</v>
      </c>
      <c r="C1719">
        <f>'Raw Data'!C1719</f>
        <v>0</v>
      </c>
      <c r="D1719">
        <f>'Raw Data'!D1719</f>
        <v>0</v>
      </c>
      <c r="E1719">
        <f>IFERROR(VLOOKUP(D1719,'Lookup Tables'!$A:$B,2,FALSE),"Unknown")</f>
        <v>0</v>
      </c>
      <c r="F1719">
        <f>'Raw Data'!E1719</f>
        <v>0</v>
      </c>
      <c r="G1719">
        <f>IFERROR(VLOOKUP(D1719,'Lookup Tables'!$A:$C,3,FALSE),IF(ISNUMBER(SEARCH("STEEL",F1719)),"Steel","Others"))</f>
        <v>0</v>
      </c>
      <c r="H1719">
        <f>IF(ISNUMBER(SEARCH("scrubber",F1719)) , "Scrubber", IF(ISNUMBER(SEARCH("container",F1719)),"Container", IF(ISNUMBER(SEARCH("basket",F1719)),"Basket", IF(ISNUMBER(SEARCH("lunch",F1719)),"Lunch Box", IF(ISNUMBER(SEARCH("cutlery",F1719)),"Cutlery","Other")))))</f>
        <v>0</v>
      </c>
      <c r="I1719">
        <f>IF('Raw Data'!G1719&lt;&gt;'','Raw Data'!G1719,IFERROR(MID(F1719,SEARCH("MODEL",F1719)+6,20),""))</f>
        <v>0</v>
      </c>
      <c r="J1719">
        <f>'Raw Data'!H1719</f>
        <v>0</v>
      </c>
      <c r="K1719">
        <f>'Raw Data'!I1719</f>
        <v>0</v>
      </c>
      <c r="L1719">
        <f>IF('Raw Data'!N1719&lt;&gt;0,'Raw Data'!N1719,IFERROR(VALUE(MID(F1719,SEARCH("QTY",F1719)+4,IFERROR(FIND(" ",F1719,SEARCH("QTY",F1719)+4)-(SEARCH("QTY",F1719)+4),3))),""))</f>
        <v>0</v>
      </c>
      <c r="M1719">
        <f>'Raw Data'!O1719</f>
        <v>0</v>
      </c>
      <c r="N1719">
        <f>'Raw Data'!P1719</f>
        <v>0</v>
      </c>
      <c r="O1719">
        <f>'Raw Data'!Q1719</f>
        <v>0</v>
      </c>
      <c r="P1719">
        <f>'Raw Data'!R1719</f>
        <v>0</v>
      </c>
      <c r="Q1719">
        <f>'Raw Data'!S1719</f>
        <v>0</v>
      </c>
      <c r="R1719">
        <f>'Raw Data'!T1719</f>
        <v>0</v>
      </c>
      <c r="S1719">
        <f>IFERROR(O1719,0)+IFERROR(R1719,0)</f>
        <v>0</v>
      </c>
      <c r="T1719">
        <f>IF(A1719="","",YEAR(A1719))</f>
        <v>0</v>
      </c>
    </row>
    <row r="1720" spans="1:20">
      <c r="A1720">
        <f>'Raw Data'!B1720</f>
        <v>0</v>
      </c>
      <c r="B1720">
        <f>'Raw Data'!A1720</f>
        <v>0</v>
      </c>
      <c r="C1720">
        <f>'Raw Data'!C1720</f>
        <v>0</v>
      </c>
      <c r="D1720">
        <f>'Raw Data'!D1720</f>
        <v>0</v>
      </c>
      <c r="E1720">
        <f>IFERROR(VLOOKUP(D1720,'Lookup Tables'!$A:$B,2,FALSE),"Unknown")</f>
        <v>0</v>
      </c>
      <c r="F1720">
        <f>'Raw Data'!E1720</f>
        <v>0</v>
      </c>
      <c r="G1720">
        <f>IFERROR(VLOOKUP(D1720,'Lookup Tables'!$A:$C,3,FALSE),IF(ISNUMBER(SEARCH("STEEL",F1720)),"Steel","Others"))</f>
        <v>0</v>
      </c>
      <c r="H1720">
        <f>IF(ISNUMBER(SEARCH("scrubber",F1720)) , "Scrubber", IF(ISNUMBER(SEARCH("container",F1720)),"Container", IF(ISNUMBER(SEARCH("basket",F1720)),"Basket", IF(ISNUMBER(SEARCH("lunch",F1720)),"Lunch Box", IF(ISNUMBER(SEARCH("cutlery",F1720)),"Cutlery","Other")))))</f>
        <v>0</v>
      </c>
      <c r="I1720">
        <f>IF('Raw Data'!G1720&lt;&gt;'','Raw Data'!G1720,IFERROR(MID(F1720,SEARCH("MODEL",F1720)+6,20),""))</f>
        <v>0</v>
      </c>
      <c r="J1720">
        <f>'Raw Data'!H1720</f>
        <v>0</v>
      </c>
      <c r="K1720">
        <f>'Raw Data'!I1720</f>
        <v>0</v>
      </c>
      <c r="L1720">
        <f>IF('Raw Data'!N1720&lt;&gt;0,'Raw Data'!N1720,IFERROR(VALUE(MID(F1720,SEARCH("QTY",F1720)+4,IFERROR(FIND(" ",F1720,SEARCH("QTY",F1720)+4)-(SEARCH("QTY",F1720)+4),3))),""))</f>
        <v>0</v>
      </c>
      <c r="M1720">
        <f>'Raw Data'!O1720</f>
        <v>0</v>
      </c>
      <c r="N1720">
        <f>'Raw Data'!P1720</f>
        <v>0</v>
      </c>
      <c r="O1720">
        <f>'Raw Data'!Q1720</f>
        <v>0</v>
      </c>
      <c r="P1720">
        <f>'Raw Data'!R1720</f>
        <v>0</v>
      </c>
      <c r="Q1720">
        <f>'Raw Data'!S1720</f>
        <v>0</v>
      </c>
      <c r="R1720">
        <f>'Raw Data'!T1720</f>
        <v>0</v>
      </c>
      <c r="S1720">
        <f>IFERROR(O1720,0)+IFERROR(R1720,0)</f>
        <v>0</v>
      </c>
      <c r="T1720">
        <f>IF(A1720="","",YEAR(A1720))</f>
        <v>0</v>
      </c>
    </row>
    <row r="1721" spans="1:20">
      <c r="A1721">
        <f>'Raw Data'!B1721</f>
        <v>0</v>
      </c>
      <c r="B1721">
        <f>'Raw Data'!A1721</f>
        <v>0</v>
      </c>
      <c r="C1721">
        <f>'Raw Data'!C1721</f>
        <v>0</v>
      </c>
      <c r="D1721">
        <f>'Raw Data'!D1721</f>
        <v>0</v>
      </c>
      <c r="E1721">
        <f>IFERROR(VLOOKUP(D1721,'Lookup Tables'!$A:$B,2,FALSE),"Unknown")</f>
        <v>0</v>
      </c>
      <c r="F1721">
        <f>'Raw Data'!E1721</f>
        <v>0</v>
      </c>
      <c r="G1721">
        <f>IFERROR(VLOOKUP(D1721,'Lookup Tables'!$A:$C,3,FALSE),IF(ISNUMBER(SEARCH("STEEL",F1721)),"Steel","Others"))</f>
        <v>0</v>
      </c>
      <c r="H1721">
        <f>IF(ISNUMBER(SEARCH("scrubber",F1721)) , "Scrubber", IF(ISNUMBER(SEARCH("container",F1721)),"Container", IF(ISNUMBER(SEARCH("basket",F1721)),"Basket", IF(ISNUMBER(SEARCH("lunch",F1721)),"Lunch Box", IF(ISNUMBER(SEARCH("cutlery",F1721)),"Cutlery","Other")))))</f>
        <v>0</v>
      </c>
      <c r="I1721">
        <f>IF('Raw Data'!G1721&lt;&gt;'','Raw Data'!G1721,IFERROR(MID(F1721,SEARCH("MODEL",F1721)+6,20),""))</f>
        <v>0</v>
      </c>
      <c r="J1721">
        <f>'Raw Data'!H1721</f>
        <v>0</v>
      </c>
      <c r="K1721">
        <f>'Raw Data'!I1721</f>
        <v>0</v>
      </c>
      <c r="L1721">
        <f>IF('Raw Data'!N1721&lt;&gt;0,'Raw Data'!N1721,IFERROR(VALUE(MID(F1721,SEARCH("QTY",F1721)+4,IFERROR(FIND(" ",F1721,SEARCH("QTY",F1721)+4)-(SEARCH("QTY",F1721)+4),3))),""))</f>
        <v>0</v>
      </c>
      <c r="M1721">
        <f>'Raw Data'!O1721</f>
        <v>0</v>
      </c>
      <c r="N1721">
        <f>'Raw Data'!P1721</f>
        <v>0</v>
      </c>
      <c r="O1721">
        <f>'Raw Data'!Q1721</f>
        <v>0</v>
      </c>
      <c r="P1721">
        <f>'Raw Data'!R1721</f>
        <v>0</v>
      </c>
      <c r="Q1721">
        <f>'Raw Data'!S1721</f>
        <v>0</v>
      </c>
      <c r="R1721">
        <f>'Raw Data'!T1721</f>
        <v>0</v>
      </c>
      <c r="S1721">
        <f>IFERROR(O1721,0)+IFERROR(R1721,0)</f>
        <v>0</v>
      </c>
      <c r="T1721">
        <f>IF(A1721="","",YEAR(A1721))</f>
        <v>0</v>
      </c>
    </row>
    <row r="1722" spans="1:20">
      <c r="A1722">
        <f>'Raw Data'!B1722</f>
        <v>0</v>
      </c>
      <c r="B1722">
        <f>'Raw Data'!A1722</f>
        <v>0</v>
      </c>
      <c r="C1722">
        <f>'Raw Data'!C1722</f>
        <v>0</v>
      </c>
      <c r="D1722">
        <f>'Raw Data'!D1722</f>
        <v>0</v>
      </c>
      <c r="E1722">
        <f>IFERROR(VLOOKUP(D1722,'Lookup Tables'!$A:$B,2,FALSE),"Unknown")</f>
        <v>0</v>
      </c>
      <c r="F1722">
        <f>'Raw Data'!E1722</f>
        <v>0</v>
      </c>
      <c r="G1722">
        <f>IFERROR(VLOOKUP(D1722,'Lookup Tables'!$A:$C,3,FALSE),IF(ISNUMBER(SEARCH("STEEL",F1722)),"Steel","Others"))</f>
        <v>0</v>
      </c>
      <c r="H1722">
        <f>IF(ISNUMBER(SEARCH("scrubber",F1722)) , "Scrubber", IF(ISNUMBER(SEARCH("container",F1722)),"Container", IF(ISNUMBER(SEARCH("basket",F1722)),"Basket", IF(ISNUMBER(SEARCH("lunch",F1722)),"Lunch Box", IF(ISNUMBER(SEARCH("cutlery",F1722)),"Cutlery","Other")))))</f>
        <v>0</v>
      </c>
      <c r="I1722">
        <f>IF('Raw Data'!G1722&lt;&gt;'','Raw Data'!G1722,IFERROR(MID(F1722,SEARCH("MODEL",F1722)+6,20),""))</f>
        <v>0</v>
      </c>
      <c r="J1722">
        <f>'Raw Data'!H1722</f>
        <v>0</v>
      </c>
      <c r="K1722">
        <f>'Raw Data'!I1722</f>
        <v>0</v>
      </c>
      <c r="L1722">
        <f>IF('Raw Data'!N1722&lt;&gt;0,'Raw Data'!N1722,IFERROR(VALUE(MID(F1722,SEARCH("QTY",F1722)+4,IFERROR(FIND(" ",F1722,SEARCH("QTY",F1722)+4)-(SEARCH("QTY",F1722)+4),3))),""))</f>
        <v>0</v>
      </c>
      <c r="M1722">
        <f>'Raw Data'!O1722</f>
        <v>0</v>
      </c>
      <c r="N1722">
        <f>'Raw Data'!P1722</f>
        <v>0</v>
      </c>
      <c r="O1722">
        <f>'Raw Data'!Q1722</f>
        <v>0</v>
      </c>
      <c r="P1722">
        <f>'Raw Data'!R1722</f>
        <v>0</v>
      </c>
      <c r="Q1722">
        <f>'Raw Data'!S1722</f>
        <v>0</v>
      </c>
      <c r="R1722">
        <f>'Raw Data'!T1722</f>
        <v>0</v>
      </c>
      <c r="S1722">
        <f>IFERROR(O1722,0)+IFERROR(R1722,0)</f>
        <v>0</v>
      </c>
      <c r="T1722">
        <f>IF(A1722="","",YEAR(A1722))</f>
        <v>0</v>
      </c>
    </row>
    <row r="1723" spans="1:20">
      <c r="A1723">
        <f>'Raw Data'!B1723</f>
        <v>0</v>
      </c>
      <c r="B1723">
        <f>'Raw Data'!A1723</f>
        <v>0</v>
      </c>
      <c r="C1723">
        <f>'Raw Data'!C1723</f>
        <v>0</v>
      </c>
      <c r="D1723">
        <f>'Raw Data'!D1723</f>
        <v>0</v>
      </c>
      <c r="E1723">
        <f>IFERROR(VLOOKUP(D1723,'Lookup Tables'!$A:$B,2,FALSE),"Unknown")</f>
        <v>0</v>
      </c>
      <c r="F1723">
        <f>'Raw Data'!E1723</f>
        <v>0</v>
      </c>
      <c r="G1723">
        <f>IFERROR(VLOOKUP(D1723,'Lookup Tables'!$A:$C,3,FALSE),IF(ISNUMBER(SEARCH("STEEL",F1723)),"Steel","Others"))</f>
        <v>0</v>
      </c>
      <c r="H1723">
        <f>IF(ISNUMBER(SEARCH("scrubber",F1723)) , "Scrubber", IF(ISNUMBER(SEARCH("container",F1723)),"Container", IF(ISNUMBER(SEARCH("basket",F1723)),"Basket", IF(ISNUMBER(SEARCH("lunch",F1723)),"Lunch Box", IF(ISNUMBER(SEARCH("cutlery",F1723)),"Cutlery","Other")))))</f>
        <v>0</v>
      </c>
      <c r="I1723">
        <f>IF('Raw Data'!G1723&lt;&gt;'','Raw Data'!G1723,IFERROR(MID(F1723,SEARCH("MODEL",F1723)+6,20),""))</f>
        <v>0</v>
      </c>
      <c r="J1723">
        <f>'Raw Data'!H1723</f>
        <v>0</v>
      </c>
      <c r="K1723">
        <f>'Raw Data'!I1723</f>
        <v>0</v>
      </c>
      <c r="L1723">
        <f>IF('Raw Data'!N1723&lt;&gt;0,'Raw Data'!N1723,IFERROR(VALUE(MID(F1723,SEARCH("QTY",F1723)+4,IFERROR(FIND(" ",F1723,SEARCH("QTY",F1723)+4)-(SEARCH("QTY",F1723)+4),3))),""))</f>
        <v>0</v>
      </c>
      <c r="M1723">
        <f>'Raw Data'!O1723</f>
        <v>0</v>
      </c>
      <c r="N1723">
        <f>'Raw Data'!P1723</f>
        <v>0</v>
      </c>
      <c r="O1723">
        <f>'Raw Data'!Q1723</f>
        <v>0</v>
      </c>
      <c r="P1723">
        <f>'Raw Data'!R1723</f>
        <v>0</v>
      </c>
      <c r="Q1723">
        <f>'Raw Data'!S1723</f>
        <v>0</v>
      </c>
      <c r="R1723">
        <f>'Raw Data'!T1723</f>
        <v>0</v>
      </c>
      <c r="S1723">
        <f>IFERROR(O1723,0)+IFERROR(R1723,0)</f>
        <v>0</v>
      </c>
      <c r="T1723">
        <f>IF(A1723="","",YEAR(A1723))</f>
        <v>0</v>
      </c>
    </row>
    <row r="1724" spans="1:20">
      <c r="A1724">
        <f>'Raw Data'!B1724</f>
        <v>0</v>
      </c>
      <c r="B1724">
        <f>'Raw Data'!A1724</f>
        <v>0</v>
      </c>
      <c r="C1724">
        <f>'Raw Data'!C1724</f>
        <v>0</v>
      </c>
      <c r="D1724">
        <f>'Raw Data'!D1724</f>
        <v>0</v>
      </c>
      <c r="E1724">
        <f>IFERROR(VLOOKUP(D1724,'Lookup Tables'!$A:$B,2,FALSE),"Unknown")</f>
        <v>0</v>
      </c>
      <c r="F1724">
        <f>'Raw Data'!E1724</f>
        <v>0</v>
      </c>
      <c r="G1724">
        <f>IFERROR(VLOOKUP(D1724,'Lookup Tables'!$A:$C,3,FALSE),IF(ISNUMBER(SEARCH("STEEL",F1724)),"Steel","Others"))</f>
        <v>0</v>
      </c>
      <c r="H1724">
        <f>IF(ISNUMBER(SEARCH("scrubber",F1724)) , "Scrubber", IF(ISNUMBER(SEARCH("container",F1724)),"Container", IF(ISNUMBER(SEARCH("basket",F1724)),"Basket", IF(ISNUMBER(SEARCH("lunch",F1724)),"Lunch Box", IF(ISNUMBER(SEARCH("cutlery",F1724)),"Cutlery","Other")))))</f>
        <v>0</v>
      </c>
      <c r="I1724">
        <f>IF('Raw Data'!G1724&lt;&gt;'','Raw Data'!G1724,IFERROR(MID(F1724,SEARCH("MODEL",F1724)+6,20),""))</f>
        <v>0</v>
      </c>
      <c r="J1724">
        <f>'Raw Data'!H1724</f>
        <v>0</v>
      </c>
      <c r="K1724">
        <f>'Raw Data'!I1724</f>
        <v>0</v>
      </c>
      <c r="L1724">
        <f>IF('Raw Data'!N1724&lt;&gt;0,'Raw Data'!N1724,IFERROR(VALUE(MID(F1724,SEARCH("QTY",F1724)+4,IFERROR(FIND(" ",F1724,SEARCH("QTY",F1724)+4)-(SEARCH("QTY",F1724)+4),3))),""))</f>
        <v>0</v>
      </c>
      <c r="M1724">
        <f>'Raw Data'!O1724</f>
        <v>0</v>
      </c>
      <c r="N1724">
        <f>'Raw Data'!P1724</f>
        <v>0</v>
      </c>
      <c r="O1724">
        <f>'Raw Data'!Q1724</f>
        <v>0</v>
      </c>
      <c r="P1724">
        <f>'Raw Data'!R1724</f>
        <v>0</v>
      </c>
      <c r="Q1724">
        <f>'Raw Data'!S1724</f>
        <v>0</v>
      </c>
      <c r="R1724">
        <f>'Raw Data'!T1724</f>
        <v>0</v>
      </c>
      <c r="S1724">
        <f>IFERROR(O1724,0)+IFERROR(R1724,0)</f>
        <v>0</v>
      </c>
      <c r="T1724">
        <f>IF(A1724="","",YEAR(A1724))</f>
        <v>0</v>
      </c>
    </row>
    <row r="1725" spans="1:20">
      <c r="A1725">
        <f>'Raw Data'!B1725</f>
        <v>0</v>
      </c>
      <c r="B1725">
        <f>'Raw Data'!A1725</f>
        <v>0</v>
      </c>
      <c r="C1725">
        <f>'Raw Data'!C1725</f>
        <v>0</v>
      </c>
      <c r="D1725">
        <f>'Raw Data'!D1725</f>
        <v>0</v>
      </c>
      <c r="E1725">
        <f>IFERROR(VLOOKUP(D1725,'Lookup Tables'!$A:$B,2,FALSE),"Unknown")</f>
        <v>0</v>
      </c>
      <c r="F1725">
        <f>'Raw Data'!E1725</f>
        <v>0</v>
      </c>
      <c r="G1725">
        <f>IFERROR(VLOOKUP(D1725,'Lookup Tables'!$A:$C,3,FALSE),IF(ISNUMBER(SEARCH("STEEL",F1725)),"Steel","Others"))</f>
        <v>0</v>
      </c>
      <c r="H1725">
        <f>IF(ISNUMBER(SEARCH("scrubber",F1725)) , "Scrubber", IF(ISNUMBER(SEARCH("container",F1725)),"Container", IF(ISNUMBER(SEARCH("basket",F1725)),"Basket", IF(ISNUMBER(SEARCH("lunch",F1725)),"Lunch Box", IF(ISNUMBER(SEARCH("cutlery",F1725)),"Cutlery","Other")))))</f>
        <v>0</v>
      </c>
      <c r="I1725">
        <f>IF('Raw Data'!G1725&lt;&gt;'','Raw Data'!G1725,IFERROR(MID(F1725,SEARCH("MODEL",F1725)+6,20),""))</f>
        <v>0</v>
      </c>
      <c r="J1725">
        <f>'Raw Data'!H1725</f>
        <v>0</v>
      </c>
      <c r="K1725">
        <f>'Raw Data'!I1725</f>
        <v>0</v>
      </c>
      <c r="L1725">
        <f>IF('Raw Data'!N1725&lt;&gt;0,'Raw Data'!N1725,IFERROR(VALUE(MID(F1725,SEARCH("QTY",F1725)+4,IFERROR(FIND(" ",F1725,SEARCH("QTY",F1725)+4)-(SEARCH("QTY",F1725)+4),3))),""))</f>
        <v>0</v>
      </c>
      <c r="M1725">
        <f>'Raw Data'!O1725</f>
        <v>0</v>
      </c>
      <c r="N1725">
        <f>'Raw Data'!P1725</f>
        <v>0</v>
      </c>
      <c r="O1725">
        <f>'Raw Data'!Q1725</f>
        <v>0</v>
      </c>
      <c r="P1725">
        <f>'Raw Data'!R1725</f>
        <v>0</v>
      </c>
      <c r="Q1725">
        <f>'Raw Data'!S1725</f>
        <v>0</v>
      </c>
      <c r="R1725">
        <f>'Raw Data'!T1725</f>
        <v>0</v>
      </c>
      <c r="S1725">
        <f>IFERROR(O1725,0)+IFERROR(R1725,0)</f>
        <v>0</v>
      </c>
      <c r="T1725">
        <f>IF(A1725="","",YEAR(A1725))</f>
        <v>0</v>
      </c>
    </row>
    <row r="1726" spans="1:20">
      <c r="A1726">
        <f>'Raw Data'!B1726</f>
        <v>0</v>
      </c>
      <c r="B1726">
        <f>'Raw Data'!A1726</f>
        <v>0</v>
      </c>
      <c r="C1726">
        <f>'Raw Data'!C1726</f>
        <v>0</v>
      </c>
      <c r="D1726">
        <f>'Raw Data'!D1726</f>
        <v>0</v>
      </c>
      <c r="E1726">
        <f>IFERROR(VLOOKUP(D1726,'Lookup Tables'!$A:$B,2,FALSE),"Unknown")</f>
        <v>0</v>
      </c>
      <c r="F1726">
        <f>'Raw Data'!E1726</f>
        <v>0</v>
      </c>
      <c r="G1726">
        <f>IFERROR(VLOOKUP(D1726,'Lookup Tables'!$A:$C,3,FALSE),IF(ISNUMBER(SEARCH("STEEL",F1726)),"Steel","Others"))</f>
        <v>0</v>
      </c>
      <c r="H1726">
        <f>IF(ISNUMBER(SEARCH("scrubber",F1726)) , "Scrubber", IF(ISNUMBER(SEARCH("container",F1726)),"Container", IF(ISNUMBER(SEARCH("basket",F1726)),"Basket", IF(ISNUMBER(SEARCH("lunch",F1726)),"Lunch Box", IF(ISNUMBER(SEARCH("cutlery",F1726)),"Cutlery","Other")))))</f>
        <v>0</v>
      </c>
      <c r="I1726">
        <f>IF('Raw Data'!G1726&lt;&gt;'','Raw Data'!G1726,IFERROR(MID(F1726,SEARCH("MODEL",F1726)+6,20),""))</f>
        <v>0</v>
      </c>
      <c r="J1726">
        <f>'Raw Data'!H1726</f>
        <v>0</v>
      </c>
      <c r="K1726">
        <f>'Raw Data'!I1726</f>
        <v>0</v>
      </c>
      <c r="L1726">
        <f>IF('Raw Data'!N1726&lt;&gt;0,'Raw Data'!N1726,IFERROR(VALUE(MID(F1726,SEARCH("QTY",F1726)+4,IFERROR(FIND(" ",F1726,SEARCH("QTY",F1726)+4)-(SEARCH("QTY",F1726)+4),3))),""))</f>
        <v>0</v>
      </c>
      <c r="M1726">
        <f>'Raw Data'!O1726</f>
        <v>0</v>
      </c>
      <c r="N1726">
        <f>'Raw Data'!P1726</f>
        <v>0</v>
      </c>
      <c r="O1726">
        <f>'Raw Data'!Q1726</f>
        <v>0</v>
      </c>
      <c r="P1726">
        <f>'Raw Data'!R1726</f>
        <v>0</v>
      </c>
      <c r="Q1726">
        <f>'Raw Data'!S1726</f>
        <v>0</v>
      </c>
      <c r="R1726">
        <f>'Raw Data'!T1726</f>
        <v>0</v>
      </c>
      <c r="S1726">
        <f>IFERROR(O1726,0)+IFERROR(R1726,0)</f>
        <v>0</v>
      </c>
      <c r="T1726">
        <f>IF(A1726="","",YEAR(A1726))</f>
        <v>0</v>
      </c>
    </row>
    <row r="1727" spans="1:20">
      <c r="A1727">
        <f>'Raw Data'!B1727</f>
        <v>0</v>
      </c>
      <c r="B1727">
        <f>'Raw Data'!A1727</f>
        <v>0</v>
      </c>
      <c r="C1727">
        <f>'Raw Data'!C1727</f>
        <v>0</v>
      </c>
      <c r="D1727">
        <f>'Raw Data'!D1727</f>
        <v>0</v>
      </c>
      <c r="E1727">
        <f>IFERROR(VLOOKUP(D1727,'Lookup Tables'!$A:$B,2,FALSE),"Unknown")</f>
        <v>0</v>
      </c>
      <c r="F1727">
        <f>'Raw Data'!E1727</f>
        <v>0</v>
      </c>
      <c r="G1727">
        <f>IFERROR(VLOOKUP(D1727,'Lookup Tables'!$A:$C,3,FALSE),IF(ISNUMBER(SEARCH("STEEL",F1727)),"Steel","Others"))</f>
        <v>0</v>
      </c>
      <c r="H1727">
        <f>IF(ISNUMBER(SEARCH("scrubber",F1727)) , "Scrubber", IF(ISNUMBER(SEARCH("container",F1727)),"Container", IF(ISNUMBER(SEARCH("basket",F1727)),"Basket", IF(ISNUMBER(SEARCH("lunch",F1727)),"Lunch Box", IF(ISNUMBER(SEARCH("cutlery",F1727)),"Cutlery","Other")))))</f>
        <v>0</v>
      </c>
      <c r="I1727">
        <f>IF('Raw Data'!G1727&lt;&gt;'','Raw Data'!G1727,IFERROR(MID(F1727,SEARCH("MODEL",F1727)+6,20),""))</f>
        <v>0</v>
      </c>
      <c r="J1727">
        <f>'Raw Data'!H1727</f>
        <v>0</v>
      </c>
      <c r="K1727">
        <f>'Raw Data'!I1727</f>
        <v>0</v>
      </c>
      <c r="L1727">
        <f>IF('Raw Data'!N1727&lt;&gt;0,'Raw Data'!N1727,IFERROR(VALUE(MID(F1727,SEARCH("QTY",F1727)+4,IFERROR(FIND(" ",F1727,SEARCH("QTY",F1727)+4)-(SEARCH("QTY",F1727)+4),3))),""))</f>
        <v>0</v>
      </c>
      <c r="M1727">
        <f>'Raw Data'!O1727</f>
        <v>0</v>
      </c>
      <c r="N1727">
        <f>'Raw Data'!P1727</f>
        <v>0</v>
      </c>
      <c r="O1727">
        <f>'Raw Data'!Q1727</f>
        <v>0</v>
      </c>
      <c r="P1727">
        <f>'Raw Data'!R1727</f>
        <v>0</v>
      </c>
      <c r="Q1727">
        <f>'Raw Data'!S1727</f>
        <v>0</v>
      </c>
      <c r="R1727">
        <f>'Raw Data'!T1727</f>
        <v>0</v>
      </c>
      <c r="S1727">
        <f>IFERROR(O1727,0)+IFERROR(R1727,0)</f>
        <v>0</v>
      </c>
      <c r="T1727">
        <f>IF(A1727="","",YEAR(A1727))</f>
        <v>0</v>
      </c>
    </row>
    <row r="1728" spans="1:20">
      <c r="A1728">
        <f>'Raw Data'!B1728</f>
        <v>0</v>
      </c>
      <c r="B1728">
        <f>'Raw Data'!A1728</f>
        <v>0</v>
      </c>
      <c r="C1728">
        <f>'Raw Data'!C1728</f>
        <v>0</v>
      </c>
      <c r="D1728">
        <f>'Raw Data'!D1728</f>
        <v>0</v>
      </c>
      <c r="E1728">
        <f>IFERROR(VLOOKUP(D1728,'Lookup Tables'!$A:$B,2,FALSE),"Unknown")</f>
        <v>0</v>
      </c>
      <c r="F1728">
        <f>'Raw Data'!E1728</f>
        <v>0</v>
      </c>
      <c r="G1728">
        <f>IFERROR(VLOOKUP(D1728,'Lookup Tables'!$A:$C,3,FALSE),IF(ISNUMBER(SEARCH("STEEL",F1728)),"Steel","Others"))</f>
        <v>0</v>
      </c>
      <c r="H1728">
        <f>IF(ISNUMBER(SEARCH("scrubber",F1728)) , "Scrubber", IF(ISNUMBER(SEARCH("container",F1728)),"Container", IF(ISNUMBER(SEARCH("basket",F1728)),"Basket", IF(ISNUMBER(SEARCH("lunch",F1728)),"Lunch Box", IF(ISNUMBER(SEARCH("cutlery",F1728)),"Cutlery","Other")))))</f>
        <v>0</v>
      </c>
      <c r="I1728">
        <f>IF('Raw Data'!G1728&lt;&gt;'','Raw Data'!G1728,IFERROR(MID(F1728,SEARCH("MODEL",F1728)+6,20),""))</f>
        <v>0</v>
      </c>
      <c r="J1728">
        <f>'Raw Data'!H1728</f>
        <v>0</v>
      </c>
      <c r="K1728">
        <f>'Raw Data'!I1728</f>
        <v>0</v>
      </c>
      <c r="L1728">
        <f>IF('Raw Data'!N1728&lt;&gt;0,'Raw Data'!N1728,IFERROR(VALUE(MID(F1728,SEARCH("QTY",F1728)+4,IFERROR(FIND(" ",F1728,SEARCH("QTY",F1728)+4)-(SEARCH("QTY",F1728)+4),3))),""))</f>
        <v>0</v>
      </c>
      <c r="M1728">
        <f>'Raw Data'!O1728</f>
        <v>0</v>
      </c>
      <c r="N1728">
        <f>'Raw Data'!P1728</f>
        <v>0</v>
      </c>
      <c r="O1728">
        <f>'Raw Data'!Q1728</f>
        <v>0</v>
      </c>
      <c r="P1728">
        <f>'Raw Data'!R1728</f>
        <v>0</v>
      </c>
      <c r="Q1728">
        <f>'Raw Data'!S1728</f>
        <v>0</v>
      </c>
      <c r="R1728">
        <f>'Raw Data'!T1728</f>
        <v>0</v>
      </c>
      <c r="S1728">
        <f>IFERROR(O1728,0)+IFERROR(R1728,0)</f>
        <v>0</v>
      </c>
      <c r="T1728">
        <f>IF(A1728="","",YEAR(A1728))</f>
        <v>0</v>
      </c>
    </row>
    <row r="1729" spans="1:20">
      <c r="A1729">
        <f>'Raw Data'!B1729</f>
        <v>0</v>
      </c>
      <c r="B1729">
        <f>'Raw Data'!A1729</f>
        <v>0</v>
      </c>
      <c r="C1729">
        <f>'Raw Data'!C1729</f>
        <v>0</v>
      </c>
      <c r="D1729">
        <f>'Raw Data'!D1729</f>
        <v>0</v>
      </c>
      <c r="E1729">
        <f>IFERROR(VLOOKUP(D1729,'Lookup Tables'!$A:$B,2,FALSE),"Unknown")</f>
        <v>0</v>
      </c>
      <c r="F1729">
        <f>'Raw Data'!E1729</f>
        <v>0</v>
      </c>
      <c r="G1729">
        <f>IFERROR(VLOOKUP(D1729,'Lookup Tables'!$A:$C,3,FALSE),IF(ISNUMBER(SEARCH("STEEL",F1729)),"Steel","Others"))</f>
        <v>0</v>
      </c>
      <c r="H1729">
        <f>IF(ISNUMBER(SEARCH("scrubber",F1729)) , "Scrubber", IF(ISNUMBER(SEARCH("container",F1729)),"Container", IF(ISNUMBER(SEARCH("basket",F1729)),"Basket", IF(ISNUMBER(SEARCH("lunch",F1729)),"Lunch Box", IF(ISNUMBER(SEARCH("cutlery",F1729)),"Cutlery","Other")))))</f>
        <v>0</v>
      </c>
      <c r="I1729">
        <f>IF('Raw Data'!G1729&lt;&gt;'','Raw Data'!G1729,IFERROR(MID(F1729,SEARCH("MODEL",F1729)+6,20),""))</f>
        <v>0</v>
      </c>
      <c r="J1729">
        <f>'Raw Data'!H1729</f>
        <v>0</v>
      </c>
      <c r="K1729">
        <f>'Raw Data'!I1729</f>
        <v>0</v>
      </c>
      <c r="L1729">
        <f>IF('Raw Data'!N1729&lt;&gt;0,'Raw Data'!N1729,IFERROR(VALUE(MID(F1729,SEARCH("QTY",F1729)+4,IFERROR(FIND(" ",F1729,SEARCH("QTY",F1729)+4)-(SEARCH("QTY",F1729)+4),3))),""))</f>
        <v>0</v>
      </c>
      <c r="M1729">
        <f>'Raw Data'!O1729</f>
        <v>0</v>
      </c>
      <c r="N1729">
        <f>'Raw Data'!P1729</f>
        <v>0</v>
      </c>
      <c r="O1729">
        <f>'Raw Data'!Q1729</f>
        <v>0</v>
      </c>
      <c r="P1729">
        <f>'Raw Data'!R1729</f>
        <v>0</v>
      </c>
      <c r="Q1729">
        <f>'Raw Data'!S1729</f>
        <v>0</v>
      </c>
      <c r="R1729">
        <f>'Raw Data'!T1729</f>
        <v>0</v>
      </c>
      <c r="S1729">
        <f>IFERROR(O1729,0)+IFERROR(R1729,0)</f>
        <v>0</v>
      </c>
      <c r="T1729">
        <f>IF(A1729="","",YEAR(A1729))</f>
        <v>0</v>
      </c>
    </row>
    <row r="1730" spans="1:20">
      <c r="A1730">
        <f>'Raw Data'!B1730</f>
        <v>0</v>
      </c>
      <c r="B1730">
        <f>'Raw Data'!A1730</f>
        <v>0</v>
      </c>
      <c r="C1730">
        <f>'Raw Data'!C1730</f>
        <v>0</v>
      </c>
      <c r="D1730">
        <f>'Raw Data'!D1730</f>
        <v>0</v>
      </c>
      <c r="E1730">
        <f>IFERROR(VLOOKUP(D1730,'Lookup Tables'!$A:$B,2,FALSE),"Unknown")</f>
        <v>0</v>
      </c>
      <c r="F1730">
        <f>'Raw Data'!E1730</f>
        <v>0</v>
      </c>
      <c r="G1730">
        <f>IFERROR(VLOOKUP(D1730,'Lookup Tables'!$A:$C,3,FALSE),IF(ISNUMBER(SEARCH("STEEL",F1730)),"Steel","Others"))</f>
        <v>0</v>
      </c>
      <c r="H1730">
        <f>IF(ISNUMBER(SEARCH("scrubber",F1730)) , "Scrubber", IF(ISNUMBER(SEARCH("container",F1730)),"Container", IF(ISNUMBER(SEARCH("basket",F1730)),"Basket", IF(ISNUMBER(SEARCH("lunch",F1730)),"Lunch Box", IF(ISNUMBER(SEARCH("cutlery",F1730)),"Cutlery","Other")))))</f>
        <v>0</v>
      </c>
      <c r="I1730">
        <f>IF('Raw Data'!G1730&lt;&gt;'','Raw Data'!G1730,IFERROR(MID(F1730,SEARCH("MODEL",F1730)+6,20),""))</f>
        <v>0</v>
      </c>
      <c r="J1730">
        <f>'Raw Data'!H1730</f>
        <v>0</v>
      </c>
      <c r="K1730">
        <f>'Raw Data'!I1730</f>
        <v>0</v>
      </c>
      <c r="L1730">
        <f>IF('Raw Data'!N1730&lt;&gt;0,'Raw Data'!N1730,IFERROR(VALUE(MID(F1730,SEARCH("QTY",F1730)+4,IFERROR(FIND(" ",F1730,SEARCH("QTY",F1730)+4)-(SEARCH("QTY",F1730)+4),3))),""))</f>
        <v>0</v>
      </c>
      <c r="M1730">
        <f>'Raw Data'!O1730</f>
        <v>0</v>
      </c>
      <c r="N1730">
        <f>'Raw Data'!P1730</f>
        <v>0</v>
      </c>
      <c r="O1730">
        <f>'Raw Data'!Q1730</f>
        <v>0</v>
      </c>
      <c r="P1730">
        <f>'Raw Data'!R1730</f>
        <v>0</v>
      </c>
      <c r="Q1730">
        <f>'Raw Data'!S1730</f>
        <v>0</v>
      </c>
      <c r="R1730">
        <f>'Raw Data'!T1730</f>
        <v>0</v>
      </c>
      <c r="S1730">
        <f>IFERROR(O1730,0)+IFERROR(R1730,0)</f>
        <v>0</v>
      </c>
      <c r="T1730">
        <f>IF(A1730="","",YEAR(A1730))</f>
        <v>0</v>
      </c>
    </row>
    <row r="1731" spans="1:20">
      <c r="A1731">
        <f>'Raw Data'!B1731</f>
        <v>0</v>
      </c>
      <c r="B1731">
        <f>'Raw Data'!A1731</f>
        <v>0</v>
      </c>
      <c r="C1731">
        <f>'Raw Data'!C1731</f>
        <v>0</v>
      </c>
      <c r="D1731">
        <f>'Raw Data'!D1731</f>
        <v>0</v>
      </c>
      <c r="E1731">
        <f>IFERROR(VLOOKUP(D1731,'Lookup Tables'!$A:$B,2,FALSE),"Unknown")</f>
        <v>0</v>
      </c>
      <c r="F1731">
        <f>'Raw Data'!E1731</f>
        <v>0</v>
      </c>
      <c r="G1731">
        <f>IFERROR(VLOOKUP(D1731,'Lookup Tables'!$A:$C,3,FALSE),IF(ISNUMBER(SEARCH("STEEL",F1731)),"Steel","Others"))</f>
        <v>0</v>
      </c>
      <c r="H1731">
        <f>IF(ISNUMBER(SEARCH("scrubber",F1731)) , "Scrubber", IF(ISNUMBER(SEARCH("container",F1731)),"Container", IF(ISNUMBER(SEARCH("basket",F1731)),"Basket", IF(ISNUMBER(SEARCH("lunch",F1731)),"Lunch Box", IF(ISNUMBER(SEARCH("cutlery",F1731)),"Cutlery","Other")))))</f>
        <v>0</v>
      </c>
      <c r="I1731">
        <f>IF('Raw Data'!G1731&lt;&gt;'','Raw Data'!G1731,IFERROR(MID(F1731,SEARCH("MODEL",F1731)+6,20),""))</f>
        <v>0</v>
      </c>
      <c r="J1731">
        <f>'Raw Data'!H1731</f>
        <v>0</v>
      </c>
      <c r="K1731">
        <f>'Raw Data'!I1731</f>
        <v>0</v>
      </c>
      <c r="L1731">
        <f>IF('Raw Data'!N1731&lt;&gt;0,'Raw Data'!N1731,IFERROR(VALUE(MID(F1731,SEARCH("QTY",F1731)+4,IFERROR(FIND(" ",F1731,SEARCH("QTY",F1731)+4)-(SEARCH("QTY",F1731)+4),3))),""))</f>
        <v>0</v>
      </c>
      <c r="M1731">
        <f>'Raw Data'!O1731</f>
        <v>0</v>
      </c>
      <c r="N1731">
        <f>'Raw Data'!P1731</f>
        <v>0</v>
      </c>
      <c r="O1731">
        <f>'Raw Data'!Q1731</f>
        <v>0</v>
      </c>
      <c r="P1731">
        <f>'Raw Data'!R1731</f>
        <v>0</v>
      </c>
      <c r="Q1731">
        <f>'Raw Data'!S1731</f>
        <v>0</v>
      </c>
      <c r="R1731">
        <f>'Raw Data'!T1731</f>
        <v>0</v>
      </c>
      <c r="S1731">
        <f>IFERROR(O1731,0)+IFERROR(R1731,0)</f>
        <v>0</v>
      </c>
      <c r="T1731">
        <f>IF(A1731="","",YEAR(A1731))</f>
        <v>0</v>
      </c>
    </row>
    <row r="1732" spans="1:20">
      <c r="A1732">
        <f>'Raw Data'!B1732</f>
        <v>0</v>
      </c>
      <c r="B1732">
        <f>'Raw Data'!A1732</f>
        <v>0</v>
      </c>
      <c r="C1732">
        <f>'Raw Data'!C1732</f>
        <v>0</v>
      </c>
      <c r="D1732">
        <f>'Raw Data'!D1732</f>
        <v>0</v>
      </c>
      <c r="E1732">
        <f>IFERROR(VLOOKUP(D1732,'Lookup Tables'!$A:$B,2,FALSE),"Unknown")</f>
        <v>0</v>
      </c>
      <c r="F1732">
        <f>'Raw Data'!E1732</f>
        <v>0</v>
      </c>
      <c r="G1732">
        <f>IFERROR(VLOOKUP(D1732,'Lookup Tables'!$A:$C,3,FALSE),IF(ISNUMBER(SEARCH("STEEL",F1732)),"Steel","Others"))</f>
        <v>0</v>
      </c>
      <c r="H1732">
        <f>IF(ISNUMBER(SEARCH("scrubber",F1732)) , "Scrubber", IF(ISNUMBER(SEARCH("container",F1732)),"Container", IF(ISNUMBER(SEARCH("basket",F1732)),"Basket", IF(ISNUMBER(SEARCH("lunch",F1732)),"Lunch Box", IF(ISNUMBER(SEARCH("cutlery",F1732)),"Cutlery","Other")))))</f>
        <v>0</v>
      </c>
      <c r="I1732">
        <f>IF('Raw Data'!G1732&lt;&gt;'','Raw Data'!G1732,IFERROR(MID(F1732,SEARCH("MODEL",F1732)+6,20),""))</f>
        <v>0</v>
      </c>
      <c r="J1732">
        <f>'Raw Data'!H1732</f>
        <v>0</v>
      </c>
      <c r="K1732">
        <f>'Raw Data'!I1732</f>
        <v>0</v>
      </c>
      <c r="L1732">
        <f>IF('Raw Data'!N1732&lt;&gt;0,'Raw Data'!N1732,IFERROR(VALUE(MID(F1732,SEARCH("QTY",F1732)+4,IFERROR(FIND(" ",F1732,SEARCH("QTY",F1732)+4)-(SEARCH("QTY",F1732)+4),3))),""))</f>
        <v>0</v>
      </c>
      <c r="M1732">
        <f>'Raw Data'!O1732</f>
        <v>0</v>
      </c>
      <c r="N1732">
        <f>'Raw Data'!P1732</f>
        <v>0</v>
      </c>
      <c r="O1732">
        <f>'Raw Data'!Q1732</f>
        <v>0</v>
      </c>
      <c r="P1732">
        <f>'Raw Data'!R1732</f>
        <v>0</v>
      </c>
      <c r="Q1732">
        <f>'Raw Data'!S1732</f>
        <v>0</v>
      </c>
      <c r="R1732">
        <f>'Raw Data'!T1732</f>
        <v>0</v>
      </c>
      <c r="S1732">
        <f>IFERROR(O1732,0)+IFERROR(R1732,0)</f>
        <v>0</v>
      </c>
      <c r="T1732">
        <f>IF(A1732="","",YEAR(A1732))</f>
        <v>0</v>
      </c>
    </row>
    <row r="1733" spans="1:20">
      <c r="A1733">
        <f>'Raw Data'!B1733</f>
        <v>0</v>
      </c>
      <c r="B1733">
        <f>'Raw Data'!A1733</f>
        <v>0</v>
      </c>
      <c r="C1733">
        <f>'Raw Data'!C1733</f>
        <v>0</v>
      </c>
      <c r="D1733">
        <f>'Raw Data'!D1733</f>
        <v>0</v>
      </c>
      <c r="E1733">
        <f>IFERROR(VLOOKUP(D1733,'Lookup Tables'!$A:$B,2,FALSE),"Unknown")</f>
        <v>0</v>
      </c>
      <c r="F1733">
        <f>'Raw Data'!E1733</f>
        <v>0</v>
      </c>
      <c r="G1733">
        <f>IFERROR(VLOOKUP(D1733,'Lookup Tables'!$A:$C,3,FALSE),IF(ISNUMBER(SEARCH("STEEL",F1733)),"Steel","Others"))</f>
        <v>0</v>
      </c>
      <c r="H1733">
        <f>IF(ISNUMBER(SEARCH("scrubber",F1733)) , "Scrubber", IF(ISNUMBER(SEARCH("container",F1733)),"Container", IF(ISNUMBER(SEARCH("basket",F1733)),"Basket", IF(ISNUMBER(SEARCH("lunch",F1733)),"Lunch Box", IF(ISNUMBER(SEARCH("cutlery",F1733)),"Cutlery","Other")))))</f>
        <v>0</v>
      </c>
      <c r="I1733">
        <f>IF('Raw Data'!G1733&lt;&gt;'','Raw Data'!G1733,IFERROR(MID(F1733,SEARCH("MODEL",F1733)+6,20),""))</f>
        <v>0</v>
      </c>
      <c r="J1733">
        <f>'Raw Data'!H1733</f>
        <v>0</v>
      </c>
      <c r="K1733">
        <f>'Raw Data'!I1733</f>
        <v>0</v>
      </c>
      <c r="L1733">
        <f>IF('Raw Data'!N1733&lt;&gt;0,'Raw Data'!N1733,IFERROR(VALUE(MID(F1733,SEARCH("QTY",F1733)+4,IFERROR(FIND(" ",F1733,SEARCH("QTY",F1733)+4)-(SEARCH("QTY",F1733)+4),3))),""))</f>
        <v>0</v>
      </c>
      <c r="M1733">
        <f>'Raw Data'!O1733</f>
        <v>0</v>
      </c>
      <c r="N1733">
        <f>'Raw Data'!P1733</f>
        <v>0</v>
      </c>
      <c r="O1733">
        <f>'Raw Data'!Q1733</f>
        <v>0</v>
      </c>
      <c r="P1733">
        <f>'Raw Data'!R1733</f>
        <v>0</v>
      </c>
      <c r="Q1733">
        <f>'Raw Data'!S1733</f>
        <v>0</v>
      </c>
      <c r="R1733">
        <f>'Raw Data'!T1733</f>
        <v>0</v>
      </c>
      <c r="S1733">
        <f>IFERROR(O1733,0)+IFERROR(R1733,0)</f>
        <v>0</v>
      </c>
      <c r="T1733">
        <f>IF(A1733="","",YEAR(A1733))</f>
        <v>0</v>
      </c>
    </row>
    <row r="1734" spans="1:20">
      <c r="A1734">
        <f>'Raw Data'!B1734</f>
        <v>0</v>
      </c>
      <c r="B1734">
        <f>'Raw Data'!A1734</f>
        <v>0</v>
      </c>
      <c r="C1734">
        <f>'Raw Data'!C1734</f>
        <v>0</v>
      </c>
      <c r="D1734">
        <f>'Raw Data'!D1734</f>
        <v>0</v>
      </c>
      <c r="E1734">
        <f>IFERROR(VLOOKUP(D1734,'Lookup Tables'!$A:$B,2,FALSE),"Unknown")</f>
        <v>0</v>
      </c>
      <c r="F1734">
        <f>'Raw Data'!E1734</f>
        <v>0</v>
      </c>
      <c r="G1734">
        <f>IFERROR(VLOOKUP(D1734,'Lookup Tables'!$A:$C,3,FALSE),IF(ISNUMBER(SEARCH("STEEL",F1734)),"Steel","Others"))</f>
        <v>0</v>
      </c>
      <c r="H1734">
        <f>IF(ISNUMBER(SEARCH("scrubber",F1734)) , "Scrubber", IF(ISNUMBER(SEARCH("container",F1734)),"Container", IF(ISNUMBER(SEARCH("basket",F1734)),"Basket", IF(ISNUMBER(SEARCH("lunch",F1734)),"Lunch Box", IF(ISNUMBER(SEARCH("cutlery",F1734)),"Cutlery","Other")))))</f>
        <v>0</v>
      </c>
      <c r="I1734">
        <f>IF('Raw Data'!G1734&lt;&gt;'','Raw Data'!G1734,IFERROR(MID(F1734,SEARCH("MODEL",F1734)+6,20),""))</f>
        <v>0</v>
      </c>
      <c r="J1734">
        <f>'Raw Data'!H1734</f>
        <v>0</v>
      </c>
      <c r="K1734">
        <f>'Raw Data'!I1734</f>
        <v>0</v>
      </c>
      <c r="L1734">
        <f>IF('Raw Data'!N1734&lt;&gt;0,'Raw Data'!N1734,IFERROR(VALUE(MID(F1734,SEARCH("QTY",F1734)+4,IFERROR(FIND(" ",F1734,SEARCH("QTY",F1734)+4)-(SEARCH("QTY",F1734)+4),3))),""))</f>
        <v>0</v>
      </c>
      <c r="M1734">
        <f>'Raw Data'!O1734</f>
        <v>0</v>
      </c>
      <c r="N1734">
        <f>'Raw Data'!P1734</f>
        <v>0</v>
      </c>
      <c r="O1734">
        <f>'Raw Data'!Q1734</f>
        <v>0</v>
      </c>
      <c r="P1734">
        <f>'Raw Data'!R1734</f>
        <v>0</v>
      </c>
      <c r="Q1734">
        <f>'Raw Data'!S1734</f>
        <v>0</v>
      </c>
      <c r="R1734">
        <f>'Raw Data'!T1734</f>
        <v>0</v>
      </c>
      <c r="S1734">
        <f>IFERROR(O1734,0)+IFERROR(R1734,0)</f>
        <v>0</v>
      </c>
      <c r="T1734">
        <f>IF(A1734="","",YEAR(A1734))</f>
        <v>0</v>
      </c>
    </row>
    <row r="1735" spans="1:20">
      <c r="A1735">
        <f>'Raw Data'!B1735</f>
        <v>0</v>
      </c>
      <c r="B1735">
        <f>'Raw Data'!A1735</f>
        <v>0</v>
      </c>
      <c r="C1735">
        <f>'Raw Data'!C1735</f>
        <v>0</v>
      </c>
      <c r="D1735">
        <f>'Raw Data'!D1735</f>
        <v>0</v>
      </c>
      <c r="E1735">
        <f>IFERROR(VLOOKUP(D1735,'Lookup Tables'!$A:$B,2,FALSE),"Unknown")</f>
        <v>0</v>
      </c>
      <c r="F1735">
        <f>'Raw Data'!E1735</f>
        <v>0</v>
      </c>
      <c r="G1735">
        <f>IFERROR(VLOOKUP(D1735,'Lookup Tables'!$A:$C,3,FALSE),IF(ISNUMBER(SEARCH("STEEL",F1735)),"Steel","Others"))</f>
        <v>0</v>
      </c>
      <c r="H1735">
        <f>IF(ISNUMBER(SEARCH("scrubber",F1735)) , "Scrubber", IF(ISNUMBER(SEARCH("container",F1735)),"Container", IF(ISNUMBER(SEARCH("basket",F1735)),"Basket", IF(ISNUMBER(SEARCH("lunch",F1735)),"Lunch Box", IF(ISNUMBER(SEARCH("cutlery",F1735)),"Cutlery","Other")))))</f>
        <v>0</v>
      </c>
      <c r="I1735">
        <f>IF('Raw Data'!G1735&lt;&gt;'','Raw Data'!G1735,IFERROR(MID(F1735,SEARCH("MODEL",F1735)+6,20),""))</f>
        <v>0</v>
      </c>
      <c r="J1735">
        <f>'Raw Data'!H1735</f>
        <v>0</v>
      </c>
      <c r="K1735">
        <f>'Raw Data'!I1735</f>
        <v>0</v>
      </c>
      <c r="L1735">
        <f>IF('Raw Data'!N1735&lt;&gt;0,'Raw Data'!N1735,IFERROR(VALUE(MID(F1735,SEARCH("QTY",F1735)+4,IFERROR(FIND(" ",F1735,SEARCH("QTY",F1735)+4)-(SEARCH("QTY",F1735)+4),3))),""))</f>
        <v>0</v>
      </c>
      <c r="M1735">
        <f>'Raw Data'!O1735</f>
        <v>0</v>
      </c>
      <c r="N1735">
        <f>'Raw Data'!P1735</f>
        <v>0</v>
      </c>
      <c r="O1735">
        <f>'Raw Data'!Q1735</f>
        <v>0</v>
      </c>
      <c r="P1735">
        <f>'Raw Data'!R1735</f>
        <v>0</v>
      </c>
      <c r="Q1735">
        <f>'Raw Data'!S1735</f>
        <v>0</v>
      </c>
      <c r="R1735">
        <f>'Raw Data'!T1735</f>
        <v>0</v>
      </c>
      <c r="S1735">
        <f>IFERROR(O1735,0)+IFERROR(R1735,0)</f>
        <v>0</v>
      </c>
      <c r="T1735">
        <f>IF(A1735="","",YEAR(A1735))</f>
        <v>0</v>
      </c>
    </row>
    <row r="1736" spans="1:20">
      <c r="A1736">
        <f>'Raw Data'!B1736</f>
        <v>0</v>
      </c>
      <c r="B1736">
        <f>'Raw Data'!A1736</f>
        <v>0</v>
      </c>
      <c r="C1736">
        <f>'Raw Data'!C1736</f>
        <v>0</v>
      </c>
      <c r="D1736">
        <f>'Raw Data'!D1736</f>
        <v>0</v>
      </c>
      <c r="E1736">
        <f>IFERROR(VLOOKUP(D1736,'Lookup Tables'!$A:$B,2,FALSE),"Unknown")</f>
        <v>0</v>
      </c>
      <c r="F1736">
        <f>'Raw Data'!E1736</f>
        <v>0</v>
      </c>
      <c r="G1736">
        <f>IFERROR(VLOOKUP(D1736,'Lookup Tables'!$A:$C,3,FALSE),IF(ISNUMBER(SEARCH("STEEL",F1736)),"Steel","Others"))</f>
        <v>0</v>
      </c>
      <c r="H1736">
        <f>IF(ISNUMBER(SEARCH("scrubber",F1736)) , "Scrubber", IF(ISNUMBER(SEARCH("container",F1736)),"Container", IF(ISNUMBER(SEARCH("basket",F1736)),"Basket", IF(ISNUMBER(SEARCH("lunch",F1736)),"Lunch Box", IF(ISNUMBER(SEARCH("cutlery",F1736)),"Cutlery","Other")))))</f>
        <v>0</v>
      </c>
      <c r="I1736">
        <f>IF('Raw Data'!G1736&lt;&gt;'','Raw Data'!G1736,IFERROR(MID(F1736,SEARCH("MODEL",F1736)+6,20),""))</f>
        <v>0</v>
      </c>
      <c r="J1736">
        <f>'Raw Data'!H1736</f>
        <v>0</v>
      </c>
      <c r="K1736">
        <f>'Raw Data'!I1736</f>
        <v>0</v>
      </c>
      <c r="L1736">
        <f>IF('Raw Data'!N1736&lt;&gt;0,'Raw Data'!N1736,IFERROR(VALUE(MID(F1736,SEARCH("QTY",F1736)+4,IFERROR(FIND(" ",F1736,SEARCH("QTY",F1736)+4)-(SEARCH("QTY",F1736)+4),3))),""))</f>
        <v>0</v>
      </c>
      <c r="M1736">
        <f>'Raw Data'!O1736</f>
        <v>0</v>
      </c>
      <c r="N1736">
        <f>'Raw Data'!P1736</f>
        <v>0</v>
      </c>
      <c r="O1736">
        <f>'Raw Data'!Q1736</f>
        <v>0</v>
      </c>
      <c r="P1736">
        <f>'Raw Data'!R1736</f>
        <v>0</v>
      </c>
      <c r="Q1736">
        <f>'Raw Data'!S1736</f>
        <v>0</v>
      </c>
      <c r="R1736">
        <f>'Raw Data'!T1736</f>
        <v>0</v>
      </c>
      <c r="S1736">
        <f>IFERROR(O1736,0)+IFERROR(R1736,0)</f>
        <v>0</v>
      </c>
      <c r="T1736">
        <f>IF(A1736="","",YEAR(A1736))</f>
        <v>0</v>
      </c>
    </row>
    <row r="1737" spans="1:20">
      <c r="A1737">
        <f>'Raw Data'!B1737</f>
        <v>0</v>
      </c>
      <c r="B1737">
        <f>'Raw Data'!A1737</f>
        <v>0</v>
      </c>
      <c r="C1737">
        <f>'Raw Data'!C1737</f>
        <v>0</v>
      </c>
      <c r="D1737">
        <f>'Raw Data'!D1737</f>
        <v>0</v>
      </c>
      <c r="E1737">
        <f>IFERROR(VLOOKUP(D1737,'Lookup Tables'!$A:$B,2,FALSE),"Unknown")</f>
        <v>0</v>
      </c>
      <c r="F1737">
        <f>'Raw Data'!E1737</f>
        <v>0</v>
      </c>
      <c r="G1737">
        <f>IFERROR(VLOOKUP(D1737,'Lookup Tables'!$A:$C,3,FALSE),IF(ISNUMBER(SEARCH("STEEL",F1737)),"Steel","Others"))</f>
        <v>0</v>
      </c>
      <c r="H1737">
        <f>IF(ISNUMBER(SEARCH("scrubber",F1737)) , "Scrubber", IF(ISNUMBER(SEARCH("container",F1737)),"Container", IF(ISNUMBER(SEARCH("basket",F1737)),"Basket", IF(ISNUMBER(SEARCH("lunch",F1737)),"Lunch Box", IF(ISNUMBER(SEARCH("cutlery",F1737)),"Cutlery","Other")))))</f>
        <v>0</v>
      </c>
      <c r="I1737">
        <f>IF('Raw Data'!G1737&lt;&gt;'','Raw Data'!G1737,IFERROR(MID(F1737,SEARCH("MODEL",F1737)+6,20),""))</f>
        <v>0</v>
      </c>
      <c r="J1737">
        <f>'Raw Data'!H1737</f>
        <v>0</v>
      </c>
      <c r="K1737">
        <f>'Raw Data'!I1737</f>
        <v>0</v>
      </c>
      <c r="L1737">
        <f>IF('Raw Data'!N1737&lt;&gt;0,'Raw Data'!N1737,IFERROR(VALUE(MID(F1737,SEARCH("QTY",F1737)+4,IFERROR(FIND(" ",F1737,SEARCH("QTY",F1737)+4)-(SEARCH("QTY",F1737)+4),3))),""))</f>
        <v>0</v>
      </c>
      <c r="M1737">
        <f>'Raw Data'!O1737</f>
        <v>0</v>
      </c>
      <c r="N1737">
        <f>'Raw Data'!P1737</f>
        <v>0</v>
      </c>
      <c r="O1737">
        <f>'Raw Data'!Q1737</f>
        <v>0</v>
      </c>
      <c r="P1737">
        <f>'Raw Data'!R1737</f>
        <v>0</v>
      </c>
      <c r="Q1737">
        <f>'Raw Data'!S1737</f>
        <v>0</v>
      </c>
      <c r="R1737">
        <f>'Raw Data'!T1737</f>
        <v>0</v>
      </c>
      <c r="S1737">
        <f>IFERROR(O1737,0)+IFERROR(R1737,0)</f>
        <v>0</v>
      </c>
      <c r="T1737">
        <f>IF(A1737="","",YEAR(A1737))</f>
        <v>0</v>
      </c>
    </row>
    <row r="1738" spans="1:20">
      <c r="A1738">
        <f>'Raw Data'!B1738</f>
        <v>0</v>
      </c>
      <c r="B1738">
        <f>'Raw Data'!A1738</f>
        <v>0</v>
      </c>
      <c r="C1738">
        <f>'Raw Data'!C1738</f>
        <v>0</v>
      </c>
      <c r="D1738">
        <f>'Raw Data'!D1738</f>
        <v>0</v>
      </c>
      <c r="E1738">
        <f>IFERROR(VLOOKUP(D1738,'Lookup Tables'!$A:$B,2,FALSE),"Unknown")</f>
        <v>0</v>
      </c>
      <c r="F1738">
        <f>'Raw Data'!E1738</f>
        <v>0</v>
      </c>
      <c r="G1738">
        <f>IFERROR(VLOOKUP(D1738,'Lookup Tables'!$A:$C,3,FALSE),IF(ISNUMBER(SEARCH("STEEL",F1738)),"Steel","Others"))</f>
        <v>0</v>
      </c>
      <c r="H1738">
        <f>IF(ISNUMBER(SEARCH("scrubber",F1738)) , "Scrubber", IF(ISNUMBER(SEARCH("container",F1738)),"Container", IF(ISNUMBER(SEARCH("basket",F1738)),"Basket", IF(ISNUMBER(SEARCH("lunch",F1738)),"Lunch Box", IF(ISNUMBER(SEARCH("cutlery",F1738)),"Cutlery","Other")))))</f>
        <v>0</v>
      </c>
      <c r="I1738">
        <f>IF('Raw Data'!G1738&lt;&gt;'','Raw Data'!G1738,IFERROR(MID(F1738,SEARCH("MODEL",F1738)+6,20),""))</f>
        <v>0</v>
      </c>
      <c r="J1738">
        <f>'Raw Data'!H1738</f>
        <v>0</v>
      </c>
      <c r="K1738">
        <f>'Raw Data'!I1738</f>
        <v>0</v>
      </c>
      <c r="L1738">
        <f>IF('Raw Data'!N1738&lt;&gt;0,'Raw Data'!N1738,IFERROR(VALUE(MID(F1738,SEARCH("QTY",F1738)+4,IFERROR(FIND(" ",F1738,SEARCH("QTY",F1738)+4)-(SEARCH("QTY",F1738)+4),3))),""))</f>
        <v>0</v>
      </c>
      <c r="M1738">
        <f>'Raw Data'!O1738</f>
        <v>0</v>
      </c>
      <c r="N1738">
        <f>'Raw Data'!P1738</f>
        <v>0</v>
      </c>
      <c r="O1738">
        <f>'Raw Data'!Q1738</f>
        <v>0</v>
      </c>
      <c r="P1738">
        <f>'Raw Data'!R1738</f>
        <v>0</v>
      </c>
      <c r="Q1738">
        <f>'Raw Data'!S1738</f>
        <v>0</v>
      </c>
      <c r="R1738">
        <f>'Raw Data'!T1738</f>
        <v>0</v>
      </c>
      <c r="S1738">
        <f>IFERROR(O1738,0)+IFERROR(R1738,0)</f>
        <v>0</v>
      </c>
      <c r="T1738">
        <f>IF(A1738="","",YEAR(A1738))</f>
        <v>0</v>
      </c>
    </row>
    <row r="1739" spans="1:20">
      <c r="A1739">
        <f>'Raw Data'!B1739</f>
        <v>0</v>
      </c>
      <c r="B1739">
        <f>'Raw Data'!A1739</f>
        <v>0</v>
      </c>
      <c r="C1739">
        <f>'Raw Data'!C1739</f>
        <v>0</v>
      </c>
      <c r="D1739">
        <f>'Raw Data'!D1739</f>
        <v>0</v>
      </c>
      <c r="E1739">
        <f>IFERROR(VLOOKUP(D1739,'Lookup Tables'!$A:$B,2,FALSE),"Unknown")</f>
        <v>0</v>
      </c>
      <c r="F1739">
        <f>'Raw Data'!E1739</f>
        <v>0</v>
      </c>
      <c r="G1739">
        <f>IFERROR(VLOOKUP(D1739,'Lookup Tables'!$A:$C,3,FALSE),IF(ISNUMBER(SEARCH("STEEL",F1739)),"Steel","Others"))</f>
        <v>0</v>
      </c>
      <c r="H1739">
        <f>IF(ISNUMBER(SEARCH("scrubber",F1739)) , "Scrubber", IF(ISNUMBER(SEARCH("container",F1739)),"Container", IF(ISNUMBER(SEARCH("basket",F1739)),"Basket", IF(ISNUMBER(SEARCH("lunch",F1739)),"Lunch Box", IF(ISNUMBER(SEARCH("cutlery",F1739)),"Cutlery","Other")))))</f>
        <v>0</v>
      </c>
      <c r="I1739">
        <f>IF('Raw Data'!G1739&lt;&gt;'','Raw Data'!G1739,IFERROR(MID(F1739,SEARCH("MODEL",F1739)+6,20),""))</f>
        <v>0</v>
      </c>
      <c r="J1739">
        <f>'Raw Data'!H1739</f>
        <v>0</v>
      </c>
      <c r="K1739">
        <f>'Raw Data'!I1739</f>
        <v>0</v>
      </c>
      <c r="L1739">
        <f>IF('Raw Data'!N1739&lt;&gt;0,'Raw Data'!N1739,IFERROR(VALUE(MID(F1739,SEARCH("QTY",F1739)+4,IFERROR(FIND(" ",F1739,SEARCH("QTY",F1739)+4)-(SEARCH("QTY",F1739)+4),3))),""))</f>
        <v>0</v>
      </c>
      <c r="M1739">
        <f>'Raw Data'!O1739</f>
        <v>0</v>
      </c>
      <c r="N1739">
        <f>'Raw Data'!P1739</f>
        <v>0</v>
      </c>
      <c r="O1739">
        <f>'Raw Data'!Q1739</f>
        <v>0</v>
      </c>
      <c r="P1739">
        <f>'Raw Data'!R1739</f>
        <v>0</v>
      </c>
      <c r="Q1739">
        <f>'Raw Data'!S1739</f>
        <v>0</v>
      </c>
      <c r="R1739">
        <f>'Raw Data'!T1739</f>
        <v>0</v>
      </c>
      <c r="S1739">
        <f>IFERROR(O1739,0)+IFERROR(R1739,0)</f>
        <v>0</v>
      </c>
      <c r="T1739">
        <f>IF(A1739="","",YEAR(A1739))</f>
        <v>0</v>
      </c>
    </row>
    <row r="1740" spans="1:20">
      <c r="A1740">
        <f>'Raw Data'!B1740</f>
        <v>0</v>
      </c>
      <c r="B1740">
        <f>'Raw Data'!A1740</f>
        <v>0</v>
      </c>
      <c r="C1740">
        <f>'Raw Data'!C1740</f>
        <v>0</v>
      </c>
      <c r="D1740">
        <f>'Raw Data'!D1740</f>
        <v>0</v>
      </c>
      <c r="E1740">
        <f>IFERROR(VLOOKUP(D1740,'Lookup Tables'!$A:$B,2,FALSE),"Unknown")</f>
        <v>0</v>
      </c>
      <c r="F1740">
        <f>'Raw Data'!E1740</f>
        <v>0</v>
      </c>
      <c r="G1740">
        <f>IFERROR(VLOOKUP(D1740,'Lookup Tables'!$A:$C,3,FALSE),IF(ISNUMBER(SEARCH("STEEL",F1740)),"Steel","Others"))</f>
        <v>0</v>
      </c>
      <c r="H1740">
        <f>IF(ISNUMBER(SEARCH("scrubber",F1740)) , "Scrubber", IF(ISNUMBER(SEARCH("container",F1740)),"Container", IF(ISNUMBER(SEARCH("basket",F1740)),"Basket", IF(ISNUMBER(SEARCH("lunch",F1740)),"Lunch Box", IF(ISNUMBER(SEARCH("cutlery",F1740)),"Cutlery","Other")))))</f>
        <v>0</v>
      </c>
      <c r="I1740">
        <f>IF('Raw Data'!G1740&lt;&gt;'','Raw Data'!G1740,IFERROR(MID(F1740,SEARCH("MODEL",F1740)+6,20),""))</f>
        <v>0</v>
      </c>
      <c r="J1740">
        <f>'Raw Data'!H1740</f>
        <v>0</v>
      </c>
      <c r="K1740">
        <f>'Raw Data'!I1740</f>
        <v>0</v>
      </c>
      <c r="L1740">
        <f>IF('Raw Data'!N1740&lt;&gt;0,'Raw Data'!N1740,IFERROR(VALUE(MID(F1740,SEARCH("QTY",F1740)+4,IFERROR(FIND(" ",F1740,SEARCH("QTY",F1740)+4)-(SEARCH("QTY",F1740)+4),3))),""))</f>
        <v>0</v>
      </c>
      <c r="M1740">
        <f>'Raw Data'!O1740</f>
        <v>0</v>
      </c>
      <c r="N1740">
        <f>'Raw Data'!P1740</f>
        <v>0</v>
      </c>
      <c r="O1740">
        <f>'Raw Data'!Q1740</f>
        <v>0</v>
      </c>
      <c r="P1740">
        <f>'Raw Data'!R1740</f>
        <v>0</v>
      </c>
      <c r="Q1740">
        <f>'Raw Data'!S1740</f>
        <v>0</v>
      </c>
      <c r="R1740">
        <f>'Raw Data'!T1740</f>
        <v>0</v>
      </c>
      <c r="S1740">
        <f>IFERROR(O1740,0)+IFERROR(R1740,0)</f>
        <v>0</v>
      </c>
      <c r="T1740">
        <f>IF(A1740="","",YEAR(A1740))</f>
        <v>0</v>
      </c>
    </row>
    <row r="1741" spans="1:20">
      <c r="A1741">
        <f>'Raw Data'!B1741</f>
        <v>0</v>
      </c>
      <c r="B1741">
        <f>'Raw Data'!A1741</f>
        <v>0</v>
      </c>
      <c r="C1741">
        <f>'Raw Data'!C1741</f>
        <v>0</v>
      </c>
      <c r="D1741">
        <f>'Raw Data'!D1741</f>
        <v>0</v>
      </c>
      <c r="E1741">
        <f>IFERROR(VLOOKUP(D1741,'Lookup Tables'!$A:$B,2,FALSE),"Unknown")</f>
        <v>0</v>
      </c>
      <c r="F1741">
        <f>'Raw Data'!E1741</f>
        <v>0</v>
      </c>
      <c r="G1741">
        <f>IFERROR(VLOOKUP(D1741,'Lookup Tables'!$A:$C,3,FALSE),IF(ISNUMBER(SEARCH("STEEL",F1741)),"Steel","Others"))</f>
        <v>0</v>
      </c>
      <c r="H1741">
        <f>IF(ISNUMBER(SEARCH("scrubber",F1741)) , "Scrubber", IF(ISNUMBER(SEARCH("container",F1741)),"Container", IF(ISNUMBER(SEARCH("basket",F1741)),"Basket", IF(ISNUMBER(SEARCH("lunch",F1741)),"Lunch Box", IF(ISNUMBER(SEARCH("cutlery",F1741)),"Cutlery","Other")))))</f>
        <v>0</v>
      </c>
      <c r="I1741">
        <f>IF('Raw Data'!G1741&lt;&gt;'','Raw Data'!G1741,IFERROR(MID(F1741,SEARCH("MODEL",F1741)+6,20),""))</f>
        <v>0</v>
      </c>
      <c r="J1741">
        <f>'Raw Data'!H1741</f>
        <v>0</v>
      </c>
      <c r="K1741">
        <f>'Raw Data'!I1741</f>
        <v>0</v>
      </c>
      <c r="L1741">
        <f>IF('Raw Data'!N1741&lt;&gt;0,'Raw Data'!N1741,IFERROR(VALUE(MID(F1741,SEARCH("QTY",F1741)+4,IFERROR(FIND(" ",F1741,SEARCH("QTY",F1741)+4)-(SEARCH("QTY",F1741)+4),3))),""))</f>
        <v>0</v>
      </c>
      <c r="M1741">
        <f>'Raw Data'!O1741</f>
        <v>0</v>
      </c>
      <c r="N1741">
        <f>'Raw Data'!P1741</f>
        <v>0</v>
      </c>
      <c r="O1741">
        <f>'Raw Data'!Q1741</f>
        <v>0</v>
      </c>
      <c r="P1741">
        <f>'Raw Data'!R1741</f>
        <v>0</v>
      </c>
      <c r="Q1741">
        <f>'Raw Data'!S1741</f>
        <v>0</v>
      </c>
      <c r="R1741">
        <f>'Raw Data'!T1741</f>
        <v>0</v>
      </c>
      <c r="S1741">
        <f>IFERROR(O1741,0)+IFERROR(R1741,0)</f>
        <v>0</v>
      </c>
      <c r="T1741">
        <f>IF(A1741="","",YEAR(A1741))</f>
        <v>0</v>
      </c>
    </row>
    <row r="1742" spans="1:20">
      <c r="A1742">
        <f>'Raw Data'!B1742</f>
        <v>0</v>
      </c>
      <c r="B1742">
        <f>'Raw Data'!A1742</f>
        <v>0</v>
      </c>
      <c r="C1742">
        <f>'Raw Data'!C1742</f>
        <v>0</v>
      </c>
      <c r="D1742">
        <f>'Raw Data'!D1742</f>
        <v>0</v>
      </c>
      <c r="E1742">
        <f>IFERROR(VLOOKUP(D1742,'Lookup Tables'!$A:$B,2,FALSE),"Unknown")</f>
        <v>0</v>
      </c>
      <c r="F1742">
        <f>'Raw Data'!E1742</f>
        <v>0</v>
      </c>
      <c r="G1742">
        <f>IFERROR(VLOOKUP(D1742,'Lookup Tables'!$A:$C,3,FALSE),IF(ISNUMBER(SEARCH("STEEL",F1742)),"Steel","Others"))</f>
        <v>0</v>
      </c>
      <c r="H1742">
        <f>IF(ISNUMBER(SEARCH("scrubber",F1742)) , "Scrubber", IF(ISNUMBER(SEARCH("container",F1742)),"Container", IF(ISNUMBER(SEARCH("basket",F1742)),"Basket", IF(ISNUMBER(SEARCH("lunch",F1742)),"Lunch Box", IF(ISNUMBER(SEARCH("cutlery",F1742)),"Cutlery","Other")))))</f>
        <v>0</v>
      </c>
      <c r="I1742">
        <f>IF('Raw Data'!G1742&lt;&gt;'','Raw Data'!G1742,IFERROR(MID(F1742,SEARCH("MODEL",F1742)+6,20),""))</f>
        <v>0</v>
      </c>
      <c r="J1742">
        <f>'Raw Data'!H1742</f>
        <v>0</v>
      </c>
      <c r="K1742">
        <f>'Raw Data'!I1742</f>
        <v>0</v>
      </c>
      <c r="L1742">
        <f>IF('Raw Data'!N1742&lt;&gt;0,'Raw Data'!N1742,IFERROR(VALUE(MID(F1742,SEARCH("QTY",F1742)+4,IFERROR(FIND(" ",F1742,SEARCH("QTY",F1742)+4)-(SEARCH("QTY",F1742)+4),3))),""))</f>
        <v>0</v>
      </c>
      <c r="M1742">
        <f>'Raw Data'!O1742</f>
        <v>0</v>
      </c>
      <c r="N1742">
        <f>'Raw Data'!P1742</f>
        <v>0</v>
      </c>
      <c r="O1742">
        <f>'Raw Data'!Q1742</f>
        <v>0</v>
      </c>
      <c r="P1742">
        <f>'Raw Data'!R1742</f>
        <v>0</v>
      </c>
      <c r="Q1742">
        <f>'Raw Data'!S1742</f>
        <v>0</v>
      </c>
      <c r="R1742">
        <f>'Raw Data'!T1742</f>
        <v>0</v>
      </c>
      <c r="S1742">
        <f>IFERROR(O1742,0)+IFERROR(R1742,0)</f>
        <v>0</v>
      </c>
      <c r="T1742">
        <f>IF(A1742="","",YEAR(A1742))</f>
        <v>0</v>
      </c>
    </row>
    <row r="1743" spans="1:20">
      <c r="A1743">
        <f>'Raw Data'!B1743</f>
        <v>0</v>
      </c>
      <c r="B1743">
        <f>'Raw Data'!A1743</f>
        <v>0</v>
      </c>
      <c r="C1743">
        <f>'Raw Data'!C1743</f>
        <v>0</v>
      </c>
      <c r="D1743">
        <f>'Raw Data'!D1743</f>
        <v>0</v>
      </c>
      <c r="E1743">
        <f>IFERROR(VLOOKUP(D1743,'Lookup Tables'!$A:$B,2,FALSE),"Unknown")</f>
        <v>0</v>
      </c>
      <c r="F1743">
        <f>'Raw Data'!E1743</f>
        <v>0</v>
      </c>
      <c r="G1743">
        <f>IFERROR(VLOOKUP(D1743,'Lookup Tables'!$A:$C,3,FALSE),IF(ISNUMBER(SEARCH("STEEL",F1743)),"Steel","Others"))</f>
        <v>0</v>
      </c>
      <c r="H1743">
        <f>IF(ISNUMBER(SEARCH("scrubber",F1743)) , "Scrubber", IF(ISNUMBER(SEARCH("container",F1743)),"Container", IF(ISNUMBER(SEARCH("basket",F1743)),"Basket", IF(ISNUMBER(SEARCH("lunch",F1743)),"Lunch Box", IF(ISNUMBER(SEARCH("cutlery",F1743)),"Cutlery","Other")))))</f>
        <v>0</v>
      </c>
      <c r="I1743">
        <f>IF('Raw Data'!G1743&lt;&gt;'','Raw Data'!G1743,IFERROR(MID(F1743,SEARCH("MODEL",F1743)+6,20),""))</f>
        <v>0</v>
      </c>
      <c r="J1743">
        <f>'Raw Data'!H1743</f>
        <v>0</v>
      </c>
      <c r="K1743">
        <f>'Raw Data'!I1743</f>
        <v>0</v>
      </c>
      <c r="L1743">
        <f>IF('Raw Data'!N1743&lt;&gt;0,'Raw Data'!N1743,IFERROR(VALUE(MID(F1743,SEARCH("QTY",F1743)+4,IFERROR(FIND(" ",F1743,SEARCH("QTY",F1743)+4)-(SEARCH("QTY",F1743)+4),3))),""))</f>
        <v>0</v>
      </c>
      <c r="M1743">
        <f>'Raw Data'!O1743</f>
        <v>0</v>
      </c>
      <c r="N1743">
        <f>'Raw Data'!P1743</f>
        <v>0</v>
      </c>
      <c r="O1743">
        <f>'Raw Data'!Q1743</f>
        <v>0</v>
      </c>
      <c r="P1743">
        <f>'Raw Data'!R1743</f>
        <v>0</v>
      </c>
      <c r="Q1743">
        <f>'Raw Data'!S1743</f>
        <v>0</v>
      </c>
      <c r="R1743">
        <f>'Raw Data'!T1743</f>
        <v>0</v>
      </c>
      <c r="S1743">
        <f>IFERROR(O1743,0)+IFERROR(R1743,0)</f>
        <v>0</v>
      </c>
      <c r="T1743">
        <f>IF(A1743="","",YEAR(A1743))</f>
        <v>0</v>
      </c>
    </row>
    <row r="1744" spans="1:20">
      <c r="A1744">
        <f>'Raw Data'!B1744</f>
        <v>0</v>
      </c>
      <c r="B1744">
        <f>'Raw Data'!A1744</f>
        <v>0</v>
      </c>
      <c r="C1744">
        <f>'Raw Data'!C1744</f>
        <v>0</v>
      </c>
      <c r="D1744">
        <f>'Raw Data'!D1744</f>
        <v>0</v>
      </c>
      <c r="E1744">
        <f>IFERROR(VLOOKUP(D1744,'Lookup Tables'!$A:$B,2,FALSE),"Unknown")</f>
        <v>0</v>
      </c>
      <c r="F1744">
        <f>'Raw Data'!E1744</f>
        <v>0</v>
      </c>
      <c r="G1744">
        <f>IFERROR(VLOOKUP(D1744,'Lookup Tables'!$A:$C,3,FALSE),IF(ISNUMBER(SEARCH("STEEL",F1744)),"Steel","Others"))</f>
        <v>0</v>
      </c>
      <c r="H1744">
        <f>IF(ISNUMBER(SEARCH("scrubber",F1744)) , "Scrubber", IF(ISNUMBER(SEARCH("container",F1744)),"Container", IF(ISNUMBER(SEARCH("basket",F1744)),"Basket", IF(ISNUMBER(SEARCH("lunch",F1744)),"Lunch Box", IF(ISNUMBER(SEARCH("cutlery",F1744)),"Cutlery","Other")))))</f>
        <v>0</v>
      </c>
      <c r="I1744">
        <f>IF('Raw Data'!G1744&lt;&gt;'','Raw Data'!G1744,IFERROR(MID(F1744,SEARCH("MODEL",F1744)+6,20),""))</f>
        <v>0</v>
      </c>
      <c r="J1744">
        <f>'Raw Data'!H1744</f>
        <v>0</v>
      </c>
      <c r="K1744">
        <f>'Raw Data'!I1744</f>
        <v>0</v>
      </c>
      <c r="L1744">
        <f>IF('Raw Data'!N1744&lt;&gt;0,'Raw Data'!N1744,IFERROR(VALUE(MID(F1744,SEARCH("QTY",F1744)+4,IFERROR(FIND(" ",F1744,SEARCH("QTY",F1744)+4)-(SEARCH("QTY",F1744)+4),3))),""))</f>
        <v>0</v>
      </c>
      <c r="M1744">
        <f>'Raw Data'!O1744</f>
        <v>0</v>
      </c>
      <c r="N1744">
        <f>'Raw Data'!P1744</f>
        <v>0</v>
      </c>
      <c r="O1744">
        <f>'Raw Data'!Q1744</f>
        <v>0</v>
      </c>
      <c r="P1744">
        <f>'Raw Data'!R1744</f>
        <v>0</v>
      </c>
      <c r="Q1744">
        <f>'Raw Data'!S1744</f>
        <v>0</v>
      </c>
      <c r="R1744">
        <f>'Raw Data'!T1744</f>
        <v>0</v>
      </c>
      <c r="S1744">
        <f>IFERROR(O1744,0)+IFERROR(R1744,0)</f>
        <v>0</v>
      </c>
      <c r="T1744">
        <f>IF(A1744="","",YEAR(A1744))</f>
        <v>0</v>
      </c>
    </row>
    <row r="1745" spans="1:20">
      <c r="A1745">
        <f>'Raw Data'!B1745</f>
        <v>0</v>
      </c>
      <c r="B1745">
        <f>'Raw Data'!A1745</f>
        <v>0</v>
      </c>
      <c r="C1745">
        <f>'Raw Data'!C1745</f>
        <v>0</v>
      </c>
      <c r="D1745">
        <f>'Raw Data'!D1745</f>
        <v>0</v>
      </c>
      <c r="E1745">
        <f>IFERROR(VLOOKUP(D1745,'Lookup Tables'!$A:$B,2,FALSE),"Unknown")</f>
        <v>0</v>
      </c>
      <c r="F1745">
        <f>'Raw Data'!E1745</f>
        <v>0</v>
      </c>
      <c r="G1745">
        <f>IFERROR(VLOOKUP(D1745,'Lookup Tables'!$A:$C,3,FALSE),IF(ISNUMBER(SEARCH("STEEL",F1745)),"Steel","Others"))</f>
        <v>0</v>
      </c>
      <c r="H1745">
        <f>IF(ISNUMBER(SEARCH("scrubber",F1745)) , "Scrubber", IF(ISNUMBER(SEARCH("container",F1745)),"Container", IF(ISNUMBER(SEARCH("basket",F1745)),"Basket", IF(ISNUMBER(SEARCH("lunch",F1745)),"Lunch Box", IF(ISNUMBER(SEARCH("cutlery",F1745)),"Cutlery","Other")))))</f>
        <v>0</v>
      </c>
      <c r="I1745">
        <f>IF('Raw Data'!G1745&lt;&gt;'','Raw Data'!G1745,IFERROR(MID(F1745,SEARCH("MODEL",F1745)+6,20),""))</f>
        <v>0</v>
      </c>
      <c r="J1745">
        <f>'Raw Data'!H1745</f>
        <v>0</v>
      </c>
      <c r="K1745">
        <f>'Raw Data'!I1745</f>
        <v>0</v>
      </c>
      <c r="L1745">
        <f>IF('Raw Data'!N1745&lt;&gt;0,'Raw Data'!N1745,IFERROR(VALUE(MID(F1745,SEARCH("QTY",F1745)+4,IFERROR(FIND(" ",F1745,SEARCH("QTY",F1745)+4)-(SEARCH("QTY",F1745)+4),3))),""))</f>
        <v>0</v>
      </c>
      <c r="M1745">
        <f>'Raw Data'!O1745</f>
        <v>0</v>
      </c>
      <c r="N1745">
        <f>'Raw Data'!P1745</f>
        <v>0</v>
      </c>
      <c r="O1745">
        <f>'Raw Data'!Q1745</f>
        <v>0</v>
      </c>
      <c r="P1745">
        <f>'Raw Data'!R1745</f>
        <v>0</v>
      </c>
      <c r="Q1745">
        <f>'Raw Data'!S1745</f>
        <v>0</v>
      </c>
      <c r="R1745">
        <f>'Raw Data'!T1745</f>
        <v>0</v>
      </c>
      <c r="S1745">
        <f>IFERROR(O1745,0)+IFERROR(R1745,0)</f>
        <v>0</v>
      </c>
      <c r="T1745">
        <f>IF(A1745="","",YEAR(A1745))</f>
        <v>0</v>
      </c>
    </row>
    <row r="1746" spans="1:20">
      <c r="A1746">
        <f>'Raw Data'!B1746</f>
        <v>0</v>
      </c>
      <c r="B1746">
        <f>'Raw Data'!A1746</f>
        <v>0</v>
      </c>
      <c r="C1746">
        <f>'Raw Data'!C1746</f>
        <v>0</v>
      </c>
      <c r="D1746">
        <f>'Raw Data'!D1746</f>
        <v>0</v>
      </c>
      <c r="E1746">
        <f>IFERROR(VLOOKUP(D1746,'Lookup Tables'!$A:$B,2,FALSE),"Unknown")</f>
        <v>0</v>
      </c>
      <c r="F1746">
        <f>'Raw Data'!E1746</f>
        <v>0</v>
      </c>
      <c r="G1746">
        <f>IFERROR(VLOOKUP(D1746,'Lookup Tables'!$A:$C,3,FALSE),IF(ISNUMBER(SEARCH("STEEL",F1746)),"Steel","Others"))</f>
        <v>0</v>
      </c>
      <c r="H1746">
        <f>IF(ISNUMBER(SEARCH("scrubber",F1746)) , "Scrubber", IF(ISNUMBER(SEARCH("container",F1746)),"Container", IF(ISNUMBER(SEARCH("basket",F1746)),"Basket", IF(ISNUMBER(SEARCH("lunch",F1746)),"Lunch Box", IF(ISNUMBER(SEARCH("cutlery",F1746)),"Cutlery","Other")))))</f>
        <v>0</v>
      </c>
      <c r="I1746">
        <f>IF('Raw Data'!G1746&lt;&gt;'','Raw Data'!G1746,IFERROR(MID(F1746,SEARCH("MODEL",F1746)+6,20),""))</f>
        <v>0</v>
      </c>
      <c r="J1746">
        <f>'Raw Data'!H1746</f>
        <v>0</v>
      </c>
      <c r="K1746">
        <f>'Raw Data'!I1746</f>
        <v>0</v>
      </c>
      <c r="L1746">
        <f>IF('Raw Data'!N1746&lt;&gt;0,'Raw Data'!N1746,IFERROR(VALUE(MID(F1746,SEARCH("QTY",F1746)+4,IFERROR(FIND(" ",F1746,SEARCH("QTY",F1746)+4)-(SEARCH("QTY",F1746)+4),3))),""))</f>
        <v>0</v>
      </c>
      <c r="M1746">
        <f>'Raw Data'!O1746</f>
        <v>0</v>
      </c>
      <c r="N1746">
        <f>'Raw Data'!P1746</f>
        <v>0</v>
      </c>
      <c r="O1746">
        <f>'Raw Data'!Q1746</f>
        <v>0</v>
      </c>
      <c r="P1746">
        <f>'Raw Data'!R1746</f>
        <v>0</v>
      </c>
      <c r="Q1746">
        <f>'Raw Data'!S1746</f>
        <v>0</v>
      </c>
      <c r="R1746">
        <f>'Raw Data'!T1746</f>
        <v>0</v>
      </c>
      <c r="S1746">
        <f>IFERROR(O1746,0)+IFERROR(R1746,0)</f>
        <v>0</v>
      </c>
      <c r="T1746">
        <f>IF(A1746="","",YEAR(A1746))</f>
        <v>0</v>
      </c>
    </row>
    <row r="1747" spans="1:20">
      <c r="A1747">
        <f>'Raw Data'!B1747</f>
        <v>0</v>
      </c>
      <c r="B1747">
        <f>'Raw Data'!A1747</f>
        <v>0</v>
      </c>
      <c r="C1747">
        <f>'Raw Data'!C1747</f>
        <v>0</v>
      </c>
      <c r="D1747">
        <f>'Raw Data'!D1747</f>
        <v>0</v>
      </c>
      <c r="E1747">
        <f>IFERROR(VLOOKUP(D1747,'Lookup Tables'!$A:$B,2,FALSE),"Unknown")</f>
        <v>0</v>
      </c>
      <c r="F1747">
        <f>'Raw Data'!E1747</f>
        <v>0</v>
      </c>
      <c r="G1747">
        <f>IFERROR(VLOOKUP(D1747,'Lookup Tables'!$A:$C,3,FALSE),IF(ISNUMBER(SEARCH("STEEL",F1747)),"Steel","Others"))</f>
        <v>0</v>
      </c>
      <c r="H1747">
        <f>IF(ISNUMBER(SEARCH("scrubber",F1747)) , "Scrubber", IF(ISNUMBER(SEARCH("container",F1747)),"Container", IF(ISNUMBER(SEARCH("basket",F1747)),"Basket", IF(ISNUMBER(SEARCH("lunch",F1747)),"Lunch Box", IF(ISNUMBER(SEARCH("cutlery",F1747)),"Cutlery","Other")))))</f>
        <v>0</v>
      </c>
      <c r="I1747">
        <f>IF('Raw Data'!G1747&lt;&gt;'','Raw Data'!G1747,IFERROR(MID(F1747,SEARCH("MODEL",F1747)+6,20),""))</f>
        <v>0</v>
      </c>
      <c r="J1747">
        <f>'Raw Data'!H1747</f>
        <v>0</v>
      </c>
      <c r="K1747">
        <f>'Raw Data'!I1747</f>
        <v>0</v>
      </c>
      <c r="L1747">
        <f>IF('Raw Data'!N1747&lt;&gt;0,'Raw Data'!N1747,IFERROR(VALUE(MID(F1747,SEARCH("QTY",F1747)+4,IFERROR(FIND(" ",F1747,SEARCH("QTY",F1747)+4)-(SEARCH("QTY",F1747)+4),3))),""))</f>
        <v>0</v>
      </c>
      <c r="M1747">
        <f>'Raw Data'!O1747</f>
        <v>0</v>
      </c>
      <c r="N1747">
        <f>'Raw Data'!P1747</f>
        <v>0</v>
      </c>
      <c r="O1747">
        <f>'Raw Data'!Q1747</f>
        <v>0</v>
      </c>
      <c r="P1747">
        <f>'Raw Data'!R1747</f>
        <v>0</v>
      </c>
      <c r="Q1747">
        <f>'Raw Data'!S1747</f>
        <v>0</v>
      </c>
      <c r="R1747">
        <f>'Raw Data'!T1747</f>
        <v>0</v>
      </c>
      <c r="S1747">
        <f>IFERROR(O1747,0)+IFERROR(R1747,0)</f>
        <v>0</v>
      </c>
      <c r="T1747">
        <f>IF(A1747="","",YEAR(A1747))</f>
        <v>0</v>
      </c>
    </row>
    <row r="1748" spans="1:20">
      <c r="A1748">
        <f>'Raw Data'!B1748</f>
        <v>0</v>
      </c>
      <c r="B1748">
        <f>'Raw Data'!A1748</f>
        <v>0</v>
      </c>
      <c r="C1748">
        <f>'Raw Data'!C1748</f>
        <v>0</v>
      </c>
      <c r="D1748">
        <f>'Raw Data'!D1748</f>
        <v>0</v>
      </c>
      <c r="E1748">
        <f>IFERROR(VLOOKUP(D1748,'Lookup Tables'!$A:$B,2,FALSE),"Unknown")</f>
        <v>0</v>
      </c>
      <c r="F1748">
        <f>'Raw Data'!E1748</f>
        <v>0</v>
      </c>
      <c r="G1748">
        <f>IFERROR(VLOOKUP(D1748,'Lookup Tables'!$A:$C,3,FALSE),IF(ISNUMBER(SEARCH("STEEL",F1748)),"Steel","Others"))</f>
        <v>0</v>
      </c>
      <c r="H1748">
        <f>IF(ISNUMBER(SEARCH("scrubber",F1748)) , "Scrubber", IF(ISNUMBER(SEARCH("container",F1748)),"Container", IF(ISNUMBER(SEARCH("basket",F1748)),"Basket", IF(ISNUMBER(SEARCH("lunch",F1748)),"Lunch Box", IF(ISNUMBER(SEARCH("cutlery",F1748)),"Cutlery","Other")))))</f>
        <v>0</v>
      </c>
      <c r="I1748">
        <f>IF('Raw Data'!G1748&lt;&gt;'','Raw Data'!G1748,IFERROR(MID(F1748,SEARCH("MODEL",F1748)+6,20),""))</f>
        <v>0</v>
      </c>
      <c r="J1748">
        <f>'Raw Data'!H1748</f>
        <v>0</v>
      </c>
      <c r="K1748">
        <f>'Raw Data'!I1748</f>
        <v>0</v>
      </c>
      <c r="L1748">
        <f>IF('Raw Data'!N1748&lt;&gt;0,'Raw Data'!N1748,IFERROR(VALUE(MID(F1748,SEARCH("QTY",F1748)+4,IFERROR(FIND(" ",F1748,SEARCH("QTY",F1748)+4)-(SEARCH("QTY",F1748)+4),3))),""))</f>
        <v>0</v>
      </c>
      <c r="M1748">
        <f>'Raw Data'!O1748</f>
        <v>0</v>
      </c>
      <c r="N1748">
        <f>'Raw Data'!P1748</f>
        <v>0</v>
      </c>
      <c r="O1748">
        <f>'Raw Data'!Q1748</f>
        <v>0</v>
      </c>
      <c r="P1748">
        <f>'Raw Data'!R1748</f>
        <v>0</v>
      </c>
      <c r="Q1748">
        <f>'Raw Data'!S1748</f>
        <v>0</v>
      </c>
      <c r="R1748">
        <f>'Raw Data'!T1748</f>
        <v>0</v>
      </c>
      <c r="S1748">
        <f>IFERROR(O1748,0)+IFERROR(R1748,0)</f>
        <v>0</v>
      </c>
      <c r="T1748">
        <f>IF(A1748="","",YEAR(A1748))</f>
        <v>0</v>
      </c>
    </row>
    <row r="1749" spans="1:20">
      <c r="A1749">
        <f>'Raw Data'!B1749</f>
        <v>0</v>
      </c>
      <c r="B1749">
        <f>'Raw Data'!A1749</f>
        <v>0</v>
      </c>
      <c r="C1749">
        <f>'Raw Data'!C1749</f>
        <v>0</v>
      </c>
      <c r="D1749">
        <f>'Raw Data'!D1749</f>
        <v>0</v>
      </c>
      <c r="E1749">
        <f>IFERROR(VLOOKUP(D1749,'Lookup Tables'!$A:$B,2,FALSE),"Unknown")</f>
        <v>0</v>
      </c>
      <c r="F1749">
        <f>'Raw Data'!E1749</f>
        <v>0</v>
      </c>
      <c r="G1749">
        <f>IFERROR(VLOOKUP(D1749,'Lookup Tables'!$A:$C,3,FALSE),IF(ISNUMBER(SEARCH("STEEL",F1749)),"Steel","Others"))</f>
        <v>0</v>
      </c>
      <c r="H1749">
        <f>IF(ISNUMBER(SEARCH("scrubber",F1749)) , "Scrubber", IF(ISNUMBER(SEARCH("container",F1749)),"Container", IF(ISNUMBER(SEARCH("basket",F1749)),"Basket", IF(ISNUMBER(SEARCH("lunch",F1749)),"Lunch Box", IF(ISNUMBER(SEARCH("cutlery",F1749)),"Cutlery","Other")))))</f>
        <v>0</v>
      </c>
      <c r="I1749">
        <f>IF('Raw Data'!G1749&lt;&gt;'','Raw Data'!G1749,IFERROR(MID(F1749,SEARCH("MODEL",F1749)+6,20),""))</f>
        <v>0</v>
      </c>
      <c r="J1749">
        <f>'Raw Data'!H1749</f>
        <v>0</v>
      </c>
      <c r="K1749">
        <f>'Raw Data'!I1749</f>
        <v>0</v>
      </c>
      <c r="L1749">
        <f>IF('Raw Data'!N1749&lt;&gt;0,'Raw Data'!N1749,IFERROR(VALUE(MID(F1749,SEARCH("QTY",F1749)+4,IFERROR(FIND(" ",F1749,SEARCH("QTY",F1749)+4)-(SEARCH("QTY",F1749)+4),3))),""))</f>
        <v>0</v>
      </c>
      <c r="M1749">
        <f>'Raw Data'!O1749</f>
        <v>0</v>
      </c>
      <c r="N1749">
        <f>'Raw Data'!P1749</f>
        <v>0</v>
      </c>
      <c r="O1749">
        <f>'Raw Data'!Q1749</f>
        <v>0</v>
      </c>
      <c r="P1749">
        <f>'Raw Data'!R1749</f>
        <v>0</v>
      </c>
      <c r="Q1749">
        <f>'Raw Data'!S1749</f>
        <v>0</v>
      </c>
      <c r="R1749">
        <f>'Raw Data'!T1749</f>
        <v>0</v>
      </c>
      <c r="S1749">
        <f>IFERROR(O1749,0)+IFERROR(R1749,0)</f>
        <v>0</v>
      </c>
      <c r="T1749">
        <f>IF(A1749="","",YEAR(A1749))</f>
        <v>0</v>
      </c>
    </row>
    <row r="1750" spans="1:20">
      <c r="A1750">
        <f>'Raw Data'!B1750</f>
        <v>0</v>
      </c>
      <c r="B1750">
        <f>'Raw Data'!A1750</f>
        <v>0</v>
      </c>
      <c r="C1750">
        <f>'Raw Data'!C1750</f>
        <v>0</v>
      </c>
      <c r="D1750">
        <f>'Raw Data'!D1750</f>
        <v>0</v>
      </c>
      <c r="E1750">
        <f>IFERROR(VLOOKUP(D1750,'Lookup Tables'!$A:$B,2,FALSE),"Unknown")</f>
        <v>0</v>
      </c>
      <c r="F1750">
        <f>'Raw Data'!E1750</f>
        <v>0</v>
      </c>
      <c r="G1750">
        <f>IFERROR(VLOOKUP(D1750,'Lookup Tables'!$A:$C,3,FALSE),IF(ISNUMBER(SEARCH("STEEL",F1750)),"Steel","Others"))</f>
        <v>0</v>
      </c>
      <c r="H1750">
        <f>IF(ISNUMBER(SEARCH("scrubber",F1750)) , "Scrubber", IF(ISNUMBER(SEARCH("container",F1750)),"Container", IF(ISNUMBER(SEARCH("basket",F1750)),"Basket", IF(ISNUMBER(SEARCH("lunch",F1750)),"Lunch Box", IF(ISNUMBER(SEARCH("cutlery",F1750)),"Cutlery","Other")))))</f>
        <v>0</v>
      </c>
      <c r="I1750">
        <f>IF('Raw Data'!G1750&lt;&gt;'','Raw Data'!G1750,IFERROR(MID(F1750,SEARCH("MODEL",F1750)+6,20),""))</f>
        <v>0</v>
      </c>
      <c r="J1750">
        <f>'Raw Data'!H1750</f>
        <v>0</v>
      </c>
      <c r="K1750">
        <f>'Raw Data'!I1750</f>
        <v>0</v>
      </c>
      <c r="L1750">
        <f>IF('Raw Data'!N1750&lt;&gt;0,'Raw Data'!N1750,IFERROR(VALUE(MID(F1750,SEARCH("QTY",F1750)+4,IFERROR(FIND(" ",F1750,SEARCH("QTY",F1750)+4)-(SEARCH("QTY",F1750)+4),3))),""))</f>
        <v>0</v>
      </c>
      <c r="M1750">
        <f>'Raw Data'!O1750</f>
        <v>0</v>
      </c>
      <c r="N1750">
        <f>'Raw Data'!P1750</f>
        <v>0</v>
      </c>
      <c r="O1750">
        <f>'Raw Data'!Q1750</f>
        <v>0</v>
      </c>
      <c r="P1750">
        <f>'Raw Data'!R1750</f>
        <v>0</v>
      </c>
      <c r="Q1750">
        <f>'Raw Data'!S1750</f>
        <v>0</v>
      </c>
      <c r="R1750">
        <f>'Raw Data'!T1750</f>
        <v>0</v>
      </c>
      <c r="S1750">
        <f>IFERROR(O1750,0)+IFERROR(R1750,0)</f>
        <v>0</v>
      </c>
      <c r="T1750">
        <f>IF(A1750="","",YEAR(A1750))</f>
        <v>0</v>
      </c>
    </row>
    <row r="1751" spans="1:20">
      <c r="A1751">
        <f>'Raw Data'!B1751</f>
        <v>0</v>
      </c>
      <c r="B1751">
        <f>'Raw Data'!A1751</f>
        <v>0</v>
      </c>
      <c r="C1751">
        <f>'Raw Data'!C1751</f>
        <v>0</v>
      </c>
      <c r="D1751">
        <f>'Raw Data'!D1751</f>
        <v>0</v>
      </c>
      <c r="E1751">
        <f>IFERROR(VLOOKUP(D1751,'Lookup Tables'!$A:$B,2,FALSE),"Unknown")</f>
        <v>0</v>
      </c>
      <c r="F1751">
        <f>'Raw Data'!E1751</f>
        <v>0</v>
      </c>
      <c r="G1751">
        <f>IFERROR(VLOOKUP(D1751,'Lookup Tables'!$A:$C,3,FALSE),IF(ISNUMBER(SEARCH("STEEL",F1751)),"Steel","Others"))</f>
        <v>0</v>
      </c>
      <c r="H1751">
        <f>IF(ISNUMBER(SEARCH("scrubber",F1751)) , "Scrubber", IF(ISNUMBER(SEARCH("container",F1751)),"Container", IF(ISNUMBER(SEARCH("basket",F1751)),"Basket", IF(ISNUMBER(SEARCH("lunch",F1751)),"Lunch Box", IF(ISNUMBER(SEARCH("cutlery",F1751)),"Cutlery","Other")))))</f>
        <v>0</v>
      </c>
      <c r="I1751">
        <f>IF('Raw Data'!G1751&lt;&gt;'','Raw Data'!G1751,IFERROR(MID(F1751,SEARCH("MODEL",F1751)+6,20),""))</f>
        <v>0</v>
      </c>
      <c r="J1751">
        <f>'Raw Data'!H1751</f>
        <v>0</v>
      </c>
      <c r="K1751">
        <f>'Raw Data'!I1751</f>
        <v>0</v>
      </c>
      <c r="L1751">
        <f>IF('Raw Data'!N1751&lt;&gt;0,'Raw Data'!N1751,IFERROR(VALUE(MID(F1751,SEARCH("QTY",F1751)+4,IFERROR(FIND(" ",F1751,SEARCH("QTY",F1751)+4)-(SEARCH("QTY",F1751)+4),3))),""))</f>
        <v>0</v>
      </c>
      <c r="M1751">
        <f>'Raw Data'!O1751</f>
        <v>0</v>
      </c>
      <c r="N1751">
        <f>'Raw Data'!P1751</f>
        <v>0</v>
      </c>
      <c r="O1751">
        <f>'Raw Data'!Q1751</f>
        <v>0</v>
      </c>
      <c r="P1751">
        <f>'Raw Data'!R1751</f>
        <v>0</v>
      </c>
      <c r="Q1751">
        <f>'Raw Data'!S1751</f>
        <v>0</v>
      </c>
      <c r="R1751">
        <f>'Raw Data'!T1751</f>
        <v>0</v>
      </c>
      <c r="S1751">
        <f>IFERROR(O1751,0)+IFERROR(R1751,0)</f>
        <v>0</v>
      </c>
      <c r="T1751">
        <f>IF(A1751="","",YEAR(A1751))</f>
        <v>0</v>
      </c>
    </row>
    <row r="1752" spans="1:20">
      <c r="A1752">
        <f>'Raw Data'!B1752</f>
        <v>0</v>
      </c>
      <c r="B1752">
        <f>'Raw Data'!A1752</f>
        <v>0</v>
      </c>
      <c r="C1752">
        <f>'Raw Data'!C1752</f>
        <v>0</v>
      </c>
      <c r="D1752">
        <f>'Raw Data'!D1752</f>
        <v>0</v>
      </c>
      <c r="E1752">
        <f>IFERROR(VLOOKUP(D1752,'Lookup Tables'!$A:$B,2,FALSE),"Unknown")</f>
        <v>0</v>
      </c>
      <c r="F1752">
        <f>'Raw Data'!E1752</f>
        <v>0</v>
      </c>
      <c r="G1752">
        <f>IFERROR(VLOOKUP(D1752,'Lookup Tables'!$A:$C,3,FALSE),IF(ISNUMBER(SEARCH("STEEL",F1752)),"Steel","Others"))</f>
        <v>0</v>
      </c>
      <c r="H1752">
        <f>IF(ISNUMBER(SEARCH("scrubber",F1752)) , "Scrubber", IF(ISNUMBER(SEARCH("container",F1752)),"Container", IF(ISNUMBER(SEARCH("basket",F1752)),"Basket", IF(ISNUMBER(SEARCH("lunch",F1752)),"Lunch Box", IF(ISNUMBER(SEARCH("cutlery",F1752)),"Cutlery","Other")))))</f>
        <v>0</v>
      </c>
      <c r="I1752">
        <f>IF('Raw Data'!G1752&lt;&gt;'','Raw Data'!G1752,IFERROR(MID(F1752,SEARCH("MODEL",F1752)+6,20),""))</f>
        <v>0</v>
      </c>
      <c r="J1752">
        <f>'Raw Data'!H1752</f>
        <v>0</v>
      </c>
      <c r="K1752">
        <f>'Raw Data'!I1752</f>
        <v>0</v>
      </c>
      <c r="L1752">
        <f>IF('Raw Data'!N1752&lt;&gt;0,'Raw Data'!N1752,IFERROR(VALUE(MID(F1752,SEARCH("QTY",F1752)+4,IFERROR(FIND(" ",F1752,SEARCH("QTY",F1752)+4)-(SEARCH("QTY",F1752)+4),3))),""))</f>
        <v>0</v>
      </c>
      <c r="M1752">
        <f>'Raw Data'!O1752</f>
        <v>0</v>
      </c>
      <c r="N1752">
        <f>'Raw Data'!P1752</f>
        <v>0</v>
      </c>
      <c r="O1752">
        <f>'Raw Data'!Q1752</f>
        <v>0</v>
      </c>
      <c r="P1752">
        <f>'Raw Data'!R1752</f>
        <v>0</v>
      </c>
      <c r="Q1752">
        <f>'Raw Data'!S1752</f>
        <v>0</v>
      </c>
      <c r="R1752">
        <f>'Raw Data'!T1752</f>
        <v>0</v>
      </c>
      <c r="S1752">
        <f>IFERROR(O1752,0)+IFERROR(R1752,0)</f>
        <v>0</v>
      </c>
      <c r="T1752">
        <f>IF(A1752="","",YEAR(A1752))</f>
        <v>0</v>
      </c>
    </row>
    <row r="1753" spans="1:20">
      <c r="A1753">
        <f>'Raw Data'!B1753</f>
        <v>0</v>
      </c>
      <c r="B1753">
        <f>'Raw Data'!A1753</f>
        <v>0</v>
      </c>
      <c r="C1753">
        <f>'Raw Data'!C1753</f>
        <v>0</v>
      </c>
      <c r="D1753">
        <f>'Raw Data'!D1753</f>
        <v>0</v>
      </c>
      <c r="E1753">
        <f>IFERROR(VLOOKUP(D1753,'Lookup Tables'!$A:$B,2,FALSE),"Unknown")</f>
        <v>0</v>
      </c>
      <c r="F1753">
        <f>'Raw Data'!E1753</f>
        <v>0</v>
      </c>
      <c r="G1753">
        <f>IFERROR(VLOOKUP(D1753,'Lookup Tables'!$A:$C,3,FALSE),IF(ISNUMBER(SEARCH("STEEL",F1753)),"Steel","Others"))</f>
        <v>0</v>
      </c>
      <c r="H1753">
        <f>IF(ISNUMBER(SEARCH("scrubber",F1753)) , "Scrubber", IF(ISNUMBER(SEARCH("container",F1753)),"Container", IF(ISNUMBER(SEARCH("basket",F1753)),"Basket", IF(ISNUMBER(SEARCH("lunch",F1753)),"Lunch Box", IF(ISNUMBER(SEARCH("cutlery",F1753)),"Cutlery","Other")))))</f>
        <v>0</v>
      </c>
      <c r="I1753">
        <f>IF('Raw Data'!G1753&lt;&gt;'','Raw Data'!G1753,IFERROR(MID(F1753,SEARCH("MODEL",F1753)+6,20),""))</f>
        <v>0</v>
      </c>
      <c r="J1753">
        <f>'Raw Data'!H1753</f>
        <v>0</v>
      </c>
      <c r="K1753">
        <f>'Raw Data'!I1753</f>
        <v>0</v>
      </c>
      <c r="L1753">
        <f>IF('Raw Data'!N1753&lt;&gt;0,'Raw Data'!N1753,IFERROR(VALUE(MID(F1753,SEARCH("QTY",F1753)+4,IFERROR(FIND(" ",F1753,SEARCH("QTY",F1753)+4)-(SEARCH("QTY",F1753)+4),3))),""))</f>
        <v>0</v>
      </c>
      <c r="M1753">
        <f>'Raw Data'!O1753</f>
        <v>0</v>
      </c>
      <c r="N1753">
        <f>'Raw Data'!P1753</f>
        <v>0</v>
      </c>
      <c r="O1753">
        <f>'Raw Data'!Q1753</f>
        <v>0</v>
      </c>
      <c r="P1753">
        <f>'Raw Data'!R1753</f>
        <v>0</v>
      </c>
      <c r="Q1753">
        <f>'Raw Data'!S1753</f>
        <v>0</v>
      </c>
      <c r="R1753">
        <f>'Raw Data'!T1753</f>
        <v>0</v>
      </c>
      <c r="S1753">
        <f>IFERROR(O1753,0)+IFERROR(R1753,0)</f>
        <v>0</v>
      </c>
      <c r="T1753">
        <f>IF(A1753="","",YEAR(A1753))</f>
        <v>0</v>
      </c>
    </row>
    <row r="1754" spans="1:20">
      <c r="A1754">
        <f>'Raw Data'!B1754</f>
        <v>0</v>
      </c>
      <c r="B1754">
        <f>'Raw Data'!A1754</f>
        <v>0</v>
      </c>
      <c r="C1754">
        <f>'Raw Data'!C1754</f>
        <v>0</v>
      </c>
      <c r="D1754">
        <f>'Raw Data'!D1754</f>
        <v>0</v>
      </c>
      <c r="E1754">
        <f>IFERROR(VLOOKUP(D1754,'Lookup Tables'!$A:$B,2,FALSE),"Unknown")</f>
        <v>0</v>
      </c>
      <c r="F1754">
        <f>'Raw Data'!E1754</f>
        <v>0</v>
      </c>
      <c r="G1754">
        <f>IFERROR(VLOOKUP(D1754,'Lookup Tables'!$A:$C,3,FALSE),IF(ISNUMBER(SEARCH("STEEL",F1754)),"Steel","Others"))</f>
        <v>0</v>
      </c>
      <c r="H1754">
        <f>IF(ISNUMBER(SEARCH("scrubber",F1754)) , "Scrubber", IF(ISNUMBER(SEARCH("container",F1754)),"Container", IF(ISNUMBER(SEARCH("basket",F1754)),"Basket", IF(ISNUMBER(SEARCH("lunch",F1754)),"Lunch Box", IF(ISNUMBER(SEARCH("cutlery",F1754)),"Cutlery","Other")))))</f>
        <v>0</v>
      </c>
      <c r="I1754">
        <f>IF('Raw Data'!G1754&lt;&gt;'','Raw Data'!G1754,IFERROR(MID(F1754,SEARCH("MODEL",F1754)+6,20),""))</f>
        <v>0</v>
      </c>
      <c r="J1754">
        <f>'Raw Data'!H1754</f>
        <v>0</v>
      </c>
      <c r="K1754">
        <f>'Raw Data'!I1754</f>
        <v>0</v>
      </c>
      <c r="L1754">
        <f>IF('Raw Data'!N1754&lt;&gt;0,'Raw Data'!N1754,IFERROR(VALUE(MID(F1754,SEARCH("QTY",F1754)+4,IFERROR(FIND(" ",F1754,SEARCH("QTY",F1754)+4)-(SEARCH("QTY",F1754)+4),3))),""))</f>
        <v>0</v>
      </c>
      <c r="M1754">
        <f>'Raw Data'!O1754</f>
        <v>0</v>
      </c>
      <c r="N1754">
        <f>'Raw Data'!P1754</f>
        <v>0</v>
      </c>
      <c r="O1754">
        <f>'Raw Data'!Q1754</f>
        <v>0</v>
      </c>
      <c r="P1754">
        <f>'Raw Data'!R1754</f>
        <v>0</v>
      </c>
      <c r="Q1754">
        <f>'Raw Data'!S1754</f>
        <v>0</v>
      </c>
      <c r="R1754">
        <f>'Raw Data'!T1754</f>
        <v>0</v>
      </c>
      <c r="S1754">
        <f>IFERROR(O1754,0)+IFERROR(R1754,0)</f>
        <v>0</v>
      </c>
      <c r="T1754">
        <f>IF(A1754="","",YEAR(A1754))</f>
        <v>0</v>
      </c>
    </row>
    <row r="1755" spans="1:20">
      <c r="A1755">
        <f>'Raw Data'!B1755</f>
        <v>0</v>
      </c>
      <c r="B1755">
        <f>'Raw Data'!A1755</f>
        <v>0</v>
      </c>
      <c r="C1755">
        <f>'Raw Data'!C1755</f>
        <v>0</v>
      </c>
      <c r="D1755">
        <f>'Raw Data'!D1755</f>
        <v>0</v>
      </c>
      <c r="E1755">
        <f>IFERROR(VLOOKUP(D1755,'Lookup Tables'!$A:$B,2,FALSE),"Unknown")</f>
        <v>0</v>
      </c>
      <c r="F1755">
        <f>'Raw Data'!E1755</f>
        <v>0</v>
      </c>
      <c r="G1755">
        <f>IFERROR(VLOOKUP(D1755,'Lookup Tables'!$A:$C,3,FALSE),IF(ISNUMBER(SEARCH("STEEL",F1755)),"Steel","Others"))</f>
        <v>0</v>
      </c>
      <c r="H1755">
        <f>IF(ISNUMBER(SEARCH("scrubber",F1755)) , "Scrubber", IF(ISNUMBER(SEARCH("container",F1755)),"Container", IF(ISNUMBER(SEARCH("basket",F1755)),"Basket", IF(ISNUMBER(SEARCH("lunch",F1755)),"Lunch Box", IF(ISNUMBER(SEARCH("cutlery",F1755)),"Cutlery","Other")))))</f>
        <v>0</v>
      </c>
      <c r="I1755">
        <f>IF('Raw Data'!G1755&lt;&gt;'','Raw Data'!G1755,IFERROR(MID(F1755,SEARCH("MODEL",F1755)+6,20),""))</f>
        <v>0</v>
      </c>
      <c r="J1755">
        <f>'Raw Data'!H1755</f>
        <v>0</v>
      </c>
      <c r="K1755">
        <f>'Raw Data'!I1755</f>
        <v>0</v>
      </c>
      <c r="L1755">
        <f>IF('Raw Data'!N1755&lt;&gt;0,'Raw Data'!N1755,IFERROR(VALUE(MID(F1755,SEARCH("QTY",F1755)+4,IFERROR(FIND(" ",F1755,SEARCH("QTY",F1755)+4)-(SEARCH("QTY",F1755)+4),3))),""))</f>
        <v>0</v>
      </c>
      <c r="M1755">
        <f>'Raw Data'!O1755</f>
        <v>0</v>
      </c>
      <c r="N1755">
        <f>'Raw Data'!P1755</f>
        <v>0</v>
      </c>
      <c r="O1755">
        <f>'Raw Data'!Q1755</f>
        <v>0</v>
      </c>
      <c r="P1755">
        <f>'Raw Data'!R1755</f>
        <v>0</v>
      </c>
      <c r="Q1755">
        <f>'Raw Data'!S1755</f>
        <v>0</v>
      </c>
      <c r="R1755">
        <f>'Raw Data'!T1755</f>
        <v>0</v>
      </c>
      <c r="S1755">
        <f>IFERROR(O1755,0)+IFERROR(R1755,0)</f>
        <v>0</v>
      </c>
      <c r="T1755">
        <f>IF(A1755="","",YEAR(A1755))</f>
        <v>0</v>
      </c>
    </row>
    <row r="1756" spans="1:20">
      <c r="A1756">
        <f>'Raw Data'!B1756</f>
        <v>0</v>
      </c>
      <c r="B1756">
        <f>'Raw Data'!A1756</f>
        <v>0</v>
      </c>
      <c r="C1756">
        <f>'Raw Data'!C1756</f>
        <v>0</v>
      </c>
      <c r="D1756">
        <f>'Raw Data'!D1756</f>
        <v>0</v>
      </c>
      <c r="E1756">
        <f>IFERROR(VLOOKUP(D1756,'Lookup Tables'!$A:$B,2,FALSE),"Unknown")</f>
        <v>0</v>
      </c>
      <c r="F1756">
        <f>'Raw Data'!E1756</f>
        <v>0</v>
      </c>
      <c r="G1756">
        <f>IFERROR(VLOOKUP(D1756,'Lookup Tables'!$A:$C,3,FALSE),IF(ISNUMBER(SEARCH("STEEL",F1756)),"Steel","Others"))</f>
        <v>0</v>
      </c>
      <c r="H1756">
        <f>IF(ISNUMBER(SEARCH("scrubber",F1756)) , "Scrubber", IF(ISNUMBER(SEARCH("container",F1756)),"Container", IF(ISNUMBER(SEARCH("basket",F1756)),"Basket", IF(ISNUMBER(SEARCH("lunch",F1756)),"Lunch Box", IF(ISNUMBER(SEARCH("cutlery",F1756)),"Cutlery","Other")))))</f>
        <v>0</v>
      </c>
      <c r="I1756">
        <f>IF('Raw Data'!G1756&lt;&gt;'','Raw Data'!G1756,IFERROR(MID(F1756,SEARCH("MODEL",F1756)+6,20),""))</f>
        <v>0</v>
      </c>
      <c r="J1756">
        <f>'Raw Data'!H1756</f>
        <v>0</v>
      </c>
      <c r="K1756">
        <f>'Raw Data'!I1756</f>
        <v>0</v>
      </c>
      <c r="L1756">
        <f>IF('Raw Data'!N1756&lt;&gt;0,'Raw Data'!N1756,IFERROR(VALUE(MID(F1756,SEARCH("QTY",F1756)+4,IFERROR(FIND(" ",F1756,SEARCH("QTY",F1756)+4)-(SEARCH("QTY",F1756)+4),3))),""))</f>
        <v>0</v>
      </c>
      <c r="M1756">
        <f>'Raw Data'!O1756</f>
        <v>0</v>
      </c>
      <c r="N1756">
        <f>'Raw Data'!P1756</f>
        <v>0</v>
      </c>
      <c r="O1756">
        <f>'Raw Data'!Q1756</f>
        <v>0</v>
      </c>
      <c r="P1756">
        <f>'Raw Data'!R1756</f>
        <v>0</v>
      </c>
      <c r="Q1756">
        <f>'Raw Data'!S1756</f>
        <v>0</v>
      </c>
      <c r="R1756">
        <f>'Raw Data'!T1756</f>
        <v>0</v>
      </c>
      <c r="S1756">
        <f>IFERROR(O1756,0)+IFERROR(R1756,0)</f>
        <v>0</v>
      </c>
      <c r="T1756">
        <f>IF(A1756="","",YEAR(A1756))</f>
        <v>0</v>
      </c>
    </row>
    <row r="1757" spans="1:20">
      <c r="A1757">
        <f>'Raw Data'!B1757</f>
        <v>0</v>
      </c>
      <c r="B1757">
        <f>'Raw Data'!A1757</f>
        <v>0</v>
      </c>
      <c r="C1757">
        <f>'Raw Data'!C1757</f>
        <v>0</v>
      </c>
      <c r="D1757">
        <f>'Raw Data'!D1757</f>
        <v>0</v>
      </c>
      <c r="E1757">
        <f>IFERROR(VLOOKUP(D1757,'Lookup Tables'!$A:$B,2,FALSE),"Unknown")</f>
        <v>0</v>
      </c>
      <c r="F1757">
        <f>'Raw Data'!E1757</f>
        <v>0</v>
      </c>
      <c r="G1757">
        <f>IFERROR(VLOOKUP(D1757,'Lookup Tables'!$A:$C,3,FALSE),IF(ISNUMBER(SEARCH("STEEL",F1757)),"Steel","Others"))</f>
        <v>0</v>
      </c>
      <c r="H1757">
        <f>IF(ISNUMBER(SEARCH("scrubber",F1757)) , "Scrubber", IF(ISNUMBER(SEARCH("container",F1757)),"Container", IF(ISNUMBER(SEARCH("basket",F1757)),"Basket", IF(ISNUMBER(SEARCH("lunch",F1757)),"Lunch Box", IF(ISNUMBER(SEARCH("cutlery",F1757)),"Cutlery","Other")))))</f>
        <v>0</v>
      </c>
      <c r="I1757">
        <f>IF('Raw Data'!G1757&lt;&gt;'','Raw Data'!G1757,IFERROR(MID(F1757,SEARCH("MODEL",F1757)+6,20),""))</f>
        <v>0</v>
      </c>
      <c r="J1757">
        <f>'Raw Data'!H1757</f>
        <v>0</v>
      </c>
      <c r="K1757">
        <f>'Raw Data'!I1757</f>
        <v>0</v>
      </c>
      <c r="L1757">
        <f>IF('Raw Data'!N1757&lt;&gt;0,'Raw Data'!N1757,IFERROR(VALUE(MID(F1757,SEARCH("QTY",F1757)+4,IFERROR(FIND(" ",F1757,SEARCH("QTY",F1757)+4)-(SEARCH("QTY",F1757)+4),3))),""))</f>
        <v>0</v>
      </c>
      <c r="M1757">
        <f>'Raw Data'!O1757</f>
        <v>0</v>
      </c>
      <c r="N1757">
        <f>'Raw Data'!P1757</f>
        <v>0</v>
      </c>
      <c r="O1757">
        <f>'Raw Data'!Q1757</f>
        <v>0</v>
      </c>
      <c r="P1757">
        <f>'Raw Data'!R1757</f>
        <v>0</v>
      </c>
      <c r="Q1757">
        <f>'Raw Data'!S1757</f>
        <v>0</v>
      </c>
      <c r="R1757">
        <f>'Raw Data'!T1757</f>
        <v>0</v>
      </c>
      <c r="S1757">
        <f>IFERROR(O1757,0)+IFERROR(R1757,0)</f>
        <v>0</v>
      </c>
      <c r="T1757">
        <f>IF(A1757="","",YEAR(A1757))</f>
        <v>0</v>
      </c>
    </row>
    <row r="1758" spans="1:20">
      <c r="A1758">
        <f>'Raw Data'!B1758</f>
        <v>0</v>
      </c>
      <c r="B1758">
        <f>'Raw Data'!A1758</f>
        <v>0</v>
      </c>
      <c r="C1758">
        <f>'Raw Data'!C1758</f>
        <v>0</v>
      </c>
      <c r="D1758">
        <f>'Raw Data'!D1758</f>
        <v>0</v>
      </c>
      <c r="E1758">
        <f>IFERROR(VLOOKUP(D1758,'Lookup Tables'!$A:$B,2,FALSE),"Unknown")</f>
        <v>0</v>
      </c>
      <c r="F1758">
        <f>'Raw Data'!E1758</f>
        <v>0</v>
      </c>
      <c r="G1758">
        <f>IFERROR(VLOOKUP(D1758,'Lookup Tables'!$A:$C,3,FALSE),IF(ISNUMBER(SEARCH("STEEL",F1758)),"Steel","Others"))</f>
        <v>0</v>
      </c>
      <c r="H1758">
        <f>IF(ISNUMBER(SEARCH("scrubber",F1758)) , "Scrubber", IF(ISNUMBER(SEARCH("container",F1758)),"Container", IF(ISNUMBER(SEARCH("basket",F1758)),"Basket", IF(ISNUMBER(SEARCH("lunch",F1758)),"Lunch Box", IF(ISNUMBER(SEARCH("cutlery",F1758)),"Cutlery","Other")))))</f>
        <v>0</v>
      </c>
      <c r="I1758">
        <f>IF('Raw Data'!G1758&lt;&gt;'','Raw Data'!G1758,IFERROR(MID(F1758,SEARCH("MODEL",F1758)+6,20),""))</f>
        <v>0</v>
      </c>
      <c r="J1758">
        <f>'Raw Data'!H1758</f>
        <v>0</v>
      </c>
      <c r="K1758">
        <f>'Raw Data'!I1758</f>
        <v>0</v>
      </c>
      <c r="L1758">
        <f>IF('Raw Data'!N1758&lt;&gt;0,'Raw Data'!N1758,IFERROR(VALUE(MID(F1758,SEARCH("QTY",F1758)+4,IFERROR(FIND(" ",F1758,SEARCH("QTY",F1758)+4)-(SEARCH("QTY",F1758)+4),3))),""))</f>
        <v>0</v>
      </c>
      <c r="M1758">
        <f>'Raw Data'!O1758</f>
        <v>0</v>
      </c>
      <c r="N1758">
        <f>'Raw Data'!P1758</f>
        <v>0</v>
      </c>
      <c r="O1758">
        <f>'Raw Data'!Q1758</f>
        <v>0</v>
      </c>
      <c r="P1758">
        <f>'Raw Data'!R1758</f>
        <v>0</v>
      </c>
      <c r="Q1758">
        <f>'Raw Data'!S1758</f>
        <v>0</v>
      </c>
      <c r="R1758">
        <f>'Raw Data'!T1758</f>
        <v>0</v>
      </c>
      <c r="S1758">
        <f>IFERROR(O1758,0)+IFERROR(R1758,0)</f>
        <v>0</v>
      </c>
      <c r="T1758">
        <f>IF(A1758="","",YEAR(A1758))</f>
        <v>0</v>
      </c>
    </row>
    <row r="1759" spans="1:20">
      <c r="A1759">
        <f>'Raw Data'!B1759</f>
        <v>0</v>
      </c>
      <c r="B1759">
        <f>'Raw Data'!A1759</f>
        <v>0</v>
      </c>
      <c r="C1759">
        <f>'Raw Data'!C1759</f>
        <v>0</v>
      </c>
      <c r="D1759">
        <f>'Raw Data'!D1759</f>
        <v>0</v>
      </c>
      <c r="E1759">
        <f>IFERROR(VLOOKUP(D1759,'Lookup Tables'!$A:$B,2,FALSE),"Unknown")</f>
        <v>0</v>
      </c>
      <c r="F1759">
        <f>'Raw Data'!E1759</f>
        <v>0</v>
      </c>
      <c r="G1759">
        <f>IFERROR(VLOOKUP(D1759,'Lookup Tables'!$A:$C,3,FALSE),IF(ISNUMBER(SEARCH("STEEL",F1759)),"Steel","Others"))</f>
        <v>0</v>
      </c>
      <c r="H1759">
        <f>IF(ISNUMBER(SEARCH("scrubber",F1759)) , "Scrubber", IF(ISNUMBER(SEARCH("container",F1759)),"Container", IF(ISNUMBER(SEARCH("basket",F1759)),"Basket", IF(ISNUMBER(SEARCH("lunch",F1759)),"Lunch Box", IF(ISNUMBER(SEARCH("cutlery",F1759)),"Cutlery","Other")))))</f>
        <v>0</v>
      </c>
      <c r="I1759">
        <f>IF('Raw Data'!G1759&lt;&gt;'','Raw Data'!G1759,IFERROR(MID(F1759,SEARCH("MODEL",F1759)+6,20),""))</f>
        <v>0</v>
      </c>
      <c r="J1759">
        <f>'Raw Data'!H1759</f>
        <v>0</v>
      </c>
      <c r="K1759">
        <f>'Raw Data'!I1759</f>
        <v>0</v>
      </c>
      <c r="L1759">
        <f>IF('Raw Data'!N1759&lt;&gt;0,'Raw Data'!N1759,IFERROR(VALUE(MID(F1759,SEARCH("QTY",F1759)+4,IFERROR(FIND(" ",F1759,SEARCH("QTY",F1759)+4)-(SEARCH("QTY",F1759)+4),3))),""))</f>
        <v>0</v>
      </c>
      <c r="M1759">
        <f>'Raw Data'!O1759</f>
        <v>0</v>
      </c>
      <c r="N1759">
        <f>'Raw Data'!P1759</f>
        <v>0</v>
      </c>
      <c r="O1759">
        <f>'Raw Data'!Q1759</f>
        <v>0</v>
      </c>
      <c r="P1759">
        <f>'Raw Data'!R1759</f>
        <v>0</v>
      </c>
      <c r="Q1759">
        <f>'Raw Data'!S1759</f>
        <v>0</v>
      </c>
      <c r="R1759">
        <f>'Raw Data'!T1759</f>
        <v>0</v>
      </c>
      <c r="S1759">
        <f>IFERROR(O1759,0)+IFERROR(R1759,0)</f>
        <v>0</v>
      </c>
      <c r="T1759">
        <f>IF(A1759="","",YEAR(A1759))</f>
        <v>0</v>
      </c>
    </row>
    <row r="1760" spans="1:20">
      <c r="A1760">
        <f>'Raw Data'!B1760</f>
        <v>0</v>
      </c>
      <c r="B1760">
        <f>'Raw Data'!A1760</f>
        <v>0</v>
      </c>
      <c r="C1760">
        <f>'Raw Data'!C1760</f>
        <v>0</v>
      </c>
      <c r="D1760">
        <f>'Raw Data'!D1760</f>
        <v>0</v>
      </c>
      <c r="E1760">
        <f>IFERROR(VLOOKUP(D1760,'Lookup Tables'!$A:$B,2,FALSE),"Unknown")</f>
        <v>0</v>
      </c>
      <c r="F1760">
        <f>'Raw Data'!E1760</f>
        <v>0</v>
      </c>
      <c r="G1760">
        <f>IFERROR(VLOOKUP(D1760,'Lookup Tables'!$A:$C,3,FALSE),IF(ISNUMBER(SEARCH("STEEL",F1760)),"Steel","Others"))</f>
        <v>0</v>
      </c>
      <c r="H1760">
        <f>IF(ISNUMBER(SEARCH("scrubber",F1760)) , "Scrubber", IF(ISNUMBER(SEARCH("container",F1760)),"Container", IF(ISNUMBER(SEARCH("basket",F1760)),"Basket", IF(ISNUMBER(SEARCH("lunch",F1760)),"Lunch Box", IF(ISNUMBER(SEARCH("cutlery",F1760)),"Cutlery","Other")))))</f>
        <v>0</v>
      </c>
      <c r="I1760">
        <f>IF('Raw Data'!G1760&lt;&gt;'','Raw Data'!G1760,IFERROR(MID(F1760,SEARCH("MODEL",F1760)+6,20),""))</f>
        <v>0</v>
      </c>
      <c r="J1760">
        <f>'Raw Data'!H1760</f>
        <v>0</v>
      </c>
      <c r="K1760">
        <f>'Raw Data'!I1760</f>
        <v>0</v>
      </c>
      <c r="L1760">
        <f>IF('Raw Data'!N1760&lt;&gt;0,'Raw Data'!N1760,IFERROR(VALUE(MID(F1760,SEARCH("QTY",F1760)+4,IFERROR(FIND(" ",F1760,SEARCH("QTY",F1760)+4)-(SEARCH("QTY",F1760)+4),3))),""))</f>
        <v>0</v>
      </c>
      <c r="M1760">
        <f>'Raw Data'!O1760</f>
        <v>0</v>
      </c>
      <c r="N1760">
        <f>'Raw Data'!P1760</f>
        <v>0</v>
      </c>
      <c r="O1760">
        <f>'Raw Data'!Q1760</f>
        <v>0</v>
      </c>
      <c r="P1760">
        <f>'Raw Data'!R1760</f>
        <v>0</v>
      </c>
      <c r="Q1760">
        <f>'Raw Data'!S1760</f>
        <v>0</v>
      </c>
      <c r="R1760">
        <f>'Raw Data'!T1760</f>
        <v>0</v>
      </c>
      <c r="S1760">
        <f>IFERROR(O1760,0)+IFERROR(R1760,0)</f>
        <v>0</v>
      </c>
      <c r="T1760">
        <f>IF(A1760="","",YEAR(A1760))</f>
        <v>0</v>
      </c>
    </row>
    <row r="1761" spans="1:20">
      <c r="A1761">
        <f>'Raw Data'!B1761</f>
        <v>0</v>
      </c>
      <c r="B1761">
        <f>'Raw Data'!A1761</f>
        <v>0</v>
      </c>
      <c r="C1761">
        <f>'Raw Data'!C1761</f>
        <v>0</v>
      </c>
      <c r="D1761">
        <f>'Raw Data'!D1761</f>
        <v>0</v>
      </c>
      <c r="E1761">
        <f>IFERROR(VLOOKUP(D1761,'Lookup Tables'!$A:$B,2,FALSE),"Unknown")</f>
        <v>0</v>
      </c>
      <c r="F1761">
        <f>'Raw Data'!E1761</f>
        <v>0</v>
      </c>
      <c r="G1761">
        <f>IFERROR(VLOOKUP(D1761,'Lookup Tables'!$A:$C,3,FALSE),IF(ISNUMBER(SEARCH("STEEL",F1761)),"Steel","Others"))</f>
        <v>0</v>
      </c>
      <c r="H1761">
        <f>IF(ISNUMBER(SEARCH("scrubber",F1761)) , "Scrubber", IF(ISNUMBER(SEARCH("container",F1761)),"Container", IF(ISNUMBER(SEARCH("basket",F1761)),"Basket", IF(ISNUMBER(SEARCH("lunch",F1761)),"Lunch Box", IF(ISNUMBER(SEARCH("cutlery",F1761)),"Cutlery","Other")))))</f>
        <v>0</v>
      </c>
      <c r="I1761">
        <f>IF('Raw Data'!G1761&lt;&gt;'','Raw Data'!G1761,IFERROR(MID(F1761,SEARCH("MODEL",F1761)+6,20),""))</f>
        <v>0</v>
      </c>
      <c r="J1761">
        <f>'Raw Data'!H1761</f>
        <v>0</v>
      </c>
      <c r="K1761">
        <f>'Raw Data'!I1761</f>
        <v>0</v>
      </c>
      <c r="L1761">
        <f>IF('Raw Data'!N1761&lt;&gt;0,'Raw Data'!N1761,IFERROR(VALUE(MID(F1761,SEARCH("QTY",F1761)+4,IFERROR(FIND(" ",F1761,SEARCH("QTY",F1761)+4)-(SEARCH("QTY",F1761)+4),3))),""))</f>
        <v>0</v>
      </c>
      <c r="M1761">
        <f>'Raw Data'!O1761</f>
        <v>0</v>
      </c>
      <c r="N1761">
        <f>'Raw Data'!P1761</f>
        <v>0</v>
      </c>
      <c r="O1761">
        <f>'Raw Data'!Q1761</f>
        <v>0</v>
      </c>
      <c r="P1761">
        <f>'Raw Data'!R1761</f>
        <v>0</v>
      </c>
      <c r="Q1761">
        <f>'Raw Data'!S1761</f>
        <v>0</v>
      </c>
      <c r="R1761">
        <f>'Raw Data'!T1761</f>
        <v>0</v>
      </c>
      <c r="S1761">
        <f>IFERROR(O1761,0)+IFERROR(R1761,0)</f>
        <v>0</v>
      </c>
      <c r="T1761">
        <f>IF(A1761="","",YEAR(A1761))</f>
        <v>0</v>
      </c>
    </row>
    <row r="1762" spans="1:20">
      <c r="A1762">
        <f>'Raw Data'!B1762</f>
        <v>0</v>
      </c>
      <c r="B1762">
        <f>'Raw Data'!A1762</f>
        <v>0</v>
      </c>
      <c r="C1762">
        <f>'Raw Data'!C1762</f>
        <v>0</v>
      </c>
      <c r="D1762">
        <f>'Raw Data'!D1762</f>
        <v>0</v>
      </c>
      <c r="E1762">
        <f>IFERROR(VLOOKUP(D1762,'Lookup Tables'!$A:$B,2,FALSE),"Unknown")</f>
        <v>0</v>
      </c>
      <c r="F1762">
        <f>'Raw Data'!E1762</f>
        <v>0</v>
      </c>
      <c r="G1762">
        <f>IFERROR(VLOOKUP(D1762,'Lookup Tables'!$A:$C,3,FALSE),IF(ISNUMBER(SEARCH("STEEL",F1762)),"Steel","Others"))</f>
        <v>0</v>
      </c>
      <c r="H1762">
        <f>IF(ISNUMBER(SEARCH("scrubber",F1762)) , "Scrubber", IF(ISNUMBER(SEARCH("container",F1762)),"Container", IF(ISNUMBER(SEARCH("basket",F1762)),"Basket", IF(ISNUMBER(SEARCH("lunch",F1762)),"Lunch Box", IF(ISNUMBER(SEARCH("cutlery",F1762)),"Cutlery","Other")))))</f>
        <v>0</v>
      </c>
      <c r="I1762">
        <f>IF('Raw Data'!G1762&lt;&gt;'','Raw Data'!G1762,IFERROR(MID(F1762,SEARCH("MODEL",F1762)+6,20),""))</f>
        <v>0</v>
      </c>
      <c r="J1762">
        <f>'Raw Data'!H1762</f>
        <v>0</v>
      </c>
      <c r="K1762">
        <f>'Raw Data'!I1762</f>
        <v>0</v>
      </c>
      <c r="L1762">
        <f>IF('Raw Data'!N1762&lt;&gt;0,'Raw Data'!N1762,IFERROR(VALUE(MID(F1762,SEARCH("QTY",F1762)+4,IFERROR(FIND(" ",F1762,SEARCH("QTY",F1762)+4)-(SEARCH("QTY",F1762)+4),3))),""))</f>
        <v>0</v>
      </c>
      <c r="M1762">
        <f>'Raw Data'!O1762</f>
        <v>0</v>
      </c>
      <c r="N1762">
        <f>'Raw Data'!P1762</f>
        <v>0</v>
      </c>
      <c r="O1762">
        <f>'Raw Data'!Q1762</f>
        <v>0</v>
      </c>
      <c r="P1762">
        <f>'Raw Data'!R1762</f>
        <v>0</v>
      </c>
      <c r="Q1762">
        <f>'Raw Data'!S1762</f>
        <v>0</v>
      </c>
      <c r="R1762">
        <f>'Raw Data'!T1762</f>
        <v>0</v>
      </c>
      <c r="S1762">
        <f>IFERROR(O1762,0)+IFERROR(R1762,0)</f>
        <v>0</v>
      </c>
      <c r="T1762">
        <f>IF(A1762="","",YEAR(A1762))</f>
        <v>0</v>
      </c>
    </row>
    <row r="1763" spans="1:20">
      <c r="A1763">
        <f>'Raw Data'!B1763</f>
        <v>0</v>
      </c>
      <c r="B1763">
        <f>'Raw Data'!A1763</f>
        <v>0</v>
      </c>
      <c r="C1763">
        <f>'Raw Data'!C1763</f>
        <v>0</v>
      </c>
      <c r="D1763">
        <f>'Raw Data'!D1763</f>
        <v>0</v>
      </c>
      <c r="E1763">
        <f>IFERROR(VLOOKUP(D1763,'Lookup Tables'!$A:$B,2,FALSE),"Unknown")</f>
        <v>0</v>
      </c>
      <c r="F1763">
        <f>'Raw Data'!E1763</f>
        <v>0</v>
      </c>
      <c r="G1763">
        <f>IFERROR(VLOOKUP(D1763,'Lookup Tables'!$A:$C,3,FALSE),IF(ISNUMBER(SEARCH("STEEL",F1763)),"Steel","Others"))</f>
        <v>0</v>
      </c>
      <c r="H1763">
        <f>IF(ISNUMBER(SEARCH("scrubber",F1763)) , "Scrubber", IF(ISNUMBER(SEARCH("container",F1763)),"Container", IF(ISNUMBER(SEARCH("basket",F1763)),"Basket", IF(ISNUMBER(SEARCH("lunch",F1763)),"Lunch Box", IF(ISNUMBER(SEARCH("cutlery",F1763)),"Cutlery","Other")))))</f>
        <v>0</v>
      </c>
      <c r="I1763">
        <f>IF('Raw Data'!G1763&lt;&gt;'','Raw Data'!G1763,IFERROR(MID(F1763,SEARCH("MODEL",F1763)+6,20),""))</f>
        <v>0</v>
      </c>
      <c r="J1763">
        <f>'Raw Data'!H1763</f>
        <v>0</v>
      </c>
      <c r="K1763">
        <f>'Raw Data'!I1763</f>
        <v>0</v>
      </c>
      <c r="L1763">
        <f>IF('Raw Data'!N1763&lt;&gt;0,'Raw Data'!N1763,IFERROR(VALUE(MID(F1763,SEARCH("QTY",F1763)+4,IFERROR(FIND(" ",F1763,SEARCH("QTY",F1763)+4)-(SEARCH("QTY",F1763)+4),3))),""))</f>
        <v>0</v>
      </c>
      <c r="M1763">
        <f>'Raw Data'!O1763</f>
        <v>0</v>
      </c>
      <c r="N1763">
        <f>'Raw Data'!P1763</f>
        <v>0</v>
      </c>
      <c r="O1763">
        <f>'Raw Data'!Q1763</f>
        <v>0</v>
      </c>
      <c r="P1763">
        <f>'Raw Data'!R1763</f>
        <v>0</v>
      </c>
      <c r="Q1763">
        <f>'Raw Data'!S1763</f>
        <v>0</v>
      </c>
      <c r="R1763">
        <f>'Raw Data'!T1763</f>
        <v>0</v>
      </c>
      <c r="S1763">
        <f>IFERROR(O1763,0)+IFERROR(R1763,0)</f>
        <v>0</v>
      </c>
      <c r="T1763">
        <f>IF(A1763="","",YEAR(A1763))</f>
        <v>0</v>
      </c>
    </row>
    <row r="1764" spans="1:20">
      <c r="A1764">
        <f>'Raw Data'!B1764</f>
        <v>0</v>
      </c>
      <c r="B1764">
        <f>'Raw Data'!A1764</f>
        <v>0</v>
      </c>
      <c r="C1764">
        <f>'Raw Data'!C1764</f>
        <v>0</v>
      </c>
      <c r="D1764">
        <f>'Raw Data'!D1764</f>
        <v>0</v>
      </c>
      <c r="E1764">
        <f>IFERROR(VLOOKUP(D1764,'Lookup Tables'!$A:$B,2,FALSE),"Unknown")</f>
        <v>0</v>
      </c>
      <c r="F1764">
        <f>'Raw Data'!E1764</f>
        <v>0</v>
      </c>
      <c r="G1764">
        <f>IFERROR(VLOOKUP(D1764,'Lookup Tables'!$A:$C,3,FALSE),IF(ISNUMBER(SEARCH("STEEL",F1764)),"Steel","Others"))</f>
        <v>0</v>
      </c>
      <c r="H1764">
        <f>IF(ISNUMBER(SEARCH("scrubber",F1764)) , "Scrubber", IF(ISNUMBER(SEARCH("container",F1764)),"Container", IF(ISNUMBER(SEARCH("basket",F1764)),"Basket", IF(ISNUMBER(SEARCH("lunch",F1764)),"Lunch Box", IF(ISNUMBER(SEARCH("cutlery",F1764)),"Cutlery","Other")))))</f>
        <v>0</v>
      </c>
      <c r="I1764">
        <f>IF('Raw Data'!G1764&lt;&gt;'','Raw Data'!G1764,IFERROR(MID(F1764,SEARCH("MODEL",F1764)+6,20),""))</f>
        <v>0</v>
      </c>
      <c r="J1764">
        <f>'Raw Data'!H1764</f>
        <v>0</v>
      </c>
      <c r="K1764">
        <f>'Raw Data'!I1764</f>
        <v>0</v>
      </c>
      <c r="L1764">
        <f>IF('Raw Data'!N1764&lt;&gt;0,'Raw Data'!N1764,IFERROR(VALUE(MID(F1764,SEARCH("QTY",F1764)+4,IFERROR(FIND(" ",F1764,SEARCH("QTY",F1764)+4)-(SEARCH("QTY",F1764)+4),3))),""))</f>
        <v>0</v>
      </c>
      <c r="M1764">
        <f>'Raw Data'!O1764</f>
        <v>0</v>
      </c>
      <c r="N1764">
        <f>'Raw Data'!P1764</f>
        <v>0</v>
      </c>
      <c r="O1764">
        <f>'Raw Data'!Q1764</f>
        <v>0</v>
      </c>
      <c r="P1764">
        <f>'Raw Data'!R1764</f>
        <v>0</v>
      </c>
      <c r="Q1764">
        <f>'Raw Data'!S1764</f>
        <v>0</v>
      </c>
      <c r="R1764">
        <f>'Raw Data'!T1764</f>
        <v>0</v>
      </c>
      <c r="S1764">
        <f>IFERROR(O1764,0)+IFERROR(R1764,0)</f>
        <v>0</v>
      </c>
      <c r="T1764">
        <f>IF(A1764="","",YEAR(A1764))</f>
        <v>0</v>
      </c>
    </row>
    <row r="1765" spans="1:20">
      <c r="A1765">
        <f>'Raw Data'!B1765</f>
        <v>0</v>
      </c>
      <c r="B1765">
        <f>'Raw Data'!A1765</f>
        <v>0</v>
      </c>
      <c r="C1765">
        <f>'Raw Data'!C1765</f>
        <v>0</v>
      </c>
      <c r="D1765">
        <f>'Raw Data'!D1765</f>
        <v>0</v>
      </c>
      <c r="E1765">
        <f>IFERROR(VLOOKUP(D1765,'Lookup Tables'!$A:$B,2,FALSE),"Unknown")</f>
        <v>0</v>
      </c>
      <c r="F1765">
        <f>'Raw Data'!E1765</f>
        <v>0</v>
      </c>
      <c r="G1765">
        <f>IFERROR(VLOOKUP(D1765,'Lookup Tables'!$A:$C,3,FALSE),IF(ISNUMBER(SEARCH("STEEL",F1765)),"Steel","Others"))</f>
        <v>0</v>
      </c>
      <c r="H1765">
        <f>IF(ISNUMBER(SEARCH("scrubber",F1765)) , "Scrubber", IF(ISNUMBER(SEARCH("container",F1765)),"Container", IF(ISNUMBER(SEARCH("basket",F1765)),"Basket", IF(ISNUMBER(SEARCH("lunch",F1765)),"Lunch Box", IF(ISNUMBER(SEARCH("cutlery",F1765)),"Cutlery","Other")))))</f>
        <v>0</v>
      </c>
      <c r="I1765">
        <f>IF('Raw Data'!G1765&lt;&gt;'','Raw Data'!G1765,IFERROR(MID(F1765,SEARCH("MODEL",F1765)+6,20),""))</f>
        <v>0</v>
      </c>
      <c r="J1765">
        <f>'Raw Data'!H1765</f>
        <v>0</v>
      </c>
      <c r="K1765">
        <f>'Raw Data'!I1765</f>
        <v>0</v>
      </c>
      <c r="L1765">
        <f>IF('Raw Data'!N1765&lt;&gt;0,'Raw Data'!N1765,IFERROR(VALUE(MID(F1765,SEARCH("QTY",F1765)+4,IFERROR(FIND(" ",F1765,SEARCH("QTY",F1765)+4)-(SEARCH("QTY",F1765)+4),3))),""))</f>
        <v>0</v>
      </c>
      <c r="M1765">
        <f>'Raw Data'!O1765</f>
        <v>0</v>
      </c>
      <c r="N1765">
        <f>'Raw Data'!P1765</f>
        <v>0</v>
      </c>
      <c r="O1765">
        <f>'Raw Data'!Q1765</f>
        <v>0</v>
      </c>
      <c r="P1765">
        <f>'Raw Data'!R1765</f>
        <v>0</v>
      </c>
      <c r="Q1765">
        <f>'Raw Data'!S1765</f>
        <v>0</v>
      </c>
      <c r="R1765">
        <f>'Raw Data'!T1765</f>
        <v>0</v>
      </c>
      <c r="S1765">
        <f>IFERROR(O1765,0)+IFERROR(R1765,0)</f>
        <v>0</v>
      </c>
      <c r="T1765">
        <f>IF(A1765="","",YEAR(A1765))</f>
        <v>0</v>
      </c>
    </row>
    <row r="1766" spans="1:20">
      <c r="A1766">
        <f>'Raw Data'!B1766</f>
        <v>0</v>
      </c>
      <c r="B1766">
        <f>'Raw Data'!A1766</f>
        <v>0</v>
      </c>
      <c r="C1766">
        <f>'Raw Data'!C1766</f>
        <v>0</v>
      </c>
      <c r="D1766">
        <f>'Raw Data'!D1766</f>
        <v>0</v>
      </c>
      <c r="E1766">
        <f>IFERROR(VLOOKUP(D1766,'Lookup Tables'!$A:$B,2,FALSE),"Unknown")</f>
        <v>0</v>
      </c>
      <c r="F1766">
        <f>'Raw Data'!E1766</f>
        <v>0</v>
      </c>
      <c r="G1766">
        <f>IFERROR(VLOOKUP(D1766,'Lookup Tables'!$A:$C,3,FALSE),IF(ISNUMBER(SEARCH("STEEL",F1766)),"Steel","Others"))</f>
        <v>0</v>
      </c>
      <c r="H1766">
        <f>IF(ISNUMBER(SEARCH("scrubber",F1766)) , "Scrubber", IF(ISNUMBER(SEARCH("container",F1766)),"Container", IF(ISNUMBER(SEARCH("basket",F1766)),"Basket", IF(ISNUMBER(SEARCH("lunch",F1766)),"Lunch Box", IF(ISNUMBER(SEARCH("cutlery",F1766)),"Cutlery","Other")))))</f>
        <v>0</v>
      </c>
      <c r="I1766">
        <f>IF('Raw Data'!G1766&lt;&gt;'','Raw Data'!G1766,IFERROR(MID(F1766,SEARCH("MODEL",F1766)+6,20),""))</f>
        <v>0</v>
      </c>
      <c r="J1766">
        <f>'Raw Data'!H1766</f>
        <v>0</v>
      </c>
      <c r="K1766">
        <f>'Raw Data'!I1766</f>
        <v>0</v>
      </c>
      <c r="L1766">
        <f>IF('Raw Data'!N1766&lt;&gt;0,'Raw Data'!N1766,IFERROR(VALUE(MID(F1766,SEARCH("QTY",F1766)+4,IFERROR(FIND(" ",F1766,SEARCH("QTY",F1766)+4)-(SEARCH("QTY",F1766)+4),3))),""))</f>
        <v>0</v>
      </c>
      <c r="M1766">
        <f>'Raw Data'!O1766</f>
        <v>0</v>
      </c>
      <c r="N1766">
        <f>'Raw Data'!P1766</f>
        <v>0</v>
      </c>
      <c r="O1766">
        <f>'Raw Data'!Q1766</f>
        <v>0</v>
      </c>
      <c r="P1766">
        <f>'Raw Data'!R1766</f>
        <v>0</v>
      </c>
      <c r="Q1766">
        <f>'Raw Data'!S1766</f>
        <v>0</v>
      </c>
      <c r="R1766">
        <f>'Raw Data'!T1766</f>
        <v>0</v>
      </c>
      <c r="S1766">
        <f>IFERROR(O1766,0)+IFERROR(R1766,0)</f>
        <v>0</v>
      </c>
      <c r="T1766">
        <f>IF(A1766="","",YEAR(A1766))</f>
        <v>0</v>
      </c>
    </row>
    <row r="1767" spans="1:20">
      <c r="A1767">
        <f>'Raw Data'!B1767</f>
        <v>0</v>
      </c>
      <c r="B1767">
        <f>'Raw Data'!A1767</f>
        <v>0</v>
      </c>
      <c r="C1767">
        <f>'Raw Data'!C1767</f>
        <v>0</v>
      </c>
      <c r="D1767">
        <f>'Raw Data'!D1767</f>
        <v>0</v>
      </c>
      <c r="E1767">
        <f>IFERROR(VLOOKUP(D1767,'Lookup Tables'!$A:$B,2,FALSE),"Unknown")</f>
        <v>0</v>
      </c>
      <c r="F1767">
        <f>'Raw Data'!E1767</f>
        <v>0</v>
      </c>
      <c r="G1767">
        <f>IFERROR(VLOOKUP(D1767,'Lookup Tables'!$A:$C,3,FALSE),IF(ISNUMBER(SEARCH("STEEL",F1767)),"Steel","Others"))</f>
        <v>0</v>
      </c>
      <c r="H1767">
        <f>IF(ISNUMBER(SEARCH("scrubber",F1767)) , "Scrubber", IF(ISNUMBER(SEARCH("container",F1767)),"Container", IF(ISNUMBER(SEARCH("basket",F1767)),"Basket", IF(ISNUMBER(SEARCH("lunch",F1767)),"Lunch Box", IF(ISNUMBER(SEARCH("cutlery",F1767)),"Cutlery","Other")))))</f>
        <v>0</v>
      </c>
      <c r="I1767">
        <f>IF('Raw Data'!G1767&lt;&gt;'','Raw Data'!G1767,IFERROR(MID(F1767,SEARCH("MODEL",F1767)+6,20),""))</f>
        <v>0</v>
      </c>
      <c r="J1767">
        <f>'Raw Data'!H1767</f>
        <v>0</v>
      </c>
      <c r="K1767">
        <f>'Raw Data'!I1767</f>
        <v>0</v>
      </c>
      <c r="L1767">
        <f>IF('Raw Data'!N1767&lt;&gt;0,'Raw Data'!N1767,IFERROR(VALUE(MID(F1767,SEARCH("QTY",F1767)+4,IFERROR(FIND(" ",F1767,SEARCH("QTY",F1767)+4)-(SEARCH("QTY",F1767)+4),3))),""))</f>
        <v>0</v>
      </c>
      <c r="M1767">
        <f>'Raw Data'!O1767</f>
        <v>0</v>
      </c>
      <c r="N1767">
        <f>'Raw Data'!P1767</f>
        <v>0</v>
      </c>
      <c r="O1767">
        <f>'Raw Data'!Q1767</f>
        <v>0</v>
      </c>
      <c r="P1767">
        <f>'Raw Data'!R1767</f>
        <v>0</v>
      </c>
      <c r="Q1767">
        <f>'Raw Data'!S1767</f>
        <v>0</v>
      </c>
      <c r="R1767">
        <f>'Raw Data'!T1767</f>
        <v>0</v>
      </c>
      <c r="S1767">
        <f>IFERROR(O1767,0)+IFERROR(R1767,0)</f>
        <v>0</v>
      </c>
      <c r="T1767">
        <f>IF(A1767="","",YEAR(A1767))</f>
        <v>0</v>
      </c>
    </row>
    <row r="1768" spans="1:20">
      <c r="A1768">
        <f>'Raw Data'!B1768</f>
        <v>0</v>
      </c>
      <c r="B1768">
        <f>'Raw Data'!A1768</f>
        <v>0</v>
      </c>
      <c r="C1768">
        <f>'Raw Data'!C1768</f>
        <v>0</v>
      </c>
      <c r="D1768">
        <f>'Raw Data'!D1768</f>
        <v>0</v>
      </c>
      <c r="E1768">
        <f>IFERROR(VLOOKUP(D1768,'Lookup Tables'!$A:$B,2,FALSE),"Unknown")</f>
        <v>0</v>
      </c>
      <c r="F1768">
        <f>'Raw Data'!E1768</f>
        <v>0</v>
      </c>
      <c r="G1768">
        <f>IFERROR(VLOOKUP(D1768,'Lookup Tables'!$A:$C,3,FALSE),IF(ISNUMBER(SEARCH("STEEL",F1768)),"Steel","Others"))</f>
        <v>0</v>
      </c>
      <c r="H1768">
        <f>IF(ISNUMBER(SEARCH("scrubber",F1768)) , "Scrubber", IF(ISNUMBER(SEARCH("container",F1768)),"Container", IF(ISNUMBER(SEARCH("basket",F1768)),"Basket", IF(ISNUMBER(SEARCH("lunch",F1768)),"Lunch Box", IF(ISNUMBER(SEARCH("cutlery",F1768)),"Cutlery","Other")))))</f>
        <v>0</v>
      </c>
      <c r="I1768">
        <f>IF('Raw Data'!G1768&lt;&gt;'','Raw Data'!G1768,IFERROR(MID(F1768,SEARCH("MODEL",F1768)+6,20),""))</f>
        <v>0</v>
      </c>
      <c r="J1768">
        <f>'Raw Data'!H1768</f>
        <v>0</v>
      </c>
      <c r="K1768">
        <f>'Raw Data'!I1768</f>
        <v>0</v>
      </c>
      <c r="L1768">
        <f>IF('Raw Data'!N1768&lt;&gt;0,'Raw Data'!N1768,IFERROR(VALUE(MID(F1768,SEARCH("QTY",F1768)+4,IFERROR(FIND(" ",F1768,SEARCH("QTY",F1768)+4)-(SEARCH("QTY",F1768)+4),3))),""))</f>
        <v>0</v>
      </c>
      <c r="M1768">
        <f>'Raw Data'!O1768</f>
        <v>0</v>
      </c>
      <c r="N1768">
        <f>'Raw Data'!P1768</f>
        <v>0</v>
      </c>
      <c r="O1768">
        <f>'Raw Data'!Q1768</f>
        <v>0</v>
      </c>
      <c r="P1768">
        <f>'Raw Data'!R1768</f>
        <v>0</v>
      </c>
      <c r="Q1768">
        <f>'Raw Data'!S1768</f>
        <v>0</v>
      </c>
      <c r="R1768">
        <f>'Raw Data'!T1768</f>
        <v>0</v>
      </c>
      <c r="S1768">
        <f>IFERROR(O1768,0)+IFERROR(R1768,0)</f>
        <v>0</v>
      </c>
      <c r="T1768">
        <f>IF(A1768="","",YEAR(A1768))</f>
        <v>0</v>
      </c>
    </row>
    <row r="1769" spans="1:20">
      <c r="A1769">
        <f>'Raw Data'!B1769</f>
        <v>0</v>
      </c>
      <c r="B1769">
        <f>'Raw Data'!A1769</f>
        <v>0</v>
      </c>
      <c r="C1769">
        <f>'Raw Data'!C1769</f>
        <v>0</v>
      </c>
      <c r="D1769">
        <f>'Raw Data'!D1769</f>
        <v>0</v>
      </c>
      <c r="E1769">
        <f>IFERROR(VLOOKUP(D1769,'Lookup Tables'!$A:$B,2,FALSE),"Unknown")</f>
        <v>0</v>
      </c>
      <c r="F1769">
        <f>'Raw Data'!E1769</f>
        <v>0</v>
      </c>
      <c r="G1769">
        <f>IFERROR(VLOOKUP(D1769,'Lookup Tables'!$A:$C,3,FALSE),IF(ISNUMBER(SEARCH("STEEL",F1769)),"Steel","Others"))</f>
        <v>0</v>
      </c>
      <c r="H1769">
        <f>IF(ISNUMBER(SEARCH("scrubber",F1769)) , "Scrubber", IF(ISNUMBER(SEARCH("container",F1769)),"Container", IF(ISNUMBER(SEARCH("basket",F1769)),"Basket", IF(ISNUMBER(SEARCH("lunch",F1769)),"Lunch Box", IF(ISNUMBER(SEARCH("cutlery",F1769)),"Cutlery","Other")))))</f>
        <v>0</v>
      </c>
      <c r="I1769">
        <f>IF('Raw Data'!G1769&lt;&gt;'','Raw Data'!G1769,IFERROR(MID(F1769,SEARCH("MODEL",F1769)+6,20),""))</f>
        <v>0</v>
      </c>
      <c r="J1769">
        <f>'Raw Data'!H1769</f>
        <v>0</v>
      </c>
      <c r="K1769">
        <f>'Raw Data'!I1769</f>
        <v>0</v>
      </c>
      <c r="L1769">
        <f>IF('Raw Data'!N1769&lt;&gt;0,'Raw Data'!N1769,IFERROR(VALUE(MID(F1769,SEARCH("QTY",F1769)+4,IFERROR(FIND(" ",F1769,SEARCH("QTY",F1769)+4)-(SEARCH("QTY",F1769)+4),3))),""))</f>
        <v>0</v>
      </c>
      <c r="M1769">
        <f>'Raw Data'!O1769</f>
        <v>0</v>
      </c>
      <c r="N1769">
        <f>'Raw Data'!P1769</f>
        <v>0</v>
      </c>
      <c r="O1769">
        <f>'Raw Data'!Q1769</f>
        <v>0</v>
      </c>
      <c r="P1769">
        <f>'Raw Data'!R1769</f>
        <v>0</v>
      </c>
      <c r="Q1769">
        <f>'Raw Data'!S1769</f>
        <v>0</v>
      </c>
      <c r="R1769">
        <f>'Raw Data'!T1769</f>
        <v>0</v>
      </c>
      <c r="S1769">
        <f>IFERROR(O1769,0)+IFERROR(R1769,0)</f>
        <v>0</v>
      </c>
      <c r="T1769">
        <f>IF(A1769="","",YEAR(A1769))</f>
        <v>0</v>
      </c>
    </row>
    <row r="1770" spans="1:20">
      <c r="A1770">
        <f>'Raw Data'!B1770</f>
        <v>0</v>
      </c>
      <c r="B1770">
        <f>'Raw Data'!A1770</f>
        <v>0</v>
      </c>
      <c r="C1770">
        <f>'Raw Data'!C1770</f>
        <v>0</v>
      </c>
      <c r="D1770">
        <f>'Raw Data'!D1770</f>
        <v>0</v>
      </c>
      <c r="E1770">
        <f>IFERROR(VLOOKUP(D1770,'Lookup Tables'!$A:$B,2,FALSE),"Unknown")</f>
        <v>0</v>
      </c>
      <c r="F1770">
        <f>'Raw Data'!E1770</f>
        <v>0</v>
      </c>
      <c r="G1770">
        <f>IFERROR(VLOOKUP(D1770,'Lookup Tables'!$A:$C,3,FALSE),IF(ISNUMBER(SEARCH("STEEL",F1770)),"Steel","Others"))</f>
        <v>0</v>
      </c>
      <c r="H1770">
        <f>IF(ISNUMBER(SEARCH("scrubber",F1770)) , "Scrubber", IF(ISNUMBER(SEARCH("container",F1770)),"Container", IF(ISNUMBER(SEARCH("basket",F1770)),"Basket", IF(ISNUMBER(SEARCH("lunch",F1770)),"Lunch Box", IF(ISNUMBER(SEARCH("cutlery",F1770)),"Cutlery","Other")))))</f>
        <v>0</v>
      </c>
      <c r="I1770">
        <f>IF('Raw Data'!G1770&lt;&gt;'','Raw Data'!G1770,IFERROR(MID(F1770,SEARCH("MODEL",F1770)+6,20),""))</f>
        <v>0</v>
      </c>
      <c r="J1770">
        <f>'Raw Data'!H1770</f>
        <v>0</v>
      </c>
      <c r="K1770">
        <f>'Raw Data'!I1770</f>
        <v>0</v>
      </c>
      <c r="L1770">
        <f>IF('Raw Data'!N1770&lt;&gt;0,'Raw Data'!N1770,IFERROR(VALUE(MID(F1770,SEARCH("QTY",F1770)+4,IFERROR(FIND(" ",F1770,SEARCH("QTY",F1770)+4)-(SEARCH("QTY",F1770)+4),3))),""))</f>
        <v>0</v>
      </c>
      <c r="M1770">
        <f>'Raw Data'!O1770</f>
        <v>0</v>
      </c>
      <c r="N1770">
        <f>'Raw Data'!P1770</f>
        <v>0</v>
      </c>
      <c r="O1770">
        <f>'Raw Data'!Q1770</f>
        <v>0</v>
      </c>
      <c r="P1770">
        <f>'Raw Data'!R1770</f>
        <v>0</v>
      </c>
      <c r="Q1770">
        <f>'Raw Data'!S1770</f>
        <v>0</v>
      </c>
      <c r="R1770">
        <f>'Raw Data'!T1770</f>
        <v>0</v>
      </c>
      <c r="S1770">
        <f>IFERROR(O1770,0)+IFERROR(R1770,0)</f>
        <v>0</v>
      </c>
      <c r="T1770">
        <f>IF(A1770="","",YEAR(A1770))</f>
        <v>0</v>
      </c>
    </row>
    <row r="1771" spans="1:20">
      <c r="A1771">
        <f>'Raw Data'!B1771</f>
        <v>0</v>
      </c>
      <c r="B1771">
        <f>'Raw Data'!A1771</f>
        <v>0</v>
      </c>
      <c r="C1771">
        <f>'Raw Data'!C1771</f>
        <v>0</v>
      </c>
      <c r="D1771">
        <f>'Raw Data'!D1771</f>
        <v>0</v>
      </c>
      <c r="E1771">
        <f>IFERROR(VLOOKUP(D1771,'Lookup Tables'!$A:$B,2,FALSE),"Unknown")</f>
        <v>0</v>
      </c>
      <c r="F1771">
        <f>'Raw Data'!E1771</f>
        <v>0</v>
      </c>
      <c r="G1771">
        <f>IFERROR(VLOOKUP(D1771,'Lookup Tables'!$A:$C,3,FALSE),IF(ISNUMBER(SEARCH("STEEL",F1771)),"Steel","Others"))</f>
        <v>0</v>
      </c>
      <c r="H1771">
        <f>IF(ISNUMBER(SEARCH("scrubber",F1771)) , "Scrubber", IF(ISNUMBER(SEARCH("container",F1771)),"Container", IF(ISNUMBER(SEARCH("basket",F1771)),"Basket", IF(ISNUMBER(SEARCH("lunch",F1771)),"Lunch Box", IF(ISNUMBER(SEARCH("cutlery",F1771)),"Cutlery","Other")))))</f>
        <v>0</v>
      </c>
      <c r="I1771">
        <f>IF('Raw Data'!G1771&lt;&gt;'','Raw Data'!G1771,IFERROR(MID(F1771,SEARCH("MODEL",F1771)+6,20),""))</f>
        <v>0</v>
      </c>
      <c r="J1771">
        <f>'Raw Data'!H1771</f>
        <v>0</v>
      </c>
      <c r="K1771">
        <f>'Raw Data'!I1771</f>
        <v>0</v>
      </c>
      <c r="L1771">
        <f>IF('Raw Data'!N1771&lt;&gt;0,'Raw Data'!N1771,IFERROR(VALUE(MID(F1771,SEARCH("QTY",F1771)+4,IFERROR(FIND(" ",F1771,SEARCH("QTY",F1771)+4)-(SEARCH("QTY",F1771)+4),3))),""))</f>
        <v>0</v>
      </c>
      <c r="M1771">
        <f>'Raw Data'!O1771</f>
        <v>0</v>
      </c>
      <c r="N1771">
        <f>'Raw Data'!P1771</f>
        <v>0</v>
      </c>
      <c r="O1771">
        <f>'Raw Data'!Q1771</f>
        <v>0</v>
      </c>
      <c r="P1771">
        <f>'Raw Data'!R1771</f>
        <v>0</v>
      </c>
      <c r="Q1771">
        <f>'Raw Data'!S1771</f>
        <v>0</v>
      </c>
      <c r="R1771">
        <f>'Raw Data'!T1771</f>
        <v>0</v>
      </c>
      <c r="S1771">
        <f>IFERROR(O1771,0)+IFERROR(R1771,0)</f>
        <v>0</v>
      </c>
      <c r="T1771">
        <f>IF(A1771="","",YEAR(A1771))</f>
        <v>0</v>
      </c>
    </row>
    <row r="1772" spans="1:20">
      <c r="A1772">
        <f>'Raw Data'!B1772</f>
        <v>0</v>
      </c>
      <c r="B1772">
        <f>'Raw Data'!A1772</f>
        <v>0</v>
      </c>
      <c r="C1772">
        <f>'Raw Data'!C1772</f>
        <v>0</v>
      </c>
      <c r="D1772">
        <f>'Raw Data'!D1772</f>
        <v>0</v>
      </c>
      <c r="E1772">
        <f>IFERROR(VLOOKUP(D1772,'Lookup Tables'!$A:$B,2,FALSE),"Unknown")</f>
        <v>0</v>
      </c>
      <c r="F1772">
        <f>'Raw Data'!E1772</f>
        <v>0</v>
      </c>
      <c r="G1772">
        <f>IFERROR(VLOOKUP(D1772,'Lookup Tables'!$A:$C,3,FALSE),IF(ISNUMBER(SEARCH("STEEL",F1772)),"Steel","Others"))</f>
        <v>0</v>
      </c>
      <c r="H1772">
        <f>IF(ISNUMBER(SEARCH("scrubber",F1772)) , "Scrubber", IF(ISNUMBER(SEARCH("container",F1772)),"Container", IF(ISNUMBER(SEARCH("basket",F1772)),"Basket", IF(ISNUMBER(SEARCH("lunch",F1772)),"Lunch Box", IF(ISNUMBER(SEARCH("cutlery",F1772)),"Cutlery","Other")))))</f>
        <v>0</v>
      </c>
      <c r="I1772">
        <f>IF('Raw Data'!G1772&lt;&gt;'','Raw Data'!G1772,IFERROR(MID(F1772,SEARCH("MODEL",F1772)+6,20),""))</f>
        <v>0</v>
      </c>
      <c r="J1772">
        <f>'Raw Data'!H1772</f>
        <v>0</v>
      </c>
      <c r="K1772">
        <f>'Raw Data'!I1772</f>
        <v>0</v>
      </c>
      <c r="L1772">
        <f>IF('Raw Data'!N1772&lt;&gt;0,'Raw Data'!N1772,IFERROR(VALUE(MID(F1772,SEARCH("QTY",F1772)+4,IFERROR(FIND(" ",F1772,SEARCH("QTY",F1772)+4)-(SEARCH("QTY",F1772)+4),3))),""))</f>
        <v>0</v>
      </c>
      <c r="M1772">
        <f>'Raw Data'!O1772</f>
        <v>0</v>
      </c>
      <c r="N1772">
        <f>'Raw Data'!P1772</f>
        <v>0</v>
      </c>
      <c r="O1772">
        <f>'Raw Data'!Q1772</f>
        <v>0</v>
      </c>
      <c r="P1772">
        <f>'Raw Data'!R1772</f>
        <v>0</v>
      </c>
      <c r="Q1772">
        <f>'Raw Data'!S1772</f>
        <v>0</v>
      </c>
      <c r="R1772">
        <f>'Raw Data'!T1772</f>
        <v>0</v>
      </c>
      <c r="S1772">
        <f>IFERROR(O1772,0)+IFERROR(R1772,0)</f>
        <v>0</v>
      </c>
      <c r="T1772">
        <f>IF(A1772="","",YEAR(A1772))</f>
        <v>0</v>
      </c>
    </row>
    <row r="1773" spans="1:20">
      <c r="A1773">
        <f>'Raw Data'!B1773</f>
        <v>0</v>
      </c>
      <c r="B1773">
        <f>'Raw Data'!A1773</f>
        <v>0</v>
      </c>
      <c r="C1773">
        <f>'Raw Data'!C1773</f>
        <v>0</v>
      </c>
      <c r="D1773">
        <f>'Raw Data'!D1773</f>
        <v>0</v>
      </c>
      <c r="E1773">
        <f>IFERROR(VLOOKUP(D1773,'Lookup Tables'!$A:$B,2,FALSE),"Unknown")</f>
        <v>0</v>
      </c>
      <c r="F1773">
        <f>'Raw Data'!E1773</f>
        <v>0</v>
      </c>
      <c r="G1773">
        <f>IFERROR(VLOOKUP(D1773,'Lookup Tables'!$A:$C,3,FALSE),IF(ISNUMBER(SEARCH("STEEL",F1773)),"Steel","Others"))</f>
        <v>0</v>
      </c>
      <c r="H1773">
        <f>IF(ISNUMBER(SEARCH("scrubber",F1773)) , "Scrubber", IF(ISNUMBER(SEARCH("container",F1773)),"Container", IF(ISNUMBER(SEARCH("basket",F1773)),"Basket", IF(ISNUMBER(SEARCH("lunch",F1773)),"Lunch Box", IF(ISNUMBER(SEARCH("cutlery",F1773)),"Cutlery","Other")))))</f>
        <v>0</v>
      </c>
      <c r="I1773">
        <f>IF('Raw Data'!G1773&lt;&gt;'','Raw Data'!G1773,IFERROR(MID(F1773,SEARCH("MODEL",F1773)+6,20),""))</f>
        <v>0</v>
      </c>
      <c r="J1773">
        <f>'Raw Data'!H1773</f>
        <v>0</v>
      </c>
      <c r="K1773">
        <f>'Raw Data'!I1773</f>
        <v>0</v>
      </c>
      <c r="L1773">
        <f>IF('Raw Data'!N1773&lt;&gt;0,'Raw Data'!N1773,IFERROR(VALUE(MID(F1773,SEARCH("QTY",F1773)+4,IFERROR(FIND(" ",F1773,SEARCH("QTY",F1773)+4)-(SEARCH("QTY",F1773)+4),3))),""))</f>
        <v>0</v>
      </c>
      <c r="M1773">
        <f>'Raw Data'!O1773</f>
        <v>0</v>
      </c>
      <c r="N1773">
        <f>'Raw Data'!P1773</f>
        <v>0</v>
      </c>
      <c r="O1773">
        <f>'Raw Data'!Q1773</f>
        <v>0</v>
      </c>
      <c r="P1773">
        <f>'Raw Data'!R1773</f>
        <v>0</v>
      </c>
      <c r="Q1773">
        <f>'Raw Data'!S1773</f>
        <v>0</v>
      </c>
      <c r="R1773">
        <f>'Raw Data'!T1773</f>
        <v>0</v>
      </c>
      <c r="S1773">
        <f>IFERROR(O1773,0)+IFERROR(R1773,0)</f>
        <v>0</v>
      </c>
      <c r="T1773">
        <f>IF(A1773="","",YEAR(A1773))</f>
        <v>0</v>
      </c>
    </row>
    <row r="1774" spans="1:20">
      <c r="A1774">
        <f>'Raw Data'!B1774</f>
        <v>0</v>
      </c>
      <c r="B1774">
        <f>'Raw Data'!A1774</f>
        <v>0</v>
      </c>
      <c r="C1774">
        <f>'Raw Data'!C1774</f>
        <v>0</v>
      </c>
      <c r="D1774">
        <f>'Raw Data'!D1774</f>
        <v>0</v>
      </c>
      <c r="E1774">
        <f>IFERROR(VLOOKUP(D1774,'Lookup Tables'!$A:$B,2,FALSE),"Unknown")</f>
        <v>0</v>
      </c>
      <c r="F1774">
        <f>'Raw Data'!E1774</f>
        <v>0</v>
      </c>
      <c r="G1774">
        <f>IFERROR(VLOOKUP(D1774,'Lookup Tables'!$A:$C,3,FALSE),IF(ISNUMBER(SEARCH("STEEL",F1774)),"Steel","Others"))</f>
        <v>0</v>
      </c>
      <c r="H1774">
        <f>IF(ISNUMBER(SEARCH("scrubber",F1774)) , "Scrubber", IF(ISNUMBER(SEARCH("container",F1774)),"Container", IF(ISNUMBER(SEARCH("basket",F1774)),"Basket", IF(ISNUMBER(SEARCH("lunch",F1774)),"Lunch Box", IF(ISNUMBER(SEARCH("cutlery",F1774)),"Cutlery","Other")))))</f>
        <v>0</v>
      </c>
      <c r="I1774">
        <f>IF('Raw Data'!G1774&lt;&gt;'','Raw Data'!G1774,IFERROR(MID(F1774,SEARCH("MODEL",F1774)+6,20),""))</f>
        <v>0</v>
      </c>
      <c r="J1774">
        <f>'Raw Data'!H1774</f>
        <v>0</v>
      </c>
      <c r="K1774">
        <f>'Raw Data'!I1774</f>
        <v>0</v>
      </c>
      <c r="L1774">
        <f>IF('Raw Data'!N1774&lt;&gt;0,'Raw Data'!N1774,IFERROR(VALUE(MID(F1774,SEARCH("QTY",F1774)+4,IFERROR(FIND(" ",F1774,SEARCH("QTY",F1774)+4)-(SEARCH("QTY",F1774)+4),3))),""))</f>
        <v>0</v>
      </c>
      <c r="M1774">
        <f>'Raw Data'!O1774</f>
        <v>0</v>
      </c>
      <c r="N1774">
        <f>'Raw Data'!P1774</f>
        <v>0</v>
      </c>
      <c r="O1774">
        <f>'Raw Data'!Q1774</f>
        <v>0</v>
      </c>
      <c r="P1774">
        <f>'Raw Data'!R1774</f>
        <v>0</v>
      </c>
      <c r="Q1774">
        <f>'Raw Data'!S1774</f>
        <v>0</v>
      </c>
      <c r="R1774">
        <f>'Raw Data'!T1774</f>
        <v>0</v>
      </c>
      <c r="S1774">
        <f>IFERROR(O1774,0)+IFERROR(R1774,0)</f>
        <v>0</v>
      </c>
      <c r="T1774">
        <f>IF(A1774="","",YEAR(A1774))</f>
        <v>0</v>
      </c>
    </row>
    <row r="1775" spans="1:20">
      <c r="A1775">
        <f>'Raw Data'!B1775</f>
        <v>0</v>
      </c>
      <c r="B1775">
        <f>'Raw Data'!A1775</f>
        <v>0</v>
      </c>
      <c r="C1775">
        <f>'Raw Data'!C1775</f>
        <v>0</v>
      </c>
      <c r="D1775">
        <f>'Raw Data'!D1775</f>
        <v>0</v>
      </c>
      <c r="E1775">
        <f>IFERROR(VLOOKUP(D1775,'Lookup Tables'!$A:$B,2,FALSE),"Unknown")</f>
        <v>0</v>
      </c>
      <c r="F1775">
        <f>'Raw Data'!E1775</f>
        <v>0</v>
      </c>
      <c r="G1775">
        <f>IFERROR(VLOOKUP(D1775,'Lookup Tables'!$A:$C,3,FALSE),IF(ISNUMBER(SEARCH("STEEL",F1775)),"Steel","Others"))</f>
        <v>0</v>
      </c>
      <c r="H1775">
        <f>IF(ISNUMBER(SEARCH("scrubber",F1775)) , "Scrubber", IF(ISNUMBER(SEARCH("container",F1775)),"Container", IF(ISNUMBER(SEARCH("basket",F1775)),"Basket", IF(ISNUMBER(SEARCH("lunch",F1775)),"Lunch Box", IF(ISNUMBER(SEARCH("cutlery",F1775)),"Cutlery","Other")))))</f>
        <v>0</v>
      </c>
      <c r="I1775">
        <f>IF('Raw Data'!G1775&lt;&gt;'','Raw Data'!G1775,IFERROR(MID(F1775,SEARCH("MODEL",F1775)+6,20),""))</f>
        <v>0</v>
      </c>
      <c r="J1775">
        <f>'Raw Data'!H1775</f>
        <v>0</v>
      </c>
      <c r="K1775">
        <f>'Raw Data'!I1775</f>
        <v>0</v>
      </c>
      <c r="L1775">
        <f>IF('Raw Data'!N1775&lt;&gt;0,'Raw Data'!N1775,IFERROR(VALUE(MID(F1775,SEARCH("QTY",F1775)+4,IFERROR(FIND(" ",F1775,SEARCH("QTY",F1775)+4)-(SEARCH("QTY",F1775)+4),3))),""))</f>
        <v>0</v>
      </c>
      <c r="M1775">
        <f>'Raw Data'!O1775</f>
        <v>0</v>
      </c>
      <c r="N1775">
        <f>'Raw Data'!P1775</f>
        <v>0</v>
      </c>
      <c r="O1775">
        <f>'Raw Data'!Q1775</f>
        <v>0</v>
      </c>
      <c r="P1775">
        <f>'Raw Data'!R1775</f>
        <v>0</v>
      </c>
      <c r="Q1775">
        <f>'Raw Data'!S1775</f>
        <v>0</v>
      </c>
      <c r="R1775">
        <f>'Raw Data'!T1775</f>
        <v>0</v>
      </c>
      <c r="S1775">
        <f>IFERROR(O1775,0)+IFERROR(R1775,0)</f>
        <v>0</v>
      </c>
      <c r="T1775">
        <f>IF(A1775="","",YEAR(A1775))</f>
        <v>0</v>
      </c>
    </row>
    <row r="1776" spans="1:20">
      <c r="A1776">
        <f>'Raw Data'!B1776</f>
        <v>0</v>
      </c>
      <c r="B1776">
        <f>'Raw Data'!A1776</f>
        <v>0</v>
      </c>
      <c r="C1776">
        <f>'Raw Data'!C1776</f>
        <v>0</v>
      </c>
      <c r="D1776">
        <f>'Raw Data'!D1776</f>
        <v>0</v>
      </c>
      <c r="E1776">
        <f>IFERROR(VLOOKUP(D1776,'Lookup Tables'!$A:$B,2,FALSE),"Unknown")</f>
        <v>0</v>
      </c>
      <c r="F1776">
        <f>'Raw Data'!E1776</f>
        <v>0</v>
      </c>
      <c r="G1776">
        <f>IFERROR(VLOOKUP(D1776,'Lookup Tables'!$A:$C,3,FALSE),IF(ISNUMBER(SEARCH("STEEL",F1776)),"Steel","Others"))</f>
        <v>0</v>
      </c>
      <c r="H1776">
        <f>IF(ISNUMBER(SEARCH("scrubber",F1776)) , "Scrubber", IF(ISNUMBER(SEARCH("container",F1776)),"Container", IF(ISNUMBER(SEARCH("basket",F1776)),"Basket", IF(ISNUMBER(SEARCH("lunch",F1776)),"Lunch Box", IF(ISNUMBER(SEARCH("cutlery",F1776)),"Cutlery","Other")))))</f>
        <v>0</v>
      </c>
      <c r="I1776">
        <f>IF('Raw Data'!G1776&lt;&gt;'','Raw Data'!G1776,IFERROR(MID(F1776,SEARCH("MODEL",F1776)+6,20),""))</f>
        <v>0</v>
      </c>
      <c r="J1776">
        <f>'Raw Data'!H1776</f>
        <v>0</v>
      </c>
      <c r="K1776">
        <f>'Raw Data'!I1776</f>
        <v>0</v>
      </c>
      <c r="L1776">
        <f>IF('Raw Data'!N1776&lt;&gt;0,'Raw Data'!N1776,IFERROR(VALUE(MID(F1776,SEARCH("QTY",F1776)+4,IFERROR(FIND(" ",F1776,SEARCH("QTY",F1776)+4)-(SEARCH("QTY",F1776)+4),3))),""))</f>
        <v>0</v>
      </c>
      <c r="M1776">
        <f>'Raw Data'!O1776</f>
        <v>0</v>
      </c>
      <c r="N1776">
        <f>'Raw Data'!P1776</f>
        <v>0</v>
      </c>
      <c r="O1776">
        <f>'Raw Data'!Q1776</f>
        <v>0</v>
      </c>
      <c r="P1776">
        <f>'Raw Data'!R1776</f>
        <v>0</v>
      </c>
      <c r="Q1776">
        <f>'Raw Data'!S1776</f>
        <v>0</v>
      </c>
      <c r="R1776">
        <f>'Raw Data'!T1776</f>
        <v>0</v>
      </c>
      <c r="S1776">
        <f>IFERROR(O1776,0)+IFERROR(R1776,0)</f>
        <v>0</v>
      </c>
      <c r="T1776">
        <f>IF(A1776="","",YEAR(A1776))</f>
        <v>0</v>
      </c>
    </row>
    <row r="1777" spans="1:20">
      <c r="A1777">
        <f>'Raw Data'!B1777</f>
        <v>0</v>
      </c>
      <c r="B1777">
        <f>'Raw Data'!A1777</f>
        <v>0</v>
      </c>
      <c r="C1777">
        <f>'Raw Data'!C1777</f>
        <v>0</v>
      </c>
      <c r="D1777">
        <f>'Raw Data'!D1777</f>
        <v>0</v>
      </c>
      <c r="E1777">
        <f>IFERROR(VLOOKUP(D1777,'Lookup Tables'!$A:$B,2,FALSE),"Unknown")</f>
        <v>0</v>
      </c>
      <c r="F1777">
        <f>'Raw Data'!E1777</f>
        <v>0</v>
      </c>
      <c r="G1777">
        <f>IFERROR(VLOOKUP(D1777,'Lookup Tables'!$A:$C,3,FALSE),IF(ISNUMBER(SEARCH("STEEL",F1777)),"Steel","Others"))</f>
        <v>0</v>
      </c>
      <c r="H1777">
        <f>IF(ISNUMBER(SEARCH("scrubber",F1777)) , "Scrubber", IF(ISNUMBER(SEARCH("container",F1777)),"Container", IF(ISNUMBER(SEARCH("basket",F1777)),"Basket", IF(ISNUMBER(SEARCH("lunch",F1777)),"Lunch Box", IF(ISNUMBER(SEARCH("cutlery",F1777)),"Cutlery","Other")))))</f>
        <v>0</v>
      </c>
      <c r="I1777">
        <f>IF('Raw Data'!G1777&lt;&gt;'','Raw Data'!G1777,IFERROR(MID(F1777,SEARCH("MODEL",F1777)+6,20),""))</f>
        <v>0</v>
      </c>
      <c r="J1777">
        <f>'Raw Data'!H1777</f>
        <v>0</v>
      </c>
      <c r="K1777">
        <f>'Raw Data'!I1777</f>
        <v>0</v>
      </c>
      <c r="L1777">
        <f>IF('Raw Data'!N1777&lt;&gt;0,'Raw Data'!N1777,IFERROR(VALUE(MID(F1777,SEARCH("QTY",F1777)+4,IFERROR(FIND(" ",F1777,SEARCH("QTY",F1777)+4)-(SEARCH("QTY",F1777)+4),3))),""))</f>
        <v>0</v>
      </c>
      <c r="M1777">
        <f>'Raw Data'!O1777</f>
        <v>0</v>
      </c>
      <c r="N1777">
        <f>'Raw Data'!P1777</f>
        <v>0</v>
      </c>
      <c r="O1777">
        <f>'Raw Data'!Q1777</f>
        <v>0</v>
      </c>
      <c r="P1777">
        <f>'Raw Data'!R1777</f>
        <v>0</v>
      </c>
      <c r="Q1777">
        <f>'Raw Data'!S1777</f>
        <v>0</v>
      </c>
      <c r="R1777">
        <f>'Raw Data'!T1777</f>
        <v>0</v>
      </c>
      <c r="S1777">
        <f>IFERROR(O1777,0)+IFERROR(R1777,0)</f>
        <v>0</v>
      </c>
      <c r="T1777">
        <f>IF(A1777="","",YEAR(A1777))</f>
        <v>0</v>
      </c>
    </row>
    <row r="1778" spans="1:20">
      <c r="A1778">
        <f>'Raw Data'!B1778</f>
        <v>0</v>
      </c>
      <c r="B1778">
        <f>'Raw Data'!A1778</f>
        <v>0</v>
      </c>
      <c r="C1778">
        <f>'Raw Data'!C1778</f>
        <v>0</v>
      </c>
      <c r="D1778">
        <f>'Raw Data'!D1778</f>
        <v>0</v>
      </c>
      <c r="E1778">
        <f>IFERROR(VLOOKUP(D1778,'Lookup Tables'!$A:$B,2,FALSE),"Unknown")</f>
        <v>0</v>
      </c>
      <c r="F1778">
        <f>'Raw Data'!E1778</f>
        <v>0</v>
      </c>
      <c r="G1778">
        <f>IFERROR(VLOOKUP(D1778,'Lookup Tables'!$A:$C,3,FALSE),IF(ISNUMBER(SEARCH("STEEL",F1778)),"Steel","Others"))</f>
        <v>0</v>
      </c>
      <c r="H1778">
        <f>IF(ISNUMBER(SEARCH("scrubber",F1778)) , "Scrubber", IF(ISNUMBER(SEARCH("container",F1778)),"Container", IF(ISNUMBER(SEARCH("basket",F1778)),"Basket", IF(ISNUMBER(SEARCH("lunch",F1778)),"Lunch Box", IF(ISNUMBER(SEARCH("cutlery",F1778)),"Cutlery","Other")))))</f>
        <v>0</v>
      </c>
      <c r="I1778">
        <f>IF('Raw Data'!G1778&lt;&gt;'','Raw Data'!G1778,IFERROR(MID(F1778,SEARCH("MODEL",F1778)+6,20),""))</f>
        <v>0</v>
      </c>
      <c r="J1778">
        <f>'Raw Data'!H1778</f>
        <v>0</v>
      </c>
      <c r="K1778">
        <f>'Raw Data'!I1778</f>
        <v>0</v>
      </c>
      <c r="L1778">
        <f>IF('Raw Data'!N1778&lt;&gt;0,'Raw Data'!N1778,IFERROR(VALUE(MID(F1778,SEARCH("QTY",F1778)+4,IFERROR(FIND(" ",F1778,SEARCH("QTY",F1778)+4)-(SEARCH("QTY",F1778)+4),3))),""))</f>
        <v>0</v>
      </c>
      <c r="M1778">
        <f>'Raw Data'!O1778</f>
        <v>0</v>
      </c>
      <c r="N1778">
        <f>'Raw Data'!P1778</f>
        <v>0</v>
      </c>
      <c r="O1778">
        <f>'Raw Data'!Q1778</f>
        <v>0</v>
      </c>
      <c r="P1778">
        <f>'Raw Data'!R1778</f>
        <v>0</v>
      </c>
      <c r="Q1778">
        <f>'Raw Data'!S1778</f>
        <v>0</v>
      </c>
      <c r="R1778">
        <f>'Raw Data'!T1778</f>
        <v>0</v>
      </c>
      <c r="S1778">
        <f>IFERROR(O1778,0)+IFERROR(R1778,0)</f>
        <v>0</v>
      </c>
      <c r="T1778">
        <f>IF(A1778="","",YEAR(A1778))</f>
        <v>0</v>
      </c>
    </row>
    <row r="1779" spans="1:20">
      <c r="A1779">
        <f>'Raw Data'!B1779</f>
        <v>0</v>
      </c>
      <c r="B1779">
        <f>'Raw Data'!A1779</f>
        <v>0</v>
      </c>
      <c r="C1779">
        <f>'Raw Data'!C1779</f>
        <v>0</v>
      </c>
      <c r="D1779">
        <f>'Raw Data'!D1779</f>
        <v>0</v>
      </c>
      <c r="E1779">
        <f>IFERROR(VLOOKUP(D1779,'Lookup Tables'!$A:$B,2,FALSE),"Unknown")</f>
        <v>0</v>
      </c>
      <c r="F1779">
        <f>'Raw Data'!E1779</f>
        <v>0</v>
      </c>
      <c r="G1779">
        <f>IFERROR(VLOOKUP(D1779,'Lookup Tables'!$A:$C,3,FALSE),IF(ISNUMBER(SEARCH("STEEL",F1779)),"Steel","Others"))</f>
        <v>0</v>
      </c>
      <c r="H1779">
        <f>IF(ISNUMBER(SEARCH("scrubber",F1779)) , "Scrubber", IF(ISNUMBER(SEARCH("container",F1779)),"Container", IF(ISNUMBER(SEARCH("basket",F1779)),"Basket", IF(ISNUMBER(SEARCH("lunch",F1779)),"Lunch Box", IF(ISNUMBER(SEARCH("cutlery",F1779)),"Cutlery","Other")))))</f>
        <v>0</v>
      </c>
      <c r="I1779">
        <f>IF('Raw Data'!G1779&lt;&gt;'','Raw Data'!G1779,IFERROR(MID(F1779,SEARCH("MODEL",F1779)+6,20),""))</f>
        <v>0</v>
      </c>
      <c r="J1779">
        <f>'Raw Data'!H1779</f>
        <v>0</v>
      </c>
      <c r="K1779">
        <f>'Raw Data'!I1779</f>
        <v>0</v>
      </c>
      <c r="L1779">
        <f>IF('Raw Data'!N1779&lt;&gt;0,'Raw Data'!N1779,IFERROR(VALUE(MID(F1779,SEARCH("QTY",F1779)+4,IFERROR(FIND(" ",F1779,SEARCH("QTY",F1779)+4)-(SEARCH("QTY",F1779)+4),3))),""))</f>
        <v>0</v>
      </c>
      <c r="M1779">
        <f>'Raw Data'!O1779</f>
        <v>0</v>
      </c>
      <c r="N1779">
        <f>'Raw Data'!P1779</f>
        <v>0</v>
      </c>
      <c r="O1779">
        <f>'Raw Data'!Q1779</f>
        <v>0</v>
      </c>
      <c r="P1779">
        <f>'Raw Data'!R1779</f>
        <v>0</v>
      </c>
      <c r="Q1779">
        <f>'Raw Data'!S1779</f>
        <v>0</v>
      </c>
      <c r="R1779">
        <f>'Raw Data'!T1779</f>
        <v>0</v>
      </c>
      <c r="S1779">
        <f>IFERROR(O1779,0)+IFERROR(R1779,0)</f>
        <v>0</v>
      </c>
      <c r="T1779">
        <f>IF(A1779="","",YEAR(A1779))</f>
        <v>0</v>
      </c>
    </row>
    <row r="1780" spans="1:20">
      <c r="A1780">
        <f>'Raw Data'!B1780</f>
        <v>0</v>
      </c>
      <c r="B1780">
        <f>'Raw Data'!A1780</f>
        <v>0</v>
      </c>
      <c r="C1780">
        <f>'Raw Data'!C1780</f>
        <v>0</v>
      </c>
      <c r="D1780">
        <f>'Raw Data'!D1780</f>
        <v>0</v>
      </c>
      <c r="E1780">
        <f>IFERROR(VLOOKUP(D1780,'Lookup Tables'!$A:$B,2,FALSE),"Unknown")</f>
        <v>0</v>
      </c>
      <c r="F1780">
        <f>'Raw Data'!E1780</f>
        <v>0</v>
      </c>
      <c r="G1780">
        <f>IFERROR(VLOOKUP(D1780,'Lookup Tables'!$A:$C,3,FALSE),IF(ISNUMBER(SEARCH("STEEL",F1780)),"Steel","Others"))</f>
        <v>0</v>
      </c>
      <c r="H1780">
        <f>IF(ISNUMBER(SEARCH("scrubber",F1780)) , "Scrubber", IF(ISNUMBER(SEARCH("container",F1780)),"Container", IF(ISNUMBER(SEARCH("basket",F1780)),"Basket", IF(ISNUMBER(SEARCH("lunch",F1780)),"Lunch Box", IF(ISNUMBER(SEARCH("cutlery",F1780)),"Cutlery","Other")))))</f>
        <v>0</v>
      </c>
      <c r="I1780">
        <f>IF('Raw Data'!G1780&lt;&gt;'','Raw Data'!G1780,IFERROR(MID(F1780,SEARCH("MODEL",F1780)+6,20),""))</f>
        <v>0</v>
      </c>
      <c r="J1780">
        <f>'Raw Data'!H1780</f>
        <v>0</v>
      </c>
      <c r="K1780">
        <f>'Raw Data'!I1780</f>
        <v>0</v>
      </c>
      <c r="L1780">
        <f>IF('Raw Data'!N1780&lt;&gt;0,'Raw Data'!N1780,IFERROR(VALUE(MID(F1780,SEARCH("QTY",F1780)+4,IFERROR(FIND(" ",F1780,SEARCH("QTY",F1780)+4)-(SEARCH("QTY",F1780)+4),3))),""))</f>
        <v>0</v>
      </c>
      <c r="M1780">
        <f>'Raw Data'!O1780</f>
        <v>0</v>
      </c>
      <c r="N1780">
        <f>'Raw Data'!P1780</f>
        <v>0</v>
      </c>
      <c r="O1780">
        <f>'Raw Data'!Q1780</f>
        <v>0</v>
      </c>
      <c r="P1780">
        <f>'Raw Data'!R1780</f>
        <v>0</v>
      </c>
      <c r="Q1780">
        <f>'Raw Data'!S1780</f>
        <v>0</v>
      </c>
      <c r="R1780">
        <f>'Raw Data'!T1780</f>
        <v>0</v>
      </c>
      <c r="S1780">
        <f>IFERROR(O1780,0)+IFERROR(R1780,0)</f>
        <v>0</v>
      </c>
      <c r="T1780">
        <f>IF(A1780="","",YEAR(A1780))</f>
        <v>0</v>
      </c>
    </row>
    <row r="1781" spans="1:20">
      <c r="A1781">
        <f>'Raw Data'!B1781</f>
        <v>0</v>
      </c>
      <c r="B1781">
        <f>'Raw Data'!A1781</f>
        <v>0</v>
      </c>
      <c r="C1781">
        <f>'Raw Data'!C1781</f>
        <v>0</v>
      </c>
      <c r="D1781">
        <f>'Raw Data'!D1781</f>
        <v>0</v>
      </c>
      <c r="E1781">
        <f>IFERROR(VLOOKUP(D1781,'Lookup Tables'!$A:$B,2,FALSE),"Unknown")</f>
        <v>0</v>
      </c>
      <c r="F1781">
        <f>'Raw Data'!E1781</f>
        <v>0</v>
      </c>
      <c r="G1781">
        <f>IFERROR(VLOOKUP(D1781,'Lookup Tables'!$A:$C,3,FALSE),IF(ISNUMBER(SEARCH("STEEL",F1781)),"Steel","Others"))</f>
        <v>0</v>
      </c>
      <c r="H1781">
        <f>IF(ISNUMBER(SEARCH("scrubber",F1781)) , "Scrubber", IF(ISNUMBER(SEARCH("container",F1781)),"Container", IF(ISNUMBER(SEARCH("basket",F1781)),"Basket", IF(ISNUMBER(SEARCH("lunch",F1781)),"Lunch Box", IF(ISNUMBER(SEARCH("cutlery",F1781)),"Cutlery","Other")))))</f>
        <v>0</v>
      </c>
      <c r="I1781">
        <f>IF('Raw Data'!G1781&lt;&gt;'','Raw Data'!G1781,IFERROR(MID(F1781,SEARCH("MODEL",F1781)+6,20),""))</f>
        <v>0</v>
      </c>
      <c r="J1781">
        <f>'Raw Data'!H1781</f>
        <v>0</v>
      </c>
      <c r="K1781">
        <f>'Raw Data'!I1781</f>
        <v>0</v>
      </c>
      <c r="L1781">
        <f>IF('Raw Data'!N1781&lt;&gt;0,'Raw Data'!N1781,IFERROR(VALUE(MID(F1781,SEARCH("QTY",F1781)+4,IFERROR(FIND(" ",F1781,SEARCH("QTY",F1781)+4)-(SEARCH("QTY",F1781)+4),3))),""))</f>
        <v>0</v>
      </c>
      <c r="M1781">
        <f>'Raw Data'!O1781</f>
        <v>0</v>
      </c>
      <c r="N1781">
        <f>'Raw Data'!P1781</f>
        <v>0</v>
      </c>
      <c r="O1781">
        <f>'Raw Data'!Q1781</f>
        <v>0</v>
      </c>
      <c r="P1781">
        <f>'Raw Data'!R1781</f>
        <v>0</v>
      </c>
      <c r="Q1781">
        <f>'Raw Data'!S1781</f>
        <v>0</v>
      </c>
      <c r="R1781">
        <f>'Raw Data'!T1781</f>
        <v>0</v>
      </c>
      <c r="S1781">
        <f>IFERROR(O1781,0)+IFERROR(R1781,0)</f>
        <v>0</v>
      </c>
      <c r="T1781">
        <f>IF(A1781="","",YEAR(A1781))</f>
        <v>0</v>
      </c>
    </row>
    <row r="1782" spans="1:20">
      <c r="A1782">
        <f>'Raw Data'!B1782</f>
        <v>0</v>
      </c>
      <c r="B1782">
        <f>'Raw Data'!A1782</f>
        <v>0</v>
      </c>
      <c r="C1782">
        <f>'Raw Data'!C1782</f>
        <v>0</v>
      </c>
      <c r="D1782">
        <f>'Raw Data'!D1782</f>
        <v>0</v>
      </c>
      <c r="E1782">
        <f>IFERROR(VLOOKUP(D1782,'Lookup Tables'!$A:$B,2,FALSE),"Unknown")</f>
        <v>0</v>
      </c>
      <c r="F1782">
        <f>'Raw Data'!E1782</f>
        <v>0</v>
      </c>
      <c r="G1782">
        <f>IFERROR(VLOOKUP(D1782,'Lookup Tables'!$A:$C,3,FALSE),IF(ISNUMBER(SEARCH("STEEL",F1782)),"Steel","Others"))</f>
        <v>0</v>
      </c>
      <c r="H1782">
        <f>IF(ISNUMBER(SEARCH("scrubber",F1782)) , "Scrubber", IF(ISNUMBER(SEARCH("container",F1782)),"Container", IF(ISNUMBER(SEARCH("basket",F1782)),"Basket", IF(ISNUMBER(SEARCH("lunch",F1782)),"Lunch Box", IF(ISNUMBER(SEARCH("cutlery",F1782)),"Cutlery","Other")))))</f>
        <v>0</v>
      </c>
      <c r="I1782">
        <f>IF('Raw Data'!G1782&lt;&gt;'','Raw Data'!G1782,IFERROR(MID(F1782,SEARCH("MODEL",F1782)+6,20),""))</f>
        <v>0</v>
      </c>
      <c r="J1782">
        <f>'Raw Data'!H1782</f>
        <v>0</v>
      </c>
      <c r="K1782">
        <f>'Raw Data'!I1782</f>
        <v>0</v>
      </c>
      <c r="L1782">
        <f>IF('Raw Data'!N1782&lt;&gt;0,'Raw Data'!N1782,IFERROR(VALUE(MID(F1782,SEARCH("QTY",F1782)+4,IFERROR(FIND(" ",F1782,SEARCH("QTY",F1782)+4)-(SEARCH("QTY",F1782)+4),3))),""))</f>
        <v>0</v>
      </c>
      <c r="M1782">
        <f>'Raw Data'!O1782</f>
        <v>0</v>
      </c>
      <c r="N1782">
        <f>'Raw Data'!P1782</f>
        <v>0</v>
      </c>
      <c r="O1782">
        <f>'Raw Data'!Q1782</f>
        <v>0</v>
      </c>
      <c r="P1782">
        <f>'Raw Data'!R1782</f>
        <v>0</v>
      </c>
      <c r="Q1782">
        <f>'Raw Data'!S1782</f>
        <v>0</v>
      </c>
      <c r="R1782">
        <f>'Raw Data'!T1782</f>
        <v>0</v>
      </c>
      <c r="S1782">
        <f>IFERROR(O1782,0)+IFERROR(R1782,0)</f>
        <v>0</v>
      </c>
      <c r="T1782">
        <f>IF(A1782="","",YEAR(A1782))</f>
        <v>0</v>
      </c>
    </row>
    <row r="1783" spans="1:20">
      <c r="A1783">
        <f>'Raw Data'!B1783</f>
        <v>0</v>
      </c>
      <c r="B1783">
        <f>'Raw Data'!A1783</f>
        <v>0</v>
      </c>
      <c r="C1783">
        <f>'Raw Data'!C1783</f>
        <v>0</v>
      </c>
      <c r="D1783">
        <f>'Raw Data'!D1783</f>
        <v>0</v>
      </c>
      <c r="E1783">
        <f>IFERROR(VLOOKUP(D1783,'Lookup Tables'!$A:$B,2,FALSE),"Unknown")</f>
        <v>0</v>
      </c>
      <c r="F1783">
        <f>'Raw Data'!E1783</f>
        <v>0</v>
      </c>
      <c r="G1783">
        <f>IFERROR(VLOOKUP(D1783,'Lookup Tables'!$A:$C,3,FALSE),IF(ISNUMBER(SEARCH("STEEL",F1783)),"Steel","Others"))</f>
        <v>0</v>
      </c>
      <c r="H1783">
        <f>IF(ISNUMBER(SEARCH("scrubber",F1783)) , "Scrubber", IF(ISNUMBER(SEARCH("container",F1783)),"Container", IF(ISNUMBER(SEARCH("basket",F1783)),"Basket", IF(ISNUMBER(SEARCH("lunch",F1783)),"Lunch Box", IF(ISNUMBER(SEARCH("cutlery",F1783)),"Cutlery","Other")))))</f>
        <v>0</v>
      </c>
      <c r="I1783">
        <f>IF('Raw Data'!G1783&lt;&gt;'','Raw Data'!G1783,IFERROR(MID(F1783,SEARCH("MODEL",F1783)+6,20),""))</f>
        <v>0</v>
      </c>
      <c r="J1783">
        <f>'Raw Data'!H1783</f>
        <v>0</v>
      </c>
      <c r="K1783">
        <f>'Raw Data'!I1783</f>
        <v>0</v>
      </c>
      <c r="L1783">
        <f>IF('Raw Data'!N1783&lt;&gt;0,'Raw Data'!N1783,IFERROR(VALUE(MID(F1783,SEARCH("QTY",F1783)+4,IFERROR(FIND(" ",F1783,SEARCH("QTY",F1783)+4)-(SEARCH("QTY",F1783)+4),3))),""))</f>
        <v>0</v>
      </c>
      <c r="M1783">
        <f>'Raw Data'!O1783</f>
        <v>0</v>
      </c>
      <c r="N1783">
        <f>'Raw Data'!P1783</f>
        <v>0</v>
      </c>
      <c r="O1783">
        <f>'Raw Data'!Q1783</f>
        <v>0</v>
      </c>
      <c r="P1783">
        <f>'Raw Data'!R1783</f>
        <v>0</v>
      </c>
      <c r="Q1783">
        <f>'Raw Data'!S1783</f>
        <v>0</v>
      </c>
      <c r="R1783">
        <f>'Raw Data'!T1783</f>
        <v>0</v>
      </c>
      <c r="S1783">
        <f>IFERROR(O1783,0)+IFERROR(R1783,0)</f>
        <v>0</v>
      </c>
      <c r="T1783">
        <f>IF(A1783="","",YEAR(A1783))</f>
        <v>0</v>
      </c>
    </row>
    <row r="1784" spans="1:20">
      <c r="A1784">
        <f>'Raw Data'!B1784</f>
        <v>0</v>
      </c>
      <c r="B1784">
        <f>'Raw Data'!A1784</f>
        <v>0</v>
      </c>
      <c r="C1784">
        <f>'Raw Data'!C1784</f>
        <v>0</v>
      </c>
      <c r="D1784">
        <f>'Raw Data'!D1784</f>
        <v>0</v>
      </c>
      <c r="E1784">
        <f>IFERROR(VLOOKUP(D1784,'Lookup Tables'!$A:$B,2,FALSE),"Unknown")</f>
        <v>0</v>
      </c>
      <c r="F1784">
        <f>'Raw Data'!E1784</f>
        <v>0</v>
      </c>
      <c r="G1784">
        <f>IFERROR(VLOOKUP(D1784,'Lookup Tables'!$A:$C,3,FALSE),IF(ISNUMBER(SEARCH("STEEL",F1784)),"Steel","Others"))</f>
        <v>0</v>
      </c>
      <c r="H1784">
        <f>IF(ISNUMBER(SEARCH("scrubber",F1784)) , "Scrubber", IF(ISNUMBER(SEARCH("container",F1784)),"Container", IF(ISNUMBER(SEARCH("basket",F1784)),"Basket", IF(ISNUMBER(SEARCH("lunch",F1784)),"Lunch Box", IF(ISNUMBER(SEARCH("cutlery",F1784)),"Cutlery","Other")))))</f>
        <v>0</v>
      </c>
      <c r="I1784">
        <f>IF('Raw Data'!G1784&lt;&gt;'','Raw Data'!G1784,IFERROR(MID(F1784,SEARCH("MODEL",F1784)+6,20),""))</f>
        <v>0</v>
      </c>
      <c r="J1784">
        <f>'Raw Data'!H1784</f>
        <v>0</v>
      </c>
      <c r="K1784">
        <f>'Raw Data'!I1784</f>
        <v>0</v>
      </c>
      <c r="L1784">
        <f>IF('Raw Data'!N1784&lt;&gt;0,'Raw Data'!N1784,IFERROR(VALUE(MID(F1784,SEARCH("QTY",F1784)+4,IFERROR(FIND(" ",F1784,SEARCH("QTY",F1784)+4)-(SEARCH("QTY",F1784)+4),3))),""))</f>
        <v>0</v>
      </c>
      <c r="M1784">
        <f>'Raw Data'!O1784</f>
        <v>0</v>
      </c>
      <c r="N1784">
        <f>'Raw Data'!P1784</f>
        <v>0</v>
      </c>
      <c r="O1784">
        <f>'Raw Data'!Q1784</f>
        <v>0</v>
      </c>
      <c r="P1784">
        <f>'Raw Data'!R1784</f>
        <v>0</v>
      </c>
      <c r="Q1784">
        <f>'Raw Data'!S1784</f>
        <v>0</v>
      </c>
      <c r="R1784">
        <f>'Raw Data'!T1784</f>
        <v>0</v>
      </c>
      <c r="S1784">
        <f>IFERROR(O1784,0)+IFERROR(R1784,0)</f>
        <v>0</v>
      </c>
      <c r="T1784">
        <f>IF(A1784="","",YEAR(A1784))</f>
        <v>0</v>
      </c>
    </row>
    <row r="1785" spans="1:20">
      <c r="A1785">
        <f>'Raw Data'!B1785</f>
        <v>0</v>
      </c>
      <c r="B1785">
        <f>'Raw Data'!A1785</f>
        <v>0</v>
      </c>
      <c r="C1785">
        <f>'Raw Data'!C1785</f>
        <v>0</v>
      </c>
      <c r="D1785">
        <f>'Raw Data'!D1785</f>
        <v>0</v>
      </c>
      <c r="E1785">
        <f>IFERROR(VLOOKUP(D1785,'Lookup Tables'!$A:$B,2,FALSE),"Unknown")</f>
        <v>0</v>
      </c>
      <c r="F1785">
        <f>'Raw Data'!E1785</f>
        <v>0</v>
      </c>
      <c r="G1785">
        <f>IFERROR(VLOOKUP(D1785,'Lookup Tables'!$A:$C,3,FALSE),IF(ISNUMBER(SEARCH("STEEL",F1785)),"Steel","Others"))</f>
        <v>0</v>
      </c>
      <c r="H1785">
        <f>IF(ISNUMBER(SEARCH("scrubber",F1785)) , "Scrubber", IF(ISNUMBER(SEARCH("container",F1785)),"Container", IF(ISNUMBER(SEARCH("basket",F1785)),"Basket", IF(ISNUMBER(SEARCH("lunch",F1785)),"Lunch Box", IF(ISNUMBER(SEARCH("cutlery",F1785)),"Cutlery","Other")))))</f>
        <v>0</v>
      </c>
      <c r="I1785">
        <f>IF('Raw Data'!G1785&lt;&gt;'','Raw Data'!G1785,IFERROR(MID(F1785,SEARCH("MODEL",F1785)+6,20),""))</f>
        <v>0</v>
      </c>
      <c r="J1785">
        <f>'Raw Data'!H1785</f>
        <v>0</v>
      </c>
      <c r="K1785">
        <f>'Raw Data'!I1785</f>
        <v>0</v>
      </c>
      <c r="L1785">
        <f>IF('Raw Data'!N1785&lt;&gt;0,'Raw Data'!N1785,IFERROR(VALUE(MID(F1785,SEARCH("QTY",F1785)+4,IFERROR(FIND(" ",F1785,SEARCH("QTY",F1785)+4)-(SEARCH("QTY",F1785)+4),3))),""))</f>
        <v>0</v>
      </c>
      <c r="M1785">
        <f>'Raw Data'!O1785</f>
        <v>0</v>
      </c>
      <c r="N1785">
        <f>'Raw Data'!P1785</f>
        <v>0</v>
      </c>
      <c r="O1785">
        <f>'Raw Data'!Q1785</f>
        <v>0</v>
      </c>
      <c r="P1785">
        <f>'Raw Data'!R1785</f>
        <v>0</v>
      </c>
      <c r="Q1785">
        <f>'Raw Data'!S1785</f>
        <v>0</v>
      </c>
      <c r="R1785">
        <f>'Raw Data'!T1785</f>
        <v>0</v>
      </c>
      <c r="S1785">
        <f>IFERROR(O1785,0)+IFERROR(R1785,0)</f>
        <v>0</v>
      </c>
      <c r="T1785">
        <f>IF(A1785="","",YEAR(A1785))</f>
        <v>0</v>
      </c>
    </row>
    <row r="1786" spans="1:20">
      <c r="A1786">
        <f>'Raw Data'!B1786</f>
        <v>0</v>
      </c>
      <c r="B1786">
        <f>'Raw Data'!A1786</f>
        <v>0</v>
      </c>
      <c r="C1786">
        <f>'Raw Data'!C1786</f>
        <v>0</v>
      </c>
      <c r="D1786">
        <f>'Raw Data'!D1786</f>
        <v>0</v>
      </c>
      <c r="E1786">
        <f>IFERROR(VLOOKUP(D1786,'Lookup Tables'!$A:$B,2,FALSE),"Unknown")</f>
        <v>0</v>
      </c>
      <c r="F1786">
        <f>'Raw Data'!E1786</f>
        <v>0</v>
      </c>
      <c r="G1786">
        <f>IFERROR(VLOOKUP(D1786,'Lookup Tables'!$A:$C,3,FALSE),IF(ISNUMBER(SEARCH("STEEL",F1786)),"Steel","Others"))</f>
        <v>0</v>
      </c>
      <c r="H1786">
        <f>IF(ISNUMBER(SEARCH("scrubber",F1786)) , "Scrubber", IF(ISNUMBER(SEARCH("container",F1786)),"Container", IF(ISNUMBER(SEARCH("basket",F1786)),"Basket", IF(ISNUMBER(SEARCH("lunch",F1786)),"Lunch Box", IF(ISNUMBER(SEARCH("cutlery",F1786)),"Cutlery","Other")))))</f>
        <v>0</v>
      </c>
      <c r="I1786">
        <f>IF('Raw Data'!G1786&lt;&gt;'','Raw Data'!G1786,IFERROR(MID(F1786,SEARCH("MODEL",F1786)+6,20),""))</f>
        <v>0</v>
      </c>
      <c r="J1786">
        <f>'Raw Data'!H1786</f>
        <v>0</v>
      </c>
      <c r="K1786">
        <f>'Raw Data'!I1786</f>
        <v>0</v>
      </c>
      <c r="L1786">
        <f>IF('Raw Data'!N1786&lt;&gt;0,'Raw Data'!N1786,IFERROR(VALUE(MID(F1786,SEARCH("QTY",F1786)+4,IFERROR(FIND(" ",F1786,SEARCH("QTY",F1786)+4)-(SEARCH("QTY",F1786)+4),3))),""))</f>
        <v>0</v>
      </c>
      <c r="M1786">
        <f>'Raw Data'!O1786</f>
        <v>0</v>
      </c>
      <c r="N1786">
        <f>'Raw Data'!P1786</f>
        <v>0</v>
      </c>
      <c r="O1786">
        <f>'Raw Data'!Q1786</f>
        <v>0</v>
      </c>
      <c r="P1786">
        <f>'Raw Data'!R1786</f>
        <v>0</v>
      </c>
      <c r="Q1786">
        <f>'Raw Data'!S1786</f>
        <v>0</v>
      </c>
      <c r="R1786">
        <f>'Raw Data'!T1786</f>
        <v>0</v>
      </c>
      <c r="S1786">
        <f>IFERROR(O1786,0)+IFERROR(R1786,0)</f>
        <v>0</v>
      </c>
      <c r="T1786">
        <f>IF(A1786="","",YEAR(A1786))</f>
        <v>0</v>
      </c>
    </row>
    <row r="1787" spans="1:20">
      <c r="A1787">
        <f>'Raw Data'!B1787</f>
        <v>0</v>
      </c>
      <c r="B1787">
        <f>'Raw Data'!A1787</f>
        <v>0</v>
      </c>
      <c r="C1787">
        <f>'Raw Data'!C1787</f>
        <v>0</v>
      </c>
      <c r="D1787">
        <f>'Raw Data'!D1787</f>
        <v>0</v>
      </c>
      <c r="E1787">
        <f>IFERROR(VLOOKUP(D1787,'Lookup Tables'!$A:$B,2,FALSE),"Unknown")</f>
        <v>0</v>
      </c>
      <c r="F1787">
        <f>'Raw Data'!E1787</f>
        <v>0</v>
      </c>
      <c r="G1787">
        <f>IFERROR(VLOOKUP(D1787,'Lookup Tables'!$A:$C,3,FALSE),IF(ISNUMBER(SEARCH("STEEL",F1787)),"Steel","Others"))</f>
        <v>0</v>
      </c>
      <c r="H1787">
        <f>IF(ISNUMBER(SEARCH("scrubber",F1787)) , "Scrubber", IF(ISNUMBER(SEARCH("container",F1787)),"Container", IF(ISNUMBER(SEARCH("basket",F1787)),"Basket", IF(ISNUMBER(SEARCH("lunch",F1787)),"Lunch Box", IF(ISNUMBER(SEARCH("cutlery",F1787)),"Cutlery","Other")))))</f>
        <v>0</v>
      </c>
      <c r="I1787">
        <f>IF('Raw Data'!G1787&lt;&gt;'','Raw Data'!G1787,IFERROR(MID(F1787,SEARCH("MODEL",F1787)+6,20),""))</f>
        <v>0</v>
      </c>
      <c r="J1787">
        <f>'Raw Data'!H1787</f>
        <v>0</v>
      </c>
      <c r="K1787">
        <f>'Raw Data'!I1787</f>
        <v>0</v>
      </c>
      <c r="L1787">
        <f>IF('Raw Data'!N1787&lt;&gt;0,'Raw Data'!N1787,IFERROR(VALUE(MID(F1787,SEARCH("QTY",F1787)+4,IFERROR(FIND(" ",F1787,SEARCH("QTY",F1787)+4)-(SEARCH("QTY",F1787)+4),3))),""))</f>
        <v>0</v>
      </c>
      <c r="M1787">
        <f>'Raw Data'!O1787</f>
        <v>0</v>
      </c>
      <c r="N1787">
        <f>'Raw Data'!P1787</f>
        <v>0</v>
      </c>
      <c r="O1787">
        <f>'Raw Data'!Q1787</f>
        <v>0</v>
      </c>
      <c r="P1787">
        <f>'Raw Data'!R1787</f>
        <v>0</v>
      </c>
      <c r="Q1787">
        <f>'Raw Data'!S1787</f>
        <v>0</v>
      </c>
      <c r="R1787">
        <f>'Raw Data'!T1787</f>
        <v>0</v>
      </c>
      <c r="S1787">
        <f>IFERROR(O1787,0)+IFERROR(R1787,0)</f>
        <v>0</v>
      </c>
      <c r="T1787">
        <f>IF(A1787="","",YEAR(A1787))</f>
        <v>0</v>
      </c>
    </row>
    <row r="1788" spans="1:20">
      <c r="A1788">
        <f>'Raw Data'!B1788</f>
        <v>0</v>
      </c>
      <c r="B1788">
        <f>'Raw Data'!A1788</f>
        <v>0</v>
      </c>
      <c r="C1788">
        <f>'Raw Data'!C1788</f>
        <v>0</v>
      </c>
      <c r="D1788">
        <f>'Raw Data'!D1788</f>
        <v>0</v>
      </c>
      <c r="E1788">
        <f>IFERROR(VLOOKUP(D1788,'Lookup Tables'!$A:$B,2,FALSE),"Unknown")</f>
        <v>0</v>
      </c>
      <c r="F1788">
        <f>'Raw Data'!E1788</f>
        <v>0</v>
      </c>
      <c r="G1788">
        <f>IFERROR(VLOOKUP(D1788,'Lookup Tables'!$A:$C,3,FALSE),IF(ISNUMBER(SEARCH("STEEL",F1788)),"Steel","Others"))</f>
        <v>0</v>
      </c>
      <c r="H1788">
        <f>IF(ISNUMBER(SEARCH("scrubber",F1788)) , "Scrubber", IF(ISNUMBER(SEARCH("container",F1788)),"Container", IF(ISNUMBER(SEARCH("basket",F1788)),"Basket", IF(ISNUMBER(SEARCH("lunch",F1788)),"Lunch Box", IF(ISNUMBER(SEARCH("cutlery",F1788)),"Cutlery","Other")))))</f>
        <v>0</v>
      </c>
      <c r="I1788">
        <f>IF('Raw Data'!G1788&lt;&gt;'','Raw Data'!G1788,IFERROR(MID(F1788,SEARCH("MODEL",F1788)+6,20),""))</f>
        <v>0</v>
      </c>
      <c r="J1788">
        <f>'Raw Data'!H1788</f>
        <v>0</v>
      </c>
      <c r="K1788">
        <f>'Raw Data'!I1788</f>
        <v>0</v>
      </c>
      <c r="L1788">
        <f>IF('Raw Data'!N1788&lt;&gt;0,'Raw Data'!N1788,IFERROR(VALUE(MID(F1788,SEARCH("QTY",F1788)+4,IFERROR(FIND(" ",F1788,SEARCH("QTY",F1788)+4)-(SEARCH("QTY",F1788)+4),3))),""))</f>
        <v>0</v>
      </c>
      <c r="M1788">
        <f>'Raw Data'!O1788</f>
        <v>0</v>
      </c>
      <c r="N1788">
        <f>'Raw Data'!P1788</f>
        <v>0</v>
      </c>
      <c r="O1788">
        <f>'Raw Data'!Q1788</f>
        <v>0</v>
      </c>
      <c r="P1788">
        <f>'Raw Data'!R1788</f>
        <v>0</v>
      </c>
      <c r="Q1788">
        <f>'Raw Data'!S1788</f>
        <v>0</v>
      </c>
      <c r="R1788">
        <f>'Raw Data'!T1788</f>
        <v>0</v>
      </c>
      <c r="S1788">
        <f>IFERROR(O1788,0)+IFERROR(R1788,0)</f>
        <v>0</v>
      </c>
      <c r="T1788">
        <f>IF(A1788="","",YEAR(A1788))</f>
        <v>0</v>
      </c>
    </row>
    <row r="1789" spans="1:20">
      <c r="A1789">
        <f>'Raw Data'!B1789</f>
        <v>0</v>
      </c>
      <c r="B1789">
        <f>'Raw Data'!A1789</f>
        <v>0</v>
      </c>
      <c r="C1789">
        <f>'Raw Data'!C1789</f>
        <v>0</v>
      </c>
      <c r="D1789">
        <f>'Raw Data'!D1789</f>
        <v>0</v>
      </c>
      <c r="E1789">
        <f>IFERROR(VLOOKUP(D1789,'Lookup Tables'!$A:$B,2,FALSE),"Unknown")</f>
        <v>0</v>
      </c>
      <c r="F1789">
        <f>'Raw Data'!E1789</f>
        <v>0</v>
      </c>
      <c r="G1789">
        <f>IFERROR(VLOOKUP(D1789,'Lookup Tables'!$A:$C,3,FALSE),IF(ISNUMBER(SEARCH("STEEL",F1789)),"Steel","Others"))</f>
        <v>0</v>
      </c>
      <c r="H1789">
        <f>IF(ISNUMBER(SEARCH("scrubber",F1789)) , "Scrubber", IF(ISNUMBER(SEARCH("container",F1789)),"Container", IF(ISNUMBER(SEARCH("basket",F1789)),"Basket", IF(ISNUMBER(SEARCH("lunch",F1789)),"Lunch Box", IF(ISNUMBER(SEARCH("cutlery",F1789)),"Cutlery","Other")))))</f>
        <v>0</v>
      </c>
      <c r="I1789">
        <f>IF('Raw Data'!G1789&lt;&gt;'','Raw Data'!G1789,IFERROR(MID(F1789,SEARCH("MODEL",F1789)+6,20),""))</f>
        <v>0</v>
      </c>
      <c r="J1789">
        <f>'Raw Data'!H1789</f>
        <v>0</v>
      </c>
      <c r="K1789">
        <f>'Raw Data'!I1789</f>
        <v>0</v>
      </c>
      <c r="L1789">
        <f>IF('Raw Data'!N1789&lt;&gt;0,'Raw Data'!N1789,IFERROR(VALUE(MID(F1789,SEARCH("QTY",F1789)+4,IFERROR(FIND(" ",F1789,SEARCH("QTY",F1789)+4)-(SEARCH("QTY",F1789)+4),3))),""))</f>
        <v>0</v>
      </c>
      <c r="M1789">
        <f>'Raw Data'!O1789</f>
        <v>0</v>
      </c>
      <c r="N1789">
        <f>'Raw Data'!P1789</f>
        <v>0</v>
      </c>
      <c r="O1789">
        <f>'Raw Data'!Q1789</f>
        <v>0</v>
      </c>
      <c r="P1789">
        <f>'Raw Data'!R1789</f>
        <v>0</v>
      </c>
      <c r="Q1789">
        <f>'Raw Data'!S1789</f>
        <v>0</v>
      </c>
      <c r="R1789">
        <f>'Raw Data'!T1789</f>
        <v>0</v>
      </c>
      <c r="S1789">
        <f>IFERROR(O1789,0)+IFERROR(R1789,0)</f>
        <v>0</v>
      </c>
      <c r="T1789">
        <f>IF(A1789="","",YEAR(A1789))</f>
        <v>0</v>
      </c>
    </row>
    <row r="1790" spans="1:20">
      <c r="A1790">
        <f>'Raw Data'!B1790</f>
        <v>0</v>
      </c>
      <c r="B1790">
        <f>'Raw Data'!A1790</f>
        <v>0</v>
      </c>
      <c r="C1790">
        <f>'Raw Data'!C1790</f>
        <v>0</v>
      </c>
      <c r="D1790">
        <f>'Raw Data'!D1790</f>
        <v>0</v>
      </c>
      <c r="E1790">
        <f>IFERROR(VLOOKUP(D1790,'Lookup Tables'!$A:$B,2,FALSE),"Unknown")</f>
        <v>0</v>
      </c>
      <c r="F1790">
        <f>'Raw Data'!E1790</f>
        <v>0</v>
      </c>
      <c r="G1790">
        <f>IFERROR(VLOOKUP(D1790,'Lookup Tables'!$A:$C,3,FALSE),IF(ISNUMBER(SEARCH("STEEL",F1790)),"Steel","Others"))</f>
        <v>0</v>
      </c>
      <c r="H1790">
        <f>IF(ISNUMBER(SEARCH("scrubber",F1790)) , "Scrubber", IF(ISNUMBER(SEARCH("container",F1790)),"Container", IF(ISNUMBER(SEARCH("basket",F1790)),"Basket", IF(ISNUMBER(SEARCH("lunch",F1790)),"Lunch Box", IF(ISNUMBER(SEARCH("cutlery",F1790)),"Cutlery","Other")))))</f>
        <v>0</v>
      </c>
      <c r="I1790">
        <f>IF('Raw Data'!G1790&lt;&gt;'','Raw Data'!G1790,IFERROR(MID(F1790,SEARCH("MODEL",F1790)+6,20),""))</f>
        <v>0</v>
      </c>
      <c r="J1790">
        <f>'Raw Data'!H1790</f>
        <v>0</v>
      </c>
      <c r="K1790">
        <f>'Raw Data'!I1790</f>
        <v>0</v>
      </c>
      <c r="L1790">
        <f>IF('Raw Data'!N1790&lt;&gt;0,'Raw Data'!N1790,IFERROR(VALUE(MID(F1790,SEARCH("QTY",F1790)+4,IFERROR(FIND(" ",F1790,SEARCH("QTY",F1790)+4)-(SEARCH("QTY",F1790)+4),3))),""))</f>
        <v>0</v>
      </c>
      <c r="M1790">
        <f>'Raw Data'!O1790</f>
        <v>0</v>
      </c>
      <c r="N1790">
        <f>'Raw Data'!P1790</f>
        <v>0</v>
      </c>
      <c r="O1790">
        <f>'Raw Data'!Q1790</f>
        <v>0</v>
      </c>
      <c r="P1790">
        <f>'Raw Data'!R1790</f>
        <v>0</v>
      </c>
      <c r="Q1790">
        <f>'Raw Data'!S1790</f>
        <v>0</v>
      </c>
      <c r="R1790">
        <f>'Raw Data'!T1790</f>
        <v>0</v>
      </c>
      <c r="S1790">
        <f>IFERROR(O1790,0)+IFERROR(R1790,0)</f>
        <v>0</v>
      </c>
      <c r="T1790">
        <f>IF(A1790="","",YEAR(A1790))</f>
        <v>0</v>
      </c>
    </row>
    <row r="1791" spans="1:20">
      <c r="A1791">
        <f>'Raw Data'!B1791</f>
        <v>0</v>
      </c>
      <c r="B1791">
        <f>'Raw Data'!A1791</f>
        <v>0</v>
      </c>
      <c r="C1791">
        <f>'Raw Data'!C1791</f>
        <v>0</v>
      </c>
      <c r="D1791">
        <f>'Raw Data'!D1791</f>
        <v>0</v>
      </c>
      <c r="E1791">
        <f>IFERROR(VLOOKUP(D1791,'Lookup Tables'!$A:$B,2,FALSE),"Unknown")</f>
        <v>0</v>
      </c>
      <c r="F1791">
        <f>'Raw Data'!E1791</f>
        <v>0</v>
      </c>
      <c r="G1791">
        <f>IFERROR(VLOOKUP(D1791,'Lookup Tables'!$A:$C,3,FALSE),IF(ISNUMBER(SEARCH("STEEL",F1791)),"Steel","Others"))</f>
        <v>0</v>
      </c>
      <c r="H1791">
        <f>IF(ISNUMBER(SEARCH("scrubber",F1791)) , "Scrubber", IF(ISNUMBER(SEARCH("container",F1791)),"Container", IF(ISNUMBER(SEARCH("basket",F1791)),"Basket", IF(ISNUMBER(SEARCH("lunch",F1791)),"Lunch Box", IF(ISNUMBER(SEARCH("cutlery",F1791)),"Cutlery","Other")))))</f>
        <v>0</v>
      </c>
      <c r="I1791">
        <f>IF('Raw Data'!G1791&lt;&gt;'','Raw Data'!G1791,IFERROR(MID(F1791,SEARCH("MODEL",F1791)+6,20),""))</f>
        <v>0</v>
      </c>
      <c r="J1791">
        <f>'Raw Data'!H1791</f>
        <v>0</v>
      </c>
      <c r="K1791">
        <f>'Raw Data'!I1791</f>
        <v>0</v>
      </c>
      <c r="L1791">
        <f>IF('Raw Data'!N1791&lt;&gt;0,'Raw Data'!N1791,IFERROR(VALUE(MID(F1791,SEARCH("QTY",F1791)+4,IFERROR(FIND(" ",F1791,SEARCH("QTY",F1791)+4)-(SEARCH("QTY",F1791)+4),3))),""))</f>
        <v>0</v>
      </c>
      <c r="M1791">
        <f>'Raw Data'!O1791</f>
        <v>0</v>
      </c>
      <c r="N1791">
        <f>'Raw Data'!P1791</f>
        <v>0</v>
      </c>
      <c r="O1791">
        <f>'Raw Data'!Q1791</f>
        <v>0</v>
      </c>
      <c r="P1791">
        <f>'Raw Data'!R1791</f>
        <v>0</v>
      </c>
      <c r="Q1791">
        <f>'Raw Data'!S1791</f>
        <v>0</v>
      </c>
      <c r="R1791">
        <f>'Raw Data'!T1791</f>
        <v>0</v>
      </c>
      <c r="S1791">
        <f>IFERROR(O1791,0)+IFERROR(R1791,0)</f>
        <v>0</v>
      </c>
      <c r="T1791">
        <f>IF(A1791="","",YEAR(A1791))</f>
        <v>0</v>
      </c>
    </row>
    <row r="1792" spans="1:20">
      <c r="A1792">
        <f>'Raw Data'!B1792</f>
        <v>0</v>
      </c>
      <c r="B1792">
        <f>'Raw Data'!A1792</f>
        <v>0</v>
      </c>
      <c r="C1792">
        <f>'Raw Data'!C1792</f>
        <v>0</v>
      </c>
      <c r="D1792">
        <f>'Raw Data'!D1792</f>
        <v>0</v>
      </c>
      <c r="E1792">
        <f>IFERROR(VLOOKUP(D1792,'Lookup Tables'!$A:$B,2,FALSE),"Unknown")</f>
        <v>0</v>
      </c>
      <c r="F1792">
        <f>'Raw Data'!E1792</f>
        <v>0</v>
      </c>
      <c r="G1792">
        <f>IFERROR(VLOOKUP(D1792,'Lookup Tables'!$A:$C,3,FALSE),IF(ISNUMBER(SEARCH("STEEL",F1792)),"Steel","Others"))</f>
        <v>0</v>
      </c>
      <c r="H1792">
        <f>IF(ISNUMBER(SEARCH("scrubber",F1792)) , "Scrubber", IF(ISNUMBER(SEARCH("container",F1792)),"Container", IF(ISNUMBER(SEARCH("basket",F1792)),"Basket", IF(ISNUMBER(SEARCH("lunch",F1792)),"Lunch Box", IF(ISNUMBER(SEARCH("cutlery",F1792)),"Cutlery","Other")))))</f>
        <v>0</v>
      </c>
      <c r="I1792">
        <f>IF('Raw Data'!G1792&lt;&gt;'','Raw Data'!G1792,IFERROR(MID(F1792,SEARCH("MODEL",F1792)+6,20),""))</f>
        <v>0</v>
      </c>
      <c r="J1792">
        <f>'Raw Data'!H1792</f>
        <v>0</v>
      </c>
      <c r="K1792">
        <f>'Raw Data'!I1792</f>
        <v>0</v>
      </c>
      <c r="L1792">
        <f>IF('Raw Data'!N1792&lt;&gt;0,'Raw Data'!N1792,IFERROR(VALUE(MID(F1792,SEARCH("QTY",F1792)+4,IFERROR(FIND(" ",F1792,SEARCH("QTY",F1792)+4)-(SEARCH("QTY",F1792)+4),3))),""))</f>
        <v>0</v>
      </c>
      <c r="M1792">
        <f>'Raw Data'!O1792</f>
        <v>0</v>
      </c>
      <c r="N1792">
        <f>'Raw Data'!P1792</f>
        <v>0</v>
      </c>
      <c r="O1792">
        <f>'Raw Data'!Q1792</f>
        <v>0</v>
      </c>
      <c r="P1792">
        <f>'Raw Data'!R1792</f>
        <v>0</v>
      </c>
      <c r="Q1792">
        <f>'Raw Data'!S1792</f>
        <v>0</v>
      </c>
      <c r="R1792">
        <f>'Raw Data'!T1792</f>
        <v>0</v>
      </c>
      <c r="S1792">
        <f>IFERROR(O1792,0)+IFERROR(R1792,0)</f>
        <v>0</v>
      </c>
      <c r="T1792">
        <f>IF(A1792="","",YEAR(A1792))</f>
        <v>0</v>
      </c>
    </row>
    <row r="1793" spans="1:20">
      <c r="A1793">
        <f>'Raw Data'!B1793</f>
        <v>0</v>
      </c>
      <c r="B1793">
        <f>'Raw Data'!A1793</f>
        <v>0</v>
      </c>
      <c r="C1793">
        <f>'Raw Data'!C1793</f>
        <v>0</v>
      </c>
      <c r="D1793">
        <f>'Raw Data'!D1793</f>
        <v>0</v>
      </c>
      <c r="E1793">
        <f>IFERROR(VLOOKUP(D1793,'Lookup Tables'!$A:$B,2,FALSE),"Unknown")</f>
        <v>0</v>
      </c>
      <c r="F1793">
        <f>'Raw Data'!E1793</f>
        <v>0</v>
      </c>
      <c r="G1793">
        <f>IFERROR(VLOOKUP(D1793,'Lookup Tables'!$A:$C,3,FALSE),IF(ISNUMBER(SEARCH("STEEL",F1793)),"Steel","Others"))</f>
        <v>0</v>
      </c>
      <c r="H1793">
        <f>IF(ISNUMBER(SEARCH("scrubber",F1793)) , "Scrubber", IF(ISNUMBER(SEARCH("container",F1793)),"Container", IF(ISNUMBER(SEARCH("basket",F1793)),"Basket", IF(ISNUMBER(SEARCH("lunch",F1793)),"Lunch Box", IF(ISNUMBER(SEARCH("cutlery",F1793)),"Cutlery","Other")))))</f>
        <v>0</v>
      </c>
      <c r="I1793">
        <f>IF('Raw Data'!G1793&lt;&gt;'','Raw Data'!G1793,IFERROR(MID(F1793,SEARCH("MODEL",F1793)+6,20),""))</f>
        <v>0</v>
      </c>
      <c r="J1793">
        <f>'Raw Data'!H1793</f>
        <v>0</v>
      </c>
      <c r="K1793">
        <f>'Raw Data'!I1793</f>
        <v>0</v>
      </c>
      <c r="L1793">
        <f>IF('Raw Data'!N1793&lt;&gt;0,'Raw Data'!N1793,IFERROR(VALUE(MID(F1793,SEARCH("QTY",F1793)+4,IFERROR(FIND(" ",F1793,SEARCH("QTY",F1793)+4)-(SEARCH("QTY",F1793)+4),3))),""))</f>
        <v>0</v>
      </c>
      <c r="M1793">
        <f>'Raw Data'!O1793</f>
        <v>0</v>
      </c>
      <c r="N1793">
        <f>'Raw Data'!P1793</f>
        <v>0</v>
      </c>
      <c r="O1793">
        <f>'Raw Data'!Q1793</f>
        <v>0</v>
      </c>
      <c r="P1793">
        <f>'Raw Data'!R1793</f>
        <v>0</v>
      </c>
      <c r="Q1793">
        <f>'Raw Data'!S1793</f>
        <v>0</v>
      </c>
      <c r="R1793">
        <f>'Raw Data'!T1793</f>
        <v>0</v>
      </c>
      <c r="S1793">
        <f>IFERROR(O1793,0)+IFERROR(R1793,0)</f>
        <v>0</v>
      </c>
      <c r="T1793">
        <f>IF(A1793="","",YEAR(A1793))</f>
        <v>0</v>
      </c>
    </row>
    <row r="1794" spans="1:20">
      <c r="A1794">
        <f>'Raw Data'!B1794</f>
        <v>0</v>
      </c>
      <c r="B1794">
        <f>'Raw Data'!A1794</f>
        <v>0</v>
      </c>
      <c r="C1794">
        <f>'Raw Data'!C1794</f>
        <v>0</v>
      </c>
      <c r="D1794">
        <f>'Raw Data'!D1794</f>
        <v>0</v>
      </c>
      <c r="E1794">
        <f>IFERROR(VLOOKUP(D1794,'Lookup Tables'!$A:$B,2,FALSE),"Unknown")</f>
        <v>0</v>
      </c>
      <c r="F1794">
        <f>'Raw Data'!E1794</f>
        <v>0</v>
      </c>
      <c r="G1794">
        <f>IFERROR(VLOOKUP(D1794,'Lookup Tables'!$A:$C,3,FALSE),IF(ISNUMBER(SEARCH("STEEL",F1794)),"Steel","Others"))</f>
        <v>0</v>
      </c>
      <c r="H1794">
        <f>IF(ISNUMBER(SEARCH("scrubber",F1794)) , "Scrubber", IF(ISNUMBER(SEARCH("container",F1794)),"Container", IF(ISNUMBER(SEARCH("basket",F1794)),"Basket", IF(ISNUMBER(SEARCH("lunch",F1794)),"Lunch Box", IF(ISNUMBER(SEARCH("cutlery",F1794)),"Cutlery","Other")))))</f>
        <v>0</v>
      </c>
      <c r="I1794">
        <f>IF('Raw Data'!G1794&lt;&gt;'','Raw Data'!G1794,IFERROR(MID(F1794,SEARCH("MODEL",F1794)+6,20),""))</f>
        <v>0</v>
      </c>
      <c r="J1794">
        <f>'Raw Data'!H1794</f>
        <v>0</v>
      </c>
      <c r="K1794">
        <f>'Raw Data'!I1794</f>
        <v>0</v>
      </c>
      <c r="L1794">
        <f>IF('Raw Data'!N1794&lt;&gt;0,'Raw Data'!N1794,IFERROR(VALUE(MID(F1794,SEARCH("QTY",F1794)+4,IFERROR(FIND(" ",F1794,SEARCH("QTY",F1794)+4)-(SEARCH("QTY",F1794)+4),3))),""))</f>
        <v>0</v>
      </c>
      <c r="M1794">
        <f>'Raw Data'!O1794</f>
        <v>0</v>
      </c>
      <c r="N1794">
        <f>'Raw Data'!P1794</f>
        <v>0</v>
      </c>
      <c r="O1794">
        <f>'Raw Data'!Q1794</f>
        <v>0</v>
      </c>
      <c r="P1794">
        <f>'Raw Data'!R1794</f>
        <v>0</v>
      </c>
      <c r="Q1794">
        <f>'Raw Data'!S1794</f>
        <v>0</v>
      </c>
      <c r="R1794">
        <f>'Raw Data'!T1794</f>
        <v>0</v>
      </c>
      <c r="S1794">
        <f>IFERROR(O1794,0)+IFERROR(R1794,0)</f>
        <v>0</v>
      </c>
      <c r="T1794">
        <f>IF(A1794="","",YEAR(A1794))</f>
        <v>0</v>
      </c>
    </row>
    <row r="1795" spans="1:20">
      <c r="A1795">
        <f>'Raw Data'!B1795</f>
        <v>0</v>
      </c>
      <c r="B1795">
        <f>'Raw Data'!A1795</f>
        <v>0</v>
      </c>
      <c r="C1795">
        <f>'Raw Data'!C1795</f>
        <v>0</v>
      </c>
      <c r="D1795">
        <f>'Raw Data'!D1795</f>
        <v>0</v>
      </c>
      <c r="E1795">
        <f>IFERROR(VLOOKUP(D1795,'Lookup Tables'!$A:$B,2,FALSE),"Unknown")</f>
        <v>0</v>
      </c>
      <c r="F1795">
        <f>'Raw Data'!E1795</f>
        <v>0</v>
      </c>
      <c r="G1795">
        <f>IFERROR(VLOOKUP(D1795,'Lookup Tables'!$A:$C,3,FALSE),IF(ISNUMBER(SEARCH("STEEL",F1795)),"Steel","Others"))</f>
        <v>0</v>
      </c>
      <c r="H1795">
        <f>IF(ISNUMBER(SEARCH("scrubber",F1795)) , "Scrubber", IF(ISNUMBER(SEARCH("container",F1795)),"Container", IF(ISNUMBER(SEARCH("basket",F1795)),"Basket", IF(ISNUMBER(SEARCH("lunch",F1795)),"Lunch Box", IF(ISNUMBER(SEARCH("cutlery",F1795)),"Cutlery","Other")))))</f>
        <v>0</v>
      </c>
      <c r="I1795">
        <f>IF('Raw Data'!G1795&lt;&gt;'','Raw Data'!G1795,IFERROR(MID(F1795,SEARCH("MODEL",F1795)+6,20),""))</f>
        <v>0</v>
      </c>
      <c r="J1795">
        <f>'Raw Data'!H1795</f>
        <v>0</v>
      </c>
      <c r="K1795">
        <f>'Raw Data'!I1795</f>
        <v>0</v>
      </c>
      <c r="L1795">
        <f>IF('Raw Data'!N1795&lt;&gt;0,'Raw Data'!N1795,IFERROR(VALUE(MID(F1795,SEARCH("QTY",F1795)+4,IFERROR(FIND(" ",F1795,SEARCH("QTY",F1795)+4)-(SEARCH("QTY",F1795)+4),3))),""))</f>
        <v>0</v>
      </c>
      <c r="M1795">
        <f>'Raw Data'!O1795</f>
        <v>0</v>
      </c>
      <c r="N1795">
        <f>'Raw Data'!P1795</f>
        <v>0</v>
      </c>
      <c r="O1795">
        <f>'Raw Data'!Q1795</f>
        <v>0</v>
      </c>
      <c r="P1795">
        <f>'Raw Data'!R1795</f>
        <v>0</v>
      </c>
      <c r="Q1795">
        <f>'Raw Data'!S1795</f>
        <v>0</v>
      </c>
      <c r="R1795">
        <f>'Raw Data'!T1795</f>
        <v>0</v>
      </c>
      <c r="S1795">
        <f>IFERROR(O1795,0)+IFERROR(R1795,0)</f>
        <v>0</v>
      </c>
      <c r="T1795">
        <f>IF(A1795="","",YEAR(A1795))</f>
        <v>0</v>
      </c>
    </row>
    <row r="1796" spans="1:20">
      <c r="A1796">
        <f>'Raw Data'!B1796</f>
        <v>0</v>
      </c>
      <c r="B1796">
        <f>'Raw Data'!A1796</f>
        <v>0</v>
      </c>
      <c r="C1796">
        <f>'Raw Data'!C1796</f>
        <v>0</v>
      </c>
      <c r="D1796">
        <f>'Raw Data'!D1796</f>
        <v>0</v>
      </c>
      <c r="E1796">
        <f>IFERROR(VLOOKUP(D1796,'Lookup Tables'!$A:$B,2,FALSE),"Unknown")</f>
        <v>0</v>
      </c>
      <c r="F1796">
        <f>'Raw Data'!E1796</f>
        <v>0</v>
      </c>
      <c r="G1796">
        <f>IFERROR(VLOOKUP(D1796,'Lookup Tables'!$A:$C,3,FALSE),IF(ISNUMBER(SEARCH("STEEL",F1796)),"Steel","Others"))</f>
        <v>0</v>
      </c>
      <c r="H1796">
        <f>IF(ISNUMBER(SEARCH("scrubber",F1796)) , "Scrubber", IF(ISNUMBER(SEARCH("container",F1796)),"Container", IF(ISNUMBER(SEARCH("basket",F1796)),"Basket", IF(ISNUMBER(SEARCH("lunch",F1796)),"Lunch Box", IF(ISNUMBER(SEARCH("cutlery",F1796)),"Cutlery","Other")))))</f>
        <v>0</v>
      </c>
      <c r="I1796">
        <f>IF('Raw Data'!G1796&lt;&gt;'','Raw Data'!G1796,IFERROR(MID(F1796,SEARCH("MODEL",F1796)+6,20),""))</f>
        <v>0</v>
      </c>
      <c r="J1796">
        <f>'Raw Data'!H1796</f>
        <v>0</v>
      </c>
      <c r="K1796">
        <f>'Raw Data'!I1796</f>
        <v>0</v>
      </c>
      <c r="L1796">
        <f>IF('Raw Data'!N1796&lt;&gt;0,'Raw Data'!N1796,IFERROR(VALUE(MID(F1796,SEARCH("QTY",F1796)+4,IFERROR(FIND(" ",F1796,SEARCH("QTY",F1796)+4)-(SEARCH("QTY",F1796)+4),3))),""))</f>
        <v>0</v>
      </c>
      <c r="M1796">
        <f>'Raw Data'!O1796</f>
        <v>0</v>
      </c>
      <c r="N1796">
        <f>'Raw Data'!P1796</f>
        <v>0</v>
      </c>
      <c r="O1796">
        <f>'Raw Data'!Q1796</f>
        <v>0</v>
      </c>
      <c r="P1796">
        <f>'Raw Data'!R1796</f>
        <v>0</v>
      </c>
      <c r="Q1796">
        <f>'Raw Data'!S1796</f>
        <v>0</v>
      </c>
      <c r="R1796">
        <f>'Raw Data'!T1796</f>
        <v>0</v>
      </c>
      <c r="S1796">
        <f>IFERROR(O1796,0)+IFERROR(R1796,0)</f>
        <v>0</v>
      </c>
      <c r="T1796">
        <f>IF(A1796="","",YEAR(A1796))</f>
        <v>0</v>
      </c>
    </row>
    <row r="1797" spans="1:20">
      <c r="A1797">
        <f>'Raw Data'!B1797</f>
        <v>0</v>
      </c>
      <c r="B1797">
        <f>'Raw Data'!A1797</f>
        <v>0</v>
      </c>
      <c r="C1797">
        <f>'Raw Data'!C1797</f>
        <v>0</v>
      </c>
      <c r="D1797">
        <f>'Raw Data'!D1797</f>
        <v>0</v>
      </c>
      <c r="E1797">
        <f>IFERROR(VLOOKUP(D1797,'Lookup Tables'!$A:$B,2,FALSE),"Unknown")</f>
        <v>0</v>
      </c>
      <c r="F1797">
        <f>'Raw Data'!E1797</f>
        <v>0</v>
      </c>
      <c r="G1797">
        <f>IFERROR(VLOOKUP(D1797,'Lookup Tables'!$A:$C,3,FALSE),IF(ISNUMBER(SEARCH("STEEL",F1797)),"Steel","Others"))</f>
        <v>0</v>
      </c>
      <c r="H1797">
        <f>IF(ISNUMBER(SEARCH("scrubber",F1797)) , "Scrubber", IF(ISNUMBER(SEARCH("container",F1797)),"Container", IF(ISNUMBER(SEARCH("basket",F1797)),"Basket", IF(ISNUMBER(SEARCH("lunch",F1797)),"Lunch Box", IF(ISNUMBER(SEARCH("cutlery",F1797)),"Cutlery","Other")))))</f>
        <v>0</v>
      </c>
      <c r="I1797">
        <f>IF('Raw Data'!G1797&lt;&gt;'','Raw Data'!G1797,IFERROR(MID(F1797,SEARCH("MODEL",F1797)+6,20),""))</f>
        <v>0</v>
      </c>
      <c r="J1797">
        <f>'Raw Data'!H1797</f>
        <v>0</v>
      </c>
      <c r="K1797">
        <f>'Raw Data'!I1797</f>
        <v>0</v>
      </c>
      <c r="L1797">
        <f>IF('Raw Data'!N1797&lt;&gt;0,'Raw Data'!N1797,IFERROR(VALUE(MID(F1797,SEARCH("QTY",F1797)+4,IFERROR(FIND(" ",F1797,SEARCH("QTY",F1797)+4)-(SEARCH("QTY",F1797)+4),3))),""))</f>
        <v>0</v>
      </c>
      <c r="M1797">
        <f>'Raw Data'!O1797</f>
        <v>0</v>
      </c>
      <c r="N1797">
        <f>'Raw Data'!P1797</f>
        <v>0</v>
      </c>
      <c r="O1797">
        <f>'Raw Data'!Q1797</f>
        <v>0</v>
      </c>
      <c r="P1797">
        <f>'Raw Data'!R1797</f>
        <v>0</v>
      </c>
      <c r="Q1797">
        <f>'Raw Data'!S1797</f>
        <v>0</v>
      </c>
      <c r="R1797">
        <f>'Raw Data'!T1797</f>
        <v>0</v>
      </c>
      <c r="S1797">
        <f>IFERROR(O1797,0)+IFERROR(R1797,0)</f>
        <v>0</v>
      </c>
      <c r="T1797">
        <f>IF(A1797="","",YEAR(A1797))</f>
        <v>0</v>
      </c>
    </row>
    <row r="1798" spans="1:20">
      <c r="A1798">
        <f>'Raw Data'!B1798</f>
        <v>0</v>
      </c>
      <c r="B1798">
        <f>'Raw Data'!A1798</f>
        <v>0</v>
      </c>
      <c r="C1798">
        <f>'Raw Data'!C1798</f>
        <v>0</v>
      </c>
      <c r="D1798">
        <f>'Raw Data'!D1798</f>
        <v>0</v>
      </c>
      <c r="E1798">
        <f>IFERROR(VLOOKUP(D1798,'Lookup Tables'!$A:$B,2,FALSE),"Unknown")</f>
        <v>0</v>
      </c>
      <c r="F1798">
        <f>'Raw Data'!E1798</f>
        <v>0</v>
      </c>
      <c r="G1798">
        <f>IFERROR(VLOOKUP(D1798,'Lookup Tables'!$A:$C,3,FALSE),IF(ISNUMBER(SEARCH("STEEL",F1798)),"Steel","Others"))</f>
        <v>0</v>
      </c>
      <c r="H1798">
        <f>IF(ISNUMBER(SEARCH("scrubber",F1798)) , "Scrubber", IF(ISNUMBER(SEARCH("container",F1798)),"Container", IF(ISNUMBER(SEARCH("basket",F1798)),"Basket", IF(ISNUMBER(SEARCH("lunch",F1798)),"Lunch Box", IF(ISNUMBER(SEARCH("cutlery",F1798)),"Cutlery","Other")))))</f>
        <v>0</v>
      </c>
      <c r="I1798">
        <f>IF('Raw Data'!G1798&lt;&gt;'','Raw Data'!G1798,IFERROR(MID(F1798,SEARCH("MODEL",F1798)+6,20),""))</f>
        <v>0</v>
      </c>
      <c r="J1798">
        <f>'Raw Data'!H1798</f>
        <v>0</v>
      </c>
      <c r="K1798">
        <f>'Raw Data'!I1798</f>
        <v>0</v>
      </c>
      <c r="L1798">
        <f>IF('Raw Data'!N1798&lt;&gt;0,'Raw Data'!N1798,IFERROR(VALUE(MID(F1798,SEARCH("QTY",F1798)+4,IFERROR(FIND(" ",F1798,SEARCH("QTY",F1798)+4)-(SEARCH("QTY",F1798)+4),3))),""))</f>
        <v>0</v>
      </c>
      <c r="M1798">
        <f>'Raw Data'!O1798</f>
        <v>0</v>
      </c>
      <c r="N1798">
        <f>'Raw Data'!P1798</f>
        <v>0</v>
      </c>
      <c r="O1798">
        <f>'Raw Data'!Q1798</f>
        <v>0</v>
      </c>
      <c r="P1798">
        <f>'Raw Data'!R1798</f>
        <v>0</v>
      </c>
      <c r="Q1798">
        <f>'Raw Data'!S1798</f>
        <v>0</v>
      </c>
      <c r="R1798">
        <f>'Raw Data'!T1798</f>
        <v>0</v>
      </c>
      <c r="S1798">
        <f>IFERROR(O1798,0)+IFERROR(R1798,0)</f>
        <v>0</v>
      </c>
      <c r="T1798">
        <f>IF(A1798="","",YEAR(A1798))</f>
        <v>0</v>
      </c>
    </row>
    <row r="1799" spans="1:20">
      <c r="A1799">
        <f>'Raw Data'!B1799</f>
        <v>0</v>
      </c>
      <c r="B1799">
        <f>'Raw Data'!A1799</f>
        <v>0</v>
      </c>
      <c r="C1799">
        <f>'Raw Data'!C1799</f>
        <v>0</v>
      </c>
      <c r="D1799">
        <f>'Raw Data'!D1799</f>
        <v>0</v>
      </c>
      <c r="E1799">
        <f>IFERROR(VLOOKUP(D1799,'Lookup Tables'!$A:$B,2,FALSE),"Unknown")</f>
        <v>0</v>
      </c>
      <c r="F1799">
        <f>'Raw Data'!E1799</f>
        <v>0</v>
      </c>
      <c r="G1799">
        <f>IFERROR(VLOOKUP(D1799,'Lookup Tables'!$A:$C,3,FALSE),IF(ISNUMBER(SEARCH("STEEL",F1799)),"Steel","Others"))</f>
        <v>0</v>
      </c>
      <c r="H1799">
        <f>IF(ISNUMBER(SEARCH("scrubber",F1799)) , "Scrubber", IF(ISNUMBER(SEARCH("container",F1799)),"Container", IF(ISNUMBER(SEARCH("basket",F1799)),"Basket", IF(ISNUMBER(SEARCH("lunch",F1799)),"Lunch Box", IF(ISNUMBER(SEARCH("cutlery",F1799)),"Cutlery","Other")))))</f>
        <v>0</v>
      </c>
      <c r="I1799">
        <f>IF('Raw Data'!G1799&lt;&gt;'','Raw Data'!G1799,IFERROR(MID(F1799,SEARCH("MODEL",F1799)+6,20),""))</f>
        <v>0</v>
      </c>
      <c r="J1799">
        <f>'Raw Data'!H1799</f>
        <v>0</v>
      </c>
      <c r="K1799">
        <f>'Raw Data'!I1799</f>
        <v>0</v>
      </c>
      <c r="L1799">
        <f>IF('Raw Data'!N1799&lt;&gt;0,'Raw Data'!N1799,IFERROR(VALUE(MID(F1799,SEARCH("QTY",F1799)+4,IFERROR(FIND(" ",F1799,SEARCH("QTY",F1799)+4)-(SEARCH("QTY",F1799)+4),3))),""))</f>
        <v>0</v>
      </c>
      <c r="M1799">
        <f>'Raw Data'!O1799</f>
        <v>0</v>
      </c>
      <c r="N1799">
        <f>'Raw Data'!P1799</f>
        <v>0</v>
      </c>
      <c r="O1799">
        <f>'Raw Data'!Q1799</f>
        <v>0</v>
      </c>
      <c r="P1799">
        <f>'Raw Data'!R1799</f>
        <v>0</v>
      </c>
      <c r="Q1799">
        <f>'Raw Data'!S1799</f>
        <v>0</v>
      </c>
      <c r="R1799">
        <f>'Raw Data'!T1799</f>
        <v>0</v>
      </c>
      <c r="S1799">
        <f>IFERROR(O1799,0)+IFERROR(R1799,0)</f>
        <v>0</v>
      </c>
      <c r="T1799">
        <f>IF(A1799="","",YEAR(A1799))</f>
        <v>0</v>
      </c>
    </row>
    <row r="1800" spans="1:20">
      <c r="A1800">
        <f>'Raw Data'!B1800</f>
        <v>0</v>
      </c>
      <c r="B1800">
        <f>'Raw Data'!A1800</f>
        <v>0</v>
      </c>
      <c r="C1800">
        <f>'Raw Data'!C1800</f>
        <v>0</v>
      </c>
      <c r="D1800">
        <f>'Raw Data'!D1800</f>
        <v>0</v>
      </c>
      <c r="E1800">
        <f>IFERROR(VLOOKUP(D1800,'Lookup Tables'!$A:$B,2,FALSE),"Unknown")</f>
        <v>0</v>
      </c>
      <c r="F1800">
        <f>'Raw Data'!E1800</f>
        <v>0</v>
      </c>
      <c r="G1800">
        <f>IFERROR(VLOOKUP(D1800,'Lookup Tables'!$A:$C,3,FALSE),IF(ISNUMBER(SEARCH("STEEL",F1800)),"Steel","Others"))</f>
        <v>0</v>
      </c>
      <c r="H1800">
        <f>IF(ISNUMBER(SEARCH("scrubber",F1800)) , "Scrubber", IF(ISNUMBER(SEARCH("container",F1800)),"Container", IF(ISNUMBER(SEARCH("basket",F1800)),"Basket", IF(ISNUMBER(SEARCH("lunch",F1800)),"Lunch Box", IF(ISNUMBER(SEARCH("cutlery",F1800)),"Cutlery","Other")))))</f>
        <v>0</v>
      </c>
      <c r="I1800">
        <f>IF('Raw Data'!G1800&lt;&gt;'','Raw Data'!G1800,IFERROR(MID(F1800,SEARCH("MODEL",F1800)+6,20),""))</f>
        <v>0</v>
      </c>
      <c r="J1800">
        <f>'Raw Data'!H1800</f>
        <v>0</v>
      </c>
      <c r="K1800">
        <f>'Raw Data'!I1800</f>
        <v>0</v>
      </c>
      <c r="L1800">
        <f>IF('Raw Data'!N1800&lt;&gt;0,'Raw Data'!N1800,IFERROR(VALUE(MID(F1800,SEARCH("QTY",F1800)+4,IFERROR(FIND(" ",F1800,SEARCH("QTY",F1800)+4)-(SEARCH("QTY",F1800)+4),3))),""))</f>
        <v>0</v>
      </c>
      <c r="M1800">
        <f>'Raw Data'!O1800</f>
        <v>0</v>
      </c>
      <c r="N1800">
        <f>'Raw Data'!P1800</f>
        <v>0</v>
      </c>
      <c r="O1800">
        <f>'Raw Data'!Q1800</f>
        <v>0</v>
      </c>
      <c r="P1800">
        <f>'Raw Data'!R1800</f>
        <v>0</v>
      </c>
      <c r="Q1800">
        <f>'Raw Data'!S1800</f>
        <v>0</v>
      </c>
      <c r="R1800">
        <f>'Raw Data'!T1800</f>
        <v>0</v>
      </c>
      <c r="S1800">
        <f>IFERROR(O1800,0)+IFERROR(R1800,0)</f>
        <v>0</v>
      </c>
      <c r="T1800">
        <f>IF(A1800="","",YEAR(A1800))</f>
        <v>0</v>
      </c>
    </row>
    <row r="1801" spans="1:20">
      <c r="A1801">
        <f>'Raw Data'!B1801</f>
        <v>0</v>
      </c>
      <c r="B1801">
        <f>'Raw Data'!A1801</f>
        <v>0</v>
      </c>
      <c r="C1801">
        <f>'Raw Data'!C1801</f>
        <v>0</v>
      </c>
      <c r="D1801">
        <f>'Raw Data'!D1801</f>
        <v>0</v>
      </c>
      <c r="E1801">
        <f>IFERROR(VLOOKUP(D1801,'Lookup Tables'!$A:$B,2,FALSE),"Unknown")</f>
        <v>0</v>
      </c>
      <c r="F1801">
        <f>'Raw Data'!E1801</f>
        <v>0</v>
      </c>
      <c r="G1801">
        <f>IFERROR(VLOOKUP(D1801,'Lookup Tables'!$A:$C,3,FALSE),IF(ISNUMBER(SEARCH("STEEL",F1801)),"Steel","Others"))</f>
        <v>0</v>
      </c>
      <c r="H1801">
        <f>IF(ISNUMBER(SEARCH("scrubber",F1801)) , "Scrubber", IF(ISNUMBER(SEARCH("container",F1801)),"Container", IF(ISNUMBER(SEARCH("basket",F1801)),"Basket", IF(ISNUMBER(SEARCH("lunch",F1801)),"Lunch Box", IF(ISNUMBER(SEARCH("cutlery",F1801)),"Cutlery","Other")))))</f>
        <v>0</v>
      </c>
      <c r="I1801">
        <f>IF('Raw Data'!G1801&lt;&gt;'','Raw Data'!G1801,IFERROR(MID(F1801,SEARCH("MODEL",F1801)+6,20),""))</f>
        <v>0</v>
      </c>
      <c r="J1801">
        <f>'Raw Data'!H1801</f>
        <v>0</v>
      </c>
      <c r="K1801">
        <f>'Raw Data'!I1801</f>
        <v>0</v>
      </c>
      <c r="L1801">
        <f>IF('Raw Data'!N1801&lt;&gt;0,'Raw Data'!N1801,IFERROR(VALUE(MID(F1801,SEARCH("QTY",F1801)+4,IFERROR(FIND(" ",F1801,SEARCH("QTY",F1801)+4)-(SEARCH("QTY",F1801)+4),3))),""))</f>
        <v>0</v>
      </c>
      <c r="M1801">
        <f>'Raw Data'!O1801</f>
        <v>0</v>
      </c>
      <c r="N1801">
        <f>'Raw Data'!P1801</f>
        <v>0</v>
      </c>
      <c r="O1801">
        <f>'Raw Data'!Q1801</f>
        <v>0</v>
      </c>
      <c r="P1801">
        <f>'Raw Data'!R1801</f>
        <v>0</v>
      </c>
      <c r="Q1801">
        <f>'Raw Data'!S1801</f>
        <v>0</v>
      </c>
      <c r="R1801">
        <f>'Raw Data'!T1801</f>
        <v>0</v>
      </c>
      <c r="S1801">
        <f>IFERROR(O1801,0)+IFERROR(R1801,0)</f>
        <v>0</v>
      </c>
      <c r="T1801">
        <f>IF(A1801="","",YEAR(A1801))</f>
        <v>0</v>
      </c>
    </row>
    <row r="1802" spans="1:20">
      <c r="A1802">
        <f>'Raw Data'!B1802</f>
        <v>0</v>
      </c>
      <c r="B1802">
        <f>'Raw Data'!A1802</f>
        <v>0</v>
      </c>
      <c r="C1802">
        <f>'Raw Data'!C1802</f>
        <v>0</v>
      </c>
      <c r="D1802">
        <f>'Raw Data'!D1802</f>
        <v>0</v>
      </c>
      <c r="E1802">
        <f>IFERROR(VLOOKUP(D1802,'Lookup Tables'!$A:$B,2,FALSE),"Unknown")</f>
        <v>0</v>
      </c>
      <c r="F1802">
        <f>'Raw Data'!E1802</f>
        <v>0</v>
      </c>
      <c r="G1802">
        <f>IFERROR(VLOOKUP(D1802,'Lookup Tables'!$A:$C,3,FALSE),IF(ISNUMBER(SEARCH("STEEL",F1802)),"Steel","Others"))</f>
        <v>0</v>
      </c>
      <c r="H1802">
        <f>IF(ISNUMBER(SEARCH("scrubber",F1802)) , "Scrubber", IF(ISNUMBER(SEARCH("container",F1802)),"Container", IF(ISNUMBER(SEARCH("basket",F1802)),"Basket", IF(ISNUMBER(SEARCH("lunch",F1802)),"Lunch Box", IF(ISNUMBER(SEARCH("cutlery",F1802)),"Cutlery","Other")))))</f>
        <v>0</v>
      </c>
      <c r="I1802">
        <f>IF('Raw Data'!G1802&lt;&gt;'','Raw Data'!G1802,IFERROR(MID(F1802,SEARCH("MODEL",F1802)+6,20),""))</f>
        <v>0</v>
      </c>
      <c r="J1802">
        <f>'Raw Data'!H1802</f>
        <v>0</v>
      </c>
      <c r="K1802">
        <f>'Raw Data'!I1802</f>
        <v>0</v>
      </c>
      <c r="L1802">
        <f>IF('Raw Data'!N1802&lt;&gt;0,'Raw Data'!N1802,IFERROR(VALUE(MID(F1802,SEARCH("QTY",F1802)+4,IFERROR(FIND(" ",F1802,SEARCH("QTY",F1802)+4)-(SEARCH("QTY",F1802)+4),3))),""))</f>
        <v>0</v>
      </c>
      <c r="M1802">
        <f>'Raw Data'!O1802</f>
        <v>0</v>
      </c>
      <c r="N1802">
        <f>'Raw Data'!P1802</f>
        <v>0</v>
      </c>
      <c r="O1802">
        <f>'Raw Data'!Q1802</f>
        <v>0</v>
      </c>
      <c r="P1802">
        <f>'Raw Data'!R1802</f>
        <v>0</v>
      </c>
      <c r="Q1802">
        <f>'Raw Data'!S1802</f>
        <v>0</v>
      </c>
      <c r="R1802">
        <f>'Raw Data'!T1802</f>
        <v>0</v>
      </c>
      <c r="S1802">
        <f>IFERROR(O1802,0)+IFERROR(R1802,0)</f>
        <v>0</v>
      </c>
      <c r="T1802">
        <f>IF(A1802="","",YEAR(A1802))</f>
        <v>0</v>
      </c>
    </row>
    <row r="1803" spans="1:20">
      <c r="A1803">
        <f>'Raw Data'!B1803</f>
        <v>0</v>
      </c>
      <c r="B1803">
        <f>'Raw Data'!A1803</f>
        <v>0</v>
      </c>
      <c r="C1803">
        <f>'Raw Data'!C1803</f>
        <v>0</v>
      </c>
      <c r="D1803">
        <f>'Raw Data'!D1803</f>
        <v>0</v>
      </c>
      <c r="E1803">
        <f>IFERROR(VLOOKUP(D1803,'Lookup Tables'!$A:$B,2,FALSE),"Unknown")</f>
        <v>0</v>
      </c>
      <c r="F1803">
        <f>'Raw Data'!E1803</f>
        <v>0</v>
      </c>
      <c r="G1803">
        <f>IFERROR(VLOOKUP(D1803,'Lookup Tables'!$A:$C,3,FALSE),IF(ISNUMBER(SEARCH("STEEL",F1803)),"Steel","Others"))</f>
        <v>0</v>
      </c>
      <c r="H1803">
        <f>IF(ISNUMBER(SEARCH("scrubber",F1803)) , "Scrubber", IF(ISNUMBER(SEARCH("container",F1803)),"Container", IF(ISNUMBER(SEARCH("basket",F1803)),"Basket", IF(ISNUMBER(SEARCH("lunch",F1803)),"Lunch Box", IF(ISNUMBER(SEARCH("cutlery",F1803)),"Cutlery","Other")))))</f>
        <v>0</v>
      </c>
      <c r="I1803">
        <f>IF('Raw Data'!G1803&lt;&gt;'','Raw Data'!G1803,IFERROR(MID(F1803,SEARCH("MODEL",F1803)+6,20),""))</f>
        <v>0</v>
      </c>
      <c r="J1803">
        <f>'Raw Data'!H1803</f>
        <v>0</v>
      </c>
      <c r="K1803">
        <f>'Raw Data'!I1803</f>
        <v>0</v>
      </c>
      <c r="L1803">
        <f>IF('Raw Data'!N1803&lt;&gt;0,'Raw Data'!N1803,IFERROR(VALUE(MID(F1803,SEARCH("QTY",F1803)+4,IFERROR(FIND(" ",F1803,SEARCH("QTY",F1803)+4)-(SEARCH("QTY",F1803)+4),3))),""))</f>
        <v>0</v>
      </c>
      <c r="M1803">
        <f>'Raw Data'!O1803</f>
        <v>0</v>
      </c>
      <c r="N1803">
        <f>'Raw Data'!P1803</f>
        <v>0</v>
      </c>
      <c r="O1803">
        <f>'Raw Data'!Q1803</f>
        <v>0</v>
      </c>
      <c r="P1803">
        <f>'Raw Data'!R1803</f>
        <v>0</v>
      </c>
      <c r="Q1803">
        <f>'Raw Data'!S1803</f>
        <v>0</v>
      </c>
      <c r="R1803">
        <f>'Raw Data'!T1803</f>
        <v>0</v>
      </c>
      <c r="S1803">
        <f>IFERROR(O1803,0)+IFERROR(R1803,0)</f>
        <v>0</v>
      </c>
      <c r="T1803">
        <f>IF(A1803="","",YEAR(A1803))</f>
        <v>0</v>
      </c>
    </row>
    <row r="1804" spans="1:20">
      <c r="A1804">
        <f>'Raw Data'!B1804</f>
        <v>0</v>
      </c>
      <c r="B1804">
        <f>'Raw Data'!A1804</f>
        <v>0</v>
      </c>
      <c r="C1804">
        <f>'Raw Data'!C1804</f>
        <v>0</v>
      </c>
      <c r="D1804">
        <f>'Raw Data'!D1804</f>
        <v>0</v>
      </c>
      <c r="E1804">
        <f>IFERROR(VLOOKUP(D1804,'Lookup Tables'!$A:$B,2,FALSE),"Unknown")</f>
        <v>0</v>
      </c>
      <c r="F1804">
        <f>'Raw Data'!E1804</f>
        <v>0</v>
      </c>
      <c r="G1804">
        <f>IFERROR(VLOOKUP(D1804,'Lookup Tables'!$A:$C,3,FALSE),IF(ISNUMBER(SEARCH("STEEL",F1804)),"Steel","Others"))</f>
        <v>0</v>
      </c>
      <c r="H1804">
        <f>IF(ISNUMBER(SEARCH("scrubber",F1804)) , "Scrubber", IF(ISNUMBER(SEARCH("container",F1804)),"Container", IF(ISNUMBER(SEARCH("basket",F1804)),"Basket", IF(ISNUMBER(SEARCH("lunch",F1804)),"Lunch Box", IF(ISNUMBER(SEARCH("cutlery",F1804)),"Cutlery","Other")))))</f>
        <v>0</v>
      </c>
      <c r="I1804">
        <f>IF('Raw Data'!G1804&lt;&gt;'','Raw Data'!G1804,IFERROR(MID(F1804,SEARCH("MODEL",F1804)+6,20),""))</f>
        <v>0</v>
      </c>
      <c r="J1804">
        <f>'Raw Data'!H1804</f>
        <v>0</v>
      </c>
      <c r="K1804">
        <f>'Raw Data'!I1804</f>
        <v>0</v>
      </c>
      <c r="L1804">
        <f>IF('Raw Data'!N1804&lt;&gt;0,'Raw Data'!N1804,IFERROR(VALUE(MID(F1804,SEARCH("QTY",F1804)+4,IFERROR(FIND(" ",F1804,SEARCH("QTY",F1804)+4)-(SEARCH("QTY",F1804)+4),3))),""))</f>
        <v>0</v>
      </c>
      <c r="M1804">
        <f>'Raw Data'!O1804</f>
        <v>0</v>
      </c>
      <c r="N1804">
        <f>'Raw Data'!P1804</f>
        <v>0</v>
      </c>
      <c r="O1804">
        <f>'Raw Data'!Q1804</f>
        <v>0</v>
      </c>
      <c r="P1804">
        <f>'Raw Data'!R1804</f>
        <v>0</v>
      </c>
      <c r="Q1804">
        <f>'Raw Data'!S1804</f>
        <v>0</v>
      </c>
      <c r="R1804">
        <f>'Raw Data'!T1804</f>
        <v>0</v>
      </c>
      <c r="S1804">
        <f>IFERROR(O1804,0)+IFERROR(R1804,0)</f>
        <v>0</v>
      </c>
      <c r="T1804">
        <f>IF(A1804="","",YEAR(A1804))</f>
        <v>0</v>
      </c>
    </row>
    <row r="1805" spans="1:20">
      <c r="A1805">
        <f>'Raw Data'!B1805</f>
        <v>0</v>
      </c>
      <c r="B1805">
        <f>'Raw Data'!A1805</f>
        <v>0</v>
      </c>
      <c r="C1805">
        <f>'Raw Data'!C1805</f>
        <v>0</v>
      </c>
      <c r="D1805">
        <f>'Raw Data'!D1805</f>
        <v>0</v>
      </c>
      <c r="E1805">
        <f>IFERROR(VLOOKUP(D1805,'Lookup Tables'!$A:$B,2,FALSE),"Unknown")</f>
        <v>0</v>
      </c>
      <c r="F1805">
        <f>'Raw Data'!E1805</f>
        <v>0</v>
      </c>
      <c r="G1805">
        <f>IFERROR(VLOOKUP(D1805,'Lookup Tables'!$A:$C,3,FALSE),IF(ISNUMBER(SEARCH("STEEL",F1805)),"Steel","Others"))</f>
        <v>0</v>
      </c>
      <c r="H1805">
        <f>IF(ISNUMBER(SEARCH("scrubber",F1805)) , "Scrubber", IF(ISNUMBER(SEARCH("container",F1805)),"Container", IF(ISNUMBER(SEARCH("basket",F1805)),"Basket", IF(ISNUMBER(SEARCH("lunch",F1805)),"Lunch Box", IF(ISNUMBER(SEARCH("cutlery",F1805)),"Cutlery","Other")))))</f>
        <v>0</v>
      </c>
      <c r="I1805">
        <f>IF('Raw Data'!G1805&lt;&gt;'','Raw Data'!G1805,IFERROR(MID(F1805,SEARCH("MODEL",F1805)+6,20),""))</f>
        <v>0</v>
      </c>
      <c r="J1805">
        <f>'Raw Data'!H1805</f>
        <v>0</v>
      </c>
      <c r="K1805">
        <f>'Raw Data'!I1805</f>
        <v>0</v>
      </c>
      <c r="L1805">
        <f>IF('Raw Data'!N1805&lt;&gt;0,'Raw Data'!N1805,IFERROR(VALUE(MID(F1805,SEARCH("QTY",F1805)+4,IFERROR(FIND(" ",F1805,SEARCH("QTY",F1805)+4)-(SEARCH("QTY",F1805)+4),3))),""))</f>
        <v>0</v>
      </c>
      <c r="M1805">
        <f>'Raw Data'!O1805</f>
        <v>0</v>
      </c>
      <c r="N1805">
        <f>'Raw Data'!P1805</f>
        <v>0</v>
      </c>
      <c r="O1805">
        <f>'Raw Data'!Q1805</f>
        <v>0</v>
      </c>
      <c r="P1805">
        <f>'Raw Data'!R1805</f>
        <v>0</v>
      </c>
      <c r="Q1805">
        <f>'Raw Data'!S1805</f>
        <v>0</v>
      </c>
      <c r="R1805">
        <f>'Raw Data'!T1805</f>
        <v>0</v>
      </c>
      <c r="S1805">
        <f>IFERROR(O1805,0)+IFERROR(R1805,0)</f>
        <v>0</v>
      </c>
      <c r="T1805">
        <f>IF(A1805="","",YEAR(A1805))</f>
        <v>0</v>
      </c>
    </row>
    <row r="1806" spans="1:20">
      <c r="A1806">
        <f>'Raw Data'!B1806</f>
        <v>0</v>
      </c>
      <c r="B1806">
        <f>'Raw Data'!A1806</f>
        <v>0</v>
      </c>
      <c r="C1806">
        <f>'Raw Data'!C1806</f>
        <v>0</v>
      </c>
      <c r="D1806">
        <f>'Raw Data'!D1806</f>
        <v>0</v>
      </c>
      <c r="E1806">
        <f>IFERROR(VLOOKUP(D1806,'Lookup Tables'!$A:$B,2,FALSE),"Unknown")</f>
        <v>0</v>
      </c>
      <c r="F1806">
        <f>'Raw Data'!E1806</f>
        <v>0</v>
      </c>
      <c r="G1806">
        <f>IFERROR(VLOOKUP(D1806,'Lookup Tables'!$A:$C,3,FALSE),IF(ISNUMBER(SEARCH("STEEL",F1806)),"Steel","Others"))</f>
        <v>0</v>
      </c>
      <c r="H1806">
        <f>IF(ISNUMBER(SEARCH("scrubber",F1806)) , "Scrubber", IF(ISNUMBER(SEARCH("container",F1806)),"Container", IF(ISNUMBER(SEARCH("basket",F1806)),"Basket", IF(ISNUMBER(SEARCH("lunch",F1806)),"Lunch Box", IF(ISNUMBER(SEARCH("cutlery",F1806)),"Cutlery","Other")))))</f>
        <v>0</v>
      </c>
      <c r="I1806">
        <f>IF('Raw Data'!G1806&lt;&gt;'','Raw Data'!G1806,IFERROR(MID(F1806,SEARCH("MODEL",F1806)+6,20),""))</f>
        <v>0</v>
      </c>
      <c r="J1806">
        <f>'Raw Data'!H1806</f>
        <v>0</v>
      </c>
      <c r="K1806">
        <f>'Raw Data'!I1806</f>
        <v>0</v>
      </c>
      <c r="L1806">
        <f>IF('Raw Data'!N1806&lt;&gt;0,'Raw Data'!N1806,IFERROR(VALUE(MID(F1806,SEARCH("QTY",F1806)+4,IFERROR(FIND(" ",F1806,SEARCH("QTY",F1806)+4)-(SEARCH("QTY",F1806)+4),3))),""))</f>
        <v>0</v>
      </c>
      <c r="M1806">
        <f>'Raw Data'!O1806</f>
        <v>0</v>
      </c>
      <c r="N1806">
        <f>'Raw Data'!P1806</f>
        <v>0</v>
      </c>
      <c r="O1806">
        <f>'Raw Data'!Q1806</f>
        <v>0</v>
      </c>
      <c r="P1806">
        <f>'Raw Data'!R1806</f>
        <v>0</v>
      </c>
      <c r="Q1806">
        <f>'Raw Data'!S1806</f>
        <v>0</v>
      </c>
      <c r="R1806">
        <f>'Raw Data'!T1806</f>
        <v>0</v>
      </c>
      <c r="S1806">
        <f>IFERROR(O1806,0)+IFERROR(R1806,0)</f>
        <v>0</v>
      </c>
      <c r="T1806">
        <f>IF(A1806="","",YEAR(A1806))</f>
        <v>0</v>
      </c>
    </row>
    <row r="1807" spans="1:20">
      <c r="A1807">
        <f>'Raw Data'!B1807</f>
        <v>0</v>
      </c>
      <c r="B1807">
        <f>'Raw Data'!A1807</f>
        <v>0</v>
      </c>
      <c r="C1807">
        <f>'Raw Data'!C1807</f>
        <v>0</v>
      </c>
      <c r="D1807">
        <f>'Raw Data'!D1807</f>
        <v>0</v>
      </c>
      <c r="E1807">
        <f>IFERROR(VLOOKUP(D1807,'Lookup Tables'!$A:$B,2,FALSE),"Unknown")</f>
        <v>0</v>
      </c>
      <c r="F1807">
        <f>'Raw Data'!E1807</f>
        <v>0</v>
      </c>
      <c r="G1807">
        <f>IFERROR(VLOOKUP(D1807,'Lookup Tables'!$A:$C,3,FALSE),IF(ISNUMBER(SEARCH("STEEL",F1807)),"Steel","Others"))</f>
        <v>0</v>
      </c>
      <c r="H1807">
        <f>IF(ISNUMBER(SEARCH("scrubber",F1807)) , "Scrubber", IF(ISNUMBER(SEARCH("container",F1807)),"Container", IF(ISNUMBER(SEARCH("basket",F1807)),"Basket", IF(ISNUMBER(SEARCH("lunch",F1807)),"Lunch Box", IF(ISNUMBER(SEARCH("cutlery",F1807)),"Cutlery","Other")))))</f>
        <v>0</v>
      </c>
      <c r="I1807">
        <f>IF('Raw Data'!G1807&lt;&gt;'','Raw Data'!G1807,IFERROR(MID(F1807,SEARCH("MODEL",F1807)+6,20),""))</f>
        <v>0</v>
      </c>
      <c r="J1807">
        <f>'Raw Data'!H1807</f>
        <v>0</v>
      </c>
      <c r="K1807">
        <f>'Raw Data'!I1807</f>
        <v>0</v>
      </c>
      <c r="L1807">
        <f>IF('Raw Data'!N1807&lt;&gt;0,'Raw Data'!N1807,IFERROR(VALUE(MID(F1807,SEARCH("QTY",F1807)+4,IFERROR(FIND(" ",F1807,SEARCH("QTY",F1807)+4)-(SEARCH("QTY",F1807)+4),3))),""))</f>
        <v>0</v>
      </c>
      <c r="M1807">
        <f>'Raw Data'!O1807</f>
        <v>0</v>
      </c>
      <c r="N1807">
        <f>'Raw Data'!P1807</f>
        <v>0</v>
      </c>
      <c r="O1807">
        <f>'Raw Data'!Q1807</f>
        <v>0</v>
      </c>
      <c r="P1807">
        <f>'Raw Data'!R1807</f>
        <v>0</v>
      </c>
      <c r="Q1807">
        <f>'Raw Data'!S1807</f>
        <v>0</v>
      </c>
      <c r="R1807">
        <f>'Raw Data'!T1807</f>
        <v>0</v>
      </c>
      <c r="S1807">
        <f>IFERROR(O1807,0)+IFERROR(R1807,0)</f>
        <v>0</v>
      </c>
      <c r="T1807">
        <f>IF(A1807="","",YEAR(A1807))</f>
        <v>0</v>
      </c>
    </row>
    <row r="1808" spans="1:20">
      <c r="A1808">
        <f>'Raw Data'!B1808</f>
        <v>0</v>
      </c>
      <c r="B1808">
        <f>'Raw Data'!A1808</f>
        <v>0</v>
      </c>
      <c r="C1808">
        <f>'Raw Data'!C1808</f>
        <v>0</v>
      </c>
      <c r="D1808">
        <f>'Raw Data'!D1808</f>
        <v>0</v>
      </c>
      <c r="E1808">
        <f>IFERROR(VLOOKUP(D1808,'Lookup Tables'!$A:$B,2,FALSE),"Unknown")</f>
        <v>0</v>
      </c>
      <c r="F1808">
        <f>'Raw Data'!E1808</f>
        <v>0</v>
      </c>
      <c r="G1808">
        <f>IFERROR(VLOOKUP(D1808,'Lookup Tables'!$A:$C,3,FALSE),IF(ISNUMBER(SEARCH("STEEL",F1808)),"Steel","Others"))</f>
        <v>0</v>
      </c>
      <c r="H1808">
        <f>IF(ISNUMBER(SEARCH("scrubber",F1808)) , "Scrubber", IF(ISNUMBER(SEARCH("container",F1808)),"Container", IF(ISNUMBER(SEARCH("basket",F1808)),"Basket", IF(ISNUMBER(SEARCH("lunch",F1808)),"Lunch Box", IF(ISNUMBER(SEARCH("cutlery",F1808)),"Cutlery","Other")))))</f>
        <v>0</v>
      </c>
      <c r="I1808">
        <f>IF('Raw Data'!G1808&lt;&gt;'','Raw Data'!G1808,IFERROR(MID(F1808,SEARCH("MODEL",F1808)+6,20),""))</f>
        <v>0</v>
      </c>
      <c r="J1808">
        <f>'Raw Data'!H1808</f>
        <v>0</v>
      </c>
      <c r="K1808">
        <f>'Raw Data'!I1808</f>
        <v>0</v>
      </c>
      <c r="L1808">
        <f>IF('Raw Data'!N1808&lt;&gt;0,'Raw Data'!N1808,IFERROR(VALUE(MID(F1808,SEARCH("QTY",F1808)+4,IFERROR(FIND(" ",F1808,SEARCH("QTY",F1808)+4)-(SEARCH("QTY",F1808)+4),3))),""))</f>
        <v>0</v>
      </c>
      <c r="M1808">
        <f>'Raw Data'!O1808</f>
        <v>0</v>
      </c>
      <c r="N1808">
        <f>'Raw Data'!P1808</f>
        <v>0</v>
      </c>
      <c r="O1808">
        <f>'Raw Data'!Q1808</f>
        <v>0</v>
      </c>
      <c r="P1808">
        <f>'Raw Data'!R1808</f>
        <v>0</v>
      </c>
      <c r="Q1808">
        <f>'Raw Data'!S1808</f>
        <v>0</v>
      </c>
      <c r="R1808">
        <f>'Raw Data'!T1808</f>
        <v>0</v>
      </c>
      <c r="S1808">
        <f>IFERROR(O1808,0)+IFERROR(R1808,0)</f>
        <v>0</v>
      </c>
      <c r="T1808">
        <f>IF(A1808="","",YEAR(A1808))</f>
        <v>0</v>
      </c>
    </row>
    <row r="1809" spans="1:20">
      <c r="A1809">
        <f>'Raw Data'!B1809</f>
        <v>0</v>
      </c>
      <c r="B1809">
        <f>'Raw Data'!A1809</f>
        <v>0</v>
      </c>
      <c r="C1809">
        <f>'Raw Data'!C1809</f>
        <v>0</v>
      </c>
      <c r="D1809">
        <f>'Raw Data'!D1809</f>
        <v>0</v>
      </c>
      <c r="E1809">
        <f>IFERROR(VLOOKUP(D1809,'Lookup Tables'!$A:$B,2,FALSE),"Unknown")</f>
        <v>0</v>
      </c>
      <c r="F1809">
        <f>'Raw Data'!E1809</f>
        <v>0</v>
      </c>
      <c r="G1809">
        <f>IFERROR(VLOOKUP(D1809,'Lookup Tables'!$A:$C,3,FALSE),IF(ISNUMBER(SEARCH("STEEL",F1809)),"Steel","Others"))</f>
        <v>0</v>
      </c>
      <c r="H1809">
        <f>IF(ISNUMBER(SEARCH("scrubber",F1809)) , "Scrubber", IF(ISNUMBER(SEARCH("container",F1809)),"Container", IF(ISNUMBER(SEARCH("basket",F1809)),"Basket", IF(ISNUMBER(SEARCH("lunch",F1809)),"Lunch Box", IF(ISNUMBER(SEARCH("cutlery",F1809)),"Cutlery","Other")))))</f>
        <v>0</v>
      </c>
      <c r="I1809">
        <f>IF('Raw Data'!G1809&lt;&gt;'','Raw Data'!G1809,IFERROR(MID(F1809,SEARCH("MODEL",F1809)+6,20),""))</f>
        <v>0</v>
      </c>
      <c r="J1809">
        <f>'Raw Data'!H1809</f>
        <v>0</v>
      </c>
      <c r="K1809">
        <f>'Raw Data'!I1809</f>
        <v>0</v>
      </c>
      <c r="L1809">
        <f>IF('Raw Data'!N1809&lt;&gt;0,'Raw Data'!N1809,IFERROR(VALUE(MID(F1809,SEARCH("QTY",F1809)+4,IFERROR(FIND(" ",F1809,SEARCH("QTY",F1809)+4)-(SEARCH("QTY",F1809)+4),3))),""))</f>
        <v>0</v>
      </c>
      <c r="M1809">
        <f>'Raw Data'!O1809</f>
        <v>0</v>
      </c>
      <c r="N1809">
        <f>'Raw Data'!P1809</f>
        <v>0</v>
      </c>
      <c r="O1809">
        <f>'Raw Data'!Q1809</f>
        <v>0</v>
      </c>
      <c r="P1809">
        <f>'Raw Data'!R1809</f>
        <v>0</v>
      </c>
      <c r="Q1809">
        <f>'Raw Data'!S1809</f>
        <v>0</v>
      </c>
      <c r="R1809">
        <f>'Raw Data'!T1809</f>
        <v>0</v>
      </c>
      <c r="S1809">
        <f>IFERROR(O1809,0)+IFERROR(R1809,0)</f>
        <v>0</v>
      </c>
      <c r="T1809">
        <f>IF(A1809="","",YEAR(A1809))</f>
        <v>0</v>
      </c>
    </row>
    <row r="1810" spans="1:20">
      <c r="A1810">
        <f>'Raw Data'!B1810</f>
        <v>0</v>
      </c>
      <c r="B1810">
        <f>'Raw Data'!A1810</f>
        <v>0</v>
      </c>
      <c r="C1810">
        <f>'Raw Data'!C1810</f>
        <v>0</v>
      </c>
      <c r="D1810">
        <f>'Raw Data'!D1810</f>
        <v>0</v>
      </c>
      <c r="E1810">
        <f>IFERROR(VLOOKUP(D1810,'Lookup Tables'!$A:$B,2,FALSE),"Unknown")</f>
        <v>0</v>
      </c>
      <c r="F1810">
        <f>'Raw Data'!E1810</f>
        <v>0</v>
      </c>
      <c r="G1810">
        <f>IFERROR(VLOOKUP(D1810,'Lookup Tables'!$A:$C,3,FALSE),IF(ISNUMBER(SEARCH("STEEL",F1810)),"Steel","Others"))</f>
        <v>0</v>
      </c>
      <c r="H1810">
        <f>IF(ISNUMBER(SEARCH("scrubber",F1810)) , "Scrubber", IF(ISNUMBER(SEARCH("container",F1810)),"Container", IF(ISNUMBER(SEARCH("basket",F1810)),"Basket", IF(ISNUMBER(SEARCH("lunch",F1810)),"Lunch Box", IF(ISNUMBER(SEARCH("cutlery",F1810)),"Cutlery","Other")))))</f>
        <v>0</v>
      </c>
      <c r="I1810">
        <f>IF('Raw Data'!G1810&lt;&gt;'','Raw Data'!G1810,IFERROR(MID(F1810,SEARCH("MODEL",F1810)+6,20),""))</f>
        <v>0</v>
      </c>
      <c r="J1810">
        <f>'Raw Data'!H1810</f>
        <v>0</v>
      </c>
      <c r="K1810">
        <f>'Raw Data'!I1810</f>
        <v>0</v>
      </c>
      <c r="L1810">
        <f>IF('Raw Data'!N1810&lt;&gt;0,'Raw Data'!N1810,IFERROR(VALUE(MID(F1810,SEARCH("QTY",F1810)+4,IFERROR(FIND(" ",F1810,SEARCH("QTY",F1810)+4)-(SEARCH("QTY",F1810)+4),3))),""))</f>
        <v>0</v>
      </c>
      <c r="M1810">
        <f>'Raw Data'!O1810</f>
        <v>0</v>
      </c>
      <c r="N1810">
        <f>'Raw Data'!P1810</f>
        <v>0</v>
      </c>
      <c r="O1810">
        <f>'Raw Data'!Q1810</f>
        <v>0</v>
      </c>
      <c r="P1810">
        <f>'Raw Data'!R1810</f>
        <v>0</v>
      </c>
      <c r="Q1810">
        <f>'Raw Data'!S1810</f>
        <v>0</v>
      </c>
      <c r="R1810">
        <f>'Raw Data'!T1810</f>
        <v>0</v>
      </c>
      <c r="S1810">
        <f>IFERROR(O1810,0)+IFERROR(R1810,0)</f>
        <v>0</v>
      </c>
      <c r="T1810">
        <f>IF(A1810="","",YEAR(A1810))</f>
        <v>0</v>
      </c>
    </row>
    <row r="1811" spans="1:20">
      <c r="A1811">
        <f>'Raw Data'!B1811</f>
        <v>0</v>
      </c>
      <c r="B1811">
        <f>'Raw Data'!A1811</f>
        <v>0</v>
      </c>
      <c r="C1811">
        <f>'Raw Data'!C1811</f>
        <v>0</v>
      </c>
      <c r="D1811">
        <f>'Raw Data'!D1811</f>
        <v>0</v>
      </c>
      <c r="E1811">
        <f>IFERROR(VLOOKUP(D1811,'Lookup Tables'!$A:$B,2,FALSE),"Unknown")</f>
        <v>0</v>
      </c>
      <c r="F1811">
        <f>'Raw Data'!E1811</f>
        <v>0</v>
      </c>
      <c r="G1811">
        <f>IFERROR(VLOOKUP(D1811,'Lookup Tables'!$A:$C,3,FALSE),IF(ISNUMBER(SEARCH("STEEL",F1811)),"Steel","Others"))</f>
        <v>0</v>
      </c>
      <c r="H1811">
        <f>IF(ISNUMBER(SEARCH("scrubber",F1811)) , "Scrubber", IF(ISNUMBER(SEARCH("container",F1811)),"Container", IF(ISNUMBER(SEARCH("basket",F1811)),"Basket", IF(ISNUMBER(SEARCH("lunch",F1811)),"Lunch Box", IF(ISNUMBER(SEARCH("cutlery",F1811)),"Cutlery","Other")))))</f>
        <v>0</v>
      </c>
      <c r="I1811">
        <f>IF('Raw Data'!G1811&lt;&gt;'','Raw Data'!G1811,IFERROR(MID(F1811,SEARCH("MODEL",F1811)+6,20),""))</f>
        <v>0</v>
      </c>
      <c r="J1811">
        <f>'Raw Data'!H1811</f>
        <v>0</v>
      </c>
      <c r="K1811">
        <f>'Raw Data'!I1811</f>
        <v>0</v>
      </c>
      <c r="L1811">
        <f>IF('Raw Data'!N1811&lt;&gt;0,'Raw Data'!N1811,IFERROR(VALUE(MID(F1811,SEARCH("QTY",F1811)+4,IFERROR(FIND(" ",F1811,SEARCH("QTY",F1811)+4)-(SEARCH("QTY",F1811)+4),3))),""))</f>
        <v>0</v>
      </c>
      <c r="M1811">
        <f>'Raw Data'!O1811</f>
        <v>0</v>
      </c>
      <c r="N1811">
        <f>'Raw Data'!P1811</f>
        <v>0</v>
      </c>
      <c r="O1811">
        <f>'Raw Data'!Q1811</f>
        <v>0</v>
      </c>
      <c r="P1811">
        <f>'Raw Data'!R1811</f>
        <v>0</v>
      </c>
      <c r="Q1811">
        <f>'Raw Data'!S1811</f>
        <v>0</v>
      </c>
      <c r="R1811">
        <f>'Raw Data'!T1811</f>
        <v>0</v>
      </c>
      <c r="S1811">
        <f>IFERROR(O1811,0)+IFERROR(R1811,0)</f>
        <v>0</v>
      </c>
      <c r="T1811">
        <f>IF(A1811="","",YEAR(A1811))</f>
        <v>0</v>
      </c>
    </row>
    <row r="1812" spans="1:20">
      <c r="A1812">
        <f>'Raw Data'!B1812</f>
        <v>0</v>
      </c>
      <c r="B1812">
        <f>'Raw Data'!A1812</f>
        <v>0</v>
      </c>
      <c r="C1812">
        <f>'Raw Data'!C1812</f>
        <v>0</v>
      </c>
      <c r="D1812">
        <f>'Raw Data'!D1812</f>
        <v>0</v>
      </c>
      <c r="E1812">
        <f>IFERROR(VLOOKUP(D1812,'Lookup Tables'!$A:$B,2,FALSE),"Unknown")</f>
        <v>0</v>
      </c>
      <c r="F1812">
        <f>'Raw Data'!E1812</f>
        <v>0</v>
      </c>
      <c r="G1812">
        <f>IFERROR(VLOOKUP(D1812,'Lookup Tables'!$A:$C,3,FALSE),IF(ISNUMBER(SEARCH("STEEL",F1812)),"Steel","Others"))</f>
        <v>0</v>
      </c>
      <c r="H1812">
        <f>IF(ISNUMBER(SEARCH("scrubber",F1812)) , "Scrubber", IF(ISNUMBER(SEARCH("container",F1812)),"Container", IF(ISNUMBER(SEARCH("basket",F1812)),"Basket", IF(ISNUMBER(SEARCH("lunch",F1812)),"Lunch Box", IF(ISNUMBER(SEARCH("cutlery",F1812)),"Cutlery","Other")))))</f>
        <v>0</v>
      </c>
      <c r="I1812">
        <f>IF('Raw Data'!G1812&lt;&gt;'','Raw Data'!G1812,IFERROR(MID(F1812,SEARCH("MODEL",F1812)+6,20),""))</f>
        <v>0</v>
      </c>
      <c r="J1812">
        <f>'Raw Data'!H1812</f>
        <v>0</v>
      </c>
      <c r="K1812">
        <f>'Raw Data'!I1812</f>
        <v>0</v>
      </c>
      <c r="L1812">
        <f>IF('Raw Data'!N1812&lt;&gt;0,'Raw Data'!N1812,IFERROR(VALUE(MID(F1812,SEARCH("QTY",F1812)+4,IFERROR(FIND(" ",F1812,SEARCH("QTY",F1812)+4)-(SEARCH("QTY",F1812)+4),3))),""))</f>
        <v>0</v>
      </c>
      <c r="M1812">
        <f>'Raw Data'!O1812</f>
        <v>0</v>
      </c>
      <c r="N1812">
        <f>'Raw Data'!P1812</f>
        <v>0</v>
      </c>
      <c r="O1812">
        <f>'Raw Data'!Q1812</f>
        <v>0</v>
      </c>
      <c r="P1812">
        <f>'Raw Data'!R1812</f>
        <v>0</v>
      </c>
      <c r="Q1812">
        <f>'Raw Data'!S1812</f>
        <v>0</v>
      </c>
      <c r="R1812">
        <f>'Raw Data'!T1812</f>
        <v>0</v>
      </c>
      <c r="S1812">
        <f>IFERROR(O1812,0)+IFERROR(R1812,0)</f>
        <v>0</v>
      </c>
      <c r="T1812">
        <f>IF(A1812="","",YEAR(A1812))</f>
        <v>0</v>
      </c>
    </row>
    <row r="1813" spans="1:20">
      <c r="A1813">
        <f>'Raw Data'!B1813</f>
        <v>0</v>
      </c>
      <c r="B1813">
        <f>'Raw Data'!A1813</f>
        <v>0</v>
      </c>
      <c r="C1813">
        <f>'Raw Data'!C1813</f>
        <v>0</v>
      </c>
      <c r="D1813">
        <f>'Raw Data'!D1813</f>
        <v>0</v>
      </c>
      <c r="E1813">
        <f>IFERROR(VLOOKUP(D1813,'Lookup Tables'!$A:$B,2,FALSE),"Unknown")</f>
        <v>0</v>
      </c>
      <c r="F1813">
        <f>'Raw Data'!E1813</f>
        <v>0</v>
      </c>
      <c r="G1813">
        <f>IFERROR(VLOOKUP(D1813,'Lookup Tables'!$A:$C,3,FALSE),IF(ISNUMBER(SEARCH("STEEL",F1813)),"Steel","Others"))</f>
        <v>0</v>
      </c>
      <c r="H1813">
        <f>IF(ISNUMBER(SEARCH("scrubber",F1813)) , "Scrubber", IF(ISNUMBER(SEARCH("container",F1813)),"Container", IF(ISNUMBER(SEARCH("basket",F1813)),"Basket", IF(ISNUMBER(SEARCH("lunch",F1813)),"Lunch Box", IF(ISNUMBER(SEARCH("cutlery",F1813)),"Cutlery","Other")))))</f>
        <v>0</v>
      </c>
      <c r="I1813">
        <f>IF('Raw Data'!G1813&lt;&gt;'','Raw Data'!G1813,IFERROR(MID(F1813,SEARCH("MODEL",F1813)+6,20),""))</f>
        <v>0</v>
      </c>
      <c r="J1813">
        <f>'Raw Data'!H1813</f>
        <v>0</v>
      </c>
      <c r="K1813">
        <f>'Raw Data'!I1813</f>
        <v>0</v>
      </c>
      <c r="L1813">
        <f>IF('Raw Data'!N1813&lt;&gt;0,'Raw Data'!N1813,IFERROR(VALUE(MID(F1813,SEARCH("QTY",F1813)+4,IFERROR(FIND(" ",F1813,SEARCH("QTY",F1813)+4)-(SEARCH("QTY",F1813)+4),3))),""))</f>
        <v>0</v>
      </c>
      <c r="M1813">
        <f>'Raw Data'!O1813</f>
        <v>0</v>
      </c>
      <c r="N1813">
        <f>'Raw Data'!P1813</f>
        <v>0</v>
      </c>
      <c r="O1813">
        <f>'Raw Data'!Q1813</f>
        <v>0</v>
      </c>
      <c r="P1813">
        <f>'Raw Data'!R1813</f>
        <v>0</v>
      </c>
      <c r="Q1813">
        <f>'Raw Data'!S1813</f>
        <v>0</v>
      </c>
      <c r="R1813">
        <f>'Raw Data'!T1813</f>
        <v>0</v>
      </c>
      <c r="S1813">
        <f>IFERROR(O1813,0)+IFERROR(R1813,0)</f>
        <v>0</v>
      </c>
      <c r="T1813">
        <f>IF(A1813="","",YEAR(A1813))</f>
        <v>0</v>
      </c>
    </row>
    <row r="1814" spans="1:20">
      <c r="A1814">
        <f>'Raw Data'!B1814</f>
        <v>0</v>
      </c>
      <c r="B1814">
        <f>'Raw Data'!A1814</f>
        <v>0</v>
      </c>
      <c r="C1814">
        <f>'Raw Data'!C1814</f>
        <v>0</v>
      </c>
      <c r="D1814">
        <f>'Raw Data'!D1814</f>
        <v>0</v>
      </c>
      <c r="E1814">
        <f>IFERROR(VLOOKUP(D1814,'Lookup Tables'!$A:$B,2,FALSE),"Unknown")</f>
        <v>0</v>
      </c>
      <c r="F1814">
        <f>'Raw Data'!E1814</f>
        <v>0</v>
      </c>
      <c r="G1814">
        <f>IFERROR(VLOOKUP(D1814,'Lookup Tables'!$A:$C,3,FALSE),IF(ISNUMBER(SEARCH("STEEL",F1814)),"Steel","Others"))</f>
        <v>0</v>
      </c>
      <c r="H1814">
        <f>IF(ISNUMBER(SEARCH("scrubber",F1814)) , "Scrubber", IF(ISNUMBER(SEARCH("container",F1814)),"Container", IF(ISNUMBER(SEARCH("basket",F1814)),"Basket", IF(ISNUMBER(SEARCH("lunch",F1814)),"Lunch Box", IF(ISNUMBER(SEARCH("cutlery",F1814)),"Cutlery","Other")))))</f>
        <v>0</v>
      </c>
      <c r="I1814">
        <f>IF('Raw Data'!G1814&lt;&gt;'','Raw Data'!G1814,IFERROR(MID(F1814,SEARCH("MODEL",F1814)+6,20),""))</f>
        <v>0</v>
      </c>
      <c r="J1814">
        <f>'Raw Data'!H1814</f>
        <v>0</v>
      </c>
      <c r="K1814">
        <f>'Raw Data'!I1814</f>
        <v>0</v>
      </c>
      <c r="L1814">
        <f>IF('Raw Data'!N1814&lt;&gt;0,'Raw Data'!N1814,IFERROR(VALUE(MID(F1814,SEARCH("QTY",F1814)+4,IFERROR(FIND(" ",F1814,SEARCH("QTY",F1814)+4)-(SEARCH("QTY",F1814)+4),3))),""))</f>
        <v>0</v>
      </c>
      <c r="M1814">
        <f>'Raw Data'!O1814</f>
        <v>0</v>
      </c>
      <c r="N1814">
        <f>'Raw Data'!P1814</f>
        <v>0</v>
      </c>
      <c r="O1814">
        <f>'Raw Data'!Q1814</f>
        <v>0</v>
      </c>
      <c r="P1814">
        <f>'Raw Data'!R1814</f>
        <v>0</v>
      </c>
      <c r="Q1814">
        <f>'Raw Data'!S1814</f>
        <v>0</v>
      </c>
      <c r="R1814">
        <f>'Raw Data'!T1814</f>
        <v>0</v>
      </c>
      <c r="S1814">
        <f>IFERROR(O1814,0)+IFERROR(R1814,0)</f>
        <v>0</v>
      </c>
      <c r="T1814">
        <f>IF(A1814="","",YEAR(A1814))</f>
        <v>0</v>
      </c>
    </row>
    <row r="1815" spans="1:20">
      <c r="A1815">
        <f>'Raw Data'!B1815</f>
        <v>0</v>
      </c>
      <c r="B1815">
        <f>'Raw Data'!A1815</f>
        <v>0</v>
      </c>
      <c r="C1815">
        <f>'Raw Data'!C1815</f>
        <v>0</v>
      </c>
      <c r="D1815">
        <f>'Raw Data'!D1815</f>
        <v>0</v>
      </c>
      <c r="E1815">
        <f>IFERROR(VLOOKUP(D1815,'Lookup Tables'!$A:$B,2,FALSE),"Unknown")</f>
        <v>0</v>
      </c>
      <c r="F1815">
        <f>'Raw Data'!E1815</f>
        <v>0</v>
      </c>
      <c r="G1815">
        <f>IFERROR(VLOOKUP(D1815,'Lookup Tables'!$A:$C,3,FALSE),IF(ISNUMBER(SEARCH("STEEL",F1815)),"Steel","Others"))</f>
        <v>0</v>
      </c>
      <c r="H1815">
        <f>IF(ISNUMBER(SEARCH("scrubber",F1815)) , "Scrubber", IF(ISNUMBER(SEARCH("container",F1815)),"Container", IF(ISNUMBER(SEARCH("basket",F1815)),"Basket", IF(ISNUMBER(SEARCH("lunch",F1815)),"Lunch Box", IF(ISNUMBER(SEARCH("cutlery",F1815)),"Cutlery","Other")))))</f>
        <v>0</v>
      </c>
      <c r="I1815">
        <f>IF('Raw Data'!G1815&lt;&gt;'','Raw Data'!G1815,IFERROR(MID(F1815,SEARCH("MODEL",F1815)+6,20),""))</f>
        <v>0</v>
      </c>
      <c r="J1815">
        <f>'Raw Data'!H1815</f>
        <v>0</v>
      </c>
      <c r="K1815">
        <f>'Raw Data'!I1815</f>
        <v>0</v>
      </c>
      <c r="L1815">
        <f>IF('Raw Data'!N1815&lt;&gt;0,'Raw Data'!N1815,IFERROR(VALUE(MID(F1815,SEARCH("QTY",F1815)+4,IFERROR(FIND(" ",F1815,SEARCH("QTY",F1815)+4)-(SEARCH("QTY",F1815)+4),3))),""))</f>
        <v>0</v>
      </c>
      <c r="M1815">
        <f>'Raw Data'!O1815</f>
        <v>0</v>
      </c>
      <c r="N1815">
        <f>'Raw Data'!P1815</f>
        <v>0</v>
      </c>
      <c r="O1815">
        <f>'Raw Data'!Q1815</f>
        <v>0</v>
      </c>
      <c r="P1815">
        <f>'Raw Data'!R1815</f>
        <v>0</v>
      </c>
      <c r="Q1815">
        <f>'Raw Data'!S1815</f>
        <v>0</v>
      </c>
      <c r="R1815">
        <f>'Raw Data'!T1815</f>
        <v>0</v>
      </c>
      <c r="S1815">
        <f>IFERROR(O1815,0)+IFERROR(R1815,0)</f>
        <v>0</v>
      </c>
      <c r="T1815">
        <f>IF(A1815="","",YEAR(A1815))</f>
        <v>0</v>
      </c>
    </row>
    <row r="1816" spans="1:20">
      <c r="A1816">
        <f>'Raw Data'!B1816</f>
        <v>0</v>
      </c>
      <c r="B1816">
        <f>'Raw Data'!A1816</f>
        <v>0</v>
      </c>
      <c r="C1816">
        <f>'Raw Data'!C1816</f>
        <v>0</v>
      </c>
      <c r="D1816">
        <f>'Raw Data'!D1816</f>
        <v>0</v>
      </c>
      <c r="E1816">
        <f>IFERROR(VLOOKUP(D1816,'Lookup Tables'!$A:$B,2,FALSE),"Unknown")</f>
        <v>0</v>
      </c>
      <c r="F1816">
        <f>'Raw Data'!E1816</f>
        <v>0</v>
      </c>
      <c r="G1816">
        <f>IFERROR(VLOOKUP(D1816,'Lookup Tables'!$A:$C,3,FALSE),IF(ISNUMBER(SEARCH("STEEL",F1816)),"Steel","Others"))</f>
        <v>0</v>
      </c>
      <c r="H1816">
        <f>IF(ISNUMBER(SEARCH("scrubber",F1816)) , "Scrubber", IF(ISNUMBER(SEARCH("container",F1816)),"Container", IF(ISNUMBER(SEARCH("basket",F1816)),"Basket", IF(ISNUMBER(SEARCH("lunch",F1816)),"Lunch Box", IF(ISNUMBER(SEARCH("cutlery",F1816)),"Cutlery","Other")))))</f>
        <v>0</v>
      </c>
      <c r="I1816">
        <f>IF('Raw Data'!G1816&lt;&gt;'','Raw Data'!G1816,IFERROR(MID(F1816,SEARCH("MODEL",F1816)+6,20),""))</f>
        <v>0</v>
      </c>
      <c r="J1816">
        <f>'Raw Data'!H1816</f>
        <v>0</v>
      </c>
      <c r="K1816">
        <f>'Raw Data'!I1816</f>
        <v>0</v>
      </c>
      <c r="L1816">
        <f>IF('Raw Data'!N1816&lt;&gt;0,'Raw Data'!N1816,IFERROR(VALUE(MID(F1816,SEARCH("QTY",F1816)+4,IFERROR(FIND(" ",F1816,SEARCH("QTY",F1816)+4)-(SEARCH("QTY",F1816)+4),3))),""))</f>
        <v>0</v>
      </c>
      <c r="M1816">
        <f>'Raw Data'!O1816</f>
        <v>0</v>
      </c>
      <c r="N1816">
        <f>'Raw Data'!P1816</f>
        <v>0</v>
      </c>
      <c r="O1816">
        <f>'Raw Data'!Q1816</f>
        <v>0</v>
      </c>
      <c r="P1816">
        <f>'Raw Data'!R1816</f>
        <v>0</v>
      </c>
      <c r="Q1816">
        <f>'Raw Data'!S1816</f>
        <v>0</v>
      </c>
      <c r="R1816">
        <f>'Raw Data'!T1816</f>
        <v>0</v>
      </c>
      <c r="S1816">
        <f>IFERROR(O1816,0)+IFERROR(R1816,0)</f>
        <v>0</v>
      </c>
      <c r="T1816">
        <f>IF(A1816="","",YEAR(A1816))</f>
        <v>0</v>
      </c>
    </row>
    <row r="1817" spans="1:20">
      <c r="A1817">
        <f>'Raw Data'!B1817</f>
        <v>0</v>
      </c>
      <c r="B1817">
        <f>'Raw Data'!A1817</f>
        <v>0</v>
      </c>
      <c r="C1817">
        <f>'Raw Data'!C1817</f>
        <v>0</v>
      </c>
      <c r="D1817">
        <f>'Raw Data'!D1817</f>
        <v>0</v>
      </c>
      <c r="E1817">
        <f>IFERROR(VLOOKUP(D1817,'Lookup Tables'!$A:$B,2,FALSE),"Unknown")</f>
        <v>0</v>
      </c>
      <c r="F1817">
        <f>'Raw Data'!E1817</f>
        <v>0</v>
      </c>
      <c r="G1817">
        <f>IFERROR(VLOOKUP(D1817,'Lookup Tables'!$A:$C,3,FALSE),IF(ISNUMBER(SEARCH("STEEL",F1817)),"Steel","Others"))</f>
        <v>0</v>
      </c>
      <c r="H1817">
        <f>IF(ISNUMBER(SEARCH("scrubber",F1817)) , "Scrubber", IF(ISNUMBER(SEARCH("container",F1817)),"Container", IF(ISNUMBER(SEARCH("basket",F1817)),"Basket", IF(ISNUMBER(SEARCH("lunch",F1817)),"Lunch Box", IF(ISNUMBER(SEARCH("cutlery",F1817)),"Cutlery","Other")))))</f>
        <v>0</v>
      </c>
      <c r="I1817">
        <f>IF('Raw Data'!G1817&lt;&gt;'','Raw Data'!G1817,IFERROR(MID(F1817,SEARCH("MODEL",F1817)+6,20),""))</f>
        <v>0</v>
      </c>
      <c r="J1817">
        <f>'Raw Data'!H1817</f>
        <v>0</v>
      </c>
      <c r="K1817">
        <f>'Raw Data'!I1817</f>
        <v>0</v>
      </c>
      <c r="L1817">
        <f>IF('Raw Data'!N1817&lt;&gt;0,'Raw Data'!N1817,IFERROR(VALUE(MID(F1817,SEARCH("QTY",F1817)+4,IFERROR(FIND(" ",F1817,SEARCH("QTY",F1817)+4)-(SEARCH("QTY",F1817)+4),3))),""))</f>
        <v>0</v>
      </c>
      <c r="M1817">
        <f>'Raw Data'!O1817</f>
        <v>0</v>
      </c>
      <c r="N1817">
        <f>'Raw Data'!P1817</f>
        <v>0</v>
      </c>
      <c r="O1817">
        <f>'Raw Data'!Q1817</f>
        <v>0</v>
      </c>
      <c r="P1817">
        <f>'Raw Data'!R1817</f>
        <v>0</v>
      </c>
      <c r="Q1817">
        <f>'Raw Data'!S1817</f>
        <v>0</v>
      </c>
      <c r="R1817">
        <f>'Raw Data'!T1817</f>
        <v>0</v>
      </c>
      <c r="S1817">
        <f>IFERROR(O1817,0)+IFERROR(R1817,0)</f>
        <v>0</v>
      </c>
      <c r="T1817">
        <f>IF(A1817="","",YEAR(A1817))</f>
        <v>0</v>
      </c>
    </row>
    <row r="1818" spans="1:20">
      <c r="A1818">
        <f>'Raw Data'!B1818</f>
        <v>0</v>
      </c>
      <c r="B1818">
        <f>'Raw Data'!A1818</f>
        <v>0</v>
      </c>
      <c r="C1818">
        <f>'Raw Data'!C1818</f>
        <v>0</v>
      </c>
      <c r="D1818">
        <f>'Raw Data'!D1818</f>
        <v>0</v>
      </c>
      <c r="E1818">
        <f>IFERROR(VLOOKUP(D1818,'Lookup Tables'!$A:$B,2,FALSE),"Unknown")</f>
        <v>0</v>
      </c>
      <c r="F1818">
        <f>'Raw Data'!E1818</f>
        <v>0</v>
      </c>
      <c r="G1818">
        <f>IFERROR(VLOOKUP(D1818,'Lookup Tables'!$A:$C,3,FALSE),IF(ISNUMBER(SEARCH("STEEL",F1818)),"Steel","Others"))</f>
        <v>0</v>
      </c>
      <c r="H1818">
        <f>IF(ISNUMBER(SEARCH("scrubber",F1818)) , "Scrubber", IF(ISNUMBER(SEARCH("container",F1818)),"Container", IF(ISNUMBER(SEARCH("basket",F1818)),"Basket", IF(ISNUMBER(SEARCH("lunch",F1818)),"Lunch Box", IF(ISNUMBER(SEARCH("cutlery",F1818)),"Cutlery","Other")))))</f>
        <v>0</v>
      </c>
      <c r="I1818">
        <f>IF('Raw Data'!G1818&lt;&gt;'','Raw Data'!G1818,IFERROR(MID(F1818,SEARCH("MODEL",F1818)+6,20),""))</f>
        <v>0</v>
      </c>
      <c r="J1818">
        <f>'Raw Data'!H1818</f>
        <v>0</v>
      </c>
      <c r="K1818">
        <f>'Raw Data'!I1818</f>
        <v>0</v>
      </c>
      <c r="L1818">
        <f>IF('Raw Data'!N1818&lt;&gt;0,'Raw Data'!N1818,IFERROR(VALUE(MID(F1818,SEARCH("QTY",F1818)+4,IFERROR(FIND(" ",F1818,SEARCH("QTY",F1818)+4)-(SEARCH("QTY",F1818)+4),3))),""))</f>
        <v>0</v>
      </c>
      <c r="M1818">
        <f>'Raw Data'!O1818</f>
        <v>0</v>
      </c>
      <c r="N1818">
        <f>'Raw Data'!P1818</f>
        <v>0</v>
      </c>
      <c r="O1818">
        <f>'Raw Data'!Q1818</f>
        <v>0</v>
      </c>
      <c r="P1818">
        <f>'Raw Data'!R1818</f>
        <v>0</v>
      </c>
      <c r="Q1818">
        <f>'Raw Data'!S1818</f>
        <v>0</v>
      </c>
      <c r="R1818">
        <f>'Raw Data'!T1818</f>
        <v>0</v>
      </c>
      <c r="S1818">
        <f>IFERROR(O1818,0)+IFERROR(R1818,0)</f>
        <v>0</v>
      </c>
      <c r="T1818">
        <f>IF(A1818="","",YEAR(A1818))</f>
        <v>0</v>
      </c>
    </row>
    <row r="1819" spans="1:20">
      <c r="A1819">
        <f>'Raw Data'!B1819</f>
        <v>0</v>
      </c>
      <c r="B1819">
        <f>'Raw Data'!A1819</f>
        <v>0</v>
      </c>
      <c r="C1819">
        <f>'Raw Data'!C1819</f>
        <v>0</v>
      </c>
      <c r="D1819">
        <f>'Raw Data'!D1819</f>
        <v>0</v>
      </c>
      <c r="E1819">
        <f>IFERROR(VLOOKUP(D1819,'Lookup Tables'!$A:$B,2,FALSE),"Unknown")</f>
        <v>0</v>
      </c>
      <c r="F1819">
        <f>'Raw Data'!E1819</f>
        <v>0</v>
      </c>
      <c r="G1819">
        <f>IFERROR(VLOOKUP(D1819,'Lookup Tables'!$A:$C,3,FALSE),IF(ISNUMBER(SEARCH("STEEL",F1819)),"Steel","Others"))</f>
        <v>0</v>
      </c>
      <c r="H1819">
        <f>IF(ISNUMBER(SEARCH("scrubber",F1819)) , "Scrubber", IF(ISNUMBER(SEARCH("container",F1819)),"Container", IF(ISNUMBER(SEARCH("basket",F1819)),"Basket", IF(ISNUMBER(SEARCH("lunch",F1819)),"Lunch Box", IF(ISNUMBER(SEARCH("cutlery",F1819)),"Cutlery","Other")))))</f>
        <v>0</v>
      </c>
      <c r="I1819">
        <f>IF('Raw Data'!G1819&lt;&gt;'','Raw Data'!G1819,IFERROR(MID(F1819,SEARCH("MODEL",F1819)+6,20),""))</f>
        <v>0</v>
      </c>
      <c r="J1819">
        <f>'Raw Data'!H1819</f>
        <v>0</v>
      </c>
      <c r="K1819">
        <f>'Raw Data'!I1819</f>
        <v>0</v>
      </c>
      <c r="L1819">
        <f>IF('Raw Data'!N1819&lt;&gt;0,'Raw Data'!N1819,IFERROR(VALUE(MID(F1819,SEARCH("QTY",F1819)+4,IFERROR(FIND(" ",F1819,SEARCH("QTY",F1819)+4)-(SEARCH("QTY",F1819)+4),3))),""))</f>
        <v>0</v>
      </c>
      <c r="M1819">
        <f>'Raw Data'!O1819</f>
        <v>0</v>
      </c>
      <c r="N1819">
        <f>'Raw Data'!P1819</f>
        <v>0</v>
      </c>
      <c r="O1819">
        <f>'Raw Data'!Q1819</f>
        <v>0</v>
      </c>
      <c r="P1819">
        <f>'Raw Data'!R1819</f>
        <v>0</v>
      </c>
      <c r="Q1819">
        <f>'Raw Data'!S1819</f>
        <v>0</v>
      </c>
      <c r="R1819">
        <f>'Raw Data'!T1819</f>
        <v>0</v>
      </c>
      <c r="S1819">
        <f>IFERROR(O1819,0)+IFERROR(R1819,0)</f>
        <v>0</v>
      </c>
      <c r="T1819">
        <f>IF(A1819="","",YEAR(A1819))</f>
        <v>0</v>
      </c>
    </row>
    <row r="1820" spans="1:20">
      <c r="A1820">
        <f>'Raw Data'!B1820</f>
        <v>0</v>
      </c>
      <c r="B1820">
        <f>'Raw Data'!A1820</f>
        <v>0</v>
      </c>
      <c r="C1820">
        <f>'Raw Data'!C1820</f>
        <v>0</v>
      </c>
      <c r="D1820">
        <f>'Raw Data'!D1820</f>
        <v>0</v>
      </c>
      <c r="E1820">
        <f>IFERROR(VLOOKUP(D1820,'Lookup Tables'!$A:$B,2,FALSE),"Unknown")</f>
        <v>0</v>
      </c>
      <c r="F1820">
        <f>'Raw Data'!E1820</f>
        <v>0</v>
      </c>
      <c r="G1820">
        <f>IFERROR(VLOOKUP(D1820,'Lookup Tables'!$A:$C,3,FALSE),IF(ISNUMBER(SEARCH("STEEL",F1820)),"Steel","Others"))</f>
        <v>0</v>
      </c>
      <c r="H1820">
        <f>IF(ISNUMBER(SEARCH("scrubber",F1820)) , "Scrubber", IF(ISNUMBER(SEARCH("container",F1820)),"Container", IF(ISNUMBER(SEARCH("basket",F1820)),"Basket", IF(ISNUMBER(SEARCH("lunch",F1820)),"Lunch Box", IF(ISNUMBER(SEARCH("cutlery",F1820)),"Cutlery","Other")))))</f>
        <v>0</v>
      </c>
      <c r="I1820">
        <f>IF('Raw Data'!G1820&lt;&gt;'','Raw Data'!G1820,IFERROR(MID(F1820,SEARCH("MODEL",F1820)+6,20),""))</f>
        <v>0</v>
      </c>
      <c r="J1820">
        <f>'Raw Data'!H1820</f>
        <v>0</v>
      </c>
      <c r="K1820">
        <f>'Raw Data'!I1820</f>
        <v>0</v>
      </c>
      <c r="L1820">
        <f>IF('Raw Data'!N1820&lt;&gt;0,'Raw Data'!N1820,IFERROR(VALUE(MID(F1820,SEARCH("QTY",F1820)+4,IFERROR(FIND(" ",F1820,SEARCH("QTY",F1820)+4)-(SEARCH("QTY",F1820)+4),3))),""))</f>
        <v>0</v>
      </c>
      <c r="M1820">
        <f>'Raw Data'!O1820</f>
        <v>0</v>
      </c>
      <c r="N1820">
        <f>'Raw Data'!P1820</f>
        <v>0</v>
      </c>
      <c r="O1820">
        <f>'Raw Data'!Q1820</f>
        <v>0</v>
      </c>
      <c r="P1820">
        <f>'Raw Data'!R1820</f>
        <v>0</v>
      </c>
      <c r="Q1820">
        <f>'Raw Data'!S1820</f>
        <v>0</v>
      </c>
      <c r="R1820">
        <f>'Raw Data'!T1820</f>
        <v>0</v>
      </c>
      <c r="S1820">
        <f>IFERROR(O1820,0)+IFERROR(R1820,0)</f>
        <v>0</v>
      </c>
      <c r="T1820">
        <f>IF(A1820="","",YEAR(A1820))</f>
        <v>0</v>
      </c>
    </row>
    <row r="1821" spans="1:20">
      <c r="A1821">
        <f>'Raw Data'!B1821</f>
        <v>0</v>
      </c>
      <c r="B1821">
        <f>'Raw Data'!A1821</f>
        <v>0</v>
      </c>
      <c r="C1821">
        <f>'Raw Data'!C1821</f>
        <v>0</v>
      </c>
      <c r="D1821">
        <f>'Raw Data'!D1821</f>
        <v>0</v>
      </c>
      <c r="E1821">
        <f>IFERROR(VLOOKUP(D1821,'Lookup Tables'!$A:$B,2,FALSE),"Unknown")</f>
        <v>0</v>
      </c>
      <c r="F1821">
        <f>'Raw Data'!E1821</f>
        <v>0</v>
      </c>
      <c r="G1821">
        <f>IFERROR(VLOOKUP(D1821,'Lookup Tables'!$A:$C,3,FALSE),IF(ISNUMBER(SEARCH("STEEL",F1821)),"Steel","Others"))</f>
        <v>0</v>
      </c>
      <c r="H1821">
        <f>IF(ISNUMBER(SEARCH("scrubber",F1821)) , "Scrubber", IF(ISNUMBER(SEARCH("container",F1821)),"Container", IF(ISNUMBER(SEARCH("basket",F1821)),"Basket", IF(ISNUMBER(SEARCH("lunch",F1821)),"Lunch Box", IF(ISNUMBER(SEARCH("cutlery",F1821)),"Cutlery","Other")))))</f>
        <v>0</v>
      </c>
      <c r="I1821">
        <f>IF('Raw Data'!G1821&lt;&gt;'','Raw Data'!G1821,IFERROR(MID(F1821,SEARCH("MODEL",F1821)+6,20),""))</f>
        <v>0</v>
      </c>
      <c r="J1821">
        <f>'Raw Data'!H1821</f>
        <v>0</v>
      </c>
      <c r="K1821">
        <f>'Raw Data'!I1821</f>
        <v>0</v>
      </c>
      <c r="L1821">
        <f>IF('Raw Data'!N1821&lt;&gt;0,'Raw Data'!N1821,IFERROR(VALUE(MID(F1821,SEARCH("QTY",F1821)+4,IFERROR(FIND(" ",F1821,SEARCH("QTY",F1821)+4)-(SEARCH("QTY",F1821)+4),3))),""))</f>
        <v>0</v>
      </c>
      <c r="M1821">
        <f>'Raw Data'!O1821</f>
        <v>0</v>
      </c>
      <c r="N1821">
        <f>'Raw Data'!P1821</f>
        <v>0</v>
      </c>
      <c r="O1821">
        <f>'Raw Data'!Q1821</f>
        <v>0</v>
      </c>
      <c r="P1821">
        <f>'Raw Data'!R1821</f>
        <v>0</v>
      </c>
      <c r="Q1821">
        <f>'Raw Data'!S1821</f>
        <v>0</v>
      </c>
      <c r="R1821">
        <f>'Raw Data'!T1821</f>
        <v>0</v>
      </c>
      <c r="S1821">
        <f>IFERROR(O1821,0)+IFERROR(R1821,0)</f>
        <v>0</v>
      </c>
      <c r="T1821">
        <f>IF(A1821="","",YEAR(A1821))</f>
        <v>0</v>
      </c>
    </row>
    <row r="1822" spans="1:20">
      <c r="A1822">
        <f>'Raw Data'!B1822</f>
        <v>0</v>
      </c>
      <c r="B1822">
        <f>'Raw Data'!A1822</f>
        <v>0</v>
      </c>
      <c r="C1822">
        <f>'Raw Data'!C1822</f>
        <v>0</v>
      </c>
      <c r="D1822">
        <f>'Raw Data'!D1822</f>
        <v>0</v>
      </c>
      <c r="E1822">
        <f>IFERROR(VLOOKUP(D1822,'Lookup Tables'!$A:$B,2,FALSE),"Unknown")</f>
        <v>0</v>
      </c>
      <c r="F1822">
        <f>'Raw Data'!E1822</f>
        <v>0</v>
      </c>
      <c r="G1822">
        <f>IFERROR(VLOOKUP(D1822,'Lookup Tables'!$A:$C,3,FALSE),IF(ISNUMBER(SEARCH("STEEL",F1822)),"Steel","Others"))</f>
        <v>0</v>
      </c>
      <c r="H1822">
        <f>IF(ISNUMBER(SEARCH("scrubber",F1822)) , "Scrubber", IF(ISNUMBER(SEARCH("container",F1822)),"Container", IF(ISNUMBER(SEARCH("basket",F1822)),"Basket", IF(ISNUMBER(SEARCH("lunch",F1822)),"Lunch Box", IF(ISNUMBER(SEARCH("cutlery",F1822)),"Cutlery","Other")))))</f>
        <v>0</v>
      </c>
      <c r="I1822">
        <f>IF('Raw Data'!G1822&lt;&gt;'','Raw Data'!G1822,IFERROR(MID(F1822,SEARCH("MODEL",F1822)+6,20),""))</f>
        <v>0</v>
      </c>
      <c r="J1822">
        <f>'Raw Data'!H1822</f>
        <v>0</v>
      </c>
      <c r="K1822">
        <f>'Raw Data'!I1822</f>
        <v>0</v>
      </c>
      <c r="L1822">
        <f>IF('Raw Data'!N1822&lt;&gt;0,'Raw Data'!N1822,IFERROR(VALUE(MID(F1822,SEARCH("QTY",F1822)+4,IFERROR(FIND(" ",F1822,SEARCH("QTY",F1822)+4)-(SEARCH("QTY",F1822)+4),3))),""))</f>
        <v>0</v>
      </c>
      <c r="M1822">
        <f>'Raw Data'!O1822</f>
        <v>0</v>
      </c>
      <c r="N1822">
        <f>'Raw Data'!P1822</f>
        <v>0</v>
      </c>
      <c r="O1822">
        <f>'Raw Data'!Q1822</f>
        <v>0</v>
      </c>
      <c r="P1822">
        <f>'Raw Data'!R1822</f>
        <v>0</v>
      </c>
      <c r="Q1822">
        <f>'Raw Data'!S1822</f>
        <v>0</v>
      </c>
      <c r="R1822">
        <f>'Raw Data'!T1822</f>
        <v>0</v>
      </c>
      <c r="S1822">
        <f>IFERROR(O1822,0)+IFERROR(R1822,0)</f>
        <v>0</v>
      </c>
      <c r="T1822">
        <f>IF(A1822="","",YEAR(A1822))</f>
        <v>0</v>
      </c>
    </row>
    <row r="1823" spans="1:20">
      <c r="A1823">
        <f>'Raw Data'!B1823</f>
        <v>0</v>
      </c>
      <c r="B1823">
        <f>'Raw Data'!A1823</f>
        <v>0</v>
      </c>
      <c r="C1823">
        <f>'Raw Data'!C1823</f>
        <v>0</v>
      </c>
      <c r="D1823">
        <f>'Raw Data'!D1823</f>
        <v>0</v>
      </c>
      <c r="E1823">
        <f>IFERROR(VLOOKUP(D1823,'Lookup Tables'!$A:$B,2,FALSE),"Unknown")</f>
        <v>0</v>
      </c>
      <c r="F1823">
        <f>'Raw Data'!E1823</f>
        <v>0</v>
      </c>
      <c r="G1823">
        <f>IFERROR(VLOOKUP(D1823,'Lookup Tables'!$A:$C,3,FALSE),IF(ISNUMBER(SEARCH("STEEL",F1823)),"Steel","Others"))</f>
        <v>0</v>
      </c>
      <c r="H1823">
        <f>IF(ISNUMBER(SEARCH("scrubber",F1823)) , "Scrubber", IF(ISNUMBER(SEARCH("container",F1823)),"Container", IF(ISNUMBER(SEARCH("basket",F1823)),"Basket", IF(ISNUMBER(SEARCH("lunch",F1823)),"Lunch Box", IF(ISNUMBER(SEARCH("cutlery",F1823)),"Cutlery","Other")))))</f>
        <v>0</v>
      </c>
      <c r="I1823">
        <f>IF('Raw Data'!G1823&lt;&gt;'','Raw Data'!G1823,IFERROR(MID(F1823,SEARCH("MODEL",F1823)+6,20),""))</f>
        <v>0</v>
      </c>
      <c r="J1823">
        <f>'Raw Data'!H1823</f>
        <v>0</v>
      </c>
      <c r="K1823">
        <f>'Raw Data'!I1823</f>
        <v>0</v>
      </c>
      <c r="L1823">
        <f>IF('Raw Data'!N1823&lt;&gt;0,'Raw Data'!N1823,IFERROR(VALUE(MID(F1823,SEARCH("QTY",F1823)+4,IFERROR(FIND(" ",F1823,SEARCH("QTY",F1823)+4)-(SEARCH("QTY",F1823)+4),3))),""))</f>
        <v>0</v>
      </c>
      <c r="M1823">
        <f>'Raw Data'!O1823</f>
        <v>0</v>
      </c>
      <c r="N1823">
        <f>'Raw Data'!P1823</f>
        <v>0</v>
      </c>
      <c r="O1823">
        <f>'Raw Data'!Q1823</f>
        <v>0</v>
      </c>
      <c r="P1823">
        <f>'Raw Data'!R1823</f>
        <v>0</v>
      </c>
      <c r="Q1823">
        <f>'Raw Data'!S1823</f>
        <v>0</v>
      </c>
      <c r="R1823">
        <f>'Raw Data'!T1823</f>
        <v>0</v>
      </c>
      <c r="S1823">
        <f>IFERROR(O1823,0)+IFERROR(R1823,0)</f>
        <v>0</v>
      </c>
      <c r="T1823">
        <f>IF(A1823="","",YEAR(A1823))</f>
        <v>0</v>
      </c>
    </row>
    <row r="1824" spans="1:20">
      <c r="A1824">
        <f>'Raw Data'!B1824</f>
        <v>0</v>
      </c>
      <c r="B1824">
        <f>'Raw Data'!A1824</f>
        <v>0</v>
      </c>
      <c r="C1824">
        <f>'Raw Data'!C1824</f>
        <v>0</v>
      </c>
      <c r="D1824">
        <f>'Raw Data'!D1824</f>
        <v>0</v>
      </c>
      <c r="E1824">
        <f>IFERROR(VLOOKUP(D1824,'Lookup Tables'!$A:$B,2,FALSE),"Unknown")</f>
        <v>0</v>
      </c>
      <c r="F1824">
        <f>'Raw Data'!E1824</f>
        <v>0</v>
      </c>
      <c r="G1824">
        <f>IFERROR(VLOOKUP(D1824,'Lookup Tables'!$A:$C,3,FALSE),IF(ISNUMBER(SEARCH("STEEL",F1824)),"Steel","Others"))</f>
        <v>0</v>
      </c>
      <c r="H1824">
        <f>IF(ISNUMBER(SEARCH("scrubber",F1824)) , "Scrubber", IF(ISNUMBER(SEARCH("container",F1824)),"Container", IF(ISNUMBER(SEARCH("basket",F1824)),"Basket", IF(ISNUMBER(SEARCH("lunch",F1824)),"Lunch Box", IF(ISNUMBER(SEARCH("cutlery",F1824)),"Cutlery","Other")))))</f>
        <v>0</v>
      </c>
      <c r="I1824">
        <f>IF('Raw Data'!G1824&lt;&gt;'','Raw Data'!G1824,IFERROR(MID(F1824,SEARCH("MODEL",F1824)+6,20),""))</f>
        <v>0</v>
      </c>
      <c r="J1824">
        <f>'Raw Data'!H1824</f>
        <v>0</v>
      </c>
      <c r="K1824">
        <f>'Raw Data'!I1824</f>
        <v>0</v>
      </c>
      <c r="L1824">
        <f>IF('Raw Data'!N1824&lt;&gt;0,'Raw Data'!N1824,IFERROR(VALUE(MID(F1824,SEARCH("QTY",F1824)+4,IFERROR(FIND(" ",F1824,SEARCH("QTY",F1824)+4)-(SEARCH("QTY",F1824)+4),3))),""))</f>
        <v>0</v>
      </c>
      <c r="M1824">
        <f>'Raw Data'!O1824</f>
        <v>0</v>
      </c>
      <c r="N1824">
        <f>'Raw Data'!P1824</f>
        <v>0</v>
      </c>
      <c r="O1824">
        <f>'Raw Data'!Q1824</f>
        <v>0</v>
      </c>
      <c r="P1824">
        <f>'Raw Data'!R1824</f>
        <v>0</v>
      </c>
      <c r="Q1824">
        <f>'Raw Data'!S1824</f>
        <v>0</v>
      </c>
      <c r="R1824">
        <f>'Raw Data'!T1824</f>
        <v>0</v>
      </c>
      <c r="S1824">
        <f>IFERROR(O1824,0)+IFERROR(R1824,0)</f>
        <v>0</v>
      </c>
      <c r="T1824">
        <f>IF(A1824="","",YEAR(A1824))</f>
        <v>0</v>
      </c>
    </row>
    <row r="1825" spans="1:20">
      <c r="A1825">
        <f>'Raw Data'!B1825</f>
        <v>0</v>
      </c>
      <c r="B1825">
        <f>'Raw Data'!A1825</f>
        <v>0</v>
      </c>
      <c r="C1825">
        <f>'Raw Data'!C1825</f>
        <v>0</v>
      </c>
      <c r="D1825">
        <f>'Raw Data'!D1825</f>
        <v>0</v>
      </c>
      <c r="E1825">
        <f>IFERROR(VLOOKUP(D1825,'Lookup Tables'!$A:$B,2,FALSE),"Unknown")</f>
        <v>0</v>
      </c>
      <c r="F1825">
        <f>'Raw Data'!E1825</f>
        <v>0</v>
      </c>
      <c r="G1825">
        <f>IFERROR(VLOOKUP(D1825,'Lookup Tables'!$A:$C,3,FALSE),IF(ISNUMBER(SEARCH("STEEL",F1825)),"Steel","Others"))</f>
        <v>0</v>
      </c>
      <c r="H1825">
        <f>IF(ISNUMBER(SEARCH("scrubber",F1825)) , "Scrubber", IF(ISNUMBER(SEARCH("container",F1825)),"Container", IF(ISNUMBER(SEARCH("basket",F1825)),"Basket", IF(ISNUMBER(SEARCH("lunch",F1825)),"Lunch Box", IF(ISNUMBER(SEARCH("cutlery",F1825)),"Cutlery","Other")))))</f>
        <v>0</v>
      </c>
      <c r="I1825">
        <f>IF('Raw Data'!G1825&lt;&gt;'','Raw Data'!G1825,IFERROR(MID(F1825,SEARCH("MODEL",F1825)+6,20),""))</f>
        <v>0</v>
      </c>
      <c r="J1825">
        <f>'Raw Data'!H1825</f>
        <v>0</v>
      </c>
      <c r="K1825">
        <f>'Raw Data'!I1825</f>
        <v>0</v>
      </c>
      <c r="L1825">
        <f>IF('Raw Data'!N1825&lt;&gt;0,'Raw Data'!N1825,IFERROR(VALUE(MID(F1825,SEARCH("QTY",F1825)+4,IFERROR(FIND(" ",F1825,SEARCH("QTY",F1825)+4)-(SEARCH("QTY",F1825)+4),3))),""))</f>
        <v>0</v>
      </c>
      <c r="M1825">
        <f>'Raw Data'!O1825</f>
        <v>0</v>
      </c>
      <c r="N1825">
        <f>'Raw Data'!P1825</f>
        <v>0</v>
      </c>
      <c r="O1825">
        <f>'Raw Data'!Q1825</f>
        <v>0</v>
      </c>
      <c r="P1825">
        <f>'Raw Data'!R1825</f>
        <v>0</v>
      </c>
      <c r="Q1825">
        <f>'Raw Data'!S1825</f>
        <v>0</v>
      </c>
      <c r="R1825">
        <f>'Raw Data'!T1825</f>
        <v>0</v>
      </c>
      <c r="S1825">
        <f>IFERROR(O1825,0)+IFERROR(R1825,0)</f>
        <v>0</v>
      </c>
      <c r="T1825">
        <f>IF(A1825="","",YEAR(A1825))</f>
        <v>0</v>
      </c>
    </row>
    <row r="1826" spans="1:20">
      <c r="A1826">
        <f>'Raw Data'!B1826</f>
        <v>0</v>
      </c>
      <c r="B1826">
        <f>'Raw Data'!A1826</f>
        <v>0</v>
      </c>
      <c r="C1826">
        <f>'Raw Data'!C1826</f>
        <v>0</v>
      </c>
      <c r="D1826">
        <f>'Raw Data'!D1826</f>
        <v>0</v>
      </c>
      <c r="E1826">
        <f>IFERROR(VLOOKUP(D1826,'Lookup Tables'!$A:$B,2,FALSE),"Unknown")</f>
        <v>0</v>
      </c>
      <c r="F1826">
        <f>'Raw Data'!E1826</f>
        <v>0</v>
      </c>
      <c r="G1826">
        <f>IFERROR(VLOOKUP(D1826,'Lookup Tables'!$A:$C,3,FALSE),IF(ISNUMBER(SEARCH("STEEL",F1826)),"Steel","Others"))</f>
        <v>0</v>
      </c>
      <c r="H1826">
        <f>IF(ISNUMBER(SEARCH("scrubber",F1826)) , "Scrubber", IF(ISNUMBER(SEARCH("container",F1826)),"Container", IF(ISNUMBER(SEARCH("basket",F1826)),"Basket", IF(ISNUMBER(SEARCH("lunch",F1826)),"Lunch Box", IF(ISNUMBER(SEARCH("cutlery",F1826)),"Cutlery","Other")))))</f>
        <v>0</v>
      </c>
      <c r="I1826">
        <f>IF('Raw Data'!G1826&lt;&gt;'','Raw Data'!G1826,IFERROR(MID(F1826,SEARCH("MODEL",F1826)+6,20),""))</f>
        <v>0</v>
      </c>
      <c r="J1826">
        <f>'Raw Data'!H1826</f>
        <v>0</v>
      </c>
      <c r="K1826">
        <f>'Raw Data'!I1826</f>
        <v>0</v>
      </c>
      <c r="L1826">
        <f>IF('Raw Data'!N1826&lt;&gt;0,'Raw Data'!N1826,IFERROR(VALUE(MID(F1826,SEARCH("QTY",F1826)+4,IFERROR(FIND(" ",F1826,SEARCH("QTY",F1826)+4)-(SEARCH("QTY",F1826)+4),3))),""))</f>
        <v>0</v>
      </c>
      <c r="M1826">
        <f>'Raw Data'!O1826</f>
        <v>0</v>
      </c>
      <c r="N1826">
        <f>'Raw Data'!P1826</f>
        <v>0</v>
      </c>
      <c r="O1826">
        <f>'Raw Data'!Q1826</f>
        <v>0</v>
      </c>
      <c r="P1826">
        <f>'Raw Data'!R1826</f>
        <v>0</v>
      </c>
      <c r="Q1826">
        <f>'Raw Data'!S1826</f>
        <v>0</v>
      </c>
      <c r="R1826">
        <f>'Raw Data'!T1826</f>
        <v>0</v>
      </c>
      <c r="S1826">
        <f>IFERROR(O1826,0)+IFERROR(R1826,0)</f>
        <v>0</v>
      </c>
      <c r="T1826">
        <f>IF(A1826="","",YEAR(A1826))</f>
        <v>0</v>
      </c>
    </row>
    <row r="1827" spans="1:20">
      <c r="A1827">
        <f>'Raw Data'!B1827</f>
        <v>0</v>
      </c>
      <c r="B1827">
        <f>'Raw Data'!A1827</f>
        <v>0</v>
      </c>
      <c r="C1827">
        <f>'Raw Data'!C1827</f>
        <v>0</v>
      </c>
      <c r="D1827">
        <f>'Raw Data'!D1827</f>
        <v>0</v>
      </c>
      <c r="E1827">
        <f>IFERROR(VLOOKUP(D1827,'Lookup Tables'!$A:$B,2,FALSE),"Unknown")</f>
        <v>0</v>
      </c>
      <c r="F1827">
        <f>'Raw Data'!E1827</f>
        <v>0</v>
      </c>
      <c r="G1827">
        <f>IFERROR(VLOOKUP(D1827,'Lookup Tables'!$A:$C,3,FALSE),IF(ISNUMBER(SEARCH("STEEL",F1827)),"Steel","Others"))</f>
        <v>0</v>
      </c>
      <c r="H1827">
        <f>IF(ISNUMBER(SEARCH("scrubber",F1827)) , "Scrubber", IF(ISNUMBER(SEARCH("container",F1827)),"Container", IF(ISNUMBER(SEARCH("basket",F1827)),"Basket", IF(ISNUMBER(SEARCH("lunch",F1827)),"Lunch Box", IF(ISNUMBER(SEARCH("cutlery",F1827)),"Cutlery","Other")))))</f>
        <v>0</v>
      </c>
      <c r="I1827">
        <f>IF('Raw Data'!G1827&lt;&gt;'','Raw Data'!G1827,IFERROR(MID(F1827,SEARCH("MODEL",F1827)+6,20),""))</f>
        <v>0</v>
      </c>
      <c r="J1827">
        <f>'Raw Data'!H1827</f>
        <v>0</v>
      </c>
      <c r="K1827">
        <f>'Raw Data'!I1827</f>
        <v>0</v>
      </c>
      <c r="L1827">
        <f>IF('Raw Data'!N1827&lt;&gt;0,'Raw Data'!N1827,IFERROR(VALUE(MID(F1827,SEARCH("QTY",F1827)+4,IFERROR(FIND(" ",F1827,SEARCH("QTY",F1827)+4)-(SEARCH("QTY",F1827)+4),3))),""))</f>
        <v>0</v>
      </c>
      <c r="M1827">
        <f>'Raw Data'!O1827</f>
        <v>0</v>
      </c>
      <c r="N1827">
        <f>'Raw Data'!P1827</f>
        <v>0</v>
      </c>
      <c r="O1827">
        <f>'Raw Data'!Q1827</f>
        <v>0</v>
      </c>
      <c r="P1827">
        <f>'Raw Data'!R1827</f>
        <v>0</v>
      </c>
      <c r="Q1827">
        <f>'Raw Data'!S1827</f>
        <v>0</v>
      </c>
      <c r="R1827">
        <f>'Raw Data'!T1827</f>
        <v>0</v>
      </c>
      <c r="S1827">
        <f>IFERROR(O1827,0)+IFERROR(R1827,0)</f>
        <v>0</v>
      </c>
      <c r="T1827">
        <f>IF(A1827="","",YEAR(A1827))</f>
        <v>0</v>
      </c>
    </row>
    <row r="1828" spans="1:20">
      <c r="A1828">
        <f>'Raw Data'!B1828</f>
        <v>0</v>
      </c>
      <c r="B1828">
        <f>'Raw Data'!A1828</f>
        <v>0</v>
      </c>
      <c r="C1828">
        <f>'Raw Data'!C1828</f>
        <v>0</v>
      </c>
      <c r="D1828">
        <f>'Raw Data'!D1828</f>
        <v>0</v>
      </c>
      <c r="E1828">
        <f>IFERROR(VLOOKUP(D1828,'Lookup Tables'!$A:$B,2,FALSE),"Unknown")</f>
        <v>0</v>
      </c>
      <c r="F1828">
        <f>'Raw Data'!E1828</f>
        <v>0</v>
      </c>
      <c r="G1828">
        <f>IFERROR(VLOOKUP(D1828,'Lookup Tables'!$A:$C,3,FALSE),IF(ISNUMBER(SEARCH("STEEL",F1828)),"Steel","Others"))</f>
        <v>0</v>
      </c>
      <c r="H1828">
        <f>IF(ISNUMBER(SEARCH("scrubber",F1828)) , "Scrubber", IF(ISNUMBER(SEARCH("container",F1828)),"Container", IF(ISNUMBER(SEARCH("basket",F1828)),"Basket", IF(ISNUMBER(SEARCH("lunch",F1828)),"Lunch Box", IF(ISNUMBER(SEARCH("cutlery",F1828)),"Cutlery","Other")))))</f>
        <v>0</v>
      </c>
      <c r="I1828">
        <f>IF('Raw Data'!G1828&lt;&gt;'','Raw Data'!G1828,IFERROR(MID(F1828,SEARCH("MODEL",F1828)+6,20),""))</f>
        <v>0</v>
      </c>
      <c r="J1828">
        <f>'Raw Data'!H1828</f>
        <v>0</v>
      </c>
      <c r="K1828">
        <f>'Raw Data'!I1828</f>
        <v>0</v>
      </c>
      <c r="L1828">
        <f>IF('Raw Data'!N1828&lt;&gt;0,'Raw Data'!N1828,IFERROR(VALUE(MID(F1828,SEARCH("QTY",F1828)+4,IFERROR(FIND(" ",F1828,SEARCH("QTY",F1828)+4)-(SEARCH("QTY",F1828)+4),3))),""))</f>
        <v>0</v>
      </c>
      <c r="M1828">
        <f>'Raw Data'!O1828</f>
        <v>0</v>
      </c>
      <c r="N1828">
        <f>'Raw Data'!P1828</f>
        <v>0</v>
      </c>
      <c r="O1828">
        <f>'Raw Data'!Q1828</f>
        <v>0</v>
      </c>
      <c r="P1828">
        <f>'Raw Data'!R1828</f>
        <v>0</v>
      </c>
      <c r="Q1828">
        <f>'Raw Data'!S1828</f>
        <v>0</v>
      </c>
      <c r="R1828">
        <f>'Raw Data'!T1828</f>
        <v>0</v>
      </c>
      <c r="S1828">
        <f>IFERROR(O1828,0)+IFERROR(R1828,0)</f>
        <v>0</v>
      </c>
      <c r="T1828">
        <f>IF(A1828="","",YEAR(A1828))</f>
        <v>0</v>
      </c>
    </row>
    <row r="1829" spans="1:20">
      <c r="A1829">
        <f>'Raw Data'!B1829</f>
        <v>0</v>
      </c>
      <c r="B1829">
        <f>'Raw Data'!A1829</f>
        <v>0</v>
      </c>
      <c r="C1829">
        <f>'Raw Data'!C1829</f>
        <v>0</v>
      </c>
      <c r="D1829">
        <f>'Raw Data'!D1829</f>
        <v>0</v>
      </c>
      <c r="E1829">
        <f>IFERROR(VLOOKUP(D1829,'Lookup Tables'!$A:$B,2,FALSE),"Unknown")</f>
        <v>0</v>
      </c>
      <c r="F1829">
        <f>'Raw Data'!E1829</f>
        <v>0</v>
      </c>
      <c r="G1829">
        <f>IFERROR(VLOOKUP(D1829,'Lookup Tables'!$A:$C,3,FALSE),IF(ISNUMBER(SEARCH("STEEL",F1829)),"Steel","Others"))</f>
        <v>0</v>
      </c>
      <c r="H1829">
        <f>IF(ISNUMBER(SEARCH("scrubber",F1829)) , "Scrubber", IF(ISNUMBER(SEARCH("container",F1829)),"Container", IF(ISNUMBER(SEARCH("basket",F1829)),"Basket", IF(ISNUMBER(SEARCH("lunch",F1829)),"Lunch Box", IF(ISNUMBER(SEARCH("cutlery",F1829)),"Cutlery","Other")))))</f>
        <v>0</v>
      </c>
      <c r="I1829">
        <f>IF('Raw Data'!G1829&lt;&gt;'','Raw Data'!G1829,IFERROR(MID(F1829,SEARCH("MODEL",F1829)+6,20),""))</f>
        <v>0</v>
      </c>
      <c r="J1829">
        <f>'Raw Data'!H1829</f>
        <v>0</v>
      </c>
      <c r="K1829">
        <f>'Raw Data'!I1829</f>
        <v>0</v>
      </c>
      <c r="L1829">
        <f>IF('Raw Data'!N1829&lt;&gt;0,'Raw Data'!N1829,IFERROR(VALUE(MID(F1829,SEARCH("QTY",F1829)+4,IFERROR(FIND(" ",F1829,SEARCH("QTY",F1829)+4)-(SEARCH("QTY",F1829)+4),3))),""))</f>
        <v>0</v>
      </c>
      <c r="M1829">
        <f>'Raw Data'!O1829</f>
        <v>0</v>
      </c>
      <c r="N1829">
        <f>'Raw Data'!P1829</f>
        <v>0</v>
      </c>
      <c r="O1829">
        <f>'Raw Data'!Q1829</f>
        <v>0</v>
      </c>
      <c r="P1829">
        <f>'Raw Data'!R1829</f>
        <v>0</v>
      </c>
      <c r="Q1829">
        <f>'Raw Data'!S1829</f>
        <v>0</v>
      </c>
      <c r="R1829">
        <f>'Raw Data'!T1829</f>
        <v>0</v>
      </c>
      <c r="S1829">
        <f>IFERROR(O1829,0)+IFERROR(R1829,0)</f>
        <v>0</v>
      </c>
      <c r="T1829">
        <f>IF(A1829="","",YEAR(A1829))</f>
        <v>0</v>
      </c>
    </row>
    <row r="1830" spans="1:20">
      <c r="A1830">
        <f>'Raw Data'!B1830</f>
        <v>0</v>
      </c>
      <c r="B1830">
        <f>'Raw Data'!A1830</f>
        <v>0</v>
      </c>
      <c r="C1830">
        <f>'Raw Data'!C1830</f>
        <v>0</v>
      </c>
      <c r="D1830">
        <f>'Raw Data'!D1830</f>
        <v>0</v>
      </c>
      <c r="E1830">
        <f>IFERROR(VLOOKUP(D1830,'Lookup Tables'!$A:$B,2,FALSE),"Unknown")</f>
        <v>0</v>
      </c>
      <c r="F1830">
        <f>'Raw Data'!E1830</f>
        <v>0</v>
      </c>
      <c r="G1830">
        <f>IFERROR(VLOOKUP(D1830,'Lookup Tables'!$A:$C,3,FALSE),IF(ISNUMBER(SEARCH("STEEL",F1830)),"Steel","Others"))</f>
        <v>0</v>
      </c>
      <c r="H1830">
        <f>IF(ISNUMBER(SEARCH("scrubber",F1830)) , "Scrubber", IF(ISNUMBER(SEARCH("container",F1830)),"Container", IF(ISNUMBER(SEARCH("basket",F1830)),"Basket", IF(ISNUMBER(SEARCH("lunch",F1830)),"Lunch Box", IF(ISNUMBER(SEARCH("cutlery",F1830)),"Cutlery","Other")))))</f>
        <v>0</v>
      </c>
      <c r="I1830">
        <f>IF('Raw Data'!G1830&lt;&gt;'','Raw Data'!G1830,IFERROR(MID(F1830,SEARCH("MODEL",F1830)+6,20),""))</f>
        <v>0</v>
      </c>
      <c r="J1830">
        <f>'Raw Data'!H1830</f>
        <v>0</v>
      </c>
      <c r="K1830">
        <f>'Raw Data'!I1830</f>
        <v>0</v>
      </c>
      <c r="L1830">
        <f>IF('Raw Data'!N1830&lt;&gt;0,'Raw Data'!N1830,IFERROR(VALUE(MID(F1830,SEARCH("QTY",F1830)+4,IFERROR(FIND(" ",F1830,SEARCH("QTY",F1830)+4)-(SEARCH("QTY",F1830)+4),3))),""))</f>
        <v>0</v>
      </c>
      <c r="M1830">
        <f>'Raw Data'!O1830</f>
        <v>0</v>
      </c>
      <c r="N1830">
        <f>'Raw Data'!P1830</f>
        <v>0</v>
      </c>
      <c r="O1830">
        <f>'Raw Data'!Q1830</f>
        <v>0</v>
      </c>
      <c r="P1830">
        <f>'Raw Data'!R1830</f>
        <v>0</v>
      </c>
      <c r="Q1830">
        <f>'Raw Data'!S1830</f>
        <v>0</v>
      </c>
      <c r="R1830">
        <f>'Raw Data'!T1830</f>
        <v>0</v>
      </c>
      <c r="S1830">
        <f>IFERROR(O1830,0)+IFERROR(R1830,0)</f>
        <v>0</v>
      </c>
      <c r="T1830">
        <f>IF(A1830="","",YEAR(A1830))</f>
        <v>0</v>
      </c>
    </row>
    <row r="1831" spans="1:20">
      <c r="A1831">
        <f>'Raw Data'!B1831</f>
        <v>0</v>
      </c>
      <c r="B1831">
        <f>'Raw Data'!A1831</f>
        <v>0</v>
      </c>
      <c r="C1831">
        <f>'Raw Data'!C1831</f>
        <v>0</v>
      </c>
      <c r="D1831">
        <f>'Raw Data'!D1831</f>
        <v>0</v>
      </c>
      <c r="E1831">
        <f>IFERROR(VLOOKUP(D1831,'Lookup Tables'!$A:$B,2,FALSE),"Unknown")</f>
        <v>0</v>
      </c>
      <c r="F1831">
        <f>'Raw Data'!E1831</f>
        <v>0</v>
      </c>
      <c r="G1831">
        <f>IFERROR(VLOOKUP(D1831,'Lookup Tables'!$A:$C,3,FALSE),IF(ISNUMBER(SEARCH("STEEL",F1831)),"Steel","Others"))</f>
        <v>0</v>
      </c>
      <c r="H1831">
        <f>IF(ISNUMBER(SEARCH("scrubber",F1831)) , "Scrubber", IF(ISNUMBER(SEARCH("container",F1831)),"Container", IF(ISNUMBER(SEARCH("basket",F1831)),"Basket", IF(ISNUMBER(SEARCH("lunch",F1831)),"Lunch Box", IF(ISNUMBER(SEARCH("cutlery",F1831)),"Cutlery","Other")))))</f>
        <v>0</v>
      </c>
      <c r="I1831">
        <f>IF('Raw Data'!G1831&lt;&gt;'','Raw Data'!G1831,IFERROR(MID(F1831,SEARCH("MODEL",F1831)+6,20),""))</f>
        <v>0</v>
      </c>
      <c r="J1831">
        <f>'Raw Data'!H1831</f>
        <v>0</v>
      </c>
      <c r="K1831">
        <f>'Raw Data'!I1831</f>
        <v>0</v>
      </c>
      <c r="L1831">
        <f>IF('Raw Data'!N1831&lt;&gt;0,'Raw Data'!N1831,IFERROR(VALUE(MID(F1831,SEARCH("QTY",F1831)+4,IFERROR(FIND(" ",F1831,SEARCH("QTY",F1831)+4)-(SEARCH("QTY",F1831)+4),3))),""))</f>
        <v>0</v>
      </c>
      <c r="M1831">
        <f>'Raw Data'!O1831</f>
        <v>0</v>
      </c>
      <c r="N1831">
        <f>'Raw Data'!P1831</f>
        <v>0</v>
      </c>
      <c r="O1831">
        <f>'Raw Data'!Q1831</f>
        <v>0</v>
      </c>
      <c r="P1831">
        <f>'Raw Data'!R1831</f>
        <v>0</v>
      </c>
      <c r="Q1831">
        <f>'Raw Data'!S1831</f>
        <v>0</v>
      </c>
      <c r="R1831">
        <f>'Raw Data'!T1831</f>
        <v>0</v>
      </c>
      <c r="S1831">
        <f>IFERROR(O1831,0)+IFERROR(R1831,0)</f>
        <v>0</v>
      </c>
      <c r="T1831">
        <f>IF(A1831="","",YEAR(A1831))</f>
        <v>0</v>
      </c>
    </row>
    <row r="1832" spans="1:20">
      <c r="A1832">
        <f>'Raw Data'!B1832</f>
        <v>0</v>
      </c>
      <c r="B1832">
        <f>'Raw Data'!A1832</f>
        <v>0</v>
      </c>
      <c r="C1832">
        <f>'Raw Data'!C1832</f>
        <v>0</v>
      </c>
      <c r="D1832">
        <f>'Raw Data'!D1832</f>
        <v>0</v>
      </c>
      <c r="E1832">
        <f>IFERROR(VLOOKUP(D1832,'Lookup Tables'!$A:$B,2,FALSE),"Unknown")</f>
        <v>0</v>
      </c>
      <c r="F1832">
        <f>'Raw Data'!E1832</f>
        <v>0</v>
      </c>
      <c r="G1832">
        <f>IFERROR(VLOOKUP(D1832,'Lookup Tables'!$A:$C,3,FALSE),IF(ISNUMBER(SEARCH("STEEL",F1832)),"Steel","Others"))</f>
        <v>0</v>
      </c>
      <c r="H1832">
        <f>IF(ISNUMBER(SEARCH("scrubber",F1832)) , "Scrubber", IF(ISNUMBER(SEARCH("container",F1832)),"Container", IF(ISNUMBER(SEARCH("basket",F1832)),"Basket", IF(ISNUMBER(SEARCH("lunch",F1832)),"Lunch Box", IF(ISNUMBER(SEARCH("cutlery",F1832)),"Cutlery","Other")))))</f>
        <v>0</v>
      </c>
      <c r="I1832">
        <f>IF('Raw Data'!G1832&lt;&gt;'','Raw Data'!G1832,IFERROR(MID(F1832,SEARCH("MODEL",F1832)+6,20),""))</f>
        <v>0</v>
      </c>
      <c r="J1832">
        <f>'Raw Data'!H1832</f>
        <v>0</v>
      </c>
      <c r="K1832">
        <f>'Raw Data'!I1832</f>
        <v>0</v>
      </c>
      <c r="L1832">
        <f>IF('Raw Data'!N1832&lt;&gt;0,'Raw Data'!N1832,IFERROR(VALUE(MID(F1832,SEARCH("QTY",F1832)+4,IFERROR(FIND(" ",F1832,SEARCH("QTY",F1832)+4)-(SEARCH("QTY",F1832)+4),3))),""))</f>
        <v>0</v>
      </c>
      <c r="M1832">
        <f>'Raw Data'!O1832</f>
        <v>0</v>
      </c>
      <c r="N1832">
        <f>'Raw Data'!P1832</f>
        <v>0</v>
      </c>
      <c r="O1832">
        <f>'Raw Data'!Q1832</f>
        <v>0</v>
      </c>
      <c r="P1832">
        <f>'Raw Data'!R1832</f>
        <v>0</v>
      </c>
      <c r="Q1832">
        <f>'Raw Data'!S1832</f>
        <v>0</v>
      </c>
      <c r="R1832">
        <f>'Raw Data'!T1832</f>
        <v>0</v>
      </c>
      <c r="S1832">
        <f>IFERROR(O1832,0)+IFERROR(R1832,0)</f>
        <v>0</v>
      </c>
      <c r="T1832">
        <f>IF(A1832="","",YEAR(A1832))</f>
        <v>0</v>
      </c>
    </row>
    <row r="1833" spans="1:20">
      <c r="A1833">
        <f>'Raw Data'!B1833</f>
        <v>0</v>
      </c>
      <c r="B1833">
        <f>'Raw Data'!A1833</f>
        <v>0</v>
      </c>
      <c r="C1833">
        <f>'Raw Data'!C1833</f>
        <v>0</v>
      </c>
      <c r="D1833">
        <f>'Raw Data'!D1833</f>
        <v>0</v>
      </c>
      <c r="E1833">
        <f>IFERROR(VLOOKUP(D1833,'Lookup Tables'!$A:$B,2,FALSE),"Unknown")</f>
        <v>0</v>
      </c>
      <c r="F1833">
        <f>'Raw Data'!E1833</f>
        <v>0</v>
      </c>
      <c r="G1833">
        <f>IFERROR(VLOOKUP(D1833,'Lookup Tables'!$A:$C,3,FALSE),IF(ISNUMBER(SEARCH("STEEL",F1833)),"Steel","Others"))</f>
        <v>0</v>
      </c>
      <c r="H1833">
        <f>IF(ISNUMBER(SEARCH("scrubber",F1833)) , "Scrubber", IF(ISNUMBER(SEARCH("container",F1833)),"Container", IF(ISNUMBER(SEARCH("basket",F1833)),"Basket", IF(ISNUMBER(SEARCH("lunch",F1833)),"Lunch Box", IF(ISNUMBER(SEARCH("cutlery",F1833)),"Cutlery","Other")))))</f>
        <v>0</v>
      </c>
      <c r="I1833">
        <f>IF('Raw Data'!G1833&lt;&gt;'','Raw Data'!G1833,IFERROR(MID(F1833,SEARCH("MODEL",F1833)+6,20),""))</f>
        <v>0</v>
      </c>
      <c r="J1833">
        <f>'Raw Data'!H1833</f>
        <v>0</v>
      </c>
      <c r="K1833">
        <f>'Raw Data'!I1833</f>
        <v>0</v>
      </c>
      <c r="L1833">
        <f>IF('Raw Data'!N1833&lt;&gt;0,'Raw Data'!N1833,IFERROR(VALUE(MID(F1833,SEARCH("QTY",F1833)+4,IFERROR(FIND(" ",F1833,SEARCH("QTY",F1833)+4)-(SEARCH("QTY",F1833)+4),3))),""))</f>
        <v>0</v>
      </c>
      <c r="M1833">
        <f>'Raw Data'!O1833</f>
        <v>0</v>
      </c>
      <c r="N1833">
        <f>'Raw Data'!P1833</f>
        <v>0</v>
      </c>
      <c r="O1833">
        <f>'Raw Data'!Q1833</f>
        <v>0</v>
      </c>
      <c r="P1833">
        <f>'Raw Data'!R1833</f>
        <v>0</v>
      </c>
      <c r="Q1833">
        <f>'Raw Data'!S1833</f>
        <v>0</v>
      </c>
      <c r="R1833">
        <f>'Raw Data'!T1833</f>
        <v>0</v>
      </c>
      <c r="S1833">
        <f>IFERROR(O1833,0)+IFERROR(R1833,0)</f>
        <v>0</v>
      </c>
      <c r="T1833">
        <f>IF(A1833="","",YEAR(A1833))</f>
        <v>0</v>
      </c>
    </row>
    <row r="1834" spans="1:20">
      <c r="A1834">
        <f>'Raw Data'!B1834</f>
        <v>0</v>
      </c>
      <c r="B1834">
        <f>'Raw Data'!A1834</f>
        <v>0</v>
      </c>
      <c r="C1834">
        <f>'Raw Data'!C1834</f>
        <v>0</v>
      </c>
      <c r="D1834">
        <f>'Raw Data'!D1834</f>
        <v>0</v>
      </c>
      <c r="E1834">
        <f>IFERROR(VLOOKUP(D1834,'Lookup Tables'!$A:$B,2,FALSE),"Unknown")</f>
        <v>0</v>
      </c>
      <c r="F1834">
        <f>'Raw Data'!E1834</f>
        <v>0</v>
      </c>
      <c r="G1834">
        <f>IFERROR(VLOOKUP(D1834,'Lookup Tables'!$A:$C,3,FALSE),IF(ISNUMBER(SEARCH("STEEL",F1834)),"Steel","Others"))</f>
        <v>0</v>
      </c>
      <c r="H1834">
        <f>IF(ISNUMBER(SEARCH("scrubber",F1834)) , "Scrubber", IF(ISNUMBER(SEARCH("container",F1834)),"Container", IF(ISNUMBER(SEARCH("basket",F1834)),"Basket", IF(ISNUMBER(SEARCH("lunch",F1834)),"Lunch Box", IF(ISNUMBER(SEARCH("cutlery",F1834)),"Cutlery","Other")))))</f>
        <v>0</v>
      </c>
      <c r="I1834">
        <f>IF('Raw Data'!G1834&lt;&gt;'','Raw Data'!G1834,IFERROR(MID(F1834,SEARCH("MODEL",F1834)+6,20),""))</f>
        <v>0</v>
      </c>
      <c r="J1834">
        <f>'Raw Data'!H1834</f>
        <v>0</v>
      </c>
      <c r="K1834">
        <f>'Raw Data'!I1834</f>
        <v>0</v>
      </c>
      <c r="L1834">
        <f>IF('Raw Data'!N1834&lt;&gt;0,'Raw Data'!N1834,IFERROR(VALUE(MID(F1834,SEARCH("QTY",F1834)+4,IFERROR(FIND(" ",F1834,SEARCH("QTY",F1834)+4)-(SEARCH("QTY",F1834)+4),3))),""))</f>
        <v>0</v>
      </c>
      <c r="M1834">
        <f>'Raw Data'!O1834</f>
        <v>0</v>
      </c>
      <c r="N1834">
        <f>'Raw Data'!P1834</f>
        <v>0</v>
      </c>
      <c r="O1834">
        <f>'Raw Data'!Q1834</f>
        <v>0</v>
      </c>
      <c r="P1834">
        <f>'Raw Data'!R1834</f>
        <v>0</v>
      </c>
      <c r="Q1834">
        <f>'Raw Data'!S1834</f>
        <v>0</v>
      </c>
      <c r="R1834">
        <f>'Raw Data'!T1834</f>
        <v>0</v>
      </c>
      <c r="S1834">
        <f>IFERROR(O1834,0)+IFERROR(R1834,0)</f>
        <v>0</v>
      </c>
      <c r="T1834">
        <f>IF(A1834="","",YEAR(A1834))</f>
        <v>0</v>
      </c>
    </row>
    <row r="1835" spans="1:20">
      <c r="A1835">
        <f>'Raw Data'!B1835</f>
        <v>0</v>
      </c>
      <c r="B1835">
        <f>'Raw Data'!A1835</f>
        <v>0</v>
      </c>
      <c r="C1835">
        <f>'Raw Data'!C1835</f>
        <v>0</v>
      </c>
      <c r="D1835">
        <f>'Raw Data'!D1835</f>
        <v>0</v>
      </c>
      <c r="E1835">
        <f>IFERROR(VLOOKUP(D1835,'Lookup Tables'!$A:$B,2,FALSE),"Unknown")</f>
        <v>0</v>
      </c>
      <c r="F1835">
        <f>'Raw Data'!E1835</f>
        <v>0</v>
      </c>
      <c r="G1835">
        <f>IFERROR(VLOOKUP(D1835,'Lookup Tables'!$A:$C,3,FALSE),IF(ISNUMBER(SEARCH("STEEL",F1835)),"Steel","Others"))</f>
        <v>0</v>
      </c>
      <c r="H1835">
        <f>IF(ISNUMBER(SEARCH("scrubber",F1835)) , "Scrubber", IF(ISNUMBER(SEARCH("container",F1835)),"Container", IF(ISNUMBER(SEARCH("basket",F1835)),"Basket", IF(ISNUMBER(SEARCH("lunch",F1835)),"Lunch Box", IF(ISNUMBER(SEARCH("cutlery",F1835)),"Cutlery","Other")))))</f>
        <v>0</v>
      </c>
      <c r="I1835">
        <f>IF('Raw Data'!G1835&lt;&gt;'','Raw Data'!G1835,IFERROR(MID(F1835,SEARCH("MODEL",F1835)+6,20),""))</f>
        <v>0</v>
      </c>
      <c r="J1835">
        <f>'Raw Data'!H1835</f>
        <v>0</v>
      </c>
      <c r="K1835">
        <f>'Raw Data'!I1835</f>
        <v>0</v>
      </c>
      <c r="L1835">
        <f>IF('Raw Data'!N1835&lt;&gt;0,'Raw Data'!N1835,IFERROR(VALUE(MID(F1835,SEARCH("QTY",F1835)+4,IFERROR(FIND(" ",F1835,SEARCH("QTY",F1835)+4)-(SEARCH("QTY",F1835)+4),3))),""))</f>
        <v>0</v>
      </c>
      <c r="M1835">
        <f>'Raw Data'!O1835</f>
        <v>0</v>
      </c>
      <c r="N1835">
        <f>'Raw Data'!P1835</f>
        <v>0</v>
      </c>
      <c r="O1835">
        <f>'Raw Data'!Q1835</f>
        <v>0</v>
      </c>
      <c r="P1835">
        <f>'Raw Data'!R1835</f>
        <v>0</v>
      </c>
      <c r="Q1835">
        <f>'Raw Data'!S1835</f>
        <v>0</v>
      </c>
      <c r="R1835">
        <f>'Raw Data'!T1835</f>
        <v>0</v>
      </c>
      <c r="S1835">
        <f>IFERROR(O1835,0)+IFERROR(R1835,0)</f>
        <v>0</v>
      </c>
      <c r="T1835">
        <f>IF(A1835="","",YEAR(A1835))</f>
        <v>0</v>
      </c>
    </row>
    <row r="1836" spans="1:20">
      <c r="A1836">
        <f>'Raw Data'!B1836</f>
        <v>0</v>
      </c>
      <c r="B1836">
        <f>'Raw Data'!A1836</f>
        <v>0</v>
      </c>
      <c r="C1836">
        <f>'Raw Data'!C1836</f>
        <v>0</v>
      </c>
      <c r="D1836">
        <f>'Raw Data'!D1836</f>
        <v>0</v>
      </c>
      <c r="E1836">
        <f>IFERROR(VLOOKUP(D1836,'Lookup Tables'!$A:$B,2,FALSE),"Unknown")</f>
        <v>0</v>
      </c>
      <c r="F1836">
        <f>'Raw Data'!E1836</f>
        <v>0</v>
      </c>
      <c r="G1836">
        <f>IFERROR(VLOOKUP(D1836,'Lookup Tables'!$A:$C,3,FALSE),IF(ISNUMBER(SEARCH("STEEL",F1836)),"Steel","Others"))</f>
        <v>0</v>
      </c>
      <c r="H1836">
        <f>IF(ISNUMBER(SEARCH("scrubber",F1836)) , "Scrubber", IF(ISNUMBER(SEARCH("container",F1836)),"Container", IF(ISNUMBER(SEARCH("basket",F1836)),"Basket", IF(ISNUMBER(SEARCH("lunch",F1836)),"Lunch Box", IF(ISNUMBER(SEARCH("cutlery",F1836)),"Cutlery","Other")))))</f>
        <v>0</v>
      </c>
      <c r="I1836">
        <f>IF('Raw Data'!G1836&lt;&gt;'','Raw Data'!G1836,IFERROR(MID(F1836,SEARCH("MODEL",F1836)+6,20),""))</f>
        <v>0</v>
      </c>
      <c r="J1836">
        <f>'Raw Data'!H1836</f>
        <v>0</v>
      </c>
      <c r="K1836">
        <f>'Raw Data'!I1836</f>
        <v>0</v>
      </c>
      <c r="L1836">
        <f>IF('Raw Data'!N1836&lt;&gt;0,'Raw Data'!N1836,IFERROR(VALUE(MID(F1836,SEARCH("QTY",F1836)+4,IFERROR(FIND(" ",F1836,SEARCH("QTY",F1836)+4)-(SEARCH("QTY",F1836)+4),3))),""))</f>
        <v>0</v>
      </c>
      <c r="M1836">
        <f>'Raw Data'!O1836</f>
        <v>0</v>
      </c>
      <c r="N1836">
        <f>'Raw Data'!P1836</f>
        <v>0</v>
      </c>
      <c r="O1836">
        <f>'Raw Data'!Q1836</f>
        <v>0</v>
      </c>
      <c r="P1836">
        <f>'Raw Data'!R1836</f>
        <v>0</v>
      </c>
      <c r="Q1836">
        <f>'Raw Data'!S1836</f>
        <v>0</v>
      </c>
      <c r="R1836">
        <f>'Raw Data'!T1836</f>
        <v>0</v>
      </c>
      <c r="S1836">
        <f>IFERROR(O1836,0)+IFERROR(R1836,0)</f>
        <v>0</v>
      </c>
      <c r="T1836">
        <f>IF(A1836="","",YEAR(A1836))</f>
        <v>0</v>
      </c>
    </row>
    <row r="1837" spans="1:20">
      <c r="A1837">
        <f>'Raw Data'!B1837</f>
        <v>0</v>
      </c>
      <c r="B1837">
        <f>'Raw Data'!A1837</f>
        <v>0</v>
      </c>
      <c r="C1837">
        <f>'Raw Data'!C1837</f>
        <v>0</v>
      </c>
      <c r="D1837">
        <f>'Raw Data'!D1837</f>
        <v>0</v>
      </c>
      <c r="E1837">
        <f>IFERROR(VLOOKUP(D1837,'Lookup Tables'!$A:$B,2,FALSE),"Unknown")</f>
        <v>0</v>
      </c>
      <c r="F1837">
        <f>'Raw Data'!E1837</f>
        <v>0</v>
      </c>
      <c r="G1837">
        <f>IFERROR(VLOOKUP(D1837,'Lookup Tables'!$A:$C,3,FALSE),IF(ISNUMBER(SEARCH("STEEL",F1837)),"Steel","Others"))</f>
        <v>0</v>
      </c>
      <c r="H1837">
        <f>IF(ISNUMBER(SEARCH("scrubber",F1837)) , "Scrubber", IF(ISNUMBER(SEARCH("container",F1837)),"Container", IF(ISNUMBER(SEARCH("basket",F1837)),"Basket", IF(ISNUMBER(SEARCH("lunch",F1837)),"Lunch Box", IF(ISNUMBER(SEARCH("cutlery",F1837)),"Cutlery","Other")))))</f>
        <v>0</v>
      </c>
      <c r="I1837">
        <f>IF('Raw Data'!G1837&lt;&gt;'','Raw Data'!G1837,IFERROR(MID(F1837,SEARCH("MODEL",F1837)+6,20),""))</f>
        <v>0</v>
      </c>
      <c r="J1837">
        <f>'Raw Data'!H1837</f>
        <v>0</v>
      </c>
      <c r="K1837">
        <f>'Raw Data'!I1837</f>
        <v>0</v>
      </c>
      <c r="L1837">
        <f>IF('Raw Data'!N1837&lt;&gt;0,'Raw Data'!N1837,IFERROR(VALUE(MID(F1837,SEARCH("QTY",F1837)+4,IFERROR(FIND(" ",F1837,SEARCH("QTY",F1837)+4)-(SEARCH("QTY",F1837)+4),3))),""))</f>
        <v>0</v>
      </c>
      <c r="M1837">
        <f>'Raw Data'!O1837</f>
        <v>0</v>
      </c>
      <c r="N1837">
        <f>'Raw Data'!P1837</f>
        <v>0</v>
      </c>
      <c r="O1837">
        <f>'Raw Data'!Q1837</f>
        <v>0</v>
      </c>
      <c r="P1837">
        <f>'Raw Data'!R1837</f>
        <v>0</v>
      </c>
      <c r="Q1837">
        <f>'Raw Data'!S1837</f>
        <v>0</v>
      </c>
      <c r="R1837">
        <f>'Raw Data'!T1837</f>
        <v>0</v>
      </c>
      <c r="S1837">
        <f>IFERROR(O1837,0)+IFERROR(R1837,0)</f>
        <v>0</v>
      </c>
      <c r="T1837">
        <f>IF(A1837="","",YEAR(A1837))</f>
        <v>0</v>
      </c>
    </row>
    <row r="1838" spans="1:20">
      <c r="A1838">
        <f>'Raw Data'!B1838</f>
        <v>0</v>
      </c>
      <c r="B1838">
        <f>'Raw Data'!A1838</f>
        <v>0</v>
      </c>
      <c r="C1838">
        <f>'Raw Data'!C1838</f>
        <v>0</v>
      </c>
      <c r="D1838">
        <f>'Raw Data'!D1838</f>
        <v>0</v>
      </c>
      <c r="E1838">
        <f>IFERROR(VLOOKUP(D1838,'Lookup Tables'!$A:$B,2,FALSE),"Unknown")</f>
        <v>0</v>
      </c>
      <c r="F1838">
        <f>'Raw Data'!E1838</f>
        <v>0</v>
      </c>
      <c r="G1838">
        <f>IFERROR(VLOOKUP(D1838,'Lookup Tables'!$A:$C,3,FALSE),IF(ISNUMBER(SEARCH("STEEL",F1838)),"Steel","Others"))</f>
        <v>0</v>
      </c>
      <c r="H1838">
        <f>IF(ISNUMBER(SEARCH("scrubber",F1838)) , "Scrubber", IF(ISNUMBER(SEARCH("container",F1838)),"Container", IF(ISNUMBER(SEARCH("basket",F1838)),"Basket", IF(ISNUMBER(SEARCH("lunch",F1838)),"Lunch Box", IF(ISNUMBER(SEARCH("cutlery",F1838)),"Cutlery","Other")))))</f>
        <v>0</v>
      </c>
      <c r="I1838">
        <f>IF('Raw Data'!G1838&lt;&gt;'','Raw Data'!G1838,IFERROR(MID(F1838,SEARCH("MODEL",F1838)+6,20),""))</f>
        <v>0</v>
      </c>
      <c r="J1838">
        <f>'Raw Data'!H1838</f>
        <v>0</v>
      </c>
      <c r="K1838">
        <f>'Raw Data'!I1838</f>
        <v>0</v>
      </c>
      <c r="L1838">
        <f>IF('Raw Data'!N1838&lt;&gt;0,'Raw Data'!N1838,IFERROR(VALUE(MID(F1838,SEARCH("QTY",F1838)+4,IFERROR(FIND(" ",F1838,SEARCH("QTY",F1838)+4)-(SEARCH("QTY",F1838)+4),3))),""))</f>
        <v>0</v>
      </c>
      <c r="M1838">
        <f>'Raw Data'!O1838</f>
        <v>0</v>
      </c>
      <c r="N1838">
        <f>'Raw Data'!P1838</f>
        <v>0</v>
      </c>
      <c r="O1838">
        <f>'Raw Data'!Q1838</f>
        <v>0</v>
      </c>
      <c r="P1838">
        <f>'Raw Data'!R1838</f>
        <v>0</v>
      </c>
      <c r="Q1838">
        <f>'Raw Data'!S1838</f>
        <v>0</v>
      </c>
      <c r="R1838">
        <f>'Raw Data'!T1838</f>
        <v>0</v>
      </c>
      <c r="S1838">
        <f>IFERROR(O1838,0)+IFERROR(R1838,0)</f>
        <v>0</v>
      </c>
      <c r="T1838">
        <f>IF(A1838="","",YEAR(A1838))</f>
        <v>0</v>
      </c>
    </row>
    <row r="1839" spans="1:20">
      <c r="A1839">
        <f>'Raw Data'!B1839</f>
        <v>0</v>
      </c>
      <c r="B1839">
        <f>'Raw Data'!A1839</f>
        <v>0</v>
      </c>
      <c r="C1839">
        <f>'Raw Data'!C1839</f>
        <v>0</v>
      </c>
      <c r="D1839">
        <f>'Raw Data'!D1839</f>
        <v>0</v>
      </c>
      <c r="E1839">
        <f>IFERROR(VLOOKUP(D1839,'Lookup Tables'!$A:$B,2,FALSE),"Unknown")</f>
        <v>0</v>
      </c>
      <c r="F1839">
        <f>'Raw Data'!E1839</f>
        <v>0</v>
      </c>
      <c r="G1839">
        <f>IFERROR(VLOOKUP(D1839,'Lookup Tables'!$A:$C,3,FALSE),IF(ISNUMBER(SEARCH("STEEL",F1839)),"Steel","Others"))</f>
        <v>0</v>
      </c>
      <c r="H1839">
        <f>IF(ISNUMBER(SEARCH("scrubber",F1839)) , "Scrubber", IF(ISNUMBER(SEARCH("container",F1839)),"Container", IF(ISNUMBER(SEARCH("basket",F1839)),"Basket", IF(ISNUMBER(SEARCH("lunch",F1839)),"Lunch Box", IF(ISNUMBER(SEARCH("cutlery",F1839)),"Cutlery","Other")))))</f>
        <v>0</v>
      </c>
      <c r="I1839">
        <f>IF('Raw Data'!G1839&lt;&gt;'','Raw Data'!G1839,IFERROR(MID(F1839,SEARCH("MODEL",F1839)+6,20),""))</f>
        <v>0</v>
      </c>
      <c r="J1839">
        <f>'Raw Data'!H1839</f>
        <v>0</v>
      </c>
      <c r="K1839">
        <f>'Raw Data'!I1839</f>
        <v>0</v>
      </c>
      <c r="L1839">
        <f>IF('Raw Data'!N1839&lt;&gt;0,'Raw Data'!N1839,IFERROR(VALUE(MID(F1839,SEARCH("QTY",F1839)+4,IFERROR(FIND(" ",F1839,SEARCH("QTY",F1839)+4)-(SEARCH("QTY",F1839)+4),3))),""))</f>
        <v>0</v>
      </c>
      <c r="M1839">
        <f>'Raw Data'!O1839</f>
        <v>0</v>
      </c>
      <c r="N1839">
        <f>'Raw Data'!P1839</f>
        <v>0</v>
      </c>
      <c r="O1839">
        <f>'Raw Data'!Q1839</f>
        <v>0</v>
      </c>
      <c r="P1839">
        <f>'Raw Data'!R1839</f>
        <v>0</v>
      </c>
      <c r="Q1839">
        <f>'Raw Data'!S1839</f>
        <v>0</v>
      </c>
      <c r="R1839">
        <f>'Raw Data'!T1839</f>
        <v>0</v>
      </c>
      <c r="S1839">
        <f>IFERROR(O1839,0)+IFERROR(R1839,0)</f>
        <v>0</v>
      </c>
      <c r="T1839">
        <f>IF(A1839="","",YEAR(A1839))</f>
        <v>0</v>
      </c>
    </row>
    <row r="1840" spans="1:20">
      <c r="A1840">
        <f>'Raw Data'!B1840</f>
        <v>0</v>
      </c>
      <c r="B1840">
        <f>'Raw Data'!A1840</f>
        <v>0</v>
      </c>
      <c r="C1840">
        <f>'Raw Data'!C1840</f>
        <v>0</v>
      </c>
      <c r="D1840">
        <f>'Raw Data'!D1840</f>
        <v>0</v>
      </c>
      <c r="E1840">
        <f>IFERROR(VLOOKUP(D1840,'Lookup Tables'!$A:$B,2,FALSE),"Unknown")</f>
        <v>0</v>
      </c>
      <c r="F1840">
        <f>'Raw Data'!E1840</f>
        <v>0</v>
      </c>
      <c r="G1840">
        <f>IFERROR(VLOOKUP(D1840,'Lookup Tables'!$A:$C,3,FALSE),IF(ISNUMBER(SEARCH("STEEL",F1840)),"Steel","Others"))</f>
        <v>0</v>
      </c>
      <c r="H1840">
        <f>IF(ISNUMBER(SEARCH("scrubber",F1840)) , "Scrubber", IF(ISNUMBER(SEARCH("container",F1840)),"Container", IF(ISNUMBER(SEARCH("basket",F1840)),"Basket", IF(ISNUMBER(SEARCH("lunch",F1840)),"Lunch Box", IF(ISNUMBER(SEARCH("cutlery",F1840)),"Cutlery","Other")))))</f>
        <v>0</v>
      </c>
      <c r="I1840">
        <f>IF('Raw Data'!G1840&lt;&gt;'','Raw Data'!G1840,IFERROR(MID(F1840,SEARCH("MODEL",F1840)+6,20),""))</f>
        <v>0</v>
      </c>
      <c r="J1840">
        <f>'Raw Data'!H1840</f>
        <v>0</v>
      </c>
      <c r="K1840">
        <f>'Raw Data'!I1840</f>
        <v>0</v>
      </c>
      <c r="L1840">
        <f>IF('Raw Data'!N1840&lt;&gt;0,'Raw Data'!N1840,IFERROR(VALUE(MID(F1840,SEARCH("QTY",F1840)+4,IFERROR(FIND(" ",F1840,SEARCH("QTY",F1840)+4)-(SEARCH("QTY",F1840)+4),3))),""))</f>
        <v>0</v>
      </c>
      <c r="M1840">
        <f>'Raw Data'!O1840</f>
        <v>0</v>
      </c>
      <c r="N1840">
        <f>'Raw Data'!P1840</f>
        <v>0</v>
      </c>
      <c r="O1840">
        <f>'Raw Data'!Q1840</f>
        <v>0</v>
      </c>
      <c r="P1840">
        <f>'Raw Data'!R1840</f>
        <v>0</v>
      </c>
      <c r="Q1840">
        <f>'Raw Data'!S1840</f>
        <v>0</v>
      </c>
      <c r="R1840">
        <f>'Raw Data'!T1840</f>
        <v>0</v>
      </c>
      <c r="S1840">
        <f>IFERROR(O1840,0)+IFERROR(R1840,0)</f>
        <v>0</v>
      </c>
      <c r="T1840">
        <f>IF(A1840="","",YEAR(A1840))</f>
        <v>0</v>
      </c>
    </row>
    <row r="1841" spans="1:20">
      <c r="A1841">
        <f>'Raw Data'!B1841</f>
        <v>0</v>
      </c>
      <c r="B1841">
        <f>'Raw Data'!A1841</f>
        <v>0</v>
      </c>
      <c r="C1841">
        <f>'Raw Data'!C1841</f>
        <v>0</v>
      </c>
      <c r="D1841">
        <f>'Raw Data'!D1841</f>
        <v>0</v>
      </c>
      <c r="E1841">
        <f>IFERROR(VLOOKUP(D1841,'Lookup Tables'!$A:$B,2,FALSE),"Unknown")</f>
        <v>0</v>
      </c>
      <c r="F1841">
        <f>'Raw Data'!E1841</f>
        <v>0</v>
      </c>
      <c r="G1841">
        <f>IFERROR(VLOOKUP(D1841,'Lookup Tables'!$A:$C,3,FALSE),IF(ISNUMBER(SEARCH("STEEL",F1841)),"Steel","Others"))</f>
        <v>0</v>
      </c>
      <c r="H1841">
        <f>IF(ISNUMBER(SEARCH("scrubber",F1841)) , "Scrubber", IF(ISNUMBER(SEARCH("container",F1841)),"Container", IF(ISNUMBER(SEARCH("basket",F1841)),"Basket", IF(ISNUMBER(SEARCH("lunch",F1841)),"Lunch Box", IF(ISNUMBER(SEARCH("cutlery",F1841)),"Cutlery","Other")))))</f>
        <v>0</v>
      </c>
      <c r="I1841">
        <f>IF('Raw Data'!G1841&lt;&gt;'','Raw Data'!G1841,IFERROR(MID(F1841,SEARCH("MODEL",F1841)+6,20),""))</f>
        <v>0</v>
      </c>
      <c r="J1841">
        <f>'Raw Data'!H1841</f>
        <v>0</v>
      </c>
      <c r="K1841">
        <f>'Raw Data'!I1841</f>
        <v>0</v>
      </c>
      <c r="L1841">
        <f>IF('Raw Data'!N1841&lt;&gt;0,'Raw Data'!N1841,IFERROR(VALUE(MID(F1841,SEARCH("QTY",F1841)+4,IFERROR(FIND(" ",F1841,SEARCH("QTY",F1841)+4)-(SEARCH("QTY",F1841)+4),3))),""))</f>
        <v>0</v>
      </c>
      <c r="M1841">
        <f>'Raw Data'!O1841</f>
        <v>0</v>
      </c>
      <c r="N1841">
        <f>'Raw Data'!P1841</f>
        <v>0</v>
      </c>
      <c r="O1841">
        <f>'Raw Data'!Q1841</f>
        <v>0</v>
      </c>
      <c r="P1841">
        <f>'Raw Data'!R1841</f>
        <v>0</v>
      </c>
      <c r="Q1841">
        <f>'Raw Data'!S1841</f>
        <v>0</v>
      </c>
      <c r="R1841">
        <f>'Raw Data'!T1841</f>
        <v>0</v>
      </c>
      <c r="S1841">
        <f>IFERROR(O1841,0)+IFERROR(R1841,0)</f>
        <v>0</v>
      </c>
      <c r="T1841">
        <f>IF(A1841="","",YEAR(A1841))</f>
        <v>0</v>
      </c>
    </row>
    <row r="1842" spans="1:20">
      <c r="A1842">
        <f>'Raw Data'!B1842</f>
        <v>0</v>
      </c>
      <c r="B1842">
        <f>'Raw Data'!A1842</f>
        <v>0</v>
      </c>
      <c r="C1842">
        <f>'Raw Data'!C1842</f>
        <v>0</v>
      </c>
      <c r="D1842">
        <f>'Raw Data'!D1842</f>
        <v>0</v>
      </c>
      <c r="E1842">
        <f>IFERROR(VLOOKUP(D1842,'Lookup Tables'!$A:$B,2,FALSE),"Unknown")</f>
        <v>0</v>
      </c>
      <c r="F1842">
        <f>'Raw Data'!E1842</f>
        <v>0</v>
      </c>
      <c r="G1842">
        <f>IFERROR(VLOOKUP(D1842,'Lookup Tables'!$A:$C,3,FALSE),IF(ISNUMBER(SEARCH("STEEL",F1842)),"Steel","Others"))</f>
        <v>0</v>
      </c>
      <c r="H1842">
        <f>IF(ISNUMBER(SEARCH("scrubber",F1842)) , "Scrubber", IF(ISNUMBER(SEARCH("container",F1842)),"Container", IF(ISNUMBER(SEARCH("basket",F1842)),"Basket", IF(ISNUMBER(SEARCH("lunch",F1842)),"Lunch Box", IF(ISNUMBER(SEARCH("cutlery",F1842)),"Cutlery","Other")))))</f>
        <v>0</v>
      </c>
      <c r="I1842">
        <f>IF('Raw Data'!G1842&lt;&gt;'','Raw Data'!G1842,IFERROR(MID(F1842,SEARCH("MODEL",F1842)+6,20),""))</f>
        <v>0</v>
      </c>
      <c r="J1842">
        <f>'Raw Data'!H1842</f>
        <v>0</v>
      </c>
      <c r="K1842">
        <f>'Raw Data'!I1842</f>
        <v>0</v>
      </c>
      <c r="L1842">
        <f>IF('Raw Data'!N1842&lt;&gt;0,'Raw Data'!N1842,IFERROR(VALUE(MID(F1842,SEARCH("QTY",F1842)+4,IFERROR(FIND(" ",F1842,SEARCH("QTY",F1842)+4)-(SEARCH("QTY",F1842)+4),3))),""))</f>
        <v>0</v>
      </c>
      <c r="M1842">
        <f>'Raw Data'!O1842</f>
        <v>0</v>
      </c>
      <c r="N1842">
        <f>'Raw Data'!P1842</f>
        <v>0</v>
      </c>
      <c r="O1842">
        <f>'Raw Data'!Q1842</f>
        <v>0</v>
      </c>
      <c r="P1842">
        <f>'Raw Data'!R1842</f>
        <v>0</v>
      </c>
      <c r="Q1842">
        <f>'Raw Data'!S1842</f>
        <v>0</v>
      </c>
      <c r="R1842">
        <f>'Raw Data'!T1842</f>
        <v>0</v>
      </c>
      <c r="S1842">
        <f>IFERROR(O1842,0)+IFERROR(R1842,0)</f>
        <v>0</v>
      </c>
      <c r="T1842">
        <f>IF(A1842="","",YEAR(A1842))</f>
        <v>0</v>
      </c>
    </row>
    <row r="1843" spans="1:20">
      <c r="A1843">
        <f>'Raw Data'!B1843</f>
        <v>0</v>
      </c>
      <c r="B1843">
        <f>'Raw Data'!A1843</f>
        <v>0</v>
      </c>
      <c r="C1843">
        <f>'Raw Data'!C1843</f>
        <v>0</v>
      </c>
      <c r="D1843">
        <f>'Raw Data'!D1843</f>
        <v>0</v>
      </c>
      <c r="E1843">
        <f>IFERROR(VLOOKUP(D1843,'Lookup Tables'!$A:$B,2,FALSE),"Unknown")</f>
        <v>0</v>
      </c>
      <c r="F1843">
        <f>'Raw Data'!E1843</f>
        <v>0</v>
      </c>
      <c r="G1843">
        <f>IFERROR(VLOOKUP(D1843,'Lookup Tables'!$A:$C,3,FALSE),IF(ISNUMBER(SEARCH("STEEL",F1843)),"Steel","Others"))</f>
        <v>0</v>
      </c>
      <c r="H1843">
        <f>IF(ISNUMBER(SEARCH("scrubber",F1843)) , "Scrubber", IF(ISNUMBER(SEARCH("container",F1843)),"Container", IF(ISNUMBER(SEARCH("basket",F1843)),"Basket", IF(ISNUMBER(SEARCH("lunch",F1843)),"Lunch Box", IF(ISNUMBER(SEARCH("cutlery",F1843)),"Cutlery","Other")))))</f>
        <v>0</v>
      </c>
      <c r="I1843">
        <f>IF('Raw Data'!G1843&lt;&gt;'','Raw Data'!G1843,IFERROR(MID(F1843,SEARCH("MODEL",F1843)+6,20),""))</f>
        <v>0</v>
      </c>
      <c r="J1843">
        <f>'Raw Data'!H1843</f>
        <v>0</v>
      </c>
      <c r="K1843">
        <f>'Raw Data'!I1843</f>
        <v>0</v>
      </c>
      <c r="L1843">
        <f>IF('Raw Data'!N1843&lt;&gt;0,'Raw Data'!N1843,IFERROR(VALUE(MID(F1843,SEARCH("QTY",F1843)+4,IFERROR(FIND(" ",F1843,SEARCH("QTY",F1843)+4)-(SEARCH("QTY",F1843)+4),3))),""))</f>
        <v>0</v>
      </c>
      <c r="M1843">
        <f>'Raw Data'!O1843</f>
        <v>0</v>
      </c>
      <c r="N1843">
        <f>'Raw Data'!P1843</f>
        <v>0</v>
      </c>
      <c r="O1843">
        <f>'Raw Data'!Q1843</f>
        <v>0</v>
      </c>
      <c r="P1843">
        <f>'Raw Data'!R1843</f>
        <v>0</v>
      </c>
      <c r="Q1843">
        <f>'Raw Data'!S1843</f>
        <v>0</v>
      </c>
      <c r="R1843">
        <f>'Raw Data'!T1843</f>
        <v>0</v>
      </c>
      <c r="S1843">
        <f>IFERROR(O1843,0)+IFERROR(R1843,0)</f>
        <v>0</v>
      </c>
      <c r="T1843">
        <f>IF(A1843="","",YEAR(A1843))</f>
        <v>0</v>
      </c>
    </row>
    <row r="1844" spans="1:20">
      <c r="A1844">
        <f>'Raw Data'!B1844</f>
        <v>0</v>
      </c>
      <c r="B1844">
        <f>'Raw Data'!A1844</f>
        <v>0</v>
      </c>
      <c r="C1844">
        <f>'Raw Data'!C1844</f>
        <v>0</v>
      </c>
      <c r="D1844">
        <f>'Raw Data'!D1844</f>
        <v>0</v>
      </c>
      <c r="E1844">
        <f>IFERROR(VLOOKUP(D1844,'Lookup Tables'!$A:$B,2,FALSE),"Unknown")</f>
        <v>0</v>
      </c>
      <c r="F1844">
        <f>'Raw Data'!E1844</f>
        <v>0</v>
      </c>
      <c r="G1844">
        <f>IFERROR(VLOOKUP(D1844,'Lookup Tables'!$A:$C,3,FALSE),IF(ISNUMBER(SEARCH("STEEL",F1844)),"Steel","Others"))</f>
        <v>0</v>
      </c>
      <c r="H1844">
        <f>IF(ISNUMBER(SEARCH("scrubber",F1844)) , "Scrubber", IF(ISNUMBER(SEARCH("container",F1844)),"Container", IF(ISNUMBER(SEARCH("basket",F1844)),"Basket", IF(ISNUMBER(SEARCH("lunch",F1844)),"Lunch Box", IF(ISNUMBER(SEARCH("cutlery",F1844)),"Cutlery","Other")))))</f>
        <v>0</v>
      </c>
      <c r="I1844">
        <f>IF('Raw Data'!G1844&lt;&gt;'','Raw Data'!G1844,IFERROR(MID(F1844,SEARCH("MODEL",F1844)+6,20),""))</f>
        <v>0</v>
      </c>
      <c r="J1844">
        <f>'Raw Data'!H1844</f>
        <v>0</v>
      </c>
      <c r="K1844">
        <f>'Raw Data'!I1844</f>
        <v>0</v>
      </c>
      <c r="L1844">
        <f>IF('Raw Data'!N1844&lt;&gt;0,'Raw Data'!N1844,IFERROR(VALUE(MID(F1844,SEARCH("QTY",F1844)+4,IFERROR(FIND(" ",F1844,SEARCH("QTY",F1844)+4)-(SEARCH("QTY",F1844)+4),3))),""))</f>
        <v>0</v>
      </c>
      <c r="M1844">
        <f>'Raw Data'!O1844</f>
        <v>0</v>
      </c>
      <c r="N1844">
        <f>'Raw Data'!P1844</f>
        <v>0</v>
      </c>
      <c r="O1844">
        <f>'Raw Data'!Q1844</f>
        <v>0</v>
      </c>
      <c r="P1844">
        <f>'Raw Data'!R1844</f>
        <v>0</v>
      </c>
      <c r="Q1844">
        <f>'Raw Data'!S1844</f>
        <v>0</v>
      </c>
      <c r="R1844">
        <f>'Raw Data'!T1844</f>
        <v>0</v>
      </c>
      <c r="S1844">
        <f>IFERROR(O1844,0)+IFERROR(R1844,0)</f>
        <v>0</v>
      </c>
      <c r="T1844">
        <f>IF(A1844="","",YEAR(A1844))</f>
        <v>0</v>
      </c>
    </row>
    <row r="1845" spans="1:20">
      <c r="A1845">
        <f>'Raw Data'!B1845</f>
        <v>0</v>
      </c>
      <c r="B1845">
        <f>'Raw Data'!A1845</f>
        <v>0</v>
      </c>
      <c r="C1845">
        <f>'Raw Data'!C1845</f>
        <v>0</v>
      </c>
      <c r="D1845">
        <f>'Raw Data'!D1845</f>
        <v>0</v>
      </c>
      <c r="E1845">
        <f>IFERROR(VLOOKUP(D1845,'Lookup Tables'!$A:$B,2,FALSE),"Unknown")</f>
        <v>0</v>
      </c>
      <c r="F1845">
        <f>'Raw Data'!E1845</f>
        <v>0</v>
      </c>
      <c r="G1845">
        <f>IFERROR(VLOOKUP(D1845,'Lookup Tables'!$A:$C,3,FALSE),IF(ISNUMBER(SEARCH("STEEL",F1845)),"Steel","Others"))</f>
        <v>0</v>
      </c>
      <c r="H1845">
        <f>IF(ISNUMBER(SEARCH("scrubber",F1845)) , "Scrubber", IF(ISNUMBER(SEARCH("container",F1845)),"Container", IF(ISNUMBER(SEARCH("basket",F1845)),"Basket", IF(ISNUMBER(SEARCH("lunch",F1845)),"Lunch Box", IF(ISNUMBER(SEARCH("cutlery",F1845)),"Cutlery","Other")))))</f>
        <v>0</v>
      </c>
      <c r="I1845">
        <f>IF('Raw Data'!G1845&lt;&gt;'','Raw Data'!G1845,IFERROR(MID(F1845,SEARCH("MODEL",F1845)+6,20),""))</f>
        <v>0</v>
      </c>
      <c r="J1845">
        <f>'Raw Data'!H1845</f>
        <v>0</v>
      </c>
      <c r="K1845">
        <f>'Raw Data'!I1845</f>
        <v>0</v>
      </c>
      <c r="L1845">
        <f>IF('Raw Data'!N1845&lt;&gt;0,'Raw Data'!N1845,IFERROR(VALUE(MID(F1845,SEARCH("QTY",F1845)+4,IFERROR(FIND(" ",F1845,SEARCH("QTY",F1845)+4)-(SEARCH("QTY",F1845)+4),3))),""))</f>
        <v>0</v>
      </c>
      <c r="M1845">
        <f>'Raw Data'!O1845</f>
        <v>0</v>
      </c>
      <c r="N1845">
        <f>'Raw Data'!P1845</f>
        <v>0</v>
      </c>
      <c r="O1845">
        <f>'Raw Data'!Q1845</f>
        <v>0</v>
      </c>
      <c r="P1845">
        <f>'Raw Data'!R1845</f>
        <v>0</v>
      </c>
      <c r="Q1845">
        <f>'Raw Data'!S1845</f>
        <v>0</v>
      </c>
      <c r="R1845">
        <f>'Raw Data'!T1845</f>
        <v>0</v>
      </c>
      <c r="S1845">
        <f>IFERROR(O1845,0)+IFERROR(R1845,0)</f>
        <v>0</v>
      </c>
      <c r="T1845">
        <f>IF(A1845="","",YEAR(A1845))</f>
        <v>0</v>
      </c>
    </row>
    <row r="1846" spans="1:20">
      <c r="A1846">
        <f>'Raw Data'!B1846</f>
        <v>0</v>
      </c>
      <c r="B1846">
        <f>'Raw Data'!A1846</f>
        <v>0</v>
      </c>
      <c r="C1846">
        <f>'Raw Data'!C1846</f>
        <v>0</v>
      </c>
      <c r="D1846">
        <f>'Raw Data'!D1846</f>
        <v>0</v>
      </c>
      <c r="E1846">
        <f>IFERROR(VLOOKUP(D1846,'Lookup Tables'!$A:$B,2,FALSE),"Unknown")</f>
        <v>0</v>
      </c>
      <c r="F1846">
        <f>'Raw Data'!E1846</f>
        <v>0</v>
      </c>
      <c r="G1846">
        <f>IFERROR(VLOOKUP(D1846,'Lookup Tables'!$A:$C,3,FALSE),IF(ISNUMBER(SEARCH("STEEL",F1846)),"Steel","Others"))</f>
        <v>0</v>
      </c>
      <c r="H1846">
        <f>IF(ISNUMBER(SEARCH("scrubber",F1846)) , "Scrubber", IF(ISNUMBER(SEARCH("container",F1846)),"Container", IF(ISNUMBER(SEARCH("basket",F1846)),"Basket", IF(ISNUMBER(SEARCH("lunch",F1846)),"Lunch Box", IF(ISNUMBER(SEARCH("cutlery",F1846)),"Cutlery","Other")))))</f>
        <v>0</v>
      </c>
      <c r="I1846">
        <f>IF('Raw Data'!G1846&lt;&gt;'','Raw Data'!G1846,IFERROR(MID(F1846,SEARCH("MODEL",F1846)+6,20),""))</f>
        <v>0</v>
      </c>
      <c r="J1846">
        <f>'Raw Data'!H1846</f>
        <v>0</v>
      </c>
      <c r="K1846">
        <f>'Raw Data'!I1846</f>
        <v>0</v>
      </c>
      <c r="L1846">
        <f>IF('Raw Data'!N1846&lt;&gt;0,'Raw Data'!N1846,IFERROR(VALUE(MID(F1846,SEARCH("QTY",F1846)+4,IFERROR(FIND(" ",F1846,SEARCH("QTY",F1846)+4)-(SEARCH("QTY",F1846)+4),3))),""))</f>
        <v>0</v>
      </c>
      <c r="M1846">
        <f>'Raw Data'!O1846</f>
        <v>0</v>
      </c>
      <c r="N1846">
        <f>'Raw Data'!P1846</f>
        <v>0</v>
      </c>
      <c r="O1846">
        <f>'Raw Data'!Q1846</f>
        <v>0</v>
      </c>
      <c r="P1846">
        <f>'Raw Data'!R1846</f>
        <v>0</v>
      </c>
      <c r="Q1846">
        <f>'Raw Data'!S1846</f>
        <v>0</v>
      </c>
      <c r="R1846">
        <f>'Raw Data'!T1846</f>
        <v>0</v>
      </c>
      <c r="S1846">
        <f>IFERROR(O1846,0)+IFERROR(R1846,0)</f>
        <v>0</v>
      </c>
      <c r="T1846">
        <f>IF(A1846="","",YEAR(A1846))</f>
        <v>0</v>
      </c>
    </row>
    <row r="1847" spans="1:20">
      <c r="A1847">
        <f>'Raw Data'!B1847</f>
        <v>0</v>
      </c>
      <c r="B1847">
        <f>'Raw Data'!A1847</f>
        <v>0</v>
      </c>
      <c r="C1847">
        <f>'Raw Data'!C1847</f>
        <v>0</v>
      </c>
      <c r="D1847">
        <f>'Raw Data'!D1847</f>
        <v>0</v>
      </c>
      <c r="E1847">
        <f>IFERROR(VLOOKUP(D1847,'Lookup Tables'!$A:$B,2,FALSE),"Unknown")</f>
        <v>0</v>
      </c>
      <c r="F1847">
        <f>'Raw Data'!E1847</f>
        <v>0</v>
      </c>
      <c r="G1847">
        <f>IFERROR(VLOOKUP(D1847,'Lookup Tables'!$A:$C,3,FALSE),IF(ISNUMBER(SEARCH("STEEL",F1847)),"Steel","Others"))</f>
        <v>0</v>
      </c>
      <c r="H1847">
        <f>IF(ISNUMBER(SEARCH("scrubber",F1847)) , "Scrubber", IF(ISNUMBER(SEARCH("container",F1847)),"Container", IF(ISNUMBER(SEARCH("basket",F1847)),"Basket", IF(ISNUMBER(SEARCH("lunch",F1847)),"Lunch Box", IF(ISNUMBER(SEARCH("cutlery",F1847)),"Cutlery","Other")))))</f>
        <v>0</v>
      </c>
      <c r="I1847">
        <f>IF('Raw Data'!G1847&lt;&gt;'','Raw Data'!G1847,IFERROR(MID(F1847,SEARCH("MODEL",F1847)+6,20),""))</f>
        <v>0</v>
      </c>
      <c r="J1847">
        <f>'Raw Data'!H1847</f>
        <v>0</v>
      </c>
      <c r="K1847">
        <f>'Raw Data'!I1847</f>
        <v>0</v>
      </c>
      <c r="L1847">
        <f>IF('Raw Data'!N1847&lt;&gt;0,'Raw Data'!N1847,IFERROR(VALUE(MID(F1847,SEARCH("QTY",F1847)+4,IFERROR(FIND(" ",F1847,SEARCH("QTY",F1847)+4)-(SEARCH("QTY",F1847)+4),3))),""))</f>
        <v>0</v>
      </c>
      <c r="M1847">
        <f>'Raw Data'!O1847</f>
        <v>0</v>
      </c>
      <c r="N1847">
        <f>'Raw Data'!P1847</f>
        <v>0</v>
      </c>
      <c r="O1847">
        <f>'Raw Data'!Q1847</f>
        <v>0</v>
      </c>
      <c r="P1847">
        <f>'Raw Data'!R1847</f>
        <v>0</v>
      </c>
      <c r="Q1847">
        <f>'Raw Data'!S1847</f>
        <v>0</v>
      </c>
      <c r="R1847">
        <f>'Raw Data'!T1847</f>
        <v>0</v>
      </c>
      <c r="S1847">
        <f>IFERROR(O1847,0)+IFERROR(R1847,0)</f>
        <v>0</v>
      </c>
      <c r="T1847">
        <f>IF(A1847="","",YEAR(A1847))</f>
        <v>0</v>
      </c>
    </row>
    <row r="1848" spans="1:20">
      <c r="A1848">
        <f>'Raw Data'!B1848</f>
        <v>0</v>
      </c>
      <c r="B1848">
        <f>'Raw Data'!A1848</f>
        <v>0</v>
      </c>
      <c r="C1848">
        <f>'Raw Data'!C1848</f>
        <v>0</v>
      </c>
      <c r="D1848">
        <f>'Raw Data'!D1848</f>
        <v>0</v>
      </c>
      <c r="E1848">
        <f>IFERROR(VLOOKUP(D1848,'Lookup Tables'!$A:$B,2,FALSE),"Unknown")</f>
        <v>0</v>
      </c>
      <c r="F1848">
        <f>'Raw Data'!E1848</f>
        <v>0</v>
      </c>
      <c r="G1848">
        <f>IFERROR(VLOOKUP(D1848,'Lookup Tables'!$A:$C,3,FALSE),IF(ISNUMBER(SEARCH("STEEL",F1848)),"Steel","Others"))</f>
        <v>0</v>
      </c>
      <c r="H1848">
        <f>IF(ISNUMBER(SEARCH("scrubber",F1848)) , "Scrubber", IF(ISNUMBER(SEARCH("container",F1848)),"Container", IF(ISNUMBER(SEARCH("basket",F1848)),"Basket", IF(ISNUMBER(SEARCH("lunch",F1848)),"Lunch Box", IF(ISNUMBER(SEARCH("cutlery",F1848)),"Cutlery","Other")))))</f>
        <v>0</v>
      </c>
      <c r="I1848">
        <f>IF('Raw Data'!G1848&lt;&gt;'','Raw Data'!G1848,IFERROR(MID(F1848,SEARCH("MODEL",F1848)+6,20),""))</f>
        <v>0</v>
      </c>
      <c r="J1848">
        <f>'Raw Data'!H1848</f>
        <v>0</v>
      </c>
      <c r="K1848">
        <f>'Raw Data'!I1848</f>
        <v>0</v>
      </c>
      <c r="L1848">
        <f>IF('Raw Data'!N1848&lt;&gt;0,'Raw Data'!N1848,IFERROR(VALUE(MID(F1848,SEARCH("QTY",F1848)+4,IFERROR(FIND(" ",F1848,SEARCH("QTY",F1848)+4)-(SEARCH("QTY",F1848)+4),3))),""))</f>
        <v>0</v>
      </c>
      <c r="M1848">
        <f>'Raw Data'!O1848</f>
        <v>0</v>
      </c>
      <c r="N1848">
        <f>'Raw Data'!P1848</f>
        <v>0</v>
      </c>
      <c r="O1848">
        <f>'Raw Data'!Q1848</f>
        <v>0</v>
      </c>
      <c r="P1848">
        <f>'Raw Data'!R1848</f>
        <v>0</v>
      </c>
      <c r="Q1848">
        <f>'Raw Data'!S1848</f>
        <v>0</v>
      </c>
      <c r="R1848">
        <f>'Raw Data'!T1848</f>
        <v>0</v>
      </c>
      <c r="S1848">
        <f>IFERROR(O1848,0)+IFERROR(R1848,0)</f>
        <v>0</v>
      </c>
      <c r="T1848">
        <f>IF(A1848="","",YEAR(A1848))</f>
        <v>0</v>
      </c>
    </row>
    <row r="1849" spans="1:20">
      <c r="A1849">
        <f>'Raw Data'!B1849</f>
        <v>0</v>
      </c>
      <c r="B1849">
        <f>'Raw Data'!A1849</f>
        <v>0</v>
      </c>
      <c r="C1849">
        <f>'Raw Data'!C1849</f>
        <v>0</v>
      </c>
      <c r="D1849">
        <f>'Raw Data'!D1849</f>
        <v>0</v>
      </c>
      <c r="E1849">
        <f>IFERROR(VLOOKUP(D1849,'Lookup Tables'!$A:$B,2,FALSE),"Unknown")</f>
        <v>0</v>
      </c>
      <c r="F1849">
        <f>'Raw Data'!E1849</f>
        <v>0</v>
      </c>
      <c r="G1849">
        <f>IFERROR(VLOOKUP(D1849,'Lookup Tables'!$A:$C,3,FALSE),IF(ISNUMBER(SEARCH("STEEL",F1849)),"Steel","Others"))</f>
        <v>0</v>
      </c>
      <c r="H1849">
        <f>IF(ISNUMBER(SEARCH("scrubber",F1849)) , "Scrubber", IF(ISNUMBER(SEARCH("container",F1849)),"Container", IF(ISNUMBER(SEARCH("basket",F1849)),"Basket", IF(ISNUMBER(SEARCH("lunch",F1849)),"Lunch Box", IF(ISNUMBER(SEARCH("cutlery",F1849)),"Cutlery","Other")))))</f>
        <v>0</v>
      </c>
      <c r="I1849">
        <f>IF('Raw Data'!G1849&lt;&gt;'','Raw Data'!G1849,IFERROR(MID(F1849,SEARCH("MODEL",F1849)+6,20),""))</f>
        <v>0</v>
      </c>
      <c r="J1849">
        <f>'Raw Data'!H1849</f>
        <v>0</v>
      </c>
      <c r="K1849">
        <f>'Raw Data'!I1849</f>
        <v>0</v>
      </c>
      <c r="L1849">
        <f>IF('Raw Data'!N1849&lt;&gt;0,'Raw Data'!N1849,IFERROR(VALUE(MID(F1849,SEARCH("QTY",F1849)+4,IFERROR(FIND(" ",F1849,SEARCH("QTY",F1849)+4)-(SEARCH("QTY",F1849)+4),3))),""))</f>
        <v>0</v>
      </c>
      <c r="M1849">
        <f>'Raw Data'!O1849</f>
        <v>0</v>
      </c>
      <c r="N1849">
        <f>'Raw Data'!P1849</f>
        <v>0</v>
      </c>
      <c r="O1849">
        <f>'Raw Data'!Q1849</f>
        <v>0</v>
      </c>
      <c r="P1849">
        <f>'Raw Data'!R1849</f>
        <v>0</v>
      </c>
      <c r="Q1849">
        <f>'Raw Data'!S1849</f>
        <v>0</v>
      </c>
      <c r="R1849">
        <f>'Raw Data'!T1849</f>
        <v>0</v>
      </c>
      <c r="S1849">
        <f>IFERROR(O1849,0)+IFERROR(R1849,0)</f>
        <v>0</v>
      </c>
      <c r="T1849">
        <f>IF(A1849="","",YEAR(A1849))</f>
        <v>0</v>
      </c>
    </row>
    <row r="1850" spans="1:20">
      <c r="A1850">
        <f>'Raw Data'!B1850</f>
        <v>0</v>
      </c>
      <c r="B1850">
        <f>'Raw Data'!A1850</f>
        <v>0</v>
      </c>
      <c r="C1850">
        <f>'Raw Data'!C1850</f>
        <v>0</v>
      </c>
      <c r="D1850">
        <f>'Raw Data'!D1850</f>
        <v>0</v>
      </c>
      <c r="E1850">
        <f>IFERROR(VLOOKUP(D1850,'Lookup Tables'!$A:$B,2,FALSE),"Unknown")</f>
        <v>0</v>
      </c>
      <c r="F1850">
        <f>'Raw Data'!E1850</f>
        <v>0</v>
      </c>
      <c r="G1850">
        <f>IFERROR(VLOOKUP(D1850,'Lookup Tables'!$A:$C,3,FALSE),IF(ISNUMBER(SEARCH("STEEL",F1850)),"Steel","Others"))</f>
        <v>0</v>
      </c>
      <c r="H1850">
        <f>IF(ISNUMBER(SEARCH("scrubber",F1850)) , "Scrubber", IF(ISNUMBER(SEARCH("container",F1850)),"Container", IF(ISNUMBER(SEARCH("basket",F1850)),"Basket", IF(ISNUMBER(SEARCH("lunch",F1850)),"Lunch Box", IF(ISNUMBER(SEARCH("cutlery",F1850)),"Cutlery","Other")))))</f>
        <v>0</v>
      </c>
      <c r="I1850">
        <f>IF('Raw Data'!G1850&lt;&gt;'','Raw Data'!G1850,IFERROR(MID(F1850,SEARCH("MODEL",F1850)+6,20),""))</f>
        <v>0</v>
      </c>
      <c r="J1850">
        <f>'Raw Data'!H1850</f>
        <v>0</v>
      </c>
      <c r="K1850">
        <f>'Raw Data'!I1850</f>
        <v>0</v>
      </c>
      <c r="L1850">
        <f>IF('Raw Data'!N1850&lt;&gt;0,'Raw Data'!N1850,IFERROR(VALUE(MID(F1850,SEARCH("QTY",F1850)+4,IFERROR(FIND(" ",F1850,SEARCH("QTY",F1850)+4)-(SEARCH("QTY",F1850)+4),3))),""))</f>
        <v>0</v>
      </c>
      <c r="M1850">
        <f>'Raw Data'!O1850</f>
        <v>0</v>
      </c>
      <c r="N1850">
        <f>'Raw Data'!P1850</f>
        <v>0</v>
      </c>
      <c r="O1850">
        <f>'Raw Data'!Q1850</f>
        <v>0</v>
      </c>
      <c r="P1850">
        <f>'Raw Data'!R1850</f>
        <v>0</v>
      </c>
      <c r="Q1850">
        <f>'Raw Data'!S1850</f>
        <v>0</v>
      </c>
      <c r="R1850">
        <f>'Raw Data'!T1850</f>
        <v>0</v>
      </c>
      <c r="S1850">
        <f>IFERROR(O1850,0)+IFERROR(R1850,0)</f>
        <v>0</v>
      </c>
      <c r="T1850">
        <f>IF(A1850="","",YEAR(A1850))</f>
        <v>0</v>
      </c>
    </row>
    <row r="1851" spans="1:20">
      <c r="A1851">
        <f>'Raw Data'!B1851</f>
        <v>0</v>
      </c>
      <c r="B1851">
        <f>'Raw Data'!A1851</f>
        <v>0</v>
      </c>
      <c r="C1851">
        <f>'Raw Data'!C1851</f>
        <v>0</v>
      </c>
      <c r="D1851">
        <f>'Raw Data'!D1851</f>
        <v>0</v>
      </c>
      <c r="E1851">
        <f>IFERROR(VLOOKUP(D1851,'Lookup Tables'!$A:$B,2,FALSE),"Unknown")</f>
        <v>0</v>
      </c>
      <c r="F1851">
        <f>'Raw Data'!E1851</f>
        <v>0</v>
      </c>
      <c r="G1851">
        <f>IFERROR(VLOOKUP(D1851,'Lookup Tables'!$A:$C,3,FALSE),IF(ISNUMBER(SEARCH("STEEL",F1851)),"Steel","Others"))</f>
        <v>0</v>
      </c>
      <c r="H1851">
        <f>IF(ISNUMBER(SEARCH("scrubber",F1851)) , "Scrubber", IF(ISNUMBER(SEARCH("container",F1851)),"Container", IF(ISNUMBER(SEARCH("basket",F1851)),"Basket", IF(ISNUMBER(SEARCH("lunch",F1851)),"Lunch Box", IF(ISNUMBER(SEARCH("cutlery",F1851)),"Cutlery","Other")))))</f>
        <v>0</v>
      </c>
      <c r="I1851">
        <f>IF('Raw Data'!G1851&lt;&gt;'','Raw Data'!G1851,IFERROR(MID(F1851,SEARCH("MODEL",F1851)+6,20),""))</f>
        <v>0</v>
      </c>
      <c r="J1851">
        <f>'Raw Data'!H1851</f>
        <v>0</v>
      </c>
      <c r="K1851">
        <f>'Raw Data'!I1851</f>
        <v>0</v>
      </c>
      <c r="L1851">
        <f>IF('Raw Data'!N1851&lt;&gt;0,'Raw Data'!N1851,IFERROR(VALUE(MID(F1851,SEARCH("QTY",F1851)+4,IFERROR(FIND(" ",F1851,SEARCH("QTY",F1851)+4)-(SEARCH("QTY",F1851)+4),3))),""))</f>
        <v>0</v>
      </c>
      <c r="M1851">
        <f>'Raw Data'!O1851</f>
        <v>0</v>
      </c>
      <c r="N1851">
        <f>'Raw Data'!P1851</f>
        <v>0</v>
      </c>
      <c r="O1851">
        <f>'Raw Data'!Q1851</f>
        <v>0</v>
      </c>
      <c r="P1851">
        <f>'Raw Data'!R1851</f>
        <v>0</v>
      </c>
      <c r="Q1851">
        <f>'Raw Data'!S1851</f>
        <v>0</v>
      </c>
      <c r="R1851">
        <f>'Raw Data'!T1851</f>
        <v>0</v>
      </c>
      <c r="S1851">
        <f>IFERROR(O1851,0)+IFERROR(R1851,0)</f>
        <v>0</v>
      </c>
      <c r="T1851">
        <f>IF(A1851="","",YEAR(A1851))</f>
        <v>0</v>
      </c>
    </row>
    <row r="1852" spans="1:20">
      <c r="A1852">
        <f>'Raw Data'!B1852</f>
        <v>0</v>
      </c>
      <c r="B1852">
        <f>'Raw Data'!A1852</f>
        <v>0</v>
      </c>
      <c r="C1852">
        <f>'Raw Data'!C1852</f>
        <v>0</v>
      </c>
      <c r="D1852">
        <f>'Raw Data'!D1852</f>
        <v>0</v>
      </c>
      <c r="E1852">
        <f>IFERROR(VLOOKUP(D1852,'Lookup Tables'!$A:$B,2,FALSE),"Unknown")</f>
        <v>0</v>
      </c>
      <c r="F1852">
        <f>'Raw Data'!E1852</f>
        <v>0</v>
      </c>
      <c r="G1852">
        <f>IFERROR(VLOOKUP(D1852,'Lookup Tables'!$A:$C,3,FALSE),IF(ISNUMBER(SEARCH("STEEL",F1852)),"Steel","Others"))</f>
        <v>0</v>
      </c>
      <c r="H1852">
        <f>IF(ISNUMBER(SEARCH("scrubber",F1852)) , "Scrubber", IF(ISNUMBER(SEARCH("container",F1852)),"Container", IF(ISNUMBER(SEARCH("basket",F1852)),"Basket", IF(ISNUMBER(SEARCH("lunch",F1852)),"Lunch Box", IF(ISNUMBER(SEARCH("cutlery",F1852)),"Cutlery","Other")))))</f>
        <v>0</v>
      </c>
      <c r="I1852">
        <f>IF('Raw Data'!G1852&lt;&gt;'','Raw Data'!G1852,IFERROR(MID(F1852,SEARCH("MODEL",F1852)+6,20),""))</f>
        <v>0</v>
      </c>
      <c r="J1852">
        <f>'Raw Data'!H1852</f>
        <v>0</v>
      </c>
      <c r="K1852">
        <f>'Raw Data'!I1852</f>
        <v>0</v>
      </c>
      <c r="L1852">
        <f>IF('Raw Data'!N1852&lt;&gt;0,'Raw Data'!N1852,IFERROR(VALUE(MID(F1852,SEARCH("QTY",F1852)+4,IFERROR(FIND(" ",F1852,SEARCH("QTY",F1852)+4)-(SEARCH("QTY",F1852)+4),3))),""))</f>
        <v>0</v>
      </c>
      <c r="M1852">
        <f>'Raw Data'!O1852</f>
        <v>0</v>
      </c>
      <c r="N1852">
        <f>'Raw Data'!P1852</f>
        <v>0</v>
      </c>
      <c r="O1852">
        <f>'Raw Data'!Q1852</f>
        <v>0</v>
      </c>
      <c r="P1852">
        <f>'Raw Data'!R1852</f>
        <v>0</v>
      </c>
      <c r="Q1852">
        <f>'Raw Data'!S1852</f>
        <v>0</v>
      </c>
      <c r="R1852">
        <f>'Raw Data'!T1852</f>
        <v>0</v>
      </c>
      <c r="S1852">
        <f>IFERROR(O1852,0)+IFERROR(R1852,0)</f>
        <v>0</v>
      </c>
      <c r="T1852">
        <f>IF(A1852="","",YEAR(A1852))</f>
        <v>0</v>
      </c>
    </row>
    <row r="1853" spans="1:20">
      <c r="A1853">
        <f>'Raw Data'!B1853</f>
        <v>0</v>
      </c>
      <c r="B1853">
        <f>'Raw Data'!A1853</f>
        <v>0</v>
      </c>
      <c r="C1853">
        <f>'Raw Data'!C1853</f>
        <v>0</v>
      </c>
      <c r="D1853">
        <f>'Raw Data'!D1853</f>
        <v>0</v>
      </c>
      <c r="E1853">
        <f>IFERROR(VLOOKUP(D1853,'Lookup Tables'!$A:$B,2,FALSE),"Unknown")</f>
        <v>0</v>
      </c>
      <c r="F1853">
        <f>'Raw Data'!E1853</f>
        <v>0</v>
      </c>
      <c r="G1853">
        <f>IFERROR(VLOOKUP(D1853,'Lookup Tables'!$A:$C,3,FALSE),IF(ISNUMBER(SEARCH("STEEL",F1853)),"Steel","Others"))</f>
        <v>0</v>
      </c>
      <c r="H1853">
        <f>IF(ISNUMBER(SEARCH("scrubber",F1853)) , "Scrubber", IF(ISNUMBER(SEARCH("container",F1853)),"Container", IF(ISNUMBER(SEARCH("basket",F1853)),"Basket", IF(ISNUMBER(SEARCH("lunch",F1853)),"Lunch Box", IF(ISNUMBER(SEARCH("cutlery",F1853)),"Cutlery","Other")))))</f>
        <v>0</v>
      </c>
      <c r="I1853">
        <f>IF('Raw Data'!G1853&lt;&gt;'','Raw Data'!G1853,IFERROR(MID(F1853,SEARCH("MODEL",F1853)+6,20),""))</f>
        <v>0</v>
      </c>
      <c r="J1853">
        <f>'Raw Data'!H1853</f>
        <v>0</v>
      </c>
      <c r="K1853">
        <f>'Raw Data'!I1853</f>
        <v>0</v>
      </c>
      <c r="L1853">
        <f>IF('Raw Data'!N1853&lt;&gt;0,'Raw Data'!N1853,IFERROR(VALUE(MID(F1853,SEARCH("QTY",F1853)+4,IFERROR(FIND(" ",F1853,SEARCH("QTY",F1853)+4)-(SEARCH("QTY",F1853)+4),3))),""))</f>
        <v>0</v>
      </c>
      <c r="M1853">
        <f>'Raw Data'!O1853</f>
        <v>0</v>
      </c>
      <c r="N1853">
        <f>'Raw Data'!P1853</f>
        <v>0</v>
      </c>
      <c r="O1853">
        <f>'Raw Data'!Q1853</f>
        <v>0</v>
      </c>
      <c r="P1853">
        <f>'Raw Data'!R1853</f>
        <v>0</v>
      </c>
      <c r="Q1853">
        <f>'Raw Data'!S1853</f>
        <v>0</v>
      </c>
      <c r="R1853">
        <f>'Raw Data'!T1853</f>
        <v>0</v>
      </c>
      <c r="S1853">
        <f>IFERROR(O1853,0)+IFERROR(R1853,0)</f>
        <v>0</v>
      </c>
      <c r="T1853">
        <f>IF(A1853="","",YEAR(A1853))</f>
        <v>0</v>
      </c>
    </row>
    <row r="1854" spans="1:20">
      <c r="A1854">
        <f>'Raw Data'!B1854</f>
        <v>0</v>
      </c>
      <c r="B1854">
        <f>'Raw Data'!A1854</f>
        <v>0</v>
      </c>
      <c r="C1854">
        <f>'Raw Data'!C1854</f>
        <v>0</v>
      </c>
      <c r="D1854">
        <f>'Raw Data'!D1854</f>
        <v>0</v>
      </c>
      <c r="E1854">
        <f>IFERROR(VLOOKUP(D1854,'Lookup Tables'!$A:$B,2,FALSE),"Unknown")</f>
        <v>0</v>
      </c>
      <c r="F1854">
        <f>'Raw Data'!E1854</f>
        <v>0</v>
      </c>
      <c r="G1854">
        <f>IFERROR(VLOOKUP(D1854,'Lookup Tables'!$A:$C,3,FALSE),IF(ISNUMBER(SEARCH("STEEL",F1854)),"Steel","Others"))</f>
        <v>0</v>
      </c>
      <c r="H1854">
        <f>IF(ISNUMBER(SEARCH("scrubber",F1854)) , "Scrubber", IF(ISNUMBER(SEARCH("container",F1854)),"Container", IF(ISNUMBER(SEARCH("basket",F1854)),"Basket", IF(ISNUMBER(SEARCH("lunch",F1854)),"Lunch Box", IF(ISNUMBER(SEARCH("cutlery",F1854)),"Cutlery","Other")))))</f>
        <v>0</v>
      </c>
      <c r="I1854">
        <f>IF('Raw Data'!G1854&lt;&gt;'','Raw Data'!G1854,IFERROR(MID(F1854,SEARCH("MODEL",F1854)+6,20),""))</f>
        <v>0</v>
      </c>
      <c r="J1854">
        <f>'Raw Data'!H1854</f>
        <v>0</v>
      </c>
      <c r="K1854">
        <f>'Raw Data'!I1854</f>
        <v>0</v>
      </c>
      <c r="L1854">
        <f>IF('Raw Data'!N1854&lt;&gt;0,'Raw Data'!N1854,IFERROR(VALUE(MID(F1854,SEARCH("QTY",F1854)+4,IFERROR(FIND(" ",F1854,SEARCH("QTY",F1854)+4)-(SEARCH("QTY",F1854)+4),3))),""))</f>
        <v>0</v>
      </c>
      <c r="M1854">
        <f>'Raw Data'!O1854</f>
        <v>0</v>
      </c>
      <c r="N1854">
        <f>'Raw Data'!P1854</f>
        <v>0</v>
      </c>
      <c r="O1854">
        <f>'Raw Data'!Q1854</f>
        <v>0</v>
      </c>
      <c r="P1854">
        <f>'Raw Data'!R1854</f>
        <v>0</v>
      </c>
      <c r="Q1854">
        <f>'Raw Data'!S1854</f>
        <v>0</v>
      </c>
      <c r="R1854">
        <f>'Raw Data'!T1854</f>
        <v>0</v>
      </c>
      <c r="S1854">
        <f>IFERROR(O1854,0)+IFERROR(R1854,0)</f>
        <v>0</v>
      </c>
      <c r="T1854">
        <f>IF(A1854="","",YEAR(A1854))</f>
        <v>0</v>
      </c>
    </row>
    <row r="1855" spans="1:20">
      <c r="A1855">
        <f>'Raw Data'!B1855</f>
        <v>0</v>
      </c>
      <c r="B1855">
        <f>'Raw Data'!A1855</f>
        <v>0</v>
      </c>
      <c r="C1855">
        <f>'Raw Data'!C1855</f>
        <v>0</v>
      </c>
      <c r="D1855">
        <f>'Raw Data'!D1855</f>
        <v>0</v>
      </c>
      <c r="E1855">
        <f>IFERROR(VLOOKUP(D1855,'Lookup Tables'!$A:$B,2,FALSE),"Unknown")</f>
        <v>0</v>
      </c>
      <c r="F1855">
        <f>'Raw Data'!E1855</f>
        <v>0</v>
      </c>
      <c r="G1855">
        <f>IFERROR(VLOOKUP(D1855,'Lookup Tables'!$A:$C,3,FALSE),IF(ISNUMBER(SEARCH("STEEL",F1855)),"Steel","Others"))</f>
        <v>0</v>
      </c>
      <c r="H1855">
        <f>IF(ISNUMBER(SEARCH("scrubber",F1855)) , "Scrubber", IF(ISNUMBER(SEARCH("container",F1855)),"Container", IF(ISNUMBER(SEARCH("basket",F1855)),"Basket", IF(ISNUMBER(SEARCH("lunch",F1855)),"Lunch Box", IF(ISNUMBER(SEARCH("cutlery",F1855)),"Cutlery","Other")))))</f>
        <v>0</v>
      </c>
      <c r="I1855">
        <f>IF('Raw Data'!G1855&lt;&gt;'','Raw Data'!G1855,IFERROR(MID(F1855,SEARCH("MODEL",F1855)+6,20),""))</f>
        <v>0</v>
      </c>
      <c r="J1855">
        <f>'Raw Data'!H1855</f>
        <v>0</v>
      </c>
      <c r="K1855">
        <f>'Raw Data'!I1855</f>
        <v>0</v>
      </c>
      <c r="L1855">
        <f>IF('Raw Data'!N1855&lt;&gt;0,'Raw Data'!N1855,IFERROR(VALUE(MID(F1855,SEARCH("QTY",F1855)+4,IFERROR(FIND(" ",F1855,SEARCH("QTY",F1855)+4)-(SEARCH("QTY",F1855)+4),3))),""))</f>
        <v>0</v>
      </c>
      <c r="M1855">
        <f>'Raw Data'!O1855</f>
        <v>0</v>
      </c>
      <c r="N1855">
        <f>'Raw Data'!P1855</f>
        <v>0</v>
      </c>
      <c r="O1855">
        <f>'Raw Data'!Q1855</f>
        <v>0</v>
      </c>
      <c r="P1855">
        <f>'Raw Data'!R1855</f>
        <v>0</v>
      </c>
      <c r="Q1855">
        <f>'Raw Data'!S1855</f>
        <v>0</v>
      </c>
      <c r="R1855">
        <f>'Raw Data'!T1855</f>
        <v>0</v>
      </c>
      <c r="S1855">
        <f>IFERROR(O1855,0)+IFERROR(R1855,0)</f>
        <v>0</v>
      </c>
      <c r="T1855">
        <f>IF(A1855="","",YEAR(A1855))</f>
        <v>0</v>
      </c>
    </row>
    <row r="1856" spans="1:20">
      <c r="A1856">
        <f>'Raw Data'!B1856</f>
        <v>0</v>
      </c>
      <c r="B1856">
        <f>'Raw Data'!A1856</f>
        <v>0</v>
      </c>
      <c r="C1856">
        <f>'Raw Data'!C1856</f>
        <v>0</v>
      </c>
      <c r="D1856">
        <f>'Raw Data'!D1856</f>
        <v>0</v>
      </c>
      <c r="E1856">
        <f>IFERROR(VLOOKUP(D1856,'Lookup Tables'!$A:$B,2,FALSE),"Unknown")</f>
        <v>0</v>
      </c>
      <c r="F1856">
        <f>'Raw Data'!E1856</f>
        <v>0</v>
      </c>
      <c r="G1856">
        <f>IFERROR(VLOOKUP(D1856,'Lookup Tables'!$A:$C,3,FALSE),IF(ISNUMBER(SEARCH("STEEL",F1856)),"Steel","Others"))</f>
        <v>0</v>
      </c>
      <c r="H1856">
        <f>IF(ISNUMBER(SEARCH("scrubber",F1856)) , "Scrubber", IF(ISNUMBER(SEARCH("container",F1856)),"Container", IF(ISNUMBER(SEARCH("basket",F1856)),"Basket", IF(ISNUMBER(SEARCH("lunch",F1856)),"Lunch Box", IF(ISNUMBER(SEARCH("cutlery",F1856)),"Cutlery","Other")))))</f>
        <v>0</v>
      </c>
      <c r="I1856">
        <f>IF('Raw Data'!G1856&lt;&gt;'','Raw Data'!G1856,IFERROR(MID(F1856,SEARCH("MODEL",F1856)+6,20),""))</f>
        <v>0</v>
      </c>
      <c r="J1856">
        <f>'Raw Data'!H1856</f>
        <v>0</v>
      </c>
      <c r="K1856">
        <f>'Raw Data'!I1856</f>
        <v>0</v>
      </c>
      <c r="L1856">
        <f>IF('Raw Data'!N1856&lt;&gt;0,'Raw Data'!N1856,IFERROR(VALUE(MID(F1856,SEARCH("QTY",F1856)+4,IFERROR(FIND(" ",F1856,SEARCH("QTY",F1856)+4)-(SEARCH("QTY",F1856)+4),3))),""))</f>
        <v>0</v>
      </c>
      <c r="M1856">
        <f>'Raw Data'!O1856</f>
        <v>0</v>
      </c>
      <c r="N1856">
        <f>'Raw Data'!P1856</f>
        <v>0</v>
      </c>
      <c r="O1856">
        <f>'Raw Data'!Q1856</f>
        <v>0</v>
      </c>
      <c r="P1856">
        <f>'Raw Data'!R1856</f>
        <v>0</v>
      </c>
      <c r="Q1856">
        <f>'Raw Data'!S1856</f>
        <v>0</v>
      </c>
      <c r="R1856">
        <f>'Raw Data'!T1856</f>
        <v>0</v>
      </c>
      <c r="S1856">
        <f>IFERROR(O1856,0)+IFERROR(R1856,0)</f>
        <v>0</v>
      </c>
      <c r="T1856">
        <f>IF(A1856="","",YEAR(A1856))</f>
        <v>0</v>
      </c>
    </row>
    <row r="1857" spans="1:20">
      <c r="A1857">
        <f>'Raw Data'!B1857</f>
        <v>0</v>
      </c>
      <c r="B1857">
        <f>'Raw Data'!A1857</f>
        <v>0</v>
      </c>
      <c r="C1857">
        <f>'Raw Data'!C1857</f>
        <v>0</v>
      </c>
      <c r="D1857">
        <f>'Raw Data'!D1857</f>
        <v>0</v>
      </c>
      <c r="E1857">
        <f>IFERROR(VLOOKUP(D1857,'Lookup Tables'!$A:$B,2,FALSE),"Unknown")</f>
        <v>0</v>
      </c>
      <c r="F1857">
        <f>'Raw Data'!E1857</f>
        <v>0</v>
      </c>
      <c r="G1857">
        <f>IFERROR(VLOOKUP(D1857,'Lookup Tables'!$A:$C,3,FALSE),IF(ISNUMBER(SEARCH("STEEL",F1857)),"Steel","Others"))</f>
        <v>0</v>
      </c>
      <c r="H1857">
        <f>IF(ISNUMBER(SEARCH("scrubber",F1857)) , "Scrubber", IF(ISNUMBER(SEARCH("container",F1857)),"Container", IF(ISNUMBER(SEARCH("basket",F1857)),"Basket", IF(ISNUMBER(SEARCH("lunch",F1857)),"Lunch Box", IF(ISNUMBER(SEARCH("cutlery",F1857)),"Cutlery","Other")))))</f>
        <v>0</v>
      </c>
      <c r="I1857">
        <f>IF('Raw Data'!G1857&lt;&gt;'','Raw Data'!G1857,IFERROR(MID(F1857,SEARCH("MODEL",F1857)+6,20),""))</f>
        <v>0</v>
      </c>
      <c r="J1857">
        <f>'Raw Data'!H1857</f>
        <v>0</v>
      </c>
      <c r="K1857">
        <f>'Raw Data'!I1857</f>
        <v>0</v>
      </c>
      <c r="L1857">
        <f>IF('Raw Data'!N1857&lt;&gt;0,'Raw Data'!N1857,IFERROR(VALUE(MID(F1857,SEARCH("QTY",F1857)+4,IFERROR(FIND(" ",F1857,SEARCH("QTY",F1857)+4)-(SEARCH("QTY",F1857)+4),3))),""))</f>
        <v>0</v>
      </c>
      <c r="M1857">
        <f>'Raw Data'!O1857</f>
        <v>0</v>
      </c>
      <c r="N1857">
        <f>'Raw Data'!P1857</f>
        <v>0</v>
      </c>
      <c r="O1857">
        <f>'Raw Data'!Q1857</f>
        <v>0</v>
      </c>
      <c r="P1857">
        <f>'Raw Data'!R1857</f>
        <v>0</v>
      </c>
      <c r="Q1857">
        <f>'Raw Data'!S1857</f>
        <v>0</v>
      </c>
      <c r="R1857">
        <f>'Raw Data'!T1857</f>
        <v>0</v>
      </c>
      <c r="S1857">
        <f>IFERROR(O1857,0)+IFERROR(R1857,0)</f>
        <v>0</v>
      </c>
      <c r="T1857">
        <f>IF(A1857="","",YEAR(A1857))</f>
        <v>0</v>
      </c>
    </row>
    <row r="1858" spans="1:20">
      <c r="A1858">
        <f>'Raw Data'!B1858</f>
        <v>0</v>
      </c>
      <c r="B1858">
        <f>'Raw Data'!A1858</f>
        <v>0</v>
      </c>
      <c r="C1858">
        <f>'Raw Data'!C1858</f>
        <v>0</v>
      </c>
      <c r="D1858">
        <f>'Raw Data'!D1858</f>
        <v>0</v>
      </c>
      <c r="E1858">
        <f>IFERROR(VLOOKUP(D1858,'Lookup Tables'!$A:$B,2,FALSE),"Unknown")</f>
        <v>0</v>
      </c>
      <c r="F1858">
        <f>'Raw Data'!E1858</f>
        <v>0</v>
      </c>
      <c r="G1858">
        <f>IFERROR(VLOOKUP(D1858,'Lookup Tables'!$A:$C,3,FALSE),IF(ISNUMBER(SEARCH("STEEL",F1858)),"Steel","Others"))</f>
        <v>0</v>
      </c>
      <c r="H1858">
        <f>IF(ISNUMBER(SEARCH("scrubber",F1858)) , "Scrubber", IF(ISNUMBER(SEARCH("container",F1858)),"Container", IF(ISNUMBER(SEARCH("basket",F1858)),"Basket", IF(ISNUMBER(SEARCH("lunch",F1858)),"Lunch Box", IF(ISNUMBER(SEARCH("cutlery",F1858)),"Cutlery","Other")))))</f>
        <v>0</v>
      </c>
      <c r="I1858">
        <f>IF('Raw Data'!G1858&lt;&gt;'','Raw Data'!G1858,IFERROR(MID(F1858,SEARCH("MODEL",F1858)+6,20),""))</f>
        <v>0</v>
      </c>
      <c r="J1858">
        <f>'Raw Data'!H1858</f>
        <v>0</v>
      </c>
      <c r="K1858">
        <f>'Raw Data'!I1858</f>
        <v>0</v>
      </c>
      <c r="L1858">
        <f>IF('Raw Data'!N1858&lt;&gt;0,'Raw Data'!N1858,IFERROR(VALUE(MID(F1858,SEARCH("QTY",F1858)+4,IFERROR(FIND(" ",F1858,SEARCH("QTY",F1858)+4)-(SEARCH("QTY",F1858)+4),3))),""))</f>
        <v>0</v>
      </c>
      <c r="M1858">
        <f>'Raw Data'!O1858</f>
        <v>0</v>
      </c>
      <c r="N1858">
        <f>'Raw Data'!P1858</f>
        <v>0</v>
      </c>
      <c r="O1858">
        <f>'Raw Data'!Q1858</f>
        <v>0</v>
      </c>
      <c r="P1858">
        <f>'Raw Data'!R1858</f>
        <v>0</v>
      </c>
      <c r="Q1858">
        <f>'Raw Data'!S1858</f>
        <v>0</v>
      </c>
      <c r="R1858">
        <f>'Raw Data'!T1858</f>
        <v>0</v>
      </c>
      <c r="S1858">
        <f>IFERROR(O1858,0)+IFERROR(R1858,0)</f>
        <v>0</v>
      </c>
      <c r="T1858">
        <f>IF(A1858="","",YEAR(A1858))</f>
        <v>0</v>
      </c>
    </row>
    <row r="1859" spans="1:20">
      <c r="A1859">
        <f>'Raw Data'!B1859</f>
        <v>0</v>
      </c>
      <c r="B1859">
        <f>'Raw Data'!A1859</f>
        <v>0</v>
      </c>
      <c r="C1859">
        <f>'Raw Data'!C1859</f>
        <v>0</v>
      </c>
      <c r="D1859">
        <f>'Raw Data'!D1859</f>
        <v>0</v>
      </c>
      <c r="E1859">
        <f>IFERROR(VLOOKUP(D1859,'Lookup Tables'!$A:$B,2,FALSE),"Unknown")</f>
        <v>0</v>
      </c>
      <c r="F1859">
        <f>'Raw Data'!E1859</f>
        <v>0</v>
      </c>
      <c r="G1859">
        <f>IFERROR(VLOOKUP(D1859,'Lookup Tables'!$A:$C,3,FALSE),IF(ISNUMBER(SEARCH("STEEL",F1859)),"Steel","Others"))</f>
        <v>0</v>
      </c>
      <c r="H1859">
        <f>IF(ISNUMBER(SEARCH("scrubber",F1859)) , "Scrubber", IF(ISNUMBER(SEARCH("container",F1859)),"Container", IF(ISNUMBER(SEARCH("basket",F1859)),"Basket", IF(ISNUMBER(SEARCH("lunch",F1859)),"Lunch Box", IF(ISNUMBER(SEARCH("cutlery",F1859)),"Cutlery","Other")))))</f>
        <v>0</v>
      </c>
      <c r="I1859">
        <f>IF('Raw Data'!G1859&lt;&gt;'','Raw Data'!G1859,IFERROR(MID(F1859,SEARCH("MODEL",F1859)+6,20),""))</f>
        <v>0</v>
      </c>
      <c r="J1859">
        <f>'Raw Data'!H1859</f>
        <v>0</v>
      </c>
      <c r="K1859">
        <f>'Raw Data'!I1859</f>
        <v>0</v>
      </c>
      <c r="L1859">
        <f>IF('Raw Data'!N1859&lt;&gt;0,'Raw Data'!N1859,IFERROR(VALUE(MID(F1859,SEARCH("QTY",F1859)+4,IFERROR(FIND(" ",F1859,SEARCH("QTY",F1859)+4)-(SEARCH("QTY",F1859)+4),3))),""))</f>
        <v>0</v>
      </c>
      <c r="M1859">
        <f>'Raw Data'!O1859</f>
        <v>0</v>
      </c>
      <c r="N1859">
        <f>'Raw Data'!P1859</f>
        <v>0</v>
      </c>
      <c r="O1859">
        <f>'Raw Data'!Q1859</f>
        <v>0</v>
      </c>
      <c r="P1859">
        <f>'Raw Data'!R1859</f>
        <v>0</v>
      </c>
      <c r="Q1859">
        <f>'Raw Data'!S1859</f>
        <v>0</v>
      </c>
      <c r="R1859">
        <f>'Raw Data'!T1859</f>
        <v>0</v>
      </c>
      <c r="S1859">
        <f>IFERROR(O1859,0)+IFERROR(R1859,0)</f>
        <v>0</v>
      </c>
      <c r="T1859">
        <f>IF(A1859="","",YEAR(A1859))</f>
        <v>0</v>
      </c>
    </row>
    <row r="1860" spans="1:20">
      <c r="A1860">
        <f>'Raw Data'!B1860</f>
        <v>0</v>
      </c>
      <c r="B1860">
        <f>'Raw Data'!A1860</f>
        <v>0</v>
      </c>
      <c r="C1860">
        <f>'Raw Data'!C1860</f>
        <v>0</v>
      </c>
      <c r="D1860">
        <f>'Raw Data'!D1860</f>
        <v>0</v>
      </c>
      <c r="E1860">
        <f>IFERROR(VLOOKUP(D1860,'Lookup Tables'!$A:$B,2,FALSE),"Unknown")</f>
        <v>0</v>
      </c>
      <c r="F1860">
        <f>'Raw Data'!E1860</f>
        <v>0</v>
      </c>
      <c r="G1860">
        <f>IFERROR(VLOOKUP(D1860,'Lookup Tables'!$A:$C,3,FALSE),IF(ISNUMBER(SEARCH("STEEL",F1860)),"Steel","Others"))</f>
        <v>0</v>
      </c>
      <c r="H1860">
        <f>IF(ISNUMBER(SEARCH("scrubber",F1860)) , "Scrubber", IF(ISNUMBER(SEARCH("container",F1860)),"Container", IF(ISNUMBER(SEARCH("basket",F1860)),"Basket", IF(ISNUMBER(SEARCH("lunch",F1860)),"Lunch Box", IF(ISNUMBER(SEARCH("cutlery",F1860)),"Cutlery","Other")))))</f>
        <v>0</v>
      </c>
      <c r="I1860">
        <f>IF('Raw Data'!G1860&lt;&gt;'','Raw Data'!G1860,IFERROR(MID(F1860,SEARCH("MODEL",F1860)+6,20),""))</f>
        <v>0</v>
      </c>
      <c r="J1860">
        <f>'Raw Data'!H1860</f>
        <v>0</v>
      </c>
      <c r="K1860">
        <f>'Raw Data'!I1860</f>
        <v>0</v>
      </c>
      <c r="L1860">
        <f>IF('Raw Data'!N1860&lt;&gt;0,'Raw Data'!N1860,IFERROR(VALUE(MID(F1860,SEARCH("QTY",F1860)+4,IFERROR(FIND(" ",F1860,SEARCH("QTY",F1860)+4)-(SEARCH("QTY",F1860)+4),3))),""))</f>
        <v>0</v>
      </c>
      <c r="M1860">
        <f>'Raw Data'!O1860</f>
        <v>0</v>
      </c>
      <c r="N1860">
        <f>'Raw Data'!P1860</f>
        <v>0</v>
      </c>
      <c r="O1860">
        <f>'Raw Data'!Q1860</f>
        <v>0</v>
      </c>
      <c r="P1860">
        <f>'Raw Data'!R1860</f>
        <v>0</v>
      </c>
      <c r="Q1860">
        <f>'Raw Data'!S1860</f>
        <v>0</v>
      </c>
      <c r="R1860">
        <f>'Raw Data'!T1860</f>
        <v>0</v>
      </c>
      <c r="S1860">
        <f>IFERROR(O1860,0)+IFERROR(R1860,0)</f>
        <v>0</v>
      </c>
      <c r="T1860">
        <f>IF(A1860="","",YEAR(A1860))</f>
        <v>0</v>
      </c>
    </row>
    <row r="1861" spans="1:20">
      <c r="A1861">
        <f>'Raw Data'!B1861</f>
        <v>0</v>
      </c>
      <c r="B1861">
        <f>'Raw Data'!A1861</f>
        <v>0</v>
      </c>
      <c r="C1861">
        <f>'Raw Data'!C1861</f>
        <v>0</v>
      </c>
      <c r="D1861">
        <f>'Raw Data'!D1861</f>
        <v>0</v>
      </c>
      <c r="E1861">
        <f>IFERROR(VLOOKUP(D1861,'Lookup Tables'!$A:$B,2,FALSE),"Unknown")</f>
        <v>0</v>
      </c>
      <c r="F1861">
        <f>'Raw Data'!E1861</f>
        <v>0</v>
      </c>
      <c r="G1861">
        <f>IFERROR(VLOOKUP(D1861,'Lookup Tables'!$A:$C,3,FALSE),IF(ISNUMBER(SEARCH("STEEL",F1861)),"Steel","Others"))</f>
        <v>0</v>
      </c>
      <c r="H1861">
        <f>IF(ISNUMBER(SEARCH("scrubber",F1861)) , "Scrubber", IF(ISNUMBER(SEARCH("container",F1861)),"Container", IF(ISNUMBER(SEARCH("basket",F1861)),"Basket", IF(ISNUMBER(SEARCH("lunch",F1861)),"Lunch Box", IF(ISNUMBER(SEARCH("cutlery",F1861)),"Cutlery","Other")))))</f>
        <v>0</v>
      </c>
      <c r="I1861">
        <f>IF('Raw Data'!G1861&lt;&gt;'','Raw Data'!G1861,IFERROR(MID(F1861,SEARCH("MODEL",F1861)+6,20),""))</f>
        <v>0</v>
      </c>
      <c r="J1861">
        <f>'Raw Data'!H1861</f>
        <v>0</v>
      </c>
      <c r="K1861">
        <f>'Raw Data'!I1861</f>
        <v>0</v>
      </c>
      <c r="L1861">
        <f>IF('Raw Data'!N1861&lt;&gt;0,'Raw Data'!N1861,IFERROR(VALUE(MID(F1861,SEARCH("QTY",F1861)+4,IFERROR(FIND(" ",F1861,SEARCH("QTY",F1861)+4)-(SEARCH("QTY",F1861)+4),3))),""))</f>
        <v>0</v>
      </c>
      <c r="M1861">
        <f>'Raw Data'!O1861</f>
        <v>0</v>
      </c>
      <c r="N1861">
        <f>'Raw Data'!P1861</f>
        <v>0</v>
      </c>
      <c r="O1861">
        <f>'Raw Data'!Q1861</f>
        <v>0</v>
      </c>
      <c r="P1861">
        <f>'Raw Data'!R1861</f>
        <v>0</v>
      </c>
      <c r="Q1861">
        <f>'Raw Data'!S1861</f>
        <v>0</v>
      </c>
      <c r="R1861">
        <f>'Raw Data'!T1861</f>
        <v>0</v>
      </c>
      <c r="S1861">
        <f>IFERROR(O1861,0)+IFERROR(R1861,0)</f>
        <v>0</v>
      </c>
      <c r="T1861">
        <f>IF(A1861="","",YEAR(A1861))</f>
        <v>0</v>
      </c>
    </row>
    <row r="1862" spans="1:20">
      <c r="A1862">
        <f>'Raw Data'!B1862</f>
        <v>0</v>
      </c>
      <c r="B1862">
        <f>'Raw Data'!A1862</f>
        <v>0</v>
      </c>
      <c r="C1862">
        <f>'Raw Data'!C1862</f>
        <v>0</v>
      </c>
      <c r="D1862">
        <f>'Raw Data'!D1862</f>
        <v>0</v>
      </c>
      <c r="E1862">
        <f>IFERROR(VLOOKUP(D1862,'Lookup Tables'!$A:$B,2,FALSE),"Unknown")</f>
        <v>0</v>
      </c>
      <c r="F1862">
        <f>'Raw Data'!E1862</f>
        <v>0</v>
      </c>
      <c r="G1862">
        <f>IFERROR(VLOOKUP(D1862,'Lookup Tables'!$A:$C,3,FALSE),IF(ISNUMBER(SEARCH("STEEL",F1862)),"Steel","Others"))</f>
        <v>0</v>
      </c>
      <c r="H1862">
        <f>IF(ISNUMBER(SEARCH("scrubber",F1862)) , "Scrubber", IF(ISNUMBER(SEARCH("container",F1862)),"Container", IF(ISNUMBER(SEARCH("basket",F1862)),"Basket", IF(ISNUMBER(SEARCH("lunch",F1862)),"Lunch Box", IF(ISNUMBER(SEARCH("cutlery",F1862)),"Cutlery","Other")))))</f>
        <v>0</v>
      </c>
      <c r="I1862">
        <f>IF('Raw Data'!G1862&lt;&gt;'','Raw Data'!G1862,IFERROR(MID(F1862,SEARCH("MODEL",F1862)+6,20),""))</f>
        <v>0</v>
      </c>
      <c r="J1862">
        <f>'Raw Data'!H1862</f>
        <v>0</v>
      </c>
      <c r="K1862">
        <f>'Raw Data'!I1862</f>
        <v>0</v>
      </c>
      <c r="L1862">
        <f>IF('Raw Data'!N1862&lt;&gt;0,'Raw Data'!N1862,IFERROR(VALUE(MID(F1862,SEARCH("QTY",F1862)+4,IFERROR(FIND(" ",F1862,SEARCH("QTY",F1862)+4)-(SEARCH("QTY",F1862)+4),3))),""))</f>
        <v>0</v>
      </c>
      <c r="M1862">
        <f>'Raw Data'!O1862</f>
        <v>0</v>
      </c>
      <c r="N1862">
        <f>'Raw Data'!P1862</f>
        <v>0</v>
      </c>
      <c r="O1862">
        <f>'Raw Data'!Q1862</f>
        <v>0</v>
      </c>
      <c r="P1862">
        <f>'Raw Data'!R1862</f>
        <v>0</v>
      </c>
      <c r="Q1862">
        <f>'Raw Data'!S1862</f>
        <v>0</v>
      </c>
      <c r="R1862">
        <f>'Raw Data'!T1862</f>
        <v>0</v>
      </c>
      <c r="S1862">
        <f>IFERROR(O1862,0)+IFERROR(R1862,0)</f>
        <v>0</v>
      </c>
      <c r="T1862">
        <f>IF(A1862="","",YEAR(A1862))</f>
        <v>0</v>
      </c>
    </row>
    <row r="1863" spans="1:20">
      <c r="A1863">
        <f>'Raw Data'!B1863</f>
        <v>0</v>
      </c>
      <c r="B1863">
        <f>'Raw Data'!A1863</f>
        <v>0</v>
      </c>
      <c r="C1863">
        <f>'Raw Data'!C1863</f>
        <v>0</v>
      </c>
      <c r="D1863">
        <f>'Raw Data'!D1863</f>
        <v>0</v>
      </c>
      <c r="E1863">
        <f>IFERROR(VLOOKUP(D1863,'Lookup Tables'!$A:$B,2,FALSE),"Unknown")</f>
        <v>0</v>
      </c>
      <c r="F1863">
        <f>'Raw Data'!E1863</f>
        <v>0</v>
      </c>
      <c r="G1863">
        <f>IFERROR(VLOOKUP(D1863,'Lookup Tables'!$A:$C,3,FALSE),IF(ISNUMBER(SEARCH("STEEL",F1863)),"Steel","Others"))</f>
        <v>0</v>
      </c>
      <c r="H1863">
        <f>IF(ISNUMBER(SEARCH("scrubber",F1863)) , "Scrubber", IF(ISNUMBER(SEARCH("container",F1863)),"Container", IF(ISNUMBER(SEARCH("basket",F1863)),"Basket", IF(ISNUMBER(SEARCH("lunch",F1863)),"Lunch Box", IF(ISNUMBER(SEARCH("cutlery",F1863)),"Cutlery","Other")))))</f>
        <v>0</v>
      </c>
      <c r="I1863">
        <f>IF('Raw Data'!G1863&lt;&gt;'','Raw Data'!G1863,IFERROR(MID(F1863,SEARCH("MODEL",F1863)+6,20),""))</f>
        <v>0</v>
      </c>
      <c r="J1863">
        <f>'Raw Data'!H1863</f>
        <v>0</v>
      </c>
      <c r="K1863">
        <f>'Raw Data'!I1863</f>
        <v>0</v>
      </c>
      <c r="L1863">
        <f>IF('Raw Data'!N1863&lt;&gt;0,'Raw Data'!N1863,IFERROR(VALUE(MID(F1863,SEARCH("QTY",F1863)+4,IFERROR(FIND(" ",F1863,SEARCH("QTY",F1863)+4)-(SEARCH("QTY",F1863)+4),3))),""))</f>
        <v>0</v>
      </c>
      <c r="M1863">
        <f>'Raw Data'!O1863</f>
        <v>0</v>
      </c>
      <c r="N1863">
        <f>'Raw Data'!P1863</f>
        <v>0</v>
      </c>
      <c r="O1863">
        <f>'Raw Data'!Q1863</f>
        <v>0</v>
      </c>
      <c r="P1863">
        <f>'Raw Data'!R1863</f>
        <v>0</v>
      </c>
      <c r="Q1863">
        <f>'Raw Data'!S1863</f>
        <v>0</v>
      </c>
      <c r="R1863">
        <f>'Raw Data'!T1863</f>
        <v>0</v>
      </c>
      <c r="S1863">
        <f>IFERROR(O1863,0)+IFERROR(R1863,0)</f>
        <v>0</v>
      </c>
      <c r="T1863">
        <f>IF(A1863="","",YEAR(A1863))</f>
        <v>0</v>
      </c>
    </row>
    <row r="1864" spans="1:20">
      <c r="A1864">
        <f>'Raw Data'!B1864</f>
        <v>0</v>
      </c>
      <c r="B1864">
        <f>'Raw Data'!A1864</f>
        <v>0</v>
      </c>
      <c r="C1864">
        <f>'Raw Data'!C1864</f>
        <v>0</v>
      </c>
      <c r="D1864">
        <f>'Raw Data'!D1864</f>
        <v>0</v>
      </c>
      <c r="E1864">
        <f>IFERROR(VLOOKUP(D1864,'Lookup Tables'!$A:$B,2,FALSE),"Unknown")</f>
        <v>0</v>
      </c>
      <c r="F1864">
        <f>'Raw Data'!E1864</f>
        <v>0</v>
      </c>
      <c r="G1864">
        <f>IFERROR(VLOOKUP(D1864,'Lookup Tables'!$A:$C,3,FALSE),IF(ISNUMBER(SEARCH("STEEL",F1864)),"Steel","Others"))</f>
        <v>0</v>
      </c>
      <c r="H1864">
        <f>IF(ISNUMBER(SEARCH("scrubber",F1864)) , "Scrubber", IF(ISNUMBER(SEARCH("container",F1864)),"Container", IF(ISNUMBER(SEARCH("basket",F1864)),"Basket", IF(ISNUMBER(SEARCH("lunch",F1864)),"Lunch Box", IF(ISNUMBER(SEARCH("cutlery",F1864)),"Cutlery","Other")))))</f>
        <v>0</v>
      </c>
      <c r="I1864">
        <f>IF('Raw Data'!G1864&lt;&gt;'','Raw Data'!G1864,IFERROR(MID(F1864,SEARCH("MODEL",F1864)+6,20),""))</f>
        <v>0</v>
      </c>
      <c r="J1864">
        <f>'Raw Data'!H1864</f>
        <v>0</v>
      </c>
      <c r="K1864">
        <f>'Raw Data'!I1864</f>
        <v>0</v>
      </c>
      <c r="L1864">
        <f>IF('Raw Data'!N1864&lt;&gt;0,'Raw Data'!N1864,IFERROR(VALUE(MID(F1864,SEARCH("QTY",F1864)+4,IFERROR(FIND(" ",F1864,SEARCH("QTY",F1864)+4)-(SEARCH("QTY",F1864)+4),3))),""))</f>
        <v>0</v>
      </c>
      <c r="M1864">
        <f>'Raw Data'!O1864</f>
        <v>0</v>
      </c>
      <c r="N1864">
        <f>'Raw Data'!P1864</f>
        <v>0</v>
      </c>
      <c r="O1864">
        <f>'Raw Data'!Q1864</f>
        <v>0</v>
      </c>
      <c r="P1864">
        <f>'Raw Data'!R1864</f>
        <v>0</v>
      </c>
      <c r="Q1864">
        <f>'Raw Data'!S1864</f>
        <v>0</v>
      </c>
      <c r="R1864">
        <f>'Raw Data'!T1864</f>
        <v>0</v>
      </c>
      <c r="S1864">
        <f>IFERROR(O1864,0)+IFERROR(R1864,0)</f>
        <v>0</v>
      </c>
      <c r="T1864">
        <f>IF(A1864="","",YEAR(A1864))</f>
        <v>0</v>
      </c>
    </row>
    <row r="1865" spans="1:20">
      <c r="A1865">
        <f>'Raw Data'!B1865</f>
        <v>0</v>
      </c>
      <c r="B1865">
        <f>'Raw Data'!A1865</f>
        <v>0</v>
      </c>
      <c r="C1865">
        <f>'Raw Data'!C1865</f>
        <v>0</v>
      </c>
      <c r="D1865">
        <f>'Raw Data'!D1865</f>
        <v>0</v>
      </c>
      <c r="E1865">
        <f>IFERROR(VLOOKUP(D1865,'Lookup Tables'!$A:$B,2,FALSE),"Unknown")</f>
        <v>0</v>
      </c>
      <c r="F1865">
        <f>'Raw Data'!E1865</f>
        <v>0</v>
      </c>
      <c r="G1865">
        <f>IFERROR(VLOOKUP(D1865,'Lookup Tables'!$A:$C,3,FALSE),IF(ISNUMBER(SEARCH("STEEL",F1865)),"Steel","Others"))</f>
        <v>0</v>
      </c>
      <c r="H1865">
        <f>IF(ISNUMBER(SEARCH("scrubber",F1865)) , "Scrubber", IF(ISNUMBER(SEARCH("container",F1865)),"Container", IF(ISNUMBER(SEARCH("basket",F1865)),"Basket", IF(ISNUMBER(SEARCH("lunch",F1865)),"Lunch Box", IF(ISNUMBER(SEARCH("cutlery",F1865)),"Cutlery","Other")))))</f>
        <v>0</v>
      </c>
      <c r="I1865">
        <f>IF('Raw Data'!G1865&lt;&gt;'','Raw Data'!G1865,IFERROR(MID(F1865,SEARCH("MODEL",F1865)+6,20),""))</f>
        <v>0</v>
      </c>
      <c r="J1865">
        <f>'Raw Data'!H1865</f>
        <v>0</v>
      </c>
      <c r="K1865">
        <f>'Raw Data'!I1865</f>
        <v>0</v>
      </c>
      <c r="L1865">
        <f>IF('Raw Data'!N1865&lt;&gt;0,'Raw Data'!N1865,IFERROR(VALUE(MID(F1865,SEARCH("QTY",F1865)+4,IFERROR(FIND(" ",F1865,SEARCH("QTY",F1865)+4)-(SEARCH("QTY",F1865)+4),3))),""))</f>
        <v>0</v>
      </c>
      <c r="M1865">
        <f>'Raw Data'!O1865</f>
        <v>0</v>
      </c>
      <c r="N1865">
        <f>'Raw Data'!P1865</f>
        <v>0</v>
      </c>
      <c r="O1865">
        <f>'Raw Data'!Q1865</f>
        <v>0</v>
      </c>
      <c r="P1865">
        <f>'Raw Data'!R1865</f>
        <v>0</v>
      </c>
      <c r="Q1865">
        <f>'Raw Data'!S1865</f>
        <v>0</v>
      </c>
      <c r="R1865">
        <f>'Raw Data'!T1865</f>
        <v>0</v>
      </c>
      <c r="S1865">
        <f>IFERROR(O1865,0)+IFERROR(R1865,0)</f>
        <v>0</v>
      </c>
      <c r="T1865">
        <f>IF(A1865="","",YEAR(A1865))</f>
        <v>0</v>
      </c>
    </row>
    <row r="1866" spans="1:20">
      <c r="A1866">
        <f>'Raw Data'!B1866</f>
        <v>0</v>
      </c>
      <c r="B1866">
        <f>'Raw Data'!A1866</f>
        <v>0</v>
      </c>
      <c r="C1866">
        <f>'Raw Data'!C1866</f>
        <v>0</v>
      </c>
      <c r="D1866">
        <f>'Raw Data'!D1866</f>
        <v>0</v>
      </c>
      <c r="E1866">
        <f>IFERROR(VLOOKUP(D1866,'Lookup Tables'!$A:$B,2,FALSE),"Unknown")</f>
        <v>0</v>
      </c>
      <c r="F1866">
        <f>'Raw Data'!E1866</f>
        <v>0</v>
      </c>
      <c r="G1866">
        <f>IFERROR(VLOOKUP(D1866,'Lookup Tables'!$A:$C,3,FALSE),IF(ISNUMBER(SEARCH("STEEL",F1866)),"Steel","Others"))</f>
        <v>0</v>
      </c>
      <c r="H1866">
        <f>IF(ISNUMBER(SEARCH("scrubber",F1866)) , "Scrubber", IF(ISNUMBER(SEARCH("container",F1866)),"Container", IF(ISNUMBER(SEARCH("basket",F1866)),"Basket", IF(ISNUMBER(SEARCH("lunch",F1866)),"Lunch Box", IF(ISNUMBER(SEARCH("cutlery",F1866)),"Cutlery","Other")))))</f>
        <v>0</v>
      </c>
      <c r="I1866">
        <f>IF('Raw Data'!G1866&lt;&gt;'','Raw Data'!G1866,IFERROR(MID(F1866,SEARCH("MODEL",F1866)+6,20),""))</f>
        <v>0</v>
      </c>
      <c r="J1866">
        <f>'Raw Data'!H1866</f>
        <v>0</v>
      </c>
      <c r="K1866">
        <f>'Raw Data'!I1866</f>
        <v>0</v>
      </c>
      <c r="L1866">
        <f>IF('Raw Data'!N1866&lt;&gt;0,'Raw Data'!N1866,IFERROR(VALUE(MID(F1866,SEARCH("QTY",F1866)+4,IFERROR(FIND(" ",F1866,SEARCH("QTY",F1866)+4)-(SEARCH("QTY",F1866)+4),3))),""))</f>
        <v>0</v>
      </c>
      <c r="M1866">
        <f>'Raw Data'!O1866</f>
        <v>0</v>
      </c>
      <c r="N1866">
        <f>'Raw Data'!P1866</f>
        <v>0</v>
      </c>
      <c r="O1866">
        <f>'Raw Data'!Q1866</f>
        <v>0</v>
      </c>
      <c r="P1866">
        <f>'Raw Data'!R1866</f>
        <v>0</v>
      </c>
      <c r="Q1866">
        <f>'Raw Data'!S1866</f>
        <v>0</v>
      </c>
      <c r="R1866">
        <f>'Raw Data'!T1866</f>
        <v>0</v>
      </c>
      <c r="S1866">
        <f>IFERROR(O1866,0)+IFERROR(R1866,0)</f>
        <v>0</v>
      </c>
      <c r="T1866">
        <f>IF(A1866="","",YEAR(A1866))</f>
        <v>0</v>
      </c>
    </row>
    <row r="1867" spans="1:20">
      <c r="A1867">
        <f>'Raw Data'!B1867</f>
        <v>0</v>
      </c>
      <c r="B1867">
        <f>'Raw Data'!A1867</f>
        <v>0</v>
      </c>
      <c r="C1867">
        <f>'Raw Data'!C1867</f>
        <v>0</v>
      </c>
      <c r="D1867">
        <f>'Raw Data'!D1867</f>
        <v>0</v>
      </c>
      <c r="E1867">
        <f>IFERROR(VLOOKUP(D1867,'Lookup Tables'!$A:$B,2,FALSE),"Unknown")</f>
        <v>0</v>
      </c>
      <c r="F1867">
        <f>'Raw Data'!E1867</f>
        <v>0</v>
      </c>
      <c r="G1867">
        <f>IFERROR(VLOOKUP(D1867,'Lookup Tables'!$A:$C,3,FALSE),IF(ISNUMBER(SEARCH("STEEL",F1867)),"Steel","Others"))</f>
        <v>0</v>
      </c>
      <c r="H1867">
        <f>IF(ISNUMBER(SEARCH("scrubber",F1867)) , "Scrubber", IF(ISNUMBER(SEARCH("container",F1867)),"Container", IF(ISNUMBER(SEARCH("basket",F1867)),"Basket", IF(ISNUMBER(SEARCH("lunch",F1867)),"Lunch Box", IF(ISNUMBER(SEARCH("cutlery",F1867)),"Cutlery","Other")))))</f>
        <v>0</v>
      </c>
      <c r="I1867">
        <f>IF('Raw Data'!G1867&lt;&gt;'','Raw Data'!G1867,IFERROR(MID(F1867,SEARCH("MODEL",F1867)+6,20),""))</f>
        <v>0</v>
      </c>
      <c r="J1867">
        <f>'Raw Data'!H1867</f>
        <v>0</v>
      </c>
      <c r="K1867">
        <f>'Raw Data'!I1867</f>
        <v>0</v>
      </c>
      <c r="L1867">
        <f>IF('Raw Data'!N1867&lt;&gt;0,'Raw Data'!N1867,IFERROR(VALUE(MID(F1867,SEARCH("QTY",F1867)+4,IFERROR(FIND(" ",F1867,SEARCH("QTY",F1867)+4)-(SEARCH("QTY",F1867)+4),3))),""))</f>
        <v>0</v>
      </c>
      <c r="M1867">
        <f>'Raw Data'!O1867</f>
        <v>0</v>
      </c>
      <c r="N1867">
        <f>'Raw Data'!P1867</f>
        <v>0</v>
      </c>
      <c r="O1867">
        <f>'Raw Data'!Q1867</f>
        <v>0</v>
      </c>
      <c r="P1867">
        <f>'Raw Data'!R1867</f>
        <v>0</v>
      </c>
      <c r="Q1867">
        <f>'Raw Data'!S1867</f>
        <v>0</v>
      </c>
      <c r="R1867">
        <f>'Raw Data'!T1867</f>
        <v>0</v>
      </c>
      <c r="S1867">
        <f>IFERROR(O1867,0)+IFERROR(R1867,0)</f>
        <v>0</v>
      </c>
      <c r="T1867">
        <f>IF(A1867="","",YEAR(A1867))</f>
        <v>0</v>
      </c>
    </row>
    <row r="1868" spans="1:20">
      <c r="A1868">
        <f>'Raw Data'!B1868</f>
        <v>0</v>
      </c>
      <c r="B1868">
        <f>'Raw Data'!A1868</f>
        <v>0</v>
      </c>
      <c r="C1868">
        <f>'Raw Data'!C1868</f>
        <v>0</v>
      </c>
      <c r="D1868">
        <f>'Raw Data'!D1868</f>
        <v>0</v>
      </c>
      <c r="E1868">
        <f>IFERROR(VLOOKUP(D1868,'Lookup Tables'!$A:$B,2,FALSE),"Unknown")</f>
        <v>0</v>
      </c>
      <c r="F1868">
        <f>'Raw Data'!E1868</f>
        <v>0</v>
      </c>
      <c r="G1868">
        <f>IFERROR(VLOOKUP(D1868,'Lookup Tables'!$A:$C,3,FALSE),IF(ISNUMBER(SEARCH("STEEL",F1868)),"Steel","Others"))</f>
        <v>0</v>
      </c>
      <c r="H1868">
        <f>IF(ISNUMBER(SEARCH("scrubber",F1868)) , "Scrubber", IF(ISNUMBER(SEARCH("container",F1868)),"Container", IF(ISNUMBER(SEARCH("basket",F1868)),"Basket", IF(ISNUMBER(SEARCH("lunch",F1868)),"Lunch Box", IF(ISNUMBER(SEARCH("cutlery",F1868)),"Cutlery","Other")))))</f>
        <v>0</v>
      </c>
      <c r="I1868">
        <f>IF('Raw Data'!G1868&lt;&gt;'','Raw Data'!G1868,IFERROR(MID(F1868,SEARCH("MODEL",F1868)+6,20),""))</f>
        <v>0</v>
      </c>
      <c r="J1868">
        <f>'Raw Data'!H1868</f>
        <v>0</v>
      </c>
      <c r="K1868">
        <f>'Raw Data'!I1868</f>
        <v>0</v>
      </c>
      <c r="L1868">
        <f>IF('Raw Data'!N1868&lt;&gt;0,'Raw Data'!N1868,IFERROR(VALUE(MID(F1868,SEARCH("QTY",F1868)+4,IFERROR(FIND(" ",F1868,SEARCH("QTY",F1868)+4)-(SEARCH("QTY",F1868)+4),3))),""))</f>
        <v>0</v>
      </c>
      <c r="M1868">
        <f>'Raw Data'!O1868</f>
        <v>0</v>
      </c>
      <c r="N1868">
        <f>'Raw Data'!P1868</f>
        <v>0</v>
      </c>
      <c r="O1868">
        <f>'Raw Data'!Q1868</f>
        <v>0</v>
      </c>
      <c r="P1868">
        <f>'Raw Data'!R1868</f>
        <v>0</v>
      </c>
      <c r="Q1868">
        <f>'Raw Data'!S1868</f>
        <v>0</v>
      </c>
      <c r="R1868">
        <f>'Raw Data'!T1868</f>
        <v>0</v>
      </c>
      <c r="S1868">
        <f>IFERROR(O1868,0)+IFERROR(R1868,0)</f>
        <v>0</v>
      </c>
      <c r="T1868">
        <f>IF(A1868="","",YEAR(A1868))</f>
        <v>0</v>
      </c>
    </row>
    <row r="1869" spans="1:20">
      <c r="A1869">
        <f>'Raw Data'!B1869</f>
        <v>0</v>
      </c>
      <c r="B1869">
        <f>'Raw Data'!A1869</f>
        <v>0</v>
      </c>
      <c r="C1869">
        <f>'Raw Data'!C1869</f>
        <v>0</v>
      </c>
      <c r="D1869">
        <f>'Raw Data'!D1869</f>
        <v>0</v>
      </c>
      <c r="E1869">
        <f>IFERROR(VLOOKUP(D1869,'Lookup Tables'!$A:$B,2,FALSE),"Unknown")</f>
        <v>0</v>
      </c>
      <c r="F1869">
        <f>'Raw Data'!E1869</f>
        <v>0</v>
      </c>
      <c r="G1869">
        <f>IFERROR(VLOOKUP(D1869,'Lookup Tables'!$A:$C,3,FALSE),IF(ISNUMBER(SEARCH("STEEL",F1869)),"Steel","Others"))</f>
        <v>0</v>
      </c>
      <c r="H1869">
        <f>IF(ISNUMBER(SEARCH("scrubber",F1869)) , "Scrubber", IF(ISNUMBER(SEARCH("container",F1869)),"Container", IF(ISNUMBER(SEARCH("basket",F1869)),"Basket", IF(ISNUMBER(SEARCH("lunch",F1869)),"Lunch Box", IF(ISNUMBER(SEARCH("cutlery",F1869)),"Cutlery","Other")))))</f>
        <v>0</v>
      </c>
      <c r="I1869">
        <f>IF('Raw Data'!G1869&lt;&gt;'','Raw Data'!G1869,IFERROR(MID(F1869,SEARCH("MODEL",F1869)+6,20),""))</f>
        <v>0</v>
      </c>
      <c r="J1869">
        <f>'Raw Data'!H1869</f>
        <v>0</v>
      </c>
      <c r="K1869">
        <f>'Raw Data'!I1869</f>
        <v>0</v>
      </c>
      <c r="L1869">
        <f>IF('Raw Data'!N1869&lt;&gt;0,'Raw Data'!N1869,IFERROR(VALUE(MID(F1869,SEARCH("QTY",F1869)+4,IFERROR(FIND(" ",F1869,SEARCH("QTY",F1869)+4)-(SEARCH("QTY",F1869)+4),3))),""))</f>
        <v>0</v>
      </c>
      <c r="M1869">
        <f>'Raw Data'!O1869</f>
        <v>0</v>
      </c>
      <c r="N1869">
        <f>'Raw Data'!P1869</f>
        <v>0</v>
      </c>
      <c r="O1869">
        <f>'Raw Data'!Q1869</f>
        <v>0</v>
      </c>
      <c r="P1869">
        <f>'Raw Data'!R1869</f>
        <v>0</v>
      </c>
      <c r="Q1869">
        <f>'Raw Data'!S1869</f>
        <v>0</v>
      </c>
      <c r="R1869">
        <f>'Raw Data'!T1869</f>
        <v>0</v>
      </c>
      <c r="S1869">
        <f>IFERROR(O1869,0)+IFERROR(R1869,0)</f>
        <v>0</v>
      </c>
      <c r="T1869">
        <f>IF(A1869="","",YEAR(A1869))</f>
        <v>0</v>
      </c>
    </row>
    <row r="1870" spans="1:20">
      <c r="A1870">
        <f>'Raw Data'!B1870</f>
        <v>0</v>
      </c>
      <c r="B1870">
        <f>'Raw Data'!A1870</f>
        <v>0</v>
      </c>
      <c r="C1870">
        <f>'Raw Data'!C1870</f>
        <v>0</v>
      </c>
      <c r="D1870">
        <f>'Raw Data'!D1870</f>
        <v>0</v>
      </c>
      <c r="E1870">
        <f>IFERROR(VLOOKUP(D1870,'Lookup Tables'!$A:$B,2,FALSE),"Unknown")</f>
        <v>0</v>
      </c>
      <c r="F1870">
        <f>'Raw Data'!E1870</f>
        <v>0</v>
      </c>
      <c r="G1870">
        <f>IFERROR(VLOOKUP(D1870,'Lookup Tables'!$A:$C,3,FALSE),IF(ISNUMBER(SEARCH("STEEL",F1870)),"Steel","Others"))</f>
        <v>0</v>
      </c>
      <c r="H1870">
        <f>IF(ISNUMBER(SEARCH("scrubber",F1870)) , "Scrubber", IF(ISNUMBER(SEARCH("container",F1870)),"Container", IF(ISNUMBER(SEARCH("basket",F1870)),"Basket", IF(ISNUMBER(SEARCH("lunch",F1870)),"Lunch Box", IF(ISNUMBER(SEARCH("cutlery",F1870)),"Cutlery","Other")))))</f>
        <v>0</v>
      </c>
      <c r="I1870">
        <f>IF('Raw Data'!G1870&lt;&gt;'','Raw Data'!G1870,IFERROR(MID(F1870,SEARCH("MODEL",F1870)+6,20),""))</f>
        <v>0</v>
      </c>
      <c r="J1870">
        <f>'Raw Data'!H1870</f>
        <v>0</v>
      </c>
      <c r="K1870">
        <f>'Raw Data'!I1870</f>
        <v>0</v>
      </c>
      <c r="L1870">
        <f>IF('Raw Data'!N1870&lt;&gt;0,'Raw Data'!N1870,IFERROR(VALUE(MID(F1870,SEARCH("QTY",F1870)+4,IFERROR(FIND(" ",F1870,SEARCH("QTY",F1870)+4)-(SEARCH("QTY",F1870)+4),3))),""))</f>
        <v>0</v>
      </c>
      <c r="M1870">
        <f>'Raw Data'!O1870</f>
        <v>0</v>
      </c>
      <c r="N1870">
        <f>'Raw Data'!P1870</f>
        <v>0</v>
      </c>
      <c r="O1870">
        <f>'Raw Data'!Q1870</f>
        <v>0</v>
      </c>
      <c r="P1870">
        <f>'Raw Data'!R1870</f>
        <v>0</v>
      </c>
      <c r="Q1870">
        <f>'Raw Data'!S1870</f>
        <v>0</v>
      </c>
      <c r="R1870">
        <f>'Raw Data'!T1870</f>
        <v>0</v>
      </c>
      <c r="S1870">
        <f>IFERROR(O1870,0)+IFERROR(R1870,0)</f>
        <v>0</v>
      </c>
      <c r="T1870">
        <f>IF(A1870="","",YEAR(A1870))</f>
        <v>0</v>
      </c>
    </row>
    <row r="1871" spans="1:20">
      <c r="A1871">
        <f>'Raw Data'!B1871</f>
        <v>0</v>
      </c>
      <c r="B1871">
        <f>'Raw Data'!A1871</f>
        <v>0</v>
      </c>
      <c r="C1871">
        <f>'Raw Data'!C1871</f>
        <v>0</v>
      </c>
      <c r="D1871">
        <f>'Raw Data'!D1871</f>
        <v>0</v>
      </c>
      <c r="E1871">
        <f>IFERROR(VLOOKUP(D1871,'Lookup Tables'!$A:$B,2,FALSE),"Unknown")</f>
        <v>0</v>
      </c>
      <c r="F1871">
        <f>'Raw Data'!E1871</f>
        <v>0</v>
      </c>
      <c r="G1871">
        <f>IFERROR(VLOOKUP(D1871,'Lookup Tables'!$A:$C,3,FALSE),IF(ISNUMBER(SEARCH("STEEL",F1871)),"Steel","Others"))</f>
        <v>0</v>
      </c>
      <c r="H1871">
        <f>IF(ISNUMBER(SEARCH("scrubber",F1871)) , "Scrubber", IF(ISNUMBER(SEARCH("container",F1871)),"Container", IF(ISNUMBER(SEARCH("basket",F1871)),"Basket", IF(ISNUMBER(SEARCH("lunch",F1871)),"Lunch Box", IF(ISNUMBER(SEARCH("cutlery",F1871)),"Cutlery","Other")))))</f>
        <v>0</v>
      </c>
      <c r="I1871">
        <f>IF('Raw Data'!G1871&lt;&gt;'','Raw Data'!G1871,IFERROR(MID(F1871,SEARCH("MODEL",F1871)+6,20),""))</f>
        <v>0</v>
      </c>
      <c r="J1871">
        <f>'Raw Data'!H1871</f>
        <v>0</v>
      </c>
      <c r="K1871">
        <f>'Raw Data'!I1871</f>
        <v>0</v>
      </c>
      <c r="L1871">
        <f>IF('Raw Data'!N1871&lt;&gt;0,'Raw Data'!N1871,IFERROR(VALUE(MID(F1871,SEARCH("QTY",F1871)+4,IFERROR(FIND(" ",F1871,SEARCH("QTY",F1871)+4)-(SEARCH("QTY",F1871)+4),3))),""))</f>
        <v>0</v>
      </c>
      <c r="M1871">
        <f>'Raw Data'!O1871</f>
        <v>0</v>
      </c>
      <c r="N1871">
        <f>'Raw Data'!P1871</f>
        <v>0</v>
      </c>
      <c r="O1871">
        <f>'Raw Data'!Q1871</f>
        <v>0</v>
      </c>
      <c r="P1871">
        <f>'Raw Data'!R1871</f>
        <v>0</v>
      </c>
      <c r="Q1871">
        <f>'Raw Data'!S1871</f>
        <v>0</v>
      </c>
      <c r="R1871">
        <f>'Raw Data'!T1871</f>
        <v>0</v>
      </c>
      <c r="S1871">
        <f>IFERROR(O1871,0)+IFERROR(R1871,0)</f>
        <v>0</v>
      </c>
      <c r="T1871">
        <f>IF(A1871="","",YEAR(A1871))</f>
        <v>0</v>
      </c>
    </row>
    <row r="1872" spans="1:20">
      <c r="A1872">
        <f>'Raw Data'!B1872</f>
        <v>0</v>
      </c>
      <c r="B1872">
        <f>'Raw Data'!A1872</f>
        <v>0</v>
      </c>
      <c r="C1872">
        <f>'Raw Data'!C1872</f>
        <v>0</v>
      </c>
      <c r="D1872">
        <f>'Raw Data'!D1872</f>
        <v>0</v>
      </c>
      <c r="E1872">
        <f>IFERROR(VLOOKUP(D1872,'Lookup Tables'!$A:$B,2,FALSE),"Unknown")</f>
        <v>0</v>
      </c>
      <c r="F1872">
        <f>'Raw Data'!E1872</f>
        <v>0</v>
      </c>
      <c r="G1872">
        <f>IFERROR(VLOOKUP(D1872,'Lookup Tables'!$A:$C,3,FALSE),IF(ISNUMBER(SEARCH("STEEL",F1872)),"Steel","Others"))</f>
        <v>0</v>
      </c>
      <c r="H1872">
        <f>IF(ISNUMBER(SEARCH("scrubber",F1872)) , "Scrubber", IF(ISNUMBER(SEARCH("container",F1872)),"Container", IF(ISNUMBER(SEARCH("basket",F1872)),"Basket", IF(ISNUMBER(SEARCH("lunch",F1872)),"Lunch Box", IF(ISNUMBER(SEARCH("cutlery",F1872)),"Cutlery","Other")))))</f>
        <v>0</v>
      </c>
      <c r="I1872">
        <f>IF('Raw Data'!G1872&lt;&gt;'','Raw Data'!G1872,IFERROR(MID(F1872,SEARCH("MODEL",F1872)+6,20),""))</f>
        <v>0</v>
      </c>
      <c r="J1872">
        <f>'Raw Data'!H1872</f>
        <v>0</v>
      </c>
      <c r="K1872">
        <f>'Raw Data'!I1872</f>
        <v>0</v>
      </c>
      <c r="L1872">
        <f>IF('Raw Data'!N1872&lt;&gt;0,'Raw Data'!N1872,IFERROR(VALUE(MID(F1872,SEARCH("QTY",F1872)+4,IFERROR(FIND(" ",F1872,SEARCH("QTY",F1872)+4)-(SEARCH("QTY",F1872)+4),3))),""))</f>
        <v>0</v>
      </c>
      <c r="M1872">
        <f>'Raw Data'!O1872</f>
        <v>0</v>
      </c>
      <c r="N1872">
        <f>'Raw Data'!P1872</f>
        <v>0</v>
      </c>
      <c r="O1872">
        <f>'Raw Data'!Q1872</f>
        <v>0</v>
      </c>
      <c r="P1872">
        <f>'Raw Data'!R1872</f>
        <v>0</v>
      </c>
      <c r="Q1872">
        <f>'Raw Data'!S1872</f>
        <v>0</v>
      </c>
      <c r="R1872">
        <f>'Raw Data'!T1872</f>
        <v>0</v>
      </c>
      <c r="S1872">
        <f>IFERROR(O1872,0)+IFERROR(R1872,0)</f>
        <v>0</v>
      </c>
      <c r="T1872">
        <f>IF(A1872="","",YEAR(A1872))</f>
        <v>0</v>
      </c>
    </row>
    <row r="1873" spans="1:20">
      <c r="A1873">
        <f>'Raw Data'!B1873</f>
        <v>0</v>
      </c>
      <c r="B1873">
        <f>'Raw Data'!A1873</f>
        <v>0</v>
      </c>
      <c r="C1873">
        <f>'Raw Data'!C1873</f>
        <v>0</v>
      </c>
      <c r="D1873">
        <f>'Raw Data'!D1873</f>
        <v>0</v>
      </c>
      <c r="E1873">
        <f>IFERROR(VLOOKUP(D1873,'Lookup Tables'!$A:$B,2,FALSE),"Unknown")</f>
        <v>0</v>
      </c>
      <c r="F1873">
        <f>'Raw Data'!E1873</f>
        <v>0</v>
      </c>
      <c r="G1873">
        <f>IFERROR(VLOOKUP(D1873,'Lookup Tables'!$A:$C,3,FALSE),IF(ISNUMBER(SEARCH("STEEL",F1873)),"Steel","Others"))</f>
        <v>0</v>
      </c>
      <c r="H1873">
        <f>IF(ISNUMBER(SEARCH("scrubber",F1873)) , "Scrubber", IF(ISNUMBER(SEARCH("container",F1873)),"Container", IF(ISNUMBER(SEARCH("basket",F1873)),"Basket", IF(ISNUMBER(SEARCH("lunch",F1873)),"Lunch Box", IF(ISNUMBER(SEARCH("cutlery",F1873)),"Cutlery","Other")))))</f>
        <v>0</v>
      </c>
      <c r="I1873">
        <f>IF('Raw Data'!G1873&lt;&gt;'','Raw Data'!G1873,IFERROR(MID(F1873,SEARCH("MODEL",F1873)+6,20),""))</f>
        <v>0</v>
      </c>
      <c r="J1873">
        <f>'Raw Data'!H1873</f>
        <v>0</v>
      </c>
      <c r="K1873">
        <f>'Raw Data'!I1873</f>
        <v>0</v>
      </c>
      <c r="L1873">
        <f>IF('Raw Data'!N1873&lt;&gt;0,'Raw Data'!N1873,IFERROR(VALUE(MID(F1873,SEARCH("QTY",F1873)+4,IFERROR(FIND(" ",F1873,SEARCH("QTY",F1873)+4)-(SEARCH("QTY",F1873)+4),3))),""))</f>
        <v>0</v>
      </c>
      <c r="M1873">
        <f>'Raw Data'!O1873</f>
        <v>0</v>
      </c>
      <c r="N1873">
        <f>'Raw Data'!P1873</f>
        <v>0</v>
      </c>
      <c r="O1873">
        <f>'Raw Data'!Q1873</f>
        <v>0</v>
      </c>
      <c r="P1873">
        <f>'Raw Data'!R1873</f>
        <v>0</v>
      </c>
      <c r="Q1873">
        <f>'Raw Data'!S1873</f>
        <v>0</v>
      </c>
      <c r="R1873">
        <f>'Raw Data'!T1873</f>
        <v>0</v>
      </c>
      <c r="S1873">
        <f>IFERROR(O1873,0)+IFERROR(R1873,0)</f>
        <v>0</v>
      </c>
      <c r="T1873">
        <f>IF(A1873="","",YEAR(A1873))</f>
        <v>0</v>
      </c>
    </row>
    <row r="1874" spans="1:20">
      <c r="A1874">
        <f>'Raw Data'!B1874</f>
        <v>0</v>
      </c>
      <c r="B1874">
        <f>'Raw Data'!A1874</f>
        <v>0</v>
      </c>
      <c r="C1874">
        <f>'Raw Data'!C1874</f>
        <v>0</v>
      </c>
      <c r="D1874">
        <f>'Raw Data'!D1874</f>
        <v>0</v>
      </c>
      <c r="E1874">
        <f>IFERROR(VLOOKUP(D1874,'Lookup Tables'!$A:$B,2,FALSE),"Unknown")</f>
        <v>0</v>
      </c>
      <c r="F1874">
        <f>'Raw Data'!E1874</f>
        <v>0</v>
      </c>
      <c r="G1874">
        <f>IFERROR(VLOOKUP(D1874,'Lookup Tables'!$A:$C,3,FALSE),IF(ISNUMBER(SEARCH("STEEL",F1874)),"Steel","Others"))</f>
        <v>0</v>
      </c>
      <c r="H1874">
        <f>IF(ISNUMBER(SEARCH("scrubber",F1874)) , "Scrubber", IF(ISNUMBER(SEARCH("container",F1874)),"Container", IF(ISNUMBER(SEARCH("basket",F1874)),"Basket", IF(ISNUMBER(SEARCH("lunch",F1874)),"Lunch Box", IF(ISNUMBER(SEARCH("cutlery",F1874)),"Cutlery","Other")))))</f>
        <v>0</v>
      </c>
      <c r="I1874">
        <f>IF('Raw Data'!G1874&lt;&gt;'','Raw Data'!G1874,IFERROR(MID(F1874,SEARCH("MODEL",F1874)+6,20),""))</f>
        <v>0</v>
      </c>
      <c r="J1874">
        <f>'Raw Data'!H1874</f>
        <v>0</v>
      </c>
      <c r="K1874">
        <f>'Raw Data'!I1874</f>
        <v>0</v>
      </c>
      <c r="L1874">
        <f>IF('Raw Data'!N1874&lt;&gt;0,'Raw Data'!N1874,IFERROR(VALUE(MID(F1874,SEARCH("QTY",F1874)+4,IFERROR(FIND(" ",F1874,SEARCH("QTY",F1874)+4)-(SEARCH("QTY",F1874)+4),3))),""))</f>
        <v>0</v>
      </c>
      <c r="M1874">
        <f>'Raw Data'!O1874</f>
        <v>0</v>
      </c>
      <c r="N1874">
        <f>'Raw Data'!P1874</f>
        <v>0</v>
      </c>
      <c r="O1874">
        <f>'Raw Data'!Q1874</f>
        <v>0</v>
      </c>
      <c r="P1874">
        <f>'Raw Data'!R1874</f>
        <v>0</v>
      </c>
      <c r="Q1874">
        <f>'Raw Data'!S1874</f>
        <v>0</v>
      </c>
      <c r="R1874">
        <f>'Raw Data'!T1874</f>
        <v>0</v>
      </c>
      <c r="S1874">
        <f>IFERROR(O1874,0)+IFERROR(R1874,0)</f>
        <v>0</v>
      </c>
      <c r="T1874">
        <f>IF(A1874="","",YEAR(A1874))</f>
        <v>0</v>
      </c>
    </row>
    <row r="1875" spans="1:20">
      <c r="A1875">
        <f>'Raw Data'!B1875</f>
        <v>0</v>
      </c>
      <c r="B1875">
        <f>'Raw Data'!A1875</f>
        <v>0</v>
      </c>
      <c r="C1875">
        <f>'Raw Data'!C1875</f>
        <v>0</v>
      </c>
      <c r="D1875">
        <f>'Raw Data'!D1875</f>
        <v>0</v>
      </c>
      <c r="E1875">
        <f>IFERROR(VLOOKUP(D1875,'Lookup Tables'!$A:$B,2,FALSE),"Unknown")</f>
        <v>0</v>
      </c>
      <c r="F1875">
        <f>'Raw Data'!E1875</f>
        <v>0</v>
      </c>
      <c r="G1875">
        <f>IFERROR(VLOOKUP(D1875,'Lookup Tables'!$A:$C,3,FALSE),IF(ISNUMBER(SEARCH("STEEL",F1875)),"Steel","Others"))</f>
        <v>0</v>
      </c>
      <c r="H1875">
        <f>IF(ISNUMBER(SEARCH("scrubber",F1875)) , "Scrubber", IF(ISNUMBER(SEARCH("container",F1875)),"Container", IF(ISNUMBER(SEARCH("basket",F1875)),"Basket", IF(ISNUMBER(SEARCH("lunch",F1875)),"Lunch Box", IF(ISNUMBER(SEARCH("cutlery",F1875)),"Cutlery","Other")))))</f>
        <v>0</v>
      </c>
      <c r="I1875">
        <f>IF('Raw Data'!G1875&lt;&gt;'','Raw Data'!G1875,IFERROR(MID(F1875,SEARCH("MODEL",F1875)+6,20),""))</f>
        <v>0</v>
      </c>
      <c r="J1875">
        <f>'Raw Data'!H1875</f>
        <v>0</v>
      </c>
      <c r="K1875">
        <f>'Raw Data'!I1875</f>
        <v>0</v>
      </c>
      <c r="L1875">
        <f>IF('Raw Data'!N1875&lt;&gt;0,'Raw Data'!N1875,IFERROR(VALUE(MID(F1875,SEARCH("QTY",F1875)+4,IFERROR(FIND(" ",F1875,SEARCH("QTY",F1875)+4)-(SEARCH("QTY",F1875)+4),3))),""))</f>
        <v>0</v>
      </c>
      <c r="M1875">
        <f>'Raw Data'!O1875</f>
        <v>0</v>
      </c>
      <c r="N1875">
        <f>'Raw Data'!P1875</f>
        <v>0</v>
      </c>
      <c r="O1875">
        <f>'Raw Data'!Q1875</f>
        <v>0</v>
      </c>
      <c r="P1875">
        <f>'Raw Data'!R1875</f>
        <v>0</v>
      </c>
      <c r="Q1875">
        <f>'Raw Data'!S1875</f>
        <v>0</v>
      </c>
      <c r="R1875">
        <f>'Raw Data'!T1875</f>
        <v>0</v>
      </c>
      <c r="S1875">
        <f>IFERROR(O1875,0)+IFERROR(R1875,0)</f>
        <v>0</v>
      </c>
      <c r="T1875">
        <f>IF(A1875="","",YEAR(A1875))</f>
        <v>0</v>
      </c>
    </row>
    <row r="1876" spans="1:20">
      <c r="A1876">
        <f>'Raw Data'!B1876</f>
        <v>0</v>
      </c>
      <c r="B1876">
        <f>'Raw Data'!A1876</f>
        <v>0</v>
      </c>
      <c r="C1876">
        <f>'Raw Data'!C1876</f>
        <v>0</v>
      </c>
      <c r="D1876">
        <f>'Raw Data'!D1876</f>
        <v>0</v>
      </c>
      <c r="E1876">
        <f>IFERROR(VLOOKUP(D1876,'Lookup Tables'!$A:$B,2,FALSE),"Unknown")</f>
        <v>0</v>
      </c>
      <c r="F1876">
        <f>'Raw Data'!E1876</f>
        <v>0</v>
      </c>
      <c r="G1876">
        <f>IFERROR(VLOOKUP(D1876,'Lookup Tables'!$A:$C,3,FALSE),IF(ISNUMBER(SEARCH("STEEL",F1876)),"Steel","Others"))</f>
        <v>0</v>
      </c>
      <c r="H1876">
        <f>IF(ISNUMBER(SEARCH("scrubber",F1876)) , "Scrubber", IF(ISNUMBER(SEARCH("container",F1876)),"Container", IF(ISNUMBER(SEARCH("basket",F1876)),"Basket", IF(ISNUMBER(SEARCH("lunch",F1876)),"Lunch Box", IF(ISNUMBER(SEARCH("cutlery",F1876)),"Cutlery","Other")))))</f>
        <v>0</v>
      </c>
      <c r="I1876">
        <f>IF('Raw Data'!G1876&lt;&gt;'','Raw Data'!G1876,IFERROR(MID(F1876,SEARCH("MODEL",F1876)+6,20),""))</f>
        <v>0</v>
      </c>
      <c r="J1876">
        <f>'Raw Data'!H1876</f>
        <v>0</v>
      </c>
      <c r="K1876">
        <f>'Raw Data'!I1876</f>
        <v>0</v>
      </c>
      <c r="L1876">
        <f>IF('Raw Data'!N1876&lt;&gt;0,'Raw Data'!N1876,IFERROR(VALUE(MID(F1876,SEARCH("QTY",F1876)+4,IFERROR(FIND(" ",F1876,SEARCH("QTY",F1876)+4)-(SEARCH("QTY",F1876)+4),3))),""))</f>
        <v>0</v>
      </c>
      <c r="M1876">
        <f>'Raw Data'!O1876</f>
        <v>0</v>
      </c>
      <c r="N1876">
        <f>'Raw Data'!P1876</f>
        <v>0</v>
      </c>
      <c r="O1876">
        <f>'Raw Data'!Q1876</f>
        <v>0</v>
      </c>
      <c r="P1876">
        <f>'Raw Data'!R1876</f>
        <v>0</v>
      </c>
      <c r="Q1876">
        <f>'Raw Data'!S1876</f>
        <v>0</v>
      </c>
      <c r="R1876">
        <f>'Raw Data'!T1876</f>
        <v>0</v>
      </c>
      <c r="S1876">
        <f>IFERROR(O1876,0)+IFERROR(R1876,0)</f>
        <v>0</v>
      </c>
      <c r="T1876">
        <f>IF(A1876="","",YEAR(A1876))</f>
        <v>0</v>
      </c>
    </row>
    <row r="1877" spans="1:20">
      <c r="A1877">
        <f>'Raw Data'!B1877</f>
        <v>0</v>
      </c>
      <c r="B1877">
        <f>'Raw Data'!A1877</f>
        <v>0</v>
      </c>
      <c r="C1877">
        <f>'Raw Data'!C1877</f>
        <v>0</v>
      </c>
      <c r="D1877">
        <f>'Raw Data'!D1877</f>
        <v>0</v>
      </c>
      <c r="E1877">
        <f>IFERROR(VLOOKUP(D1877,'Lookup Tables'!$A:$B,2,FALSE),"Unknown")</f>
        <v>0</v>
      </c>
      <c r="F1877">
        <f>'Raw Data'!E1877</f>
        <v>0</v>
      </c>
      <c r="G1877">
        <f>IFERROR(VLOOKUP(D1877,'Lookup Tables'!$A:$C,3,FALSE),IF(ISNUMBER(SEARCH("STEEL",F1877)),"Steel","Others"))</f>
        <v>0</v>
      </c>
      <c r="H1877">
        <f>IF(ISNUMBER(SEARCH("scrubber",F1877)) , "Scrubber", IF(ISNUMBER(SEARCH("container",F1877)),"Container", IF(ISNUMBER(SEARCH("basket",F1877)),"Basket", IF(ISNUMBER(SEARCH("lunch",F1877)),"Lunch Box", IF(ISNUMBER(SEARCH("cutlery",F1877)),"Cutlery","Other")))))</f>
        <v>0</v>
      </c>
      <c r="I1877">
        <f>IF('Raw Data'!G1877&lt;&gt;'','Raw Data'!G1877,IFERROR(MID(F1877,SEARCH("MODEL",F1877)+6,20),""))</f>
        <v>0</v>
      </c>
      <c r="J1877">
        <f>'Raw Data'!H1877</f>
        <v>0</v>
      </c>
      <c r="K1877">
        <f>'Raw Data'!I1877</f>
        <v>0</v>
      </c>
      <c r="L1877">
        <f>IF('Raw Data'!N1877&lt;&gt;0,'Raw Data'!N1877,IFERROR(VALUE(MID(F1877,SEARCH("QTY",F1877)+4,IFERROR(FIND(" ",F1877,SEARCH("QTY",F1877)+4)-(SEARCH("QTY",F1877)+4),3))),""))</f>
        <v>0</v>
      </c>
      <c r="M1877">
        <f>'Raw Data'!O1877</f>
        <v>0</v>
      </c>
      <c r="N1877">
        <f>'Raw Data'!P1877</f>
        <v>0</v>
      </c>
      <c r="O1877">
        <f>'Raw Data'!Q1877</f>
        <v>0</v>
      </c>
      <c r="P1877">
        <f>'Raw Data'!R1877</f>
        <v>0</v>
      </c>
      <c r="Q1877">
        <f>'Raw Data'!S1877</f>
        <v>0</v>
      </c>
      <c r="R1877">
        <f>'Raw Data'!T1877</f>
        <v>0</v>
      </c>
      <c r="S1877">
        <f>IFERROR(O1877,0)+IFERROR(R1877,0)</f>
        <v>0</v>
      </c>
      <c r="T1877">
        <f>IF(A1877="","",YEAR(A1877))</f>
        <v>0</v>
      </c>
    </row>
    <row r="1878" spans="1:20">
      <c r="A1878">
        <f>'Raw Data'!B1878</f>
        <v>0</v>
      </c>
      <c r="B1878">
        <f>'Raw Data'!A1878</f>
        <v>0</v>
      </c>
      <c r="C1878">
        <f>'Raw Data'!C1878</f>
        <v>0</v>
      </c>
      <c r="D1878">
        <f>'Raw Data'!D1878</f>
        <v>0</v>
      </c>
      <c r="E1878">
        <f>IFERROR(VLOOKUP(D1878,'Lookup Tables'!$A:$B,2,FALSE),"Unknown")</f>
        <v>0</v>
      </c>
      <c r="F1878">
        <f>'Raw Data'!E1878</f>
        <v>0</v>
      </c>
      <c r="G1878">
        <f>IFERROR(VLOOKUP(D1878,'Lookup Tables'!$A:$C,3,FALSE),IF(ISNUMBER(SEARCH("STEEL",F1878)),"Steel","Others"))</f>
        <v>0</v>
      </c>
      <c r="H1878">
        <f>IF(ISNUMBER(SEARCH("scrubber",F1878)) , "Scrubber", IF(ISNUMBER(SEARCH("container",F1878)),"Container", IF(ISNUMBER(SEARCH("basket",F1878)),"Basket", IF(ISNUMBER(SEARCH("lunch",F1878)),"Lunch Box", IF(ISNUMBER(SEARCH("cutlery",F1878)),"Cutlery","Other")))))</f>
        <v>0</v>
      </c>
      <c r="I1878">
        <f>IF('Raw Data'!G1878&lt;&gt;'','Raw Data'!G1878,IFERROR(MID(F1878,SEARCH("MODEL",F1878)+6,20),""))</f>
        <v>0</v>
      </c>
      <c r="J1878">
        <f>'Raw Data'!H1878</f>
        <v>0</v>
      </c>
      <c r="K1878">
        <f>'Raw Data'!I1878</f>
        <v>0</v>
      </c>
      <c r="L1878">
        <f>IF('Raw Data'!N1878&lt;&gt;0,'Raw Data'!N1878,IFERROR(VALUE(MID(F1878,SEARCH("QTY",F1878)+4,IFERROR(FIND(" ",F1878,SEARCH("QTY",F1878)+4)-(SEARCH("QTY",F1878)+4),3))),""))</f>
        <v>0</v>
      </c>
      <c r="M1878">
        <f>'Raw Data'!O1878</f>
        <v>0</v>
      </c>
      <c r="N1878">
        <f>'Raw Data'!P1878</f>
        <v>0</v>
      </c>
      <c r="O1878">
        <f>'Raw Data'!Q1878</f>
        <v>0</v>
      </c>
      <c r="P1878">
        <f>'Raw Data'!R1878</f>
        <v>0</v>
      </c>
      <c r="Q1878">
        <f>'Raw Data'!S1878</f>
        <v>0</v>
      </c>
      <c r="R1878">
        <f>'Raw Data'!T1878</f>
        <v>0</v>
      </c>
      <c r="S1878">
        <f>IFERROR(O1878,0)+IFERROR(R1878,0)</f>
        <v>0</v>
      </c>
      <c r="T1878">
        <f>IF(A1878="","",YEAR(A1878))</f>
        <v>0</v>
      </c>
    </row>
    <row r="1879" spans="1:20">
      <c r="A1879">
        <f>'Raw Data'!B1879</f>
        <v>0</v>
      </c>
      <c r="B1879">
        <f>'Raw Data'!A1879</f>
        <v>0</v>
      </c>
      <c r="C1879">
        <f>'Raw Data'!C1879</f>
        <v>0</v>
      </c>
      <c r="D1879">
        <f>'Raw Data'!D1879</f>
        <v>0</v>
      </c>
      <c r="E1879">
        <f>IFERROR(VLOOKUP(D1879,'Lookup Tables'!$A:$B,2,FALSE),"Unknown")</f>
        <v>0</v>
      </c>
      <c r="F1879">
        <f>'Raw Data'!E1879</f>
        <v>0</v>
      </c>
      <c r="G1879">
        <f>IFERROR(VLOOKUP(D1879,'Lookup Tables'!$A:$C,3,FALSE),IF(ISNUMBER(SEARCH("STEEL",F1879)),"Steel","Others"))</f>
        <v>0</v>
      </c>
      <c r="H1879">
        <f>IF(ISNUMBER(SEARCH("scrubber",F1879)) , "Scrubber", IF(ISNUMBER(SEARCH("container",F1879)),"Container", IF(ISNUMBER(SEARCH("basket",F1879)),"Basket", IF(ISNUMBER(SEARCH("lunch",F1879)),"Lunch Box", IF(ISNUMBER(SEARCH("cutlery",F1879)),"Cutlery","Other")))))</f>
        <v>0</v>
      </c>
      <c r="I1879">
        <f>IF('Raw Data'!G1879&lt;&gt;'','Raw Data'!G1879,IFERROR(MID(F1879,SEARCH("MODEL",F1879)+6,20),""))</f>
        <v>0</v>
      </c>
      <c r="J1879">
        <f>'Raw Data'!H1879</f>
        <v>0</v>
      </c>
      <c r="K1879">
        <f>'Raw Data'!I1879</f>
        <v>0</v>
      </c>
      <c r="L1879">
        <f>IF('Raw Data'!N1879&lt;&gt;0,'Raw Data'!N1879,IFERROR(VALUE(MID(F1879,SEARCH("QTY",F1879)+4,IFERROR(FIND(" ",F1879,SEARCH("QTY",F1879)+4)-(SEARCH("QTY",F1879)+4),3))),""))</f>
        <v>0</v>
      </c>
      <c r="M1879">
        <f>'Raw Data'!O1879</f>
        <v>0</v>
      </c>
      <c r="N1879">
        <f>'Raw Data'!P1879</f>
        <v>0</v>
      </c>
      <c r="O1879">
        <f>'Raw Data'!Q1879</f>
        <v>0</v>
      </c>
      <c r="P1879">
        <f>'Raw Data'!R1879</f>
        <v>0</v>
      </c>
      <c r="Q1879">
        <f>'Raw Data'!S1879</f>
        <v>0</v>
      </c>
      <c r="R1879">
        <f>'Raw Data'!T1879</f>
        <v>0</v>
      </c>
      <c r="S1879">
        <f>IFERROR(O1879,0)+IFERROR(R1879,0)</f>
        <v>0</v>
      </c>
      <c r="T1879">
        <f>IF(A1879="","",YEAR(A1879))</f>
        <v>0</v>
      </c>
    </row>
    <row r="1880" spans="1:20">
      <c r="A1880">
        <f>'Raw Data'!B1880</f>
        <v>0</v>
      </c>
      <c r="B1880">
        <f>'Raw Data'!A1880</f>
        <v>0</v>
      </c>
      <c r="C1880">
        <f>'Raw Data'!C1880</f>
        <v>0</v>
      </c>
      <c r="D1880">
        <f>'Raw Data'!D1880</f>
        <v>0</v>
      </c>
      <c r="E1880">
        <f>IFERROR(VLOOKUP(D1880,'Lookup Tables'!$A:$B,2,FALSE),"Unknown")</f>
        <v>0</v>
      </c>
      <c r="F1880">
        <f>'Raw Data'!E1880</f>
        <v>0</v>
      </c>
      <c r="G1880">
        <f>IFERROR(VLOOKUP(D1880,'Lookup Tables'!$A:$C,3,FALSE),IF(ISNUMBER(SEARCH("STEEL",F1880)),"Steel","Others"))</f>
        <v>0</v>
      </c>
      <c r="H1880">
        <f>IF(ISNUMBER(SEARCH("scrubber",F1880)) , "Scrubber", IF(ISNUMBER(SEARCH("container",F1880)),"Container", IF(ISNUMBER(SEARCH("basket",F1880)),"Basket", IF(ISNUMBER(SEARCH("lunch",F1880)),"Lunch Box", IF(ISNUMBER(SEARCH("cutlery",F1880)),"Cutlery","Other")))))</f>
        <v>0</v>
      </c>
      <c r="I1880">
        <f>IF('Raw Data'!G1880&lt;&gt;'','Raw Data'!G1880,IFERROR(MID(F1880,SEARCH("MODEL",F1880)+6,20),""))</f>
        <v>0</v>
      </c>
      <c r="J1880">
        <f>'Raw Data'!H1880</f>
        <v>0</v>
      </c>
      <c r="K1880">
        <f>'Raw Data'!I1880</f>
        <v>0</v>
      </c>
      <c r="L1880">
        <f>IF('Raw Data'!N1880&lt;&gt;0,'Raw Data'!N1880,IFERROR(VALUE(MID(F1880,SEARCH("QTY",F1880)+4,IFERROR(FIND(" ",F1880,SEARCH("QTY",F1880)+4)-(SEARCH("QTY",F1880)+4),3))),""))</f>
        <v>0</v>
      </c>
      <c r="M1880">
        <f>'Raw Data'!O1880</f>
        <v>0</v>
      </c>
      <c r="N1880">
        <f>'Raw Data'!P1880</f>
        <v>0</v>
      </c>
      <c r="O1880">
        <f>'Raw Data'!Q1880</f>
        <v>0</v>
      </c>
      <c r="P1880">
        <f>'Raw Data'!R1880</f>
        <v>0</v>
      </c>
      <c r="Q1880">
        <f>'Raw Data'!S1880</f>
        <v>0</v>
      </c>
      <c r="R1880">
        <f>'Raw Data'!T1880</f>
        <v>0</v>
      </c>
      <c r="S1880">
        <f>IFERROR(O1880,0)+IFERROR(R1880,0)</f>
        <v>0</v>
      </c>
      <c r="T1880">
        <f>IF(A1880="","",YEAR(A1880))</f>
        <v>0</v>
      </c>
    </row>
    <row r="1881" spans="1:20">
      <c r="A1881">
        <f>'Raw Data'!B1881</f>
        <v>0</v>
      </c>
      <c r="B1881">
        <f>'Raw Data'!A1881</f>
        <v>0</v>
      </c>
      <c r="C1881">
        <f>'Raw Data'!C1881</f>
        <v>0</v>
      </c>
      <c r="D1881">
        <f>'Raw Data'!D1881</f>
        <v>0</v>
      </c>
      <c r="E1881">
        <f>IFERROR(VLOOKUP(D1881,'Lookup Tables'!$A:$B,2,FALSE),"Unknown")</f>
        <v>0</v>
      </c>
      <c r="F1881">
        <f>'Raw Data'!E1881</f>
        <v>0</v>
      </c>
      <c r="G1881">
        <f>IFERROR(VLOOKUP(D1881,'Lookup Tables'!$A:$C,3,FALSE),IF(ISNUMBER(SEARCH("STEEL",F1881)),"Steel","Others"))</f>
        <v>0</v>
      </c>
      <c r="H1881">
        <f>IF(ISNUMBER(SEARCH("scrubber",F1881)) , "Scrubber", IF(ISNUMBER(SEARCH("container",F1881)),"Container", IF(ISNUMBER(SEARCH("basket",F1881)),"Basket", IF(ISNUMBER(SEARCH("lunch",F1881)),"Lunch Box", IF(ISNUMBER(SEARCH("cutlery",F1881)),"Cutlery","Other")))))</f>
        <v>0</v>
      </c>
      <c r="I1881">
        <f>IF('Raw Data'!G1881&lt;&gt;'','Raw Data'!G1881,IFERROR(MID(F1881,SEARCH("MODEL",F1881)+6,20),""))</f>
        <v>0</v>
      </c>
      <c r="J1881">
        <f>'Raw Data'!H1881</f>
        <v>0</v>
      </c>
      <c r="K1881">
        <f>'Raw Data'!I1881</f>
        <v>0</v>
      </c>
      <c r="L1881">
        <f>IF('Raw Data'!N1881&lt;&gt;0,'Raw Data'!N1881,IFERROR(VALUE(MID(F1881,SEARCH("QTY",F1881)+4,IFERROR(FIND(" ",F1881,SEARCH("QTY",F1881)+4)-(SEARCH("QTY",F1881)+4),3))),""))</f>
        <v>0</v>
      </c>
      <c r="M1881">
        <f>'Raw Data'!O1881</f>
        <v>0</v>
      </c>
      <c r="N1881">
        <f>'Raw Data'!P1881</f>
        <v>0</v>
      </c>
      <c r="O1881">
        <f>'Raw Data'!Q1881</f>
        <v>0</v>
      </c>
      <c r="P1881">
        <f>'Raw Data'!R1881</f>
        <v>0</v>
      </c>
      <c r="Q1881">
        <f>'Raw Data'!S1881</f>
        <v>0</v>
      </c>
      <c r="R1881">
        <f>'Raw Data'!T1881</f>
        <v>0</v>
      </c>
      <c r="S1881">
        <f>IFERROR(O1881,0)+IFERROR(R1881,0)</f>
        <v>0</v>
      </c>
      <c r="T1881">
        <f>IF(A1881="","",YEAR(A1881))</f>
        <v>0</v>
      </c>
    </row>
    <row r="1882" spans="1:20">
      <c r="A1882">
        <f>'Raw Data'!B1882</f>
        <v>0</v>
      </c>
      <c r="B1882">
        <f>'Raw Data'!A1882</f>
        <v>0</v>
      </c>
      <c r="C1882">
        <f>'Raw Data'!C1882</f>
        <v>0</v>
      </c>
      <c r="D1882">
        <f>'Raw Data'!D1882</f>
        <v>0</v>
      </c>
      <c r="E1882">
        <f>IFERROR(VLOOKUP(D1882,'Lookup Tables'!$A:$B,2,FALSE),"Unknown")</f>
        <v>0</v>
      </c>
      <c r="F1882">
        <f>'Raw Data'!E1882</f>
        <v>0</v>
      </c>
      <c r="G1882">
        <f>IFERROR(VLOOKUP(D1882,'Lookup Tables'!$A:$C,3,FALSE),IF(ISNUMBER(SEARCH("STEEL",F1882)),"Steel","Others"))</f>
        <v>0</v>
      </c>
      <c r="H1882">
        <f>IF(ISNUMBER(SEARCH("scrubber",F1882)) , "Scrubber", IF(ISNUMBER(SEARCH("container",F1882)),"Container", IF(ISNUMBER(SEARCH("basket",F1882)),"Basket", IF(ISNUMBER(SEARCH("lunch",F1882)),"Lunch Box", IF(ISNUMBER(SEARCH("cutlery",F1882)),"Cutlery","Other")))))</f>
        <v>0</v>
      </c>
      <c r="I1882">
        <f>IF('Raw Data'!G1882&lt;&gt;'','Raw Data'!G1882,IFERROR(MID(F1882,SEARCH("MODEL",F1882)+6,20),""))</f>
        <v>0</v>
      </c>
      <c r="J1882">
        <f>'Raw Data'!H1882</f>
        <v>0</v>
      </c>
      <c r="K1882">
        <f>'Raw Data'!I1882</f>
        <v>0</v>
      </c>
      <c r="L1882">
        <f>IF('Raw Data'!N1882&lt;&gt;0,'Raw Data'!N1882,IFERROR(VALUE(MID(F1882,SEARCH("QTY",F1882)+4,IFERROR(FIND(" ",F1882,SEARCH("QTY",F1882)+4)-(SEARCH("QTY",F1882)+4),3))),""))</f>
        <v>0</v>
      </c>
      <c r="M1882">
        <f>'Raw Data'!O1882</f>
        <v>0</v>
      </c>
      <c r="N1882">
        <f>'Raw Data'!P1882</f>
        <v>0</v>
      </c>
      <c r="O1882">
        <f>'Raw Data'!Q1882</f>
        <v>0</v>
      </c>
      <c r="P1882">
        <f>'Raw Data'!R1882</f>
        <v>0</v>
      </c>
      <c r="Q1882">
        <f>'Raw Data'!S1882</f>
        <v>0</v>
      </c>
      <c r="R1882">
        <f>'Raw Data'!T1882</f>
        <v>0</v>
      </c>
      <c r="S1882">
        <f>IFERROR(O1882,0)+IFERROR(R1882,0)</f>
        <v>0</v>
      </c>
      <c r="T1882">
        <f>IF(A1882="","",YEAR(A1882))</f>
        <v>0</v>
      </c>
    </row>
    <row r="1883" spans="1:20">
      <c r="A1883">
        <f>'Raw Data'!B1883</f>
        <v>0</v>
      </c>
      <c r="B1883">
        <f>'Raw Data'!A1883</f>
        <v>0</v>
      </c>
      <c r="C1883">
        <f>'Raw Data'!C1883</f>
        <v>0</v>
      </c>
      <c r="D1883">
        <f>'Raw Data'!D1883</f>
        <v>0</v>
      </c>
      <c r="E1883">
        <f>IFERROR(VLOOKUP(D1883,'Lookup Tables'!$A:$B,2,FALSE),"Unknown")</f>
        <v>0</v>
      </c>
      <c r="F1883">
        <f>'Raw Data'!E1883</f>
        <v>0</v>
      </c>
      <c r="G1883">
        <f>IFERROR(VLOOKUP(D1883,'Lookup Tables'!$A:$C,3,FALSE),IF(ISNUMBER(SEARCH("STEEL",F1883)),"Steel","Others"))</f>
        <v>0</v>
      </c>
      <c r="H1883">
        <f>IF(ISNUMBER(SEARCH("scrubber",F1883)) , "Scrubber", IF(ISNUMBER(SEARCH("container",F1883)),"Container", IF(ISNUMBER(SEARCH("basket",F1883)),"Basket", IF(ISNUMBER(SEARCH("lunch",F1883)),"Lunch Box", IF(ISNUMBER(SEARCH("cutlery",F1883)),"Cutlery","Other")))))</f>
        <v>0</v>
      </c>
      <c r="I1883">
        <f>IF('Raw Data'!G1883&lt;&gt;'','Raw Data'!G1883,IFERROR(MID(F1883,SEARCH("MODEL",F1883)+6,20),""))</f>
        <v>0</v>
      </c>
      <c r="J1883">
        <f>'Raw Data'!H1883</f>
        <v>0</v>
      </c>
      <c r="K1883">
        <f>'Raw Data'!I1883</f>
        <v>0</v>
      </c>
      <c r="L1883">
        <f>IF('Raw Data'!N1883&lt;&gt;0,'Raw Data'!N1883,IFERROR(VALUE(MID(F1883,SEARCH("QTY",F1883)+4,IFERROR(FIND(" ",F1883,SEARCH("QTY",F1883)+4)-(SEARCH("QTY",F1883)+4),3))),""))</f>
        <v>0</v>
      </c>
      <c r="M1883">
        <f>'Raw Data'!O1883</f>
        <v>0</v>
      </c>
      <c r="N1883">
        <f>'Raw Data'!P1883</f>
        <v>0</v>
      </c>
      <c r="O1883">
        <f>'Raw Data'!Q1883</f>
        <v>0</v>
      </c>
      <c r="P1883">
        <f>'Raw Data'!R1883</f>
        <v>0</v>
      </c>
      <c r="Q1883">
        <f>'Raw Data'!S1883</f>
        <v>0</v>
      </c>
      <c r="R1883">
        <f>'Raw Data'!T1883</f>
        <v>0</v>
      </c>
      <c r="S1883">
        <f>IFERROR(O1883,0)+IFERROR(R1883,0)</f>
        <v>0</v>
      </c>
      <c r="T1883">
        <f>IF(A1883="","",YEAR(A1883))</f>
        <v>0</v>
      </c>
    </row>
    <row r="1884" spans="1:20">
      <c r="A1884">
        <f>'Raw Data'!B1884</f>
        <v>0</v>
      </c>
      <c r="B1884">
        <f>'Raw Data'!A1884</f>
        <v>0</v>
      </c>
      <c r="C1884">
        <f>'Raw Data'!C1884</f>
        <v>0</v>
      </c>
      <c r="D1884">
        <f>'Raw Data'!D1884</f>
        <v>0</v>
      </c>
      <c r="E1884">
        <f>IFERROR(VLOOKUP(D1884,'Lookup Tables'!$A:$B,2,FALSE),"Unknown")</f>
        <v>0</v>
      </c>
      <c r="F1884">
        <f>'Raw Data'!E1884</f>
        <v>0</v>
      </c>
      <c r="G1884">
        <f>IFERROR(VLOOKUP(D1884,'Lookup Tables'!$A:$C,3,FALSE),IF(ISNUMBER(SEARCH("STEEL",F1884)),"Steel","Others"))</f>
        <v>0</v>
      </c>
      <c r="H1884">
        <f>IF(ISNUMBER(SEARCH("scrubber",F1884)) , "Scrubber", IF(ISNUMBER(SEARCH("container",F1884)),"Container", IF(ISNUMBER(SEARCH("basket",F1884)),"Basket", IF(ISNUMBER(SEARCH("lunch",F1884)),"Lunch Box", IF(ISNUMBER(SEARCH("cutlery",F1884)),"Cutlery","Other")))))</f>
        <v>0</v>
      </c>
      <c r="I1884">
        <f>IF('Raw Data'!G1884&lt;&gt;'','Raw Data'!G1884,IFERROR(MID(F1884,SEARCH("MODEL",F1884)+6,20),""))</f>
        <v>0</v>
      </c>
      <c r="J1884">
        <f>'Raw Data'!H1884</f>
        <v>0</v>
      </c>
      <c r="K1884">
        <f>'Raw Data'!I1884</f>
        <v>0</v>
      </c>
      <c r="L1884">
        <f>IF('Raw Data'!N1884&lt;&gt;0,'Raw Data'!N1884,IFERROR(VALUE(MID(F1884,SEARCH("QTY",F1884)+4,IFERROR(FIND(" ",F1884,SEARCH("QTY",F1884)+4)-(SEARCH("QTY",F1884)+4),3))),""))</f>
        <v>0</v>
      </c>
      <c r="M1884">
        <f>'Raw Data'!O1884</f>
        <v>0</v>
      </c>
      <c r="N1884">
        <f>'Raw Data'!P1884</f>
        <v>0</v>
      </c>
      <c r="O1884">
        <f>'Raw Data'!Q1884</f>
        <v>0</v>
      </c>
      <c r="P1884">
        <f>'Raw Data'!R1884</f>
        <v>0</v>
      </c>
      <c r="Q1884">
        <f>'Raw Data'!S1884</f>
        <v>0</v>
      </c>
      <c r="R1884">
        <f>'Raw Data'!T1884</f>
        <v>0</v>
      </c>
      <c r="S1884">
        <f>IFERROR(O1884,0)+IFERROR(R1884,0)</f>
        <v>0</v>
      </c>
      <c r="T1884">
        <f>IF(A1884="","",YEAR(A1884))</f>
        <v>0</v>
      </c>
    </row>
    <row r="1885" spans="1:20">
      <c r="A1885">
        <f>'Raw Data'!B1885</f>
        <v>0</v>
      </c>
      <c r="B1885">
        <f>'Raw Data'!A1885</f>
        <v>0</v>
      </c>
      <c r="C1885">
        <f>'Raw Data'!C1885</f>
        <v>0</v>
      </c>
      <c r="D1885">
        <f>'Raw Data'!D1885</f>
        <v>0</v>
      </c>
      <c r="E1885">
        <f>IFERROR(VLOOKUP(D1885,'Lookup Tables'!$A:$B,2,FALSE),"Unknown")</f>
        <v>0</v>
      </c>
      <c r="F1885">
        <f>'Raw Data'!E1885</f>
        <v>0</v>
      </c>
      <c r="G1885">
        <f>IFERROR(VLOOKUP(D1885,'Lookup Tables'!$A:$C,3,FALSE),IF(ISNUMBER(SEARCH("STEEL",F1885)),"Steel","Others"))</f>
        <v>0</v>
      </c>
      <c r="H1885">
        <f>IF(ISNUMBER(SEARCH("scrubber",F1885)) , "Scrubber", IF(ISNUMBER(SEARCH("container",F1885)),"Container", IF(ISNUMBER(SEARCH("basket",F1885)),"Basket", IF(ISNUMBER(SEARCH("lunch",F1885)),"Lunch Box", IF(ISNUMBER(SEARCH("cutlery",F1885)),"Cutlery","Other")))))</f>
        <v>0</v>
      </c>
      <c r="I1885">
        <f>IF('Raw Data'!G1885&lt;&gt;'','Raw Data'!G1885,IFERROR(MID(F1885,SEARCH("MODEL",F1885)+6,20),""))</f>
        <v>0</v>
      </c>
      <c r="J1885">
        <f>'Raw Data'!H1885</f>
        <v>0</v>
      </c>
      <c r="K1885">
        <f>'Raw Data'!I1885</f>
        <v>0</v>
      </c>
      <c r="L1885">
        <f>IF('Raw Data'!N1885&lt;&gt;0,'Raw Data'!N1885,IFERROR(VALUE(MID(F1885,SEARCH("QTY",F1885)+4,IFERROR(FIND(" ",F1885,SEARCH("QTY",F1885)+4)-(SEARCH("QTY",F1885)+4),3))),""))</f>
        <v>0</v>
      </c>
      <c r="M1885">
        <f>'Raw Data'!O1885</f>
        <v>0</v>
      </c>
      <c r="N1885">
        <f>'Raw Data'!P1885</f>
        <v>0</v>
      </c>
      <c r="O1885">
        <f>'Raw Data'!Q1885</f>
        <v>0</v>
      </c>
      <c r="P1885">
        <f>'Raw Data'!R1885</f>
        <v>0</v>
      </c>
      <c r="Q1885">
        <f>'Raw Data'!S1885</f>
        <v>0</v>
      </c>
      <c r="R1885">
        <f>'Raw Data'!T1885</f>
        <v>0</v>
      </c>
      <c r="S1885">
        <f>IFERROR(O1885,0)+IFERROR(R1885,0)</f>
        <v>0</v>
      </c>
      <c r="T1885">
        <f>IF(A1885="","",YEAR(A1885))</f>
        <v>0</v>
      </c>
    </row>
    <row r="1886" spans="1:20">
      <c r="A1886">
        <f>'Raw Data'!B1886</f>
        <v>0</v>
      </c>
      <c r="B1886">
        <f>'Raw Data'!A1886</f>
        <v>0</v>
      </c>
      <c r="C1886">
        <f>'Raw Data'!C1886</f>
        <v>0</v>
      </c>
      <c r="D1886">
        <f>'Raw Data'!D1886</f>
        <v>0</v>
      </c>
      <c r="E1886">
        <f>IFERROR(VLOOKUP(D1886,'Lookup Tables'!$A:$B,2,FALSE),"Unknown")</f>
        <v>0</v>
      </c>
      <c r="F1886">
        <f>'Raw Data'!E1886</f>
        <v>0</v>
      </c>
      <c r="G1886">
        <f>IFERROR(VLOOKUP(D1886,'Lookup Tables'!$A:$C,3,FALSE),IF(ISNUMBER(SEARCH("STEEL",F1886)),"Steel","Others"))</f>
        <v>0</v>
      </c>
      <c r="H1886">
        <f>IF(ISNUMBER(SEARCH("scrubber",F1886)) , "Scrubber", IF(ISNUMBER(SEARCH("container",F1886)),"Container", IF(ISNUMBER(SEARCH("basket",F1886)),"Basket", IF(ISNUMBER(SEARCH("lunch",F1886)),"Lunch Box", IF(ISNUMBER(SEARCH("cutlery",F1886)),"Cutlery","Other")))))</f>
        <v>0</v>
      </c>
      <c r="I1886">
        <f>IF('Raw Data'!G1886&lt;&gt;'','Raw Data'!G1886,IFERROR(MID(F1886,SEARCH("MODEL",F1886)+6,20),""))</f>
        <v>0</v>
      </c>
      <c r="J1886">
        <f>'Raw Data'!H1886</f>
        <v>0</v>
      </c>
      <c r="K1886">
        <f>'Raw Data'!I1886</f>
        <v>0</v>
      </c>
      <c r="L1886">
        <f>IF('Raw Data'!N1886&lt;&gt;0,'Raw Data'!N1886,IFERROR(VALUE(MID(F1886,SEARCH("QTY",F1886)+4,IFERROR(FIND(" ",F1886,SEARCH("QTY",F1886)+4)-(SEARCH("QTY",F1886)+4),3))),""))</f>
        <v>0</v>
      </c>
      <c r="M1886">
        <f>'Raw Data'!O1886</f>
        <v>0</v>
      </c>
      <c r="N1886">
        <f>'Raw Data'!P1886</f>
        <v>0</v>
      </c>
      <c r="O1886">
        <f>'Raw Data'!Q1886</f>
        <v>0</v>
      </c>
      <c r="P1886">
        <f>'Raw Data'!R1886</f>
        <v>0</v>
      </c>
      <c r="Q1886">
        <f>'Raw Data'!S1886</f>
        <v>0</v>
      </c>
      <c r="R1886">
        <f>'Raw Data'!T1886</f>
        <v>0</v>
      </c>
      <c r="S1886">
        <f>IFERROR(O1886,0)+IFERROR(R1886,0)</f>
        <v>0</v>
      </c>
      <c r="T1886">
        <f>IF(A1886="","",YEAR(A1886))</f>
        <v>0</v>
      </c>
    </row>
    <row r="1887" spans="1:20">
      <c r="A1887">
        <f>'Raw Data'!B1887</f>
        <v>0</v>
      </c>
      <c r="B1887">
        <f>'Raw Data'!A1887</f>
        <v>0</v>
      </c>
      <c r="C1887">
        <f>'Raw Data'!C1887</f>
        <v>0</v>
      </c>
      <c r="D1887">
        <f>'Raw Data'!D1887</f>
        <v>0</v>
      </c>
      <c r="E1887">
        <f>IFERROR(VLOOKUP(D1887,'Lookup Tables'!$A:$B,2,FALSE),"Unknown")</f>
        <v>0</v>
      </c>
      <c r="F1887">
        <f>'Raw Data'!E1887</f>
        <v>0</v>
      </c>
      <c r="G1887">
        <f>IFERROR(VLOOKUP(D1887,'Lookup Tables'!$A:$C,3,FALSE),IF(ISNUMBER(SEARCH("STEEL",F1887)),"Steel","Others"))</f>
        <v>0</v>
      </c>
      <c r="H1887">
        <f>IF(ISNUMBER(SEARCH("scrubber",F1887)) , "Scrubber", IF(ISNUMBER(SEARCH("container",F1887)),"Container", IF(ISNUMBER(SEARCH("basket",F1887)),"Basket", IF(ISNUMBER(SEARCH("lunch",F1887)),"Lunch Box", IF(ISNUMBER(SEARCH("cutlery",F1887)),"Cutlery","Other")))))</f>
        <v>0</v>
      </c>
      <c r="I1887">
        <f>IF('Raw Data'!G1887&lt;&gt;'','Raw Data'!G1887,IFERROR(MID(F1887,SEARCH("MODEL",F1887)+6,20),""))</f>
        <v>0</v>
      </c>
      <c r="J1887">
        <f>'Raw Data'!H1887</f>
        <v>0</v>
      </c>
      <c r="K1887">
        <f>'Raw Data'!I1887</f>
        <v>0</v>
      </c>
      <c r="L1887">
        <f>IF('Raw Data'!N1887&lt;&gt;0,'Raw Data'!N1887,IFERROR(VALUE(MID(F1887,SEARCH("QTY",F1887)+4,IFERROR(FIND(" ",F1887,SEARCH("QTY",F1887)+4)-(SEARCH("QTY",F1887)+4),3))),""))</f>
        <v>0</v>
      </c>
      <c r="M1887">
        <f>'Raw Data'!O1887</f>
        <v>0</v>
      </c>
      <c r="N1887">
        <f>'Raw Data'!P1887</f>
        <v>0</v>
      </c>
      <c r="O1887">
        <f>'Raw Data'!Q1887</f>
        <v>0</v>
      </c>
      <c r="P1887">
        <f>'Raw Data'!R1887</f>
        <v>0</v>
      </c>
      <c r="Q1887">
        <f>'Raw Data'!S1887</f>
        <v>0</v>
      </c>
      <c r="R1887">
        <f>'Raw Data'!T1887</f>
        <v>0</v>
      </c>
      <c r="S1887">
        <f>IFERROR(O1887,0)+IFERROR(R1887,0)</f>
        <v>0</v>
      </c>
      <c r="T1887">
        <f>IF(A1887="","",YEAR(A1887))</f>
        <v>0</v>
      </c>
    </row>
    <row r="1888" spans="1:20">
      <c r="A1888">
        <f>'Raw Data'!B1888</f>
        <v>0</v>
      </c>
      <c r="B1888">
        <f>'Raw Data'!A1888</f>
        <v>0</v>
      </c>
      <c r="C1888">
        <f>'Raw Data'!C1888</f>
        <v>0</v>
      </c>
      <c r="D1888">
        <f>'Raw Data'!D1888</f>
        <v>0</v>
      </c>
      <c r="E1888">
        <f>IFERROR(VLOOKUP(D1888,'Lookup Tables'!$A:$B,2,FALSE),"Unknown")</f>
        <v>0</v>
      </c>
      <c r="F1888">
        <f>'Raw Data'!E1888</f>
        <v>0</v>
      </c>
      <c r="G1888">
        <f>IFERROR(VLOOKUP(D1888,'Lookup Tables'!$A:$C,3,FALSE),IF(ISNUMBER(SEARCH("STEEL",F1888)),"Steel","Others"))</f>
        <v>0</v>
      </c>
      <c r="H1888">
        <f>IF(ISNUMBER(SEARCH("scrubber",F1888)) , "Scrubber", IF(ISNUMBER(SEARCH("container",F1888)),"Container", IF(ISNUMBER(SEARCH("basket",F1888)),"Basket", IF(ISNUMBER(SEARCH("lunch",F1888)),"Lunch Box", IF(ISNUMBER(SEARCH("cutlery",F1888)),"Cutlery","Other")))))</f>
        <v>0</v>
      </c>
      <c r="I1888">
        <f>IF('Raw Data'!G1888&lt;&gt;'','Raw Data'!G1888,IFERROR(MID(F1888,SEARCH("MODEL",F1888)+6,20),""))</f>
        <v>0</v>
      </c>
      <c r="J1888">
        <f>'Raw Data'!H1888</f>
        <v>0</v>
      </c>
      <c r="K1888">
        <f>'Raw Data'!I1888</f>
        <v>0</v>
      </c>
      <c r="L1888">
        <f>IF('Raw Data'!N1888&lt;&gt;0,'Raw Data'!N1888,IFERROR(VALUE(MID(F1888,SEARCH("QTY",F1888)+4,IFERROR(FIND(" ",F1888,SEARCH("QTY",F1888)+4)-(SEARCH("QTY",F1888)+4),3))),""))</f>
        <v>0</v>
      </c>
      <c r="M1888">
        <f>'Raw Data'!O1888</f>
        <v>0</v>
      </c>
      <c r="N1888">
        <f>'Raw Data'!P1888</f>
        <v>0</v>
      </c>
      <c r="O1888">
        <f>'Raw Data'!Q1888</f>
        <v>0</v>
      </c>
      <c r="P1888">
        <f>'Raw Data'!R1888</f>
        <v>0</v>
      </c>
      <c r="Q1888">
        <f>'Raw Data'!S1888</f>
        <v>0</v>
      </c>
      <c r="R1888">
        <f>'Raw Data'!T1888</f>
        <v>0</v>
      </c>
      <c r="S1888">
        <f>IFERROR(O1888,0)+IFERROR(R1888,0)</f>
        <v>0</v>
      </c>
      <c r="T1888">
        <f>IF(A1888="","",YEAR(A1888))</f>
        <v>0</v>
      </c>
    </row>
    <row r="1889" spans="1:20">
      <c r="A1889">
        <f>'Raw Data'!B1889</f>
        <v>0</v>
      </c>
      <c r="B1889">
        <f>'Raw Data'!A1889</f>
        <v>0</v>
      </c>
      <c r="C1889">
        <f>'Raw Data'!C1889</f>
        <v>0</v>
      </c>
      <c r="D1889">
        <f>'Raw Data'!D1889</f>
        <v>0</v>
      </c>
      <c r="E1889">
        <f>IFERROR(VLOOKUP(D1889,'Lookup Tables'!$A:$B,2,FALSE),"Unknown")</f>
        <v>0</v>
      </c>
      <c r="F1889">
        <f>'Raw Data'!E1889</f>
        <v>0</v>
      </c>
      <c r="G1889">
        <f>IFERROR(VLOOKUP(D1889,'Lookup Tables'!$A:$C,3,FALSE),IF(ISNUMBER(SEARCH("STEEL",F1889)),"Steel","Others"))</f>
        <v>0</v>
      </c>
      <c r="H1889">
        <f>IF(ISNUMBER(SEARCH("scrubber",F1889)) , "Scrubber", IF(ISNUMBER(SEARCH("container",F1889)),"Container", IF(ISNUMBER(SEARCH("basket",F1889)),"Basket", IF(ISNUMBER(SEARCH("lunch",F1889)),"Lunch Box", IF(ISNUMBER(SEARCH("cutlery",F1889)),"Cutlery","Other")))))</f>
        <v>0</v>
      </c>
      <c r="I1889">
        <f>IF('Raw Data'!G1889&lt;&gt;'','Raw Data'!G1889,IFERROR(MID(F1889,SEARCH("MODEL",F1889)+6,20),""))</f>
        <v>0</v>
      </c>
      <c r="J1889">
        <f>'Raw Data'!H1889</f>
        <v>0</v>
      </c>
      <c r="K1889">
        <f>'Raw Data'!I1889</f>
        <v>0</v>
      </c>
      <c r="L1889">
        <f>IF('Raw Data'!N1889&lt;&gt;0,'Raw Data'!N1889,IFERROR(VALUE(MID(F1889,SEARCH("QTY",F1889)+4,IFERROR(FIND(" ",F1889,SEARCH("QTY",F1889)+4)-(SEARCH("QTY",F1889)+4),3))),""))</f>
        <v>0</v>
      </c>
      <c r="M1889">
        <f>'Raw Data'!O1889</f>
        <v>0</v>
      </c>
      <c r="N1889">
        <f>'Raw Data'!P1889</f>
        <v>0</v>
      </c>
      <c r="O1889">
        <f>'Raw Data'!Q1889</f>
        <v>0</v>
      </c>
      <c r="P1889">
        <f>'Raw Data'!R1889</f>
        <v>0</v>
      </c>
      <c r="Q1889">
        <f>'Raw Data'!S1889</f>
        <v>0</v>
      </c>
      <c r="R1889">
        <f>'Raw Data'!T1889</f>
        <v>0</v>
      </c>
      <c r="S1889">
        <f>IFERROR(O1889,0)+IFERROR(R1889,0)</f>
        <v>0</v>
      </c>
      <c r="T1889">
        <f>IF(A1889="","",YEAR(A1889))</f>
        <v>0</v>
      </c>
    </row>
    <row r="1890" spans="1:20">
      <c r="A1890">
        <f>'Raw Data'!B1890</f>
        <v>0</v>
      </c>
      <c r="B1890">
        <f>'Raw Data'!A1890</f>
        <v>0</v>
      </c>
      <c r="C1890">
        <f>'Raw Data'!C1890</f>
        <v>0</v>
      </c>
      <c r="D1890">
        <f>'Raw Data'!D1890</f>
        <v>0</v>
      </c>
      <c r="E1890">
        <f>IFERROR(VLOOKUP(D1890,'Lookup Tables'!$A:$B,2,FALSE),"Unknown")</f>
        <v>0</v>
      </c>
      <c r="F1890">
        <f>'Raw Data'!E1890</f>
        <v>0</v>
      </c>
      <c r="G1890">
        <f>IFERROR(VLOOKUP(D1890,'Lookup Tables'!$A:$C,3,FALSE),IF(ISNUMBER(SEARCH("STEEL",F1890)),"Steel","Others"))</f>
        <v>0</v>
      </c>
      <c r="H1890">
        <f>IF(ISNUMBER(SEARCH("scrubber",F1890)) , "Scrubber", IF(ISNUMBER(SEARCH("container",F1890)),"Container", IF(ISNUMBER(SEARCH("basket",F1890)),"Basket", IF(ISNUMBER(SEARCH("lunch",F1890)),"Lunch Box", IF(ISNUMBER(SEARCH("cutlery",F1890)),"Cutlery","Other")))))</f>
        <v>0</v>
      </c>
      <c r="I1890">
        <f>IF('Raw Data'!G1890&lt;&gt;'','Raw Data'!G1890,IFERROR(MID(F1890,SEARCH("MODEL",F1890)+6,20),""))</f>
        <v>0</v>
      </c>
      <c r="J1890">
        <f>'Raw Data'!H1890</f>
        <v>0</v>
      </c>
      <c r="K1890">
        <f>'Raw Data'!I1890</f>
        <v>0</v>
      </c>
      <c r="L1890">
        <f>IF('Raw Data'!N1890&lt;&gt;0,'Raw Data'!N1890,IFERROR(VALUE(MID(F1890,SEARCH("QTY",F1890)+4,IFERROR(FIND(" ",F1890,SEARCH("QTY",F1890)+4)-(SEARCH("QTY",F1890)+4),3))),""))</f>
        <v>0</v>
      </c>
      <c r="M1890">
        <f>'Raw Data'!O1890</f>
        <v>0</v>
      </c>
      <c r="N1890">
        <f>'Raw Data'!P1890</f>
        <v>0</v>
      </c>
      <c r="O1890">
        <f>'Raw Data'!Q1890</f>
        <v>0</v>
      </c>
      <c r="P1890">
        <f>'Raw Data'!R1890</f>
        <v>0</v>
      </c>
      <c r="Q1890">
        <f>'Raw Data'!S1890</f>
        <v>0</v>
      </c>
      <c r="R1890">
        <f>'Raw Data'!T1890</f>
        <v>0</v>
      </c>
      <c r="S1890">
        <f>IFERROR(O1890,0)+IFERROR(R1890,0)</f>
        <v>0</v>
      </c>
      <c r="T1890">
        <f>IF(A1890="","",YEAR(A1890))</f>
        <v>0</v>
      </c>
    </row>
    <row r="1891" spans="1:20">
      <c r="A1891">
        <f>'Raw Data'!B1891</f>
        <v>0</v>
      </c>
      <c r="B1891">
        <f>'Raw Data'!A1891</f>
        <v>0</v>
      </c>
      <c r="C1891">
        <f>'Raw Data'!C1891</f>
        <v>0</v>
      </c>
      <c r="D1891">
        <f>'Raw Data'!D1891</f>
        <v>0</v>
      </c>
      <c r="E1891">
        <f>IFERROR(VLOOKUP(D1891,'Lookup Tables'!$A:$B,2,FALSE),"Unknown")</f>
        <v>0</v>
      </c>
      <c r="F1891">
        <f>'Raw Data'!E1891</f>
        <v>0</v>
      </c>
      <c r="G1891">
        <f>IFERROR(VLOOKUP(D1891,'Lookup Tables'!$A:$C,3,FALSE),IF(ISNUMBER(SEARCH("STEEL",F1891)),"Steel","Others"))</f>
        <v>0</v>
      </c>
      <c r="H1891">
        <f>IF(ISNUMBER(SEARCH("scrubber",F1891)) , "Scrubber", IF(ISNUMBER(SEARCH("container",F1891)),"Container", IF(ISNUMBER(SEARCH("basket",F1891)),"Basket", IF(ISNUMBER(SEARCH("lunch",F1891)),"Lunch Box", IF(ISNUMBER(SEARCH("cutlery",F1891)),"Cutlery","Other")))))</f>
        <v>0</v>
      </c>
      <c r="I1891">
        <f>IF('Raw Data'!G1891&lt;&gt;'','Raw Data'!G1891,IFERROR(MID(F1891,SEARCH("MODEL",F1891)+6,20),""))</f>
        <v>0</v>
      </c>
      <c r="J1891">
        <f>'Raw Data'!H1891</f>
        <v>0</v>
      </c>
      <c r="K1891">
        <f>'Raw Data'!I1891</f>
        <v>0</v>
      </c>
      <c r="L1891">
        <f>IF('Raw Data'!N1891&lt;&gt;0,'Raw Data'!N1891,IFERROR(VALUE(MID(F1891,SEARCH("QTY",F1891)+4,IFERROR(FIND(" ",F1891,SEARCH("QTY",F1891)+4)-(SEARCH("QTY",F1891)+4),3))),""))</f>
        <v>0</v>
      </c>
      <c r="M1891">
        <f>'Raw Data'!O1891</f>
        <v>0</v>
      </c>
      <c r="N1891">
        <f>'Raw Data'!P1891</f>
        <v>0</v>
      </c>
      <c r="O1891">
        <f>'Raw Data'!Q1891</f>
        <v>0</v>
      </c>
      <c r="P1891">
        <f>'Raw Data'!R1891</f>
        <v>0</v>
      </c>
      <c r="Q1891">
        <f>'Raw Data'!S1891</f>
        <v>0</v>
      </c>
      <c r="R1891">
        <f>'Raw Data'!T1891</f>
        <v>0</v>
      </c>
      <c r="S1891">
        <f>IFERROR(O1891,0)+IFERROR(R1891,0)</f>
        <v>0</v>
      </c>
      <c r="T1891">
        <f>IF(A1891="","",YEAR(A1891))</f>
        <v>0</v>
      </c>
    </row>
    <row r="1892" spans="1:20">
      <c r="A1892">
        <f>'Raw Data'!B1892</f>
        <v>0</v>
      </c>
      <c r="B1892">
        <f>'Raw Data'!A1892</f>
        <v>0</v>
      </c>
      <c r="C1892">
        <f>'Raw Data'!C1892</f>
        <v>0</v>
      </c>
      <c r="D1892">
        <f>'Raw Data'!D1892</f>
        <v>0</v>
      </c>
      <c r="E1892">
        <f>IFERROR(VLOOKUP(D1892,'Lookup Tables'!$A:$B,2,FALSE),"Unknown")</f>
        <v>0</v>
      </c>
      <c r="F1892">
        <f>'Raw Data'!E1892</f>
        <v>0</v>
      </c>
      <c r="G1892">
        <f>IFERROR(VLOOKUP(D1892,'Lookup Tables'!$A:$C,3,FALSE),IF(ISNUMBER(SEARCH("STEEL",F1892)),"Steel","Others"))</f>
        <v>0</v>
      </c>
      <c r="H1892">
        <f>IF(ISNUMBER(SEARCH("scrubber",F1892)) , "Scrubber", IF(ISNUMBER(SEARCH("container",F1892)),"Container", IF(ISNUMBER(SEARCH("basket",F1892)),"Basket", IF(ISNUMBER(SEARCH("lunch",F1892)),"Lunch Box", IF(ISNUMBER(SEARCH("cutlery",F1892)),"Cutlery","Other")))))</f>
        <v>0</v>
      </c>
      <c r="I1892">
        <f>IF('Raw Data'!G1892&lt;&gt;'','Raw Data'!G1892,IFERROR(MID(F1892,SEARCH("MODEL",F1892)+6,20),""))</f>
        <v>0</v>
      </c>
      <c r="J1892">
        <f>'Raw Data'!H1892</f>
        <v>0</v>
      </c>
      <c r="K1892">
        <f>'Raw Data'!I1892</f>
        <v>0</v>
      </c>
      <c r="L1892">
        <f>IF('Raw Data'!N1892&lt;&gt;0,'Raw Data'!N1892,IFERROR(VALUE(MID(F1892,SEARCH("QTY",F1892)+4,IFERROR(FIND(" ",F1892,SEARCH("QTY",F1892)+4)-(SEARCH("QTY",F1892)+4),3))),""))</f>
        <v>0</v>
      </c>
      <c r="M1892">
        <f>'Raw Data'!O1892</f>
        <v>0</v>
      </c>
      <c r="N1892">
        <f>'Raw Data'!P1892</f>
        <v>0</v>
      </c>
      <c r="O1892">
        <f>'Raw Data'!Q1892</f>
        <v>0</v>
      </c>
      <c r="P1892">
        <f>'Raw Data'!R1892</f>
        <v>0</v>
      </c>
      <c r="Q1892">
        <f>'Raw Data'!S1892</f>
        <v>0</v>
      </c>
      <c r="R1892">
        <f>'Raw Data'!T1892</f>
        <v>0</v>
      </c>
      <c r="S1892">
        <f>IFERROR(O1892,0)+IFERROR(R1892,0)</f>
        <v>0</v>
      </c>
      <c r="T1892">
        <f>IF(A1892="","",YEAR(A1892))</f>
        <v>0</v>
      </c>
    </row>
    <row r="1893" spans="1:20">
      <c r="A1893">
        <f>'Raw Data'!B1893</f>
        <v>0</v>
      </c>
      <c r="B1893">
        <f>'Raw Data'!A1893</f>
        <v>0</v>
      </c>
      <c r="C1893">
        <f>'Raw Data'!C1893</f>
        <v>0</v>
      </c>
      <c r="D1893">
        <f>'Raw Data'!D1893</f>
        <v>0</v>
      </c>
      <c r="E1893">
        <f>IFERROR(VLOOKUP(D1893,'Lookup Tables'!$A:$B,2,FALSE),"Unknown")</f>
        <v>0</v>
      </c>
      <c r="F1893">
        <f>'Raw Data'!E1893</f>
        <v>0</v>
      </c>
      <c r="G1893">
        <f>IFERROR(VLOOKUP(D1893,'Lookup Tables'!$A:$C,3,FALSE),IF(ISNUMBER(SEARCH("STEEL",F1893)),"Steel","Others"))</f>
        <v>0</v>
      </c>
      <c r="H1893">
        <f>IF(ISNUMBER(SEARCH("scrubber",F1893)) , "Scrubber", IF(ISNUMBER(SEARCH("container",F1893)),"Container", IF(ISNUMBER(SEARCH("basket",F1893)),"Basket", IF(ISNUMBER(SEARCH("lunch",F1893)),"Lunch Box", IF(ISNUMBER(SEARCH("cutlery",F1893)),"Cutlery","Other")))))</f>
        <v>0</v>
      </c>
      <c r="I1893">
        <f>IF('Raw Data'!G1893&lt;&gt;'','Raw Data'!G1893,IFERROR(MID(F1893,SEARCH("MODEL",F1893)+6,20),""))</f>
        <v>0</v>
      </c>
      <c r="J1893">
        <f>'Raw Data'!H1893</f>
        <v>0</v>
      </c>
      <c r="K1893">
        <f>'Raw Data'!I1893</f>
        <v>0</v>
      </c>
      <c r="L1893">
        <f>IF('Raw Data'!N1893&lt;&gt;0,'Raw Data'!N1893,IFERROR(VALUE(MID(F1893,SEARCH("QTY",F1893)+4,IFERROR(FIND(" ",F1893,SEARCH("QTY",F1893)+4)-(SEARCH("QTY",F1893)+4),3))),""))</f>
        <v>0</v>
      </c>
      <c r="M1893">
        <f>'Raw Data'!O1893</f>
        <v>0</v>
      </c>
      <c r="N1893">
        <f>'Raw Data'!P1893</f>
        <v>0</v>
      </c>
      <c r="O1893">
        <f>'Raw Data'!Q1893</f>
        <v>0</v>
      </c>
      <c r="P1893">
        <f>'Raw Data'!R1893</f>
        <v>0</v>
      </c>
      <c r="Q1893">
        <f>'Raw Data'!S1893</f>
        <v>0</v>
      </c>
      <c r="R1893">
        <f>'Raw Data'!T1893</f>
        <v>0</v>
      </c>
      <c r="S1893">
        <f>IFERROR(O1893,0)+IFERROR(R1893,0)</f>
        <v>0</v>
      </c>
      <c r="T1893">
        <f>IF(A1893="","",YEAR(A1893))</f>
        <v>0</v>
      </c>
    </row>
    <row r="1894" spans="1:20">
      <c r="A1894">
        <f>'Raw Data'!B1894</f>
        <v>0</v>
      </c>
      <c r="B1894">
        <f>'Raw Data'!A1894</f>
        <v>0</v>
      </c>
      <c r="C1894">
        <f>'Raw Data'!C1894</f>
        <v>0</v>
      </c>
      <c r="D1894">
        <f>'Raw Data'!D1894</f>
        <v>0</v>
      </c>
      <c r="E1894">
        <f>IFERROR(VLOOKUP(D1894,'Lookup Tables'!$A:$B,2,FALSE),"Unknown")</f>
        <v>0</v>
      </c>
      <c r="F1894">
        <f>'Raw Data'!E1894</f>
        <v>0</v>
      </c>
      <c r="G1894">
        <f>IFERROR(VLOOKUP(D1894,'Lookup Tables'!$A:$C,3,FALSE),IF(ISNUMBER(SEARCH("STEEL",F1894)),"Steel","Others"))</f>
        <v>0</v>
      </c>
      <c r="H1894">
        <f>IF(ISNUMBER(SEARCH("scrubber",F1894)) , "Scrubber", IF(ISNUMBER(SEARCH("container",F1894)),"Container", IF(ISNUMBER(SEARCH("basket",F1894)),"Basket", IF(ISNUMBER(SEARCH("lunch",F1894)),"Lunch Box", IF(ISNUMBER(SEARCH("cutlery",F1894)),"Cutlery","Other")))))</f>
        <v>0</v>
      </c>
      <c r="I1894">
        <f>IF('Raw Data'!G1894&lt;&gt;'','Raw Data'!G1894,IFERROR(MID(F1894,SEARCH("MODEL",F1894)+6,20),""))</f>
        <v>0</v>
      </c>
      <c r="J1894">
        <f>'Raw Data'!H1894</f>
        <v>0</v>
      </c>
      <c r="K1894">
        <f>'Raw Data'!I1894</f>
        <v>0</v>
      </c>
      <c r="L1894">
        <f>IF('Raw Data'!N1894&lt;&gt;0,'Raw Data'!N1894,IFERROR(VALUE(MID(F1894,SEARCH("QTY",F1894)+4,IFERROR(FIND(" ",F1894,SEARCH("QTY",F1894)+4)-(SEARCH("QTY",F1894)+4),3))),""))</f>
        <v>0</v>
      </c>
      <c r="M1894">
        <f>'Raw Data'!O1894</f>
        <v>0</v>
      </c>
      <c r="N1894">
        <f>'Raw Data'!P1894</f>
        <v>0</v>
      </c>
      <c r="O1894">
        <f>'Raw Data'!Q1894</f>
        <v>0</v>
      </c>
      <c r="P1894">
        <f>'Raw Data'!R1894</f>
        <v>0</v>
      </c>
      <c r="Q1894">
        <f>'Raw Data'!S1894</f>
        <v>0</v>
      </c>
      <c r="R1894">
        <f>'Raw Data'!T1894</f>
        <v>0</v>
      </c>
      <c r="S1894">
        <f>IFERROR(O1894,0)+IFERROR(R1894,0)</f>
        <v>0</v>
      </c>
      <c r="T1894">
        <f>IF(A1894="","",YEAR(A1894))</f>
        <v>0</v>
      </c>
    </row>
    <row r="1895" spans="1:20">
      <c r="A1895">
        <f>'Raw Data'!B1895</f>
        <v>0</v>
      </c>
      <c r="B1895">
        <f>'Raw Data'!A1895</f>
        <v>0</v>
      </c>
      <c r="C1895">
        <f>'Raw Data'!C1895</f>
        <v>0</v>
      </c>
      <c r="D1895">
        <f>'Raw Data'!D1895</f>
        <v>0</v>
      </c>
      <c r="E1895">
        <f>IFERROR(VLOOKUP(D1895,'Lookup Tables'!$A:$B,2,FALSE),"Unknown")</f>
        <v>0</v>
      </c>
      <c r="F1895">
        <f>'Raw Data'!E1895</f>
        <v>0</v>
      </c>
      <c r="G1895">
        <f>IFERROR(VLOOKUP(D1895,'Lookup Tables'!$A:$C,3,FALSE),IF(ISNUMBER(SEARCH("STEEL",F1895)),"Steel","Others"))</f>
        <v>0</v>
      </c>
      <c r="H1895">
        <f>IF(ISNUMBER(SEARCH("scrubber",F1895)) , "Scrubber", IF(ISNUMBER(SEARCH("container",F1895)),"Container", IF(ISNUMBER(SEARCH("basket",F1895)),"Basket", IF(ISNUMBER(SEARCH("lunch",F1895)),"Lunch Box", IF(ISNUMBER(SEARCH("cutlery",F1895)),"Cutlery","Other")))))</f>
        <v>0</v>
      </c>
      <c r="I1895">
        <f>IF('Raw Data'!G1895&lt;&gt;'','Raw Data'!G1895,IFERROR(MID(F1895,SEARCH("MODEL",F1895)+6,20),""))</f>
        <v>0</v>
      </c>
      <c r="J1895">
        <f>'Raw Data'!H1895</f>
        <v>0</v>
      </c>
      <c r="K1895">
        <f>'Raw Data'!I1895</f>
        <v>0</v>
      </c>
      <c r="L1895">
        <f>IF('Raw Data'!N1895&lt;&gt;0,'Raw Data'!N1895,IFERROR(VALUE(MID(F1895,SEARCH("QTY",F1895)+4,IFERROR(FIND(" ",F1895,SEARCH("QTY",F1895)+4)-(SEARCH("QTY",F1895)+4),3))),""))</f>
        <v>0</v>
      </c>
      <c r="M1895">
        <f>'Raw Data'!O1895</f>
        <v>0</v>
      </c>
      <c r="N1895">
        <f>'Raw Data'!P1895</f>
        <v>0</v>
      </c>
      <c r="O1895">
        <f>'Raw Data'!Q1895</f>
        <v>0</v>
      </c>
      <c r="P1895">
        <f>'Raw Data'!R1895</f>
        <v>0</v>
      </c>
      <c r="Q1895">
        <f>'Raw Data'!S1895</f>
        <v>0</v>
      </c>
      <c r="R1895">
        <f>'Raw Data'!T1895</f>
        <v>0</v>
      </c>
      <c r="S1895">
        <f>IFERROR(O1895,0)+IFERROR(R1895,0)</f>
        <v>0</v>
      </c>
      <c r="T1895">
        <f>IF(A1895="","",YEAR(A1895))</f>
        <v>0</v>
      </c>
    </row>
    <row r="1896" spans="1:20">
      <c r="A1896">
        <f>'Raw Data'!B1896</f>
        <v>0</v>
      </c>
      <c r="B1896">
        <f>'Raw Data'!A1896</f>
        <v>0</v>
      </c>
      <c r="C1896">
        <f>'Raw Data'!C1896</f>
        <v>0</v>
      </c>
      <c r="D1896">
        <f>'Raw Data'!D1896</f>
        <v>0</v>
      </c>
      <c r="E1896">
        <f>IFERROR(VLOOKUP(D1896,'Lookup Tables'!$A:$B,2,FALSE),"Unknown")</f>
        <v>0</v>
      </c>
      <c r="F1896">
        <f>'Raw Data'!E1896</f>
        <v>0</v>
      </c>
      <c r="G1896">
        <f>IFERROR(VLOOKUP(D1896,'Lookup Tables'!$A:$C,3,FALSE),IF(ISNUMBER(SEARCH("STEEL",F1896)),"Steel","Others"))</f>
        <v>0</v>
      </c>
      <c r="H1896">
        <f>IF(ISNUMBER(SEARCH("scrubber",F1896)) , "Scrubber", IF(ISNUMBER(SEARCH("container",F1896)),"Container", IF(ISNUMBER(SEARCH("basket",F1896)),"Basket", IF(ISNUMBER(SEARCH("lunch",F1896)),"Lunch Box", IF(ISNUMBER(SEARCH("cutlery",F1896)),"Cutlery","Other")))))</f>
        <v>0</v>
      </c>
      <c r="I1896">
        <f>IF('Raw Data'!G1896&lt;&gt;'','Raw Data'!G1896,IFERROR(MID(F1896,SEARCH("MODEL",F1896)+6,20),""))</f>
        <v>0</v>
      </c>
      <c r="J1896">
        <f>'Raw Data'!H1896</f>
        <v>0</v>
      </c>
      <c r="K1896">
        <f>'Raw Data'!I1896</f>
        <v>0</v>
      </c>
      <c r="L1896">
        <f>IF('Raw Data'!N1896&lt;&gt;0,'Raw Data'!N1896,IFERROR(VALUE(MID(F1896,SEARCH("QTY",F1896)+4,IFERROR(FIND(" ",F1896,SEARCH("QTY",F1896)+4)-(SEARCH("QTY",F1896)+4),3))),""))</f>
        <v>0</v>
      </c>
      <c r="M1896">
        <f>'Raw Data'!O1896</f>
        <v>0</v>
      </c>
      <c r="N1896">
        <f>'Raw Data'!P1896</f>
        <v>0</v>
      </c>
      <c r="O1896">
        <f>'Raw Data'!Q1896</f>
        <v>0</v>
      </c>
      <c r="P1896">
        <f>'Raw Data'!R1896</f>
        <v>0</v>
      </c>
      <c r="Q1896">
        <f>'Raw Data'!S1896</f>
        <v>0</v>
      </c>
      <c r="R1896">
        <f>'Raw Data'!T1896</f>
        <v>0</v>
      </c>
      <c r="S1896">
        <f>IFERROR(O1896,0)+IFERROR(R1896,0)</f>
        <v>0</v>
      </c>
      <c r="T1896">
        <f>IF(A1896="","",YEAR(A1896))</f>
        <v>0</v>
      </c>
    </row>
    <row r="1897" spans="1:20">
      <c r="A1897">
        <f>'Raw Data'!B1897</f>
        <v>0</v>
      </c>
      <c r="B1897">
        <f>'Raw Data'!A1897</f>
        <v>0</v>
      </c>
      <c r="C1897">
        <f>'Raw Data'!C1897</f>
        <v>0</v>
      </c>
      <c r="D1897">
        <f>'Raw Data'!D1897</f>
        <v>0</v>
      </c>
      <c r="E1897">
        <f>IFERROR(VLOOKUP(D1897,'Lookup Tables'!$A:$B,2,FALSE),"Unknown")</f>
        <v>0</v>
      </c>
      <c r="F1897">
        <f>'Raw Data'!E1897</f>
        <v>0</v>
      </c>
      <c r="G1897">
        <f>IFERROR(VLOOKUP(D1897,'Lookup Tables'!$A:$C,3,FALSE),IF(ISNUMBER(SEARCH("STEEL",F1897)),"Steel","Others"))</f>
        <v>0</v>
      </c>
      <c r="H1897">
        <f>IF(ISNUMBER(SEARCH("scrubber",F1897)) , "Scrubber", IF(ISNUMBER(SEARCH("container",F1897)),"Container", IF(ISNUMBER(SEARCH("basket",F1897)),"Basket", IF(ISNUMBER(SEARCH("lunch",F1897)),"Lunch Box", IF(ISNUMBER(SEARCH("cutlery",F1897)),"Cutlery","Other")))))</f>
        <v>0</v>
      </c>
      <c r="I1897">
        <f>IF('Raw Data'!G1897&lt;&gt;'','Raw Data'!G1897,IFERROR(MID(F1897,SEARCH("MODEL",F1897)+6,20),""))</f>
        <v>0</v>
      </c>
      <c r="J1897">
        <f>'Raw Data'!H1897</f>
        <v>0</v>
      </c>
      <c r="K1897">
        <f>'Raw Data'!I1897</f>
        <v>0</v>
      </c>
      <c r="L1897">
        <f>IF('Raw Data'!N1897&lt;&gt;0,'Raw Data'!N1897,IFERROR(VALUE(MID(F1897,SEARCH("QTY",F1897)+4,IFERROR(FIND(" ",F1897,SEARCH("QTY",F1897)+4)-(SEARCH("QTY",F1897)+4),3))),""))</f>
        <v>0</v>
      </c>
      <c r="M1897">
        <f>'Raw Data'!O1897</f>
        <v>0</v>
      </c>
      <c r="N1897">
        <f>'Raw Data'!P1897</f>
        <v>0</v>
      </c>
      <c r="O1897">
        <f>'Raw Data'!Q1897</f>
        <v>0</v>
      </c>
      <c r="P1897">
        <f>'Raw Data'!R1897</f>
        <v>0</v>
      </c>
      <c r="Q1897">
        <f>'Raw Data'!S1897</f>
        <v>0</v>
      </c>
      <c r="R1897">
        <f>'Raw Data'!T1897</f>
        <v>0</v>
      </c>
      <c r="S1897">
        <f>IFERROR(O1897,0)+IFERROR(R1897,0)</f>
        <v>0</v>
      </c>
      <c r="T1897">
        <f>IF(A1897="","",YEAR(A1897))</f>
        <v>0</v>
      </c>
    </row>
    <row r="1898" spans="1:20">
      <c r="A1898">
        <f>'Raw Data'!B1898</f>
        <v>0</v>
      </c>
      <c r="B1898">
        <f>'Raw Data'!A1898</f>
        <v>0</v>
      </c>
      <c r="C1898">
        <f>'Raw Data'!C1898</f>
        <v>0</v>
      </c>
      <c r="D1898">
        <f>'Raw Data'!D1898</f>
        <v>0</v>
      </c>
      <c r="E1898">
        <f>IFERROR(VLOOKUP(D1898,'Lookup Tables'!$A:$B,2,FALSE),"Unknown")</f>
        <v>0</v>
      </c>
      <c r="F1898">
        <f>'Raw Data'!E1898</f>
        <v>0</v>
      </c>
      <c r="G1898">
        <f>IFERROR(VLOOKUP(D1898,'Lookup Tables'!$A:$C,3,FALSE),IF(ISNUMBER(SEARCH("STEEL",F1898)),"Steel","Others"))</f>
        <v>0</v>
      </c>
      <c r="H1898">
        <f>IF(ISNUMBER(SEARCH("scrubber",F1898)) , "Scrubber", IF(ISNUMBER(SEARCH("container",F1898)),"Container", IF(ISNUMBER(SEARCH("basket",F1898)),"Basket", IF(ISNUMBER(SEARCH("lunch",F1898)),"Lunch Box", IF(ISNUMBER(SEARCH("cutlery",F1898)),"Cutlery","Other")))))</f>
        <v>0</v>
      </c>
      <c r="I1898">
        <f>IF('Raw Data'!G1898&lt;&gt;'','Raw Data'!G1898,IFERROR(MID(F1898,SEARCH("MODEL",F1898)+6,20),""))</f>
        <v>0</v>
      </c>
      <c r="J1898">
        <f>'Raw Data'!H1898</f>
        <v>0</v>
      </c>
      <c r="K1898">
        <f>'Raw Data'!I1898</f>
        <v>0</v>
      </c>
      <c r="L1898">
        <f>IF('Raw Data'!N1898&lt;&gt;0,'Raw Data'!N1898,IFERROR(VALUE(MID(F1898,SEARCH("QTY",F1898)+4,IFERROR(FIND(" ",F1898,SEARCH("QTY",F1898)+4)-(SEARCH("QTY",F1898)+4),3))),""))</f>
        <v>0</v>
      </c>
      <c r="M1898">
        <f>'Raw Data'!O1898</f>
        <v>0</v>
      </c>
      <c r="N1898">
        <f>'Raw Data'!P1898</f>
        <v>0</v>
      </c>
      <c r="O1898">
        <f>'Raw Data'!Q1898</f>
        <v>0</v>
      </c>
      <c r="P1898">
        <f>'Raw Data'!R1898</f>
        <v>0</v>
      </c>
      <c r="Q1898">
        <f>'Raw Data'!S1898</f>
        <v>0</v>
      </c>
      <c r="R1898">
        <f>'Raw Data'!T1898</f>
        <v>0</v>
      </c>
      <c r="S1898">
        <f>IFERROR(O1898,0)+IFERROR(R1898,0)</f>
        <v>0</v>
      </c>
      <c r="T1898">
        <f>IF(A1898="","",YEAR(A1898))</f>
        <v>0</v>
      </c>
    </row>
    <row r="1899" spans="1:20">
      <c r="A1899">
        <f>'Raw Data'!B1899</f>
        <v>0</v>
      </c>
      <c r="B1899">
        <f>'Raw Data'!A1899</f>
        <v>0</v>
      </c>
      <c r="C1899">
        <f>'Raw Data'!C1899</f>
        <v>0</v>
      </c>
      <c r="D1899">
        <f>'Raw Data'!D1899</f>
        <v>0</v>
      </c>
      <c r="E1899">
        <f>IFERROR(VLOOKUP(D1899,'Lookup Tables'!$A:$B,2,FALSE),"Unknown")</f>
        <v>0</v>
      </c>
      <c r="F1899">
        <f>'Raw Data'!E1899</f>
        <v>0</v>
      </c>
      <c r="G1899">
        <f>IFERROR(VLOOKUP(D1899,'Lookup Tables'!$A:$C,3,FALSE),IF(ISNUMBER(SEARCH("STEEL",F1899)),"Steel","Others"))</f>
        <v>0</v>
      </c>
      <c r="H1899">
        <f>IF(ISNUMBER(SEARCH("scrubber",F1899)) , "Scrubber", IF(ISNUMBER(SEARCH("container",F1899)),"Container", IF(ISNUMBER(SEARCH("basket",F1899)),"Basket", IF(ISNUMBER(SEARCH("lunch",F1899)),"Lunch Box", IF(ISNUMBER(SEARCH("cutlery",F1899)),"Cutlery","Other")))))</f>
        <v>0</v>
      </c>
      <c r="I1899">
        <f>IF('Raw Data'!G1899&lt;&gt;'','Raw Data'!G1899,IFERROR(MID(F1899,SEARCH("MODEL",F1899)+6,20),""))</f>
        <v>0</v>
      </c>
      <c r="J1899">
        <f>'Raw Data'!H1899</f>
        <v>0</v>
      </c>
      <c r="K1899">
        <f>'Raw Data'!I1899</f>
        <v>0</v>
      </c>
      <c r="L1899">
        <f>IF('Raw Data'!N1899&lt;&gt;0,'Raw Data'!N1899,IFERROR(VALUE(MID(F1899,SEARCH("QTY",F1899)+4,IFERROR(FIND(" ",F1899,SEARCH("QTY",F1899)+4)-(SEARCH("QTY",F1899)+4),3))),""))</f>
        <v>0</v>
      </c>
      <c r="M1899">
        <f>'Raw Data'!O1899</f>
        <v>0</v>
      </c>
      <c r="N1899">
        <f>'Raw Data'!P1899</f>
        <v>0</v>
      </c>
      <c r="O1899">
        <f>'Raw Data'!Q1899</f>
        <v>0</v>
      </c>
      <c r="P1899">
        <f>'Raw Data'!R1899</f>
        <v>0</v>
      </c>
      <c r="Q1899">
        <f>'Raw Data'!S1899</f>
        <v>0</v>
      </c>
      <c r="R1899">
        <f>'Raw Data'!T1899</f>
        <v>0</v>
      </c>
      <c r="S1899">
        <f>IFERROR(O1899,0)+IFERROR(R1899,0)</f>
        <v>0</v>
      </c>
      <c r="T1899">
        <f>IF(A1899="","",YEAR(A1899))</f>
        <v>0</v>
      </c>
    </row>
    <row r="1900" spans="1:20">
      <c r="A1900">
        <f>'Raw Data'!B1900</f>
        <v>0</v>
      </c>
      <c r="B1900">
        <f>'Raw Data'!A1900</f>
        <v>0</v>
      </c>
      <c r="C1900">
        <f>'Raw Data'!C1900</f>
        <v>0</v>
      </c>
      <c r="D1900">
        <f>'Raw Data'!D1900</f>
        <v>0</v>
      </c>
      <c r="E1900">
        <f>IFERROR(VLOOKUP(D1900,'Lookup Tables'!$A:$B,2,FALSE),"Unknown")</f>
        <v>0</v>
      </c>
      <c r="F1900">
        <f>'Raw Data'!E1900</f>
        <v>0</v>
      </c>
      <c r="G1900">
        <f>IFERROR(VLOOKUP(D1900,'Lookup Tables'!$A:$C,3,FALSE),IF(ISNUMBER(SEARCH("STEEL",F1900)),"Steel","Others"))</f>
        <v>0</v>
      </c>
      <c r="H1900">
        <f>IF(ISNUMBER(SEARCH("scrubber",F1900)) , "Scrubber", IF(ISNUMBER(SEARCH("container",F1900)),"Container", IF(ISNUMBER(SEARCH("basket",F1900)),"Basket", IF(ISNUMBER(SEARCH("lunch",F1900)),"Lunch Box", IF(ISNUMBER(SEARCH("cutlery",F1900)),"Cutlery","Other")))))</f>
        <v>0</v>
      </c>
      <c r="I1900">
        <f>IF('Raw Data'!G1900&lt;&gt;'','Raw Data'!G1900,IFERROR(MID(F1900,SEARCH("MODEL",F1900)+6,20),""))</f>
        <v>0</v>
      </c>
      <c r="J1900">
        <f>'Raw Data'!H1900</f>
        <v>0</v>
      </c>
      <c r="K1900">
        <f>'Raw Data'!I1900</f>
        <v>0</v>
      </c>
      <c r="L1900">
        <f>IF('Raw Data'!N1900&lt;&gt;0,'Raw Data'!N1900,IFERROR(VALUE(MID(F1900,SEARCH("QTY",F1900)+4,IFERROR(FIND(" ",F1900,SEARCH("QTY",F1900)+4)-(SEARCH("QTY",F1900)+4),3))),""))</f>
        <v>0</v>
      </c>
      <c r="M1900">
        <f>'Raw Data'!O1900</f>
        <v>0</v>
      </c>
      <c r="N1900">
        <f>'Raw Data'!P1900</f>
        <v>0</v>
      </c>
      <c r="O1900">
        <f>'Raw Data'!Q1900</f>
        <v>0</v>
      </c>
      <c r="P1900">
        <f>'Raw Data'!R1900</f>
        <v>0</v>
      </c>
      <c r="Q1900">
        <f>'Raw Data'!S1900</f>
        <v>0</v>
      </c>
      <c r="R1900">
        <f>'Raw Data'!T1900</f>
        <v>0</v>
      </c>
      <c r="S1900">
        <f>IFERROR(O1900,0)+IFERROR(R1900,0)</f>
        <v>0</v>
      </c>
      <c r="T1900">
        <f>IF(A1900="","",YEAR(A1900))</f>
        <v>0</v>
      </c>
    </row>
    <row r="1901" spans="1:20">
      <c r="A1901">
        <f>'Raw Data'!B1901</f>
        <v>0</v>
      </c>
      <c r="B1901">
        <f>'Raw Data'!A1901</f>
        <v>0</v>
      </c>
      <c r="C1901">
        <f>'Raw Data'!C1901</f>
        <v>0</v>
      </c>
      <c r="D1901">
        <f>'Raw Data'!D1901</f>
        <v>0</v>
      </c>
      <c r="E1901">
        <f>IFERROR(VLOOKUP(D1901,'Lookup Tables'!$A:$B,2,FALSE),"Unknown")</f>
        <v>0</v>
      </c>
      <c r="F1901">
        <f>'Raw Data'!E1901</f>
        <v>0</v>
      </c>
      <c r="G1901">
        <f>IFERROR(VLOOKUP(D1901,'Lookup Tables'!$A:$C,3,FALSE),IF(ISNUMBER(SEARCH("STEEL",F1901)),"Steel","Others"))</f>
        <v>0</v>
      </c>
      <c r="H1901">
        <f>IF(ISNUMBER(SEARCH("scrubber",F1901)) , "Scrubber", IF(ISNUMBER(SEARCH("container",F1901)),"Container", IF(ISNUMBER(SEARCH("basket",F1901)),"Basket", IF(ISNUMBER(SEARCH("lunch",F1901)),"Lunch Box", IF(ISNUMBER(SEARCH("cutlery",F1901)),"Cutlery","Other")))))</f>
        <v>0</v>
      </c>
      <c r="I1901">
        <f>IF('Raw Data'!G1901&lt;&gt;'','Raw Data'!G1901,IFERROR(MID(F1901,SEARCH("MODEL",F1901)+6,20),""))</f>
        <v>0</v>
      </c>
      <c r="J1901">
        <f>'Raw Data'!H1901</f>
        <v>0</v>
      </c>
      <c r="K1901">
        <f>'Raw Data'!I1901</f>
        <v>0</v>
      </c>
      <c r="L1901">
        <f>IF('Raw Data'!N1901&lt;&gt;0,'Raw Data'!N1901,IFERROR(VALUE(MID(F1901,SEARCH("QTY",F1901)+4,IFERROR(FIND(" ",F1901,SEARCH("QTY",F1901)+4)-(SEARCH("QTY",F1901)+4),3))),""))</f>
        <v>0</v>
      </c>
      <c r="M1901">
        <f>'Raw Data'!O1901</f>
        <v>0</v>
      </c>
      <c r="N1901">
        <f>'Raw Data'!P1901</f>
        <v>0</v>
      </c>
      <c r="O1901">
        <f>'Raw Data'!Q1901</f>
        <v>0</v>
      </c>
      <c r="P1901">
        <f>'Raw Data'!R1901</f>
        <v>0</v>
      </c>
      <c r="Q1901">
        <f>'Raw Data'!S1901</f>
        <v>0</v>
      </c>
      <c r="R1901">
        <f>'Raw Data'!T1901</f>
        <v>0</v>
      </c>
      <c r="S1901">
        <f>IFERROR(O1901,0)+IFERROR(R1901,0)</f>
        <v>0</v>
      </c>
      <c r="T1901">
        <f>IF(A1901="","",YEAR(A1901))</f>
        <v>0</v>
      </c>
    </row>
    <row r="1902" spans="1:20">
      <c r="A1902">
        <f>'Raw Data'!B1902</f>
        <v>0</v>
      </c>
      <c r="B1902">
        <f>'Raw Data'!A1902</f>
        <v>0</v>
      </c>
      <c r="C1902">
        <f>'Raw Data'!C1902</f>
        <v>0</v>
      </c>
      <c r="D1902">
        <f>'Raw Data'!D1902</f>
        <v>0</v>
      </c>
      <c r="E1902">
        <f>IFERROR(VLOOKUP(D1902,'Lookup Tables'!$A:$B,2,FALSE),"Unknown")</f>
        <v>0</v>
      </c>
      <c r="F1902">
        <f>'Raw Data'!E1902</f>
        <v>0</v>
      </c>
      <c r="G1902">
        <f>IFERROR(VLOOKUP(D1902,'Lookup Tables'!$A:$C,3,FALSE),IF(ISNUMBER(SEARCH("STEEL",F1902)),"Steel","Others"))</f>
        <v>0</v>
      </c>
      <c r="H1902">
        <f>IF(ISNUMBER(SEARCH("scrubber",F1902)) , "Scrubber", IF(ISNUMBER(SEARCH("container",F1902)),"Container", IF(ISNUMBER(SEARCH("basket",F1902)),"Basket", IF(ISNUMBER(SEARCH("lunch",F1902)),"Lunch Box", IF(ISNUMBER(SEARCH("cutlery",F1902)),"Cutlery","Other")))))</f>
        <v>0</v>
      </c>
      <c r="I1902">
        <f>IF('Raw Data'!G1902&lt;&gt;'','Raw Data'!G1902,IFERROR(MID(F1902,SEARCH("MODEL",F1902)+6,20),""))</f>
        <v>0</v>
      </c>
      <c r="J1902">
        <f>'Raw Data'!H1902</f>
        <v>0</v>
      </c>
      <c r="K1902">
        <f>'Raw Data'!I1902</f>
        <v>0</v>
      </c>
      <c r="L1902">
        <f>IF('Raw Data'!N1902&lt;&gt;0,'Raw Data'!N1902,IFERROR(VALUE(MID(F1902,SEARCH("QTY",F1902)+4,IFERROR(FIND(" ",F1902,SEARCH("QTY",F1902)+4)-(SEARCH("QTY",F1902)+4),3))),""))</f>
        <v>0</v>
      </c>
      <c r="M1902">
        <f>'Raw Data'!O1902</f>
        <v>0</v>
      </c>
      <c r="N1902">
        <f>'Raw Data'!P1902</f>
        <v>0</v>
      </c>
      <c r="O1902">
        <f>'Raw Data'!Q1902</f>
        <v>0</v>
      </c>
      <c r="P1902">
        <f>'Raw Data'!R1902</f>
        <v>0</v>
      </c>
      <c r="Q1902">
        <f>'Raw Data'!S1902</f>
        <v>0</v>
      </c>
      <c r="R1902">
        <f>'Raw Data'!T1902</f>
        <v>0</v>
      </c>
      <c r="S1902">
        <f>IFERROR(O1902,0)+IFERROR(R1902,0)</f>
        <v>0</v>
      </c>
      <c r="T1902">
        <f>IF(A1902="","",YEAR(A1902))</f>
        <v>0</v>
      </c>
    </row>
    <row r="1903" spans="1:20">
      <c r="A1903">
        <f>'Raw Data'!B1903</f>
        <v>0</v>
      </c>
      <c r="B1903">
        <f>'Raw Data'!A1903</f>
        <v>0</v>
      </c>
      <c r="C1903">
        <f>'Raw Data'!C1903</f>
        <v>0</v>
      </c>
      <c r="D1903">
        <f>'Raw Data'!D1903</f>
        <v>0</v>
      </c>
      <c r="E1903">
        <f>IFERROR(VLOOKUP(D1903,'Lookup Tables'!$A:$B,2,FALSE),"Unknown")</f>
        <v>0</v>
      </c>
      <c r="F1903">
        <f>'Raw Data'!E1903</f>
        <v>0</v>
      </c>
      <c r="G1903">
        <f>IFERROR(VLOOKUP(D1903,'Lookup Tables'!$A:$C,3,FALSE),IF(ISNUMBER(SEARCH("STEEL",F1903)),"Steel","Others"))</f>
        <v>0</v>
      </c>
      <c r="H1903">
        <f>IF(ISNUMBER(SEARCH("scrubber",F1903)) , "Scrubber", IF(ISNUMBER(SEARCH("container",F1903)),"Container", IF(ISNUMBER(SEARCH("basket",F1903)),"Basket", IF(ISNUMBER(SEARCH("lunch",F1903)),"Lunch Box", IF(ISNUMBER(SEARCH("cutlery",F1903)),"Cutlery","Other")))))</f>
        <v>0</v>
      </c>
      <c r="I1903">
        <f>IF('Raw Data'!G1903&lt;&gt;'','Raw Data'!G1903,IFERROR(MID(F1903,SEARCH("MODEL",F1903)+6,20),""))</f>
        <v>0</v>
      </c>
      <c r="J1903">
        <f>'Raw Data'!H1903</f>
        <v>0</v>
      </c>
      <c r="K1903">
        <f>'Raw Data'!I1903</f>
        <v>0</v>
      </c>
      <c r="L1903">
        <f>IF('Raw Data'!N1903&lt;&gt;0,'Raw Data'!N1903,IFERROR(VALUE(MID(F1903,SEARCH("QTY",F1903)+4,IFERROR(FIND(" ",F1903,SEARCH("QTY",F1903)+4)-(SEARCH("QTY",F1903)+4),3))),""))</f>
        <v>0</v>
      </c>
      <c r="M1903">
        <f>'Raw Data'!O1903</f>
        <v>0</v>
      </c>
      <c r="N1903">
        <f>'Raw Data'!P1903</f>
        <v>0</v>
      </c>
      <c r="O1903">
        <f>'Raw Data'!Q1903</f>
        <v>0</v>
      </c>
      <c r="P1903">
        <f>'Raw Data'!R1903</f>
        <v>0</v>
      </c>
      <c r="Q1903">
        <f>'Raw Data'!S1903</f>
        <v>0</v>
      </c>
      <c r="R1903">
        <f>'Raw Data'!T1903</f>
        <v>0</v>
      </c>
      <c r="S1903">
        <f>IFERROR(O1903,0)+IFERROR(R1903,0)</f>
        <v>0</v>
      </c>
      <c r="T1903">
        <f>IF(A1903="","",YEAR(A1903))</f>
        <v>0</v>
      </c>
    </row>
    <row r="1904" spans="1:20">
      <c r="A1904">
        <f>'Raw Data'!B1904</f>
        <v>0</v>
      </c>
      <c r="B1904">
        <f>'Raw Data'!A1904</f>
        <v>0</v>
      </c>
      <c r="C1904">
        <f>'Raw Data'!C1904</f>
        <v>0</v>
      </c>
      <c r="D1904">
        <f>'Raw Data'!D1904</f>
        <v>0</v>
      </c>
      <c r="E1904">
        <f>IFERROR(VLOOKUP(D1904,'Lookup Tables'!$A:$B,2,FALSE),"Unknown")</f>
        <v>0</v>
      </c>
      <c r="F1904">
        <f>'Raw Data'!E1904</f>
        <v>0</v>
      </c>
      <c r="G1904">
        <f>IFERROR(VLOOKUP(D1904,'Lookup Tables'!$A:$C,3,FALSE),IF(ISNUMBER(SEARCH("STEEL",F1904)),"Steel","Others"))</f>
        <v>0</v>
      </c>
      <c r="H1904">
        <f>IF(ISNUMBER(SEARCH("scrubber",F1904)) , "Scrubber", IF(ISNUMBER(SEARCH("container",F1904)),"Container", IF(ISNUMBER(SEARCH("basket",F1904)),"Basket", IF(ISNUMBER(SEARCH("lunch",F1904)),"Lunch Box", IF(ISNUMBER(SEARCH("cutlery",F1904)),"Cutlery","Other")))))</f>
        <v>0</v>
      </c>
      <c r="I1904">
        <f>IF('Raw Data'!G1904&lt;&gt;'','Raw Data'!G1904,IFERROR(MID(F1904,SEARCH("MODEL",F1904)+6,20),""))</f>
        <v>0</v>
      </c>
      <c r="J1904">
        <f>'Raw Data'!H1904</f>
        <v>0</v>
      </c>
      <c r="K1904">
        <f>'Raw Data'!I1904</f>
        <v>0</v>
      </c>
      <c r="L1904">
        <f>IF('Raw Data'!N1904&lt;&gt;0,'Raw Data'!N1904,IFERROR(VALUE(MID(F1904,SEARCH("QTY",F1904)+4,IFERROR(FIND(" ",F1904,SEARCH("QTY",F1904)+4)-(SEARCH("QTY",F1904)+4),3))),""))</f>
        <v>0</v>
      </c>
      <c r="M1904">
        <f>'Raw Data'!O1904</f>
        <v>0</v>
      </c>
      <c r="N1904">
        <f>'Raw Data'!P1904</f>
        <v>0</v>
      </c>
      <c r="O1904">
        <f>'Raw Data'!Q1904</f>
        <v>0</v>
      </c>
      <c r="P1904">
        <f>'Raw Data'!R1904</f>
        <v>0</v>
      </c>
      <c r="Q1904">
        <f>'Raw Data'!S1904</f>
        <v>0</v>
      </c>
      <c r="R1904">
        <f>'Raw Data'!T1904</f>
        <v>0</v>
      </c>
      <c r="S1904">
        <f>IFERROR(O1904,0)+IFERROR(R1904,0)</f>
        <v>0</v>
      </c>
      <c r="T1904">
        <f>IF(A1904="","",YEAR(A1904))</f>
        <v>0</v>
      </c>
    </row>
    <row r="1905" spans="1:20">
      <c r="A1905">
        <f>'Raw Data'!B1905</f>
        <v>0</v>
      </c>
      <c r="B1905">
        <f>'Raw Data'!A1905</f>
        <v>0</v>
      </c>
      <c r="C1905">
        <f>'Raw Data'!C1905</f>
        <v>0</v>
      </c>
      <c r="D1905">
        <f>'Raw Data'!D1905</f>
        <v>0</v>
      </c>
      <c r="E1905">
        <f>IFERROR(VLOOKUP(D1905,'Lookup Tables'!$A:$B,2,FALSE),"Unknown")</f>
        <v>0</v>
      </c>
      <c r="F1905">
        <f>'Raw Data'!E1905</f>
        <v>0</v>
      </c>
      <c r="G1905">
        <f>IFERROR(VLOOKUP(D1905,'Lookup Tables'!$A:$C,3,FALSE),IF(ISNUMBER(SEARCH("STEEL",F1905)),"Steel","Others"))</f>
        <v>0</v>
      </c>
      <c r="H1905">
        <f>IF(ISNUMBER(SEARCH("scrubber",F1905)) , "Scrubber", IF(ISNUMBER(SEARCH("container",F1905)),"Container", IF(ISNUMBER(SEARCH("basket",F1905)),"Basket", IF(ISNUMBER(SEARCH("lunch",F1905)),"Lunch Box", IF(ISNUMBER(SEARCH("cutlery",F1905)),"Cutlery","Other")))))</f>
        <v>0</v>
      </c>
      <c r="I1905">
        <f>IF('Raw Data'!G1905&lt;&gt;'','Raw Data'!G1905,IFERROR(MID(F1905,SEARCH("MODEL",F1905)+6,20),""))</f>
        <v>0</v>
      </c>
      <c r="J1905">
        <f>'Raw Data'!H1905</f>
        <v>0</v>
      </c>
      <c r="K1905">
        <f>'Raw Data'!I1905</f>
        <v>0</v>
      </c>
      <c r="L1905">
        <f>IF('Raw Data'!N1905&lt;&gt;0,'Raw Data'!N1905,IFERROR(VALUE(MID(F1905,SEARCH("QTY",F1905)+4,IFERROR(FIND(" ",F1905,SEARCH("QTY",F1905)+4)-(SEARCH("QTY",F1905)+4),3))),""))</f>
        <v>0</v>
      </c>
      <c r="M1905">
        <f>'Raw Data'!O1905</f>
        <v>0</v>
      </c>
      <c r="N1905">
        <f>'Raw Data'!P1905</f>
        <v>0</v>
      </c>
      <c r="O1905">
        <f>'Raw Data'!Q1905</f>
        <v>0</v>
      </c>
      <c r="P1905">
        <f>'Raw Data'!R1905</f>
        <v>0</v>
      </c>
      <c r="Q1905">
        <f>'Raw Data'!S1905</f>
        <v>0</v>
      </c>
      <c r="R1905">
        <f>'Raw Data'!T1905</f>
        <v>0</v>
      </c>
      <c r="S1905">
        <f>IFERROR(O1905,0)+IFERROR(R1905,0)</f>
        <v>0</v>
      </c>
      <c r="T1905">
        <f>IF(A1905="","",YEAR(A1905))</f>
        <v>0</v>
      </c>
    </row>
    <row r="1906" spans="1:20">
      <c r="A1906">
        <f>'Raw Data'!B1906</f>
        <v>0</v>
      </c>
      <c r="B1906">
        <f>'Raw Data'!A1906</f>
        <v>0</v>
      </c>
      <c r="C1906">
        <f>'Raw Data'!C1906</f>
        <v>0</v>
      </c>
      <c r="D1906">
        <f>'Raw Data'!D1906</f>
        <v>0</v>
      </c>
      <c r="E1906">
        <f>IFERROR(VLOOKUP(D1906,'Lookup Tables'!$A:$B,2,FALSE),"Unknown")</f>
        <v>0</v>
      </c>
      <c r="F1906">
        <f>'Raw Data'!E1906</f>
        <v>0</v>
      </c>
      <c r="G1906">
        <f>IFERROR(VLOOKUP(D1906,'Lookup Tables'!$A:$C,3,FALSE),IF(ISNUMBER(SEARCH("STEEL",F1906)),"Steel","Others"))</f>
        <v>0</v>
      </c>
      <c r="H1906">
        <f>IF(ISNUMBER(SEARCH("scrubber",F1906)) , "Scrubber", IF(ISNUMBER(SEARCH("container",F1906)),"Container", IF(ISNUMBER(SEARCH("basket",F1906)),"Basket", IF(ISNUMBER(SEARCH("lunch",F1906)),"Lunch Box", IF(ISNUMBER(SEARCH("cutlery",F1906)),"Cutlery","Other")))))</f>
        <v>0</v>
      </c>
      <c r="I1906">
        <f>IF('Raw Data'!G1906&lt;&gt;'','Raw Data'!G1906,IFERROR(MID(F1906,SEARCH("MODEL",F1906)+6,20),""))</f>
        <v>0</v>
      </c>
      <c r="J1906">
        <f>'Raw Data'!H1906</f>
        <v>0</v>
      </c>
      <c r="K1906">
        <f>'Raw Data'!I1906</f>
        <v>0</v>
      </c>
      <c r="L1906">
        <f>IF('Raw Data'!N1906&lt;&gt;0,'Raw Data'!N1906,IFERROR(VALUE(MID(F1906,SEARCH("QTY",F1906)+4,IFERROR(FIND(" ",F1906,SEARCH("QTY",F1906)+4)-(SEARCH("QTY",F1906)+4),3))),""))</f>
        <v>0</v>
      </c>
      <c r="M1906">
        <f>'Raw Data'!O1906</f>
        <v>0</v>
      </c>
      <c r="N1906">
        <f>'Raw Data'!P1906</f>
        <v>0</v>
      </c>
      <c r="O1906">
        <f>'Raw Data'!Q1906</f>
        <v>0</v>
      </c>
      <c r="P1906">
        <f>'Raw Data'!R1906</f>
        <v>0</v>
      </c>
      <c r="Q1906">
        <f>'Raw Data'!S1906</f>
        <v>0</v>
      </c>
      <c r="R1906">
        <f>'Raw Data'!T1906</f>
        <v>0</v>
      </c>
      <c r="S1906">
        <f>IFERROR(O1906,0)+IFERROR(R1906,0)</f>
        <v>0</v>
      </c>
      <c r="T1906">
        <f>IF(A1906="","",YEAR(A1906))</f>
        <v>0</v>
      </c>
    </row>
    <row r="1907" spans="1:20">
      <c r="A1907">
        <f>'Raw Data'!B1907</f>
        <v>0</v>
      </c>
      <c r="B1907">
        <f>'Raw Data'!A1907</f>
        <v>0</v>
      </c>
      <c r="C1907">
        <f>'Raw Data'!C1907</f>
        <v>0</v>
      </c>
      <c r="D1907">
        <f>'Raw Data'!D1907</f>
        <v>0</v>
      </c>
      <c r="E1907">
        <f>IFERROR(VLOOKUP(D1907,'Lookup Tables'!$A:$B,2,FALSE),"Unknown")</f>
        <v>0</v>
      </c>
      <c r="F1907">
        <f>'Raw Data'!E1907</f>
        <v>0</v>
      </c>
      <c r="G1907">
        <f>IFERROR(VLOOKUP(D1907,'Lookup Tables'!$A:$C,3,FALSE),IF(ISNUMBER(SEARCH("STEEL",F1907)),"Steel","Others"))</f>
        <v>0</v>
      </c>
      <c r="H1907">
        <f>IF(ISNUMBER(SEARCH("scrubber",F1907)) , "Scrubber", IF(ISNUMBER(SEARCH("container",F1907)),"Container", IF(ISNUMBER(SEARCH("basket",F1907)),"Basket", IF(ISNUMBER(SEARCH("lunch",F1907)),"Lunch Box", IF(ISNUMBER(SEARCH("cutlery",F1907)),"Cutlery","Other")))))</f>
        <v>0</v>
      </c>
      <c r="I1907">
        <f>IF('Raw Data'!G1907&lt;&gt;'','Raw Data'!G1907,IFERROR(MID(F1907,SEARCH("MODEL",F1907)+6,20),""))</f>
        <v>0</v>
      </c>
      <c r="J1907">
        <f>'Raw Data'!H1907</f>
        <v>0</v>
      </c>
      <c r="K1907">
        <f>'Raw Data'!I1907</f>
        <v>0</v>
      </c>
      <c r="L1907">
        <f>IF('Raw Data'!N1907&lt;&gt;0,'Raw Data'!N1907,IFERROR(VALUE(MID(F1907,SEARCH("QTY",F1907)+4,IFERROR(FIND(" ",F1907,SEARCH("QTY",F1907)+4)-(SEARCH("QTY",F1907)+4),3))),""))</f>
        <v>0</v>
      </c>
      <c r="M1907">
        <f>'Raw Data'!O1907</f>
        <v>0</v>
      </c>
      <c r="N1907">
        <f>'Raw Data'!P1907</f>
        <v>0</v>
      </c>
      <c r="O1907">
        <f>'Raw Data'!Q1907</f>
        <v>0</v>
      </c>
      <c r="P1907">
        <f>'Raw Data'!R1907</f>
        <v>0</v>
      </c>
      <c r="Q1907">
        <f>'Raw Data'!S1907</f>
        <v>0</v>
      </c>
      <c r="R1907">
        <f>'Raw Data'!T1907</f>
        <v>0</v>
      </c>
      <c r="S1907">
        <f>IFERROR(O1907,0)+IFERROR(R1907,0)</f>
        <v>0</v>
      </c>
      <c r="T1907">
        <f>IF(A1907="","",YEAR(A1907))</f>
        <v>0</v>
      </c>
    </row>
    <row r="1908" spans="1:20">
      <c r="A1908">
        <f>'Raw Data'!B1908</f>
        <v>0</v>
      </c>
      <c r="B1908">
        <f>'Raw Data'!A1908</f>
        <v>0</v>
      </c>
      <c r="C1908">
        <f>'Raw Data'!C1908</f>
        <v>0</v>
      </c>
      <c r="D1908">
        <f>'Raw Data'!D1908</f>
        <v>0</v>
      </c>
      <c r="E1908">
        <f>IFERROR(VLOOKUP(D1908,'Lookup Tables'!$A:$B,2,FALSE),"Unknown")</f>
        <v>0</v>
      </c>
      <c r="F1908">
        <f>'Raw Data'!E1908</f>
        <v>0</v>
      </c>
      <c r="G1908">
        <f>IFERROR(VLOOKUP(D1908,'Lookup Tables'!$A:$C,3,FALSE),IF(ISNUMBER(SEARCH("STEEL",F1908)),"Steel","Others"))</f>
        <v>0</v>
      </c>
      <c r="H1908">
        <f>IF(ISNUMBER(SEARCH("scrubber",F1908)) , "Scrubber", IF(ISNUMBER(SEARCH("container",F1908)),"Container", IF(ISNUMBER(SEARCH("basket",F1908)),"Basket", IF(ISNUMBER(SEARCH("lunch",F1908)),"Lunch Box", IF(ISNUMBER(SEARCH("cutlery",F1908)),"Cutlery","Other")))))</f>
        <v>0</v>
      </c>
      <c r="I1908">
        <f>IF('Raw Data'!G1908&lt;&gt;'','Raw Data'!G1908,IFERROR(MID(F1908,SEARCH("MODEL",F1908)+6,20),""))</f>
        <v>0</v>
      </c>
      <c r="J1908">
        <f>'Raw Data'!H1908</f>
        <v>0</v>
      </c>
      <c r="K1908">
        <f>'Raw Data'!I1908</f>
        <v>0</v>
      </c>
      <c r="L1908">
        <f>IF('Raw Data'!N1908&lt;&gt;0,'Raw Data'!N1908,IFERROR(VALUE(MID(F1908,SEARCH("QTY",F1908)+4,IFERROR(FIND(" ",F1908,SEARCH("QTY",F1908)+4)-(SEARCH("QTY",F1908)+4),3))),""))</f>
        <v>0</v>
      </c>
      <c r="M1908">
        <f>'Raw Data'!O1908</f>
        <v>0</v>
      </c>
      <c r="N1908">
        <f>'Raw Data'!P1908</f>
        <v>0</v>
      </c>
      <c r="O1908">
        <f>'Raw Data'!Q1908</f>
        <v>0</v>
      </c>
      <c r="P1908">
        <f>'Raw Data'!R1908</f>
        <v>0</v>
      </c>
      <c r="Q1908">
        <f>'Raw Data'!S1908</f>
        <v>0</v>
      </c>
      <c r="R1908">
        <f>'Raw Data'!T1908</f>
        <v>0</v>
      </c>
      <c r="S1908">
        <f>IFERROR(O1908,0)+IFERROR(R1908,0)</f>
        <v>0</v>
      </c>
      <c r="T1908">
        <f>IF(A1908="","",YEAR(A1908))</f>
        <v>0</v>
      </c>
    </row>
    <row r="1909" spans="1:20">
      <c r="A1909">
        <f>'Raw Data'!B1909</f>
        <v>0</v>
      </c>
      <c r="B1909">
        <f>'Raw Data'!A1909</f>
        <v>0</v>
      </c>
      <c r="C1909">
        <f>'Raw Data'!C1909</f>
        <v>0</v>
      </c>
      <c r="D1909">
        <f>'Raw Data'!D1909</f>
        <v>0</v>
      </c>
      <c r="E1909">
        <f>IFERROR(VLOOKUP(D1909,'Lookup Tables'!$A:$B,2,FALSE),"Unknown")</f>
        <v>0</v>
      </c>
      <c r="F1909">
        <f>'Raw Data'!E1909</f>
        <v>0</v>
      </c>
      <c r="G1909">
        <f>IFERROR(VLOOKUP(D1909,'Lookup Tables'!$A:$C,3,FALSE),IF(ISNUMBER(SEARCH("STEEL",F1909)),"Steel","Others"))</f>
        <v>0</v>
      </c>
      <c r="H1909">
        <f>IF(ISNUMBER(SEARCH("scrubber",F1909)) , "Scrubber", IF(ISNUMBER(SEARCH("container",F1909)),"Container", IF(ISNUMBER(SEARCH("basket",F1909)),"Basket", IF(ISNUMBER(SEARCH("lunch",F1909)),"Lunch Box", IF(ISNUMBER(SEARCH("cutlery",F1909)),"Cutlery","Other")))))</f>
        <v>0</v>
      </c>
      <c r="I1909">
        <f>IF('Raw Data'!G1909&lt;&gt;'','Raw Data'!G1909,IFERROR(MID(F1909,SEARCH("MODEL",F1909)+6,20),""))</f>
        <v>0</v>
      </c>
      <c r="J1909">
        <f>'Raw Data'!H1909</f>
        <v>0</v>
      </c>
      <c r="K1909">
        <f>'Raw Data'!I1909</f>
        <v>0</v>
      </c>
      <c r="L1909">
        <f>IF('Raw Data'!N1909&lt;&gt;0,'Raw Data'!N1909,IFERROR(VALUE(MID(F1909,SEARCH("QTY",F1909)+4,IFERROR(FIND(" ",F1909,SEARCH("QTY",F1909)+4)-(SEARCH("QTY",F1909)+4),3))),""))</f>
        <v>0</v>
      </c>
      <c r="M1909">
        <f>'Raw Data'!O1909</f>
        <v>0</v>
      </c>
      <c r="N1909">
        <f>'Raw Data'!P1909</f>
        <v>0</v>
      </c>
      <c r="O1909">
        <f>'Raw Data'!Q1909</f>
        <v>0</v>
      </c>
      <c r="P1909">
        <f>'Raw Data'!R1909</f>
        <v>0</v>
      </c>
      <c r="Q1909">
        <f>'Raw Data'!S1909</f>
        <v>0</v>
      </c>
      <c r="R1909">
        <f>'Raw Data'!T1909</f>
        <v>0</v>
      </c>
      <c r="S1909">
        <f>IFERROR(O1909,0)+IFERROR(R1909,0)</f>
        <v>0</v>
      </c>
      <c r="T1909">
        <f>IF(A1909="","",YEAR(A1909))</f>
        <v>0</v>
      </c>
    </row>
    <row r="1910" spans="1:20">
      <c r="A1910">
        <f>'Raw Data'!B1910</f>
        <v>0</v>
      </c>
      <c r="B1910">
        <f>'Raw Data'!A1910</f>
        <v>0</v>
      </c>
      <c r="C1910">
        <f>'Raw Data'!C1910</f>
        <v>0</v>
      </c>
      <c r="D1910">
        <f>'Raw Data'!D1910</f>
        <v>0</v>
      </c>
      <c r="E1910">
        <f>IFERROR(VLOOKUP(D1910,'Lookup Tables'!$A:$B,2,FALSE),"Unknown")</f>
        <v>0</v>
      </c>
      <c r="F1910">
        <f>'Raw Data'!E1910</f>
        <v>0</v>
      </c>
      <c r="G1910">
        <f>IFERROR(VLOOKUP(D1910,'Lookup Tables'!$A:$C,3,FALSE),IF(ISNUMBER(SEARCH("STEEL",F1910)),"Steel","Others"))</f>
        <v>0</v>
      </c>
      <c r="H1910">
        <f>IF(ISNUMBER(SEARCH("scrubber",F1910)) , "Scrubber", IF(ISNUMBER(SEARCH("container",F1910)),"Container", IF(ISNUMBER(SEARCH("basket",F1910)),"Basket", IF(ISNUMBER(SEARCH("lunch",F1910)),"Lunch Box", IF(ISNUMBER(SEARCH("cutlery",F1910)),"Cutlery","Other")))))</f>
        <v>0</v>
      </c>
      <c r="I1910">
        <f>IF('Raw Data'!G1910&lt;&gt;'','Raw Data'!G1910,IFERROR(MID(F1910,SEARCH("MODEL",F1910)+6,20),""))</f>
        <v>0</v>
      </c>
      <c r="J1910">
        <f>'Raw Data'!H1910</f>
        <v>0</v>
      </c>
      <c r="K1910">
        <f>'Raw Data'!I1910</f>
        <v>0</v>
      </c>
      <c r="L1910">
        <f>IF('Raw Data'!N1910&lt;&gt;0,'Raw Data'!N1910,IFERROR(VALUE(MID(F1910,SEARCH("QTY",F1910)+4,IFERROR(FIND(" ",F1910,SEARCH("QTY",F1910)+4)-(SEARCH("QTY",F1910)+4),3))),""))</f>
        <v>0</v>
      </c>
      <c r="M1910">
        <f>'Raw Data'!O1910</f>
        <v>0</v>
      </c>
      <c r="N1910">
        <f>'Raw Data'!P1910</f>
        <v>0</v>
      </c>
      <c r="O1910">
        <f>'Raw Data'!Q1910</f>
        <v>0</v>
      </c>
      <c r="P1910">
        <f>'Raw Data'!R1910</f>
        <v>0</v>
      </c>
      <c r="Q1910">
        <f>'Raw Data'!S1910</f>
        <v>0</v>
      </c>
      <c r="R1910">
        <f>'Raw Data'!T1910</f>
        <v>0</v>
      </c>
      <c r="S1910">
        <f>IFERROR(O1910,0)+IFERROR(R1910,0)</f>
        <v>0</v>
      </c>
      <c r="T1910">
        <f>IF(A1910="","",YEAR(A1910))</f>
        <v>0</v>
      </c>
    </row>
    <row r="1911" spans="1:20">
      <c r="A1911">
        <f>'Raw Data'!B1911</f>
        <v>0</v>
      </c>
      <c r="B1911">
        <f>'Raw Data'!A1911</f>
        <v>0</v>
      </c>
      <c r="C1911">
        <f>'Raw Data'!C1911</f>
        <v>0</v>
      </c>
      <c r="D1911">
        <f>'Raw Data'!D1911</f>
        <v>0</v>
      </c>
      <c r="E1911">
        <f>IFERROR(VLOOKUP(D1911,'Lookup Tables'!$A:$B,2,FALSE),"Unknown")</f>
        <v>0</v>
      </c>
      <c r="F1911">
        <f>'Raw Data'!E1911</f>
        <v>0</v>
      </c>
      <c r="G1911">
        <f>IFERROR(VLOOKUP(D1911,'Lookup Tables'!$A:$C,3,FALSE),IF(ISNUMBER(SEARCH("STEEL",F1911)),"Steel","Others"))</f>
        <v>0</v>
      </c>
      <c r="H1911">
        <f>IF(ISNUMBER(SEARCH("scrubber",F1911)) , "Scrubber", IF(ISNUMBER(SEARCH("container",F1911)),"Container", IF(ISNUMBER(SEARCH("basket",F1911)),"Basket", IF(ISNUMBER(SEARCH("lunch",F1911)),"Lunch Box", IF(ISNUMBER(SEARCH("cutlery",F1911)),"Cutlery","Other")))))</f>
        <v>0</v>
      </c>
      <c r="I1911">
        <f>IF('Raw Data'!G1911&lt;&gt;'','Raw Data'!G1911,IFERROR(MID(F1911,SEARCH("MODEL",F1911)+6,20),""))</f>
        <v>0</v>
      </c>
      <c r="J1911">
        <f>'Raw Data'!H1911</f>
        <v>0</v>
      </c>
      <c r="K1911">
        <f>'Raw Data'!I1911</f>
        <v>0</v>
      </c>
      <c r="L1911">
        <f>IF('Raw Data'!N1911&lt;&gt;0,'Raw Data'!N1911,IFERROR(VALUE(MID(F1911,SEARCH("QTY",F1911)+4,IFERROR(FIND(" ",F1911,SEARCH("QTY",F1911)+4)-(SEARCH("QTY",F1911)+4),3))),""))</f>
        <v>0</v>
      </c>
      <c r="M1911">
        <f>'Raw Data'!O1911</f>
        <v>0</v>
      </c>
      <c r="N1911">
        <f>'Raw Data'!P1911</f>
        <v>0</v>
      </c>
      <c r="O1911">
        <f>'Raw Data'!Q1911</f>
        <v>0</v>
      </c>
      <c r="P1911">
        <f>'Raw Data'!R1911</f>
        <v>0</v>
      </c>
      <c r="Q1911">
        <f>'Raw Data'!S1911</f>
        <v>0</v>
      </c>
      <c r="R1911">
        <f>'Raw Data'!T1911</f>
        <v>0</v>
      </c>
      <c r="S1911">
        <f>IFERROR(O1911,0)+IFERROR(R1911,0)</f>
        <v>0</v>
      </c>
      <c r="T1911">
        <f>IF(A1911="","",YEAR(A1911))</f>
        <v>0</v>
      </c>
    </row>
    <row r="1912" spans="1:20">
      <c r="A1912">
        <f>'Raw Data'!B1912</f>
        <v>0</v>
      </c>
      <c r="B1912">
        <f>'Raw Data'!A1912</f>
        <v>0</v>
      </c>
      <c r="C1912">
        <f>'Raw Data'!C1912</f>
        <v>0</v>
      </c>
      <c r="D1912">
        <f>'Raw Data'!D1912</f>
        <v>0</v>
      </c>
      <c r="E1912">
        <f>IFERROR(VLOOKUP(D1912,'Lookup Tables'!$A:$B,2,FALSE),"Unknown")</f>
        <v>0</v>
      </c>
      <c r="F1912">
        <f>'Raw Data'!E1912</f>
        <v>0</v>
      </c>
      <c r="G1912">
        <f>IFERROR(VLOOKUP(D1912,'Lookup Tables'!$A:$C,3,FALSE),IF(ISNUMBER(SEARCH("STEEL",F1912)),"Steel","Others"))</f>
        <v>0</v>
      </c>
      <c r="H1912">
        <f>IF(ISNUMBER(SEARCH("scrubber",F1912)) , "Scrubber", IF(ISNUMBER(SEARCH("container",F1912)),"Container", IF(ISNUMBER(SEARCH("basket",F1912)),"Basket", IF(ISNUMBER(SEARCH("lunch",F1912)),"Lunch Box", IF(ISNUMBER(SEARCH("cutlery",F1912)),"Cutlery","Other")))))</f>
        <v>0</v>
      </c>
      <c r="I1912">
        <f>IF('Raw Data'!G1912&lt;&gt;'','Raw Data'!G1912,IFERROR(MID(F1912,SEARCH("MODEL",F1912)+6,20),""))</f>
        <v>0</v>
      </c>
      <c r="J1912">
        <f>'Raw Data'!H1912</f>
        <v>0</v>
      </c>
      <c r="K1912">
        <f>'Raw Data'!I1912</f>
        <v>0</v>
      </c>
      <c r="L1912">
        <f>IF('Raw Data'!N1912&lt;&gt;0,'Raw Data'!N1912,IFERROR(VALUE(MID(F1912,SEARCH("QTY",F1912)+4,IFERROR(FIND(" ",F1912,SEARCH("QTY",F1912)+4)-(SEARCH("QTY",F1912)+4),3))),""))</f>
        <v>0</v>
      </c>
      <c r="M1912">
        <f>'Raw Data'!O1912</f>
        <v>0</v>
      </c>
      <c r="N1912">
        <f>'Raw Data'!P1912</f>
        <v>0</v>
      </c>
      <c r="O1912">
        <f>'Raw Data'!Q1912</f>
        <v>0</v>
      </c>
      <c r="P1912">
        <f>'Raw Data'!R1912</f>
        <v>0</v>
      </c>
      <c r="Q1912">
        <f>'Raw Data'!S1912</f>
        <v>0</v>
      </c>
      <c r="R1912">
        <f>'Raw Data'!T1912</f>
        <v>0</v>
      </c>
      <c r="S1912">
        <f>IFERROR(O1912,0)+IFERROR(R1912,0)</f>
        <v>0</v>
      </c>
      <c r="T1912">
        <f>IF(A1912="","",YEAR(A1912))</f>
        <v>0</v>
      </c>
    </row>
    <row r="1913" spans="1:20">
      <c r="A1913">
        <f>'Raw Data'!B1913</f>
        <v>0</v>
      </c>
      <c r="B1913">
        <f>'Raw Data'!A1913</f>
        <v>0</v>
      </c>
      <c r="C1913">
        <f>'Raw Data'!C1913</f>
        <v>0</v>
      </c>
      <c r="D1913">
        <f>'Raw Data'!D1913</f>
        <v>0</v>
      </c>
      <c r="E1913">
        <f>IFERROR(VLOOKUP(D1913,'Lookup Tables'!$A:$B,2,FALSE),"Unknown")</f>
        <v>0</v>
      </c>
      <c r="F1913">
        <f>'Raw Data'!E1913</f>
        <v>0</v>
      </c>
      <c r="G1913">
        <f>IFERROR(VLOOKUP(D1913,'Lookup Tables'!$A:$C,3,FALSE),IF(ISNUMBER(SEARCH("STEEL",F1913)),"Steel","Others"))</f>
        <v>0</v>
      </c>
      <c r="H1913">
        <f>IF(ISNUMBER(SEARCH("scrubber",F1913)) , "Scrubber", IF(ISNUMBER(SEARCH("container",F1913)),"Container", IF(ISNUMBER(SEARCH("basket",F1913)),"Basket", IF(ISNUMBER(SEARCH("lunch",F1913)),"Lunch Box", IF(ISNUMBER(SEARCH("cutlery",F1913)),"Cutlery","Other")))))</f>
        <v>0</v>
      </c>
      <c r="I1913">
        <f>IF('Raw Data'!G1913&lt;&gt;'','Raw Data'!G1913,IFERROR(MID(F1913,SEARCH("MODEL",F1913)+6,20),""))</f>
        <v>0</v>
      </c>
      <c r="J1913">
        <f>'Raw Data'!H1913</f>
        <v>0</v>
      </c>
      <c r="K1913">
        <f>'Raw Data'!I1913</f>
        <v>0</v>
      </c>
      <c r="L1913">
        <f>IF('Raw Data'!N1913&lt;&gt;0,'Raw Data'!N1913,IFERROR(VALUE(MID(F1913,SEARCH("QTY",F1913)+4,IFERROR(FIND(" ",F1913,SEARCH("QTY",F1913)+4)-(SEARCH("QTY",F1913)+4),3))),""))</f>
        <v>0</v>
      </c>
      <c r="M1913">
        <f>'Raw Data'!O1913</f>
        <v>0</v>
      </c>
      <c r="N1913">
        <f>'Raw Data'!P1913</f>
        <v>0</v>
      </c>
      <c r="O1913">
        <f>'Raw Data'!Q1913</f>
        <v>0</v>
      </c>
      <c r="P1913">
        <f>'Raw Data'!R1913</f>
        <v>0</v>
      </c>
      <c r="Q1913">
        <f>'Raw Data'!S1913</f>
        <v>0</v>
      </c>
      <c r="R1913">
        <f>'Raw Data'!T1913</f>
        <v>0</v>
      </c>
      <c r="S1913">
        <f>IFERROR(O1913,0)+IFERROR(R1913,0)</f>
        <v>0</v>
      </c>
      <c r="T1913">
        <f>IF(A1913="","",YEAR(A1913))</f>
        <v>0</v>
      </c>
    </row>
    <row r="1914" spans="1:20">
      <c r="A1914">
        <f>'Raw Data'!B1914</f>
        <v>0</v>
      </c>
      <c r="B1914">
        <f>'Raw Data'!A1914</f>
        <v>0</v>
      </c>
      <c r="C1914">
        <f>'Raw Data'!C1914</f>
        <v>0</v>
      </c>
      <c r="D1914">
        <f>'Raw Data'!D1914</f>
        <v>0</v>
      </c>
      <c r="E1914">
        <f>IFERROR(VLOOKUP(D1914,'Lookup Tables'!$A:$B,2,FALSE),"Unknown")</f>
        <v>0</v>
      </c>
      <c r="F1914">
        <f>'Raw Data'!E1914</f>
        <v>0</v>
      </c>
      <c r="G1914">
        <f>IFERROR(VLOOKUP(D1914,'Lookup Tables'!$A:$C,3,FALSE),IF(ISNUMBER(SEARCH("STEEL",F1914)),"Steel","Others"))</f>
        <v>0</v>
      </c>
      <c r="H1914">
        <f>IF(ISNUMBER(SEARCH("scrubber",F1914)) , "Scrubber", IF(ISNUMBER(SEARCH("container",F1914)),"Container", IF(ISNUMBER(SEARCH("basket",F1914)),"Basket", IF(ISNUMBER(SEARCH("lunch",F1914)),"Lunch Box", IF(ISNUMBER(SEARCH("cutlery",F1914)),"Cutlery","Other")))))</f>
        <v>0</v>
      </c>
      <c r="I1914">
        <f>IF('Raw Data'!G1914&lt;&gt;'','Raw Data'!G1914,IFERROR(MID(F1914,SEARCH("MODEL",F1914)+6,20),""))</f>
        <v>0</v>
      </c>
      <c r="J1914">
        <f>'Raw Data'!H1914</f>
        <v>0</v>
      </c>
      <c r="K1914">
        <f>'Raw Data'!I1914</f>
        <v>0</v>
      </c>
      <c r="L1914">
        <f>IF('Raw Data'!N1914&lt;&gt;0,'Raw Data'!N1914,IFERROR(VALUE(MID(F1914,SEARCH("QTY",F1914)+4,IFERROR(FIND(" ",F1914,SEARCH("QTY",F1914)+4)-(SEARCH("QTY",F1914)+4),3))),""))</f>
        <v>0</v>
      </c>
      <c r="M1914">
        <f>'Raw Data'!O1914</f>
        <v>0</v>
      </c>
      <c r="N1914">
        <f>'Raw Data'!P1914</f>
        <v>0</v>
      </c>
      <c r="O1914">
        <f>'Raw Data'!Q1914</f>
        <v>0</v>
      </c>
      <c r="P1914">
        <f>'Raw Data'!R1914</f>
        <v>0</v>
      </c>
      <c r="Q1914">
        <f>'Raw Data'!S1914</f>
        <v>0</v>
      </c>
      <c r="R1914">
        <f>'Raw Data'!T1914</f>
        <v>0</v>
      </c>
      <c r="S1914">
        <f>IFERROR(O1914,0)+IFERROR(R1914,0)</f>
        <v>0</v>
      </c>
      <c r="T1914">
        <f>IF(A1914="","",YEAR(A1914))</f>
        <v>0</v>
      </c>
    </row>
    <row r="1915" spans="1:20">
      <c r="A1915">
        <f>'Raw Data'!B1915</f>
        <v>0</v>
      </c>
      <c r="B1915">
        <f>'Raw Data'!A1915</f>
        <v>0</v>
      </c>
      <c r="C1915">
        <f>'Raw Data'!C1915</f>
        <v>0</v>
      </c>
      <c r="D1915">
        <f>'Raw Data'!D1915</f>
        <v>0</v>
      </c>
      <c r="E1915">
        <f>IFERROR(VLOOKUP(D1915,'Lookup Tables'!$A:$B,2,FALSE),"Unknown")</f>
        <v>0</v>
      </c>
      <c r="F1915">
        <f>'Raw Data'!E1915</f>
        <v>0</v>
      </c>
      <c r="G1915">
        <f>IFERROR(VLOOKUP(D1915,'Lookup Tables'!$A:$C,3,FALSE),IF(ISNUMBER(SEARCH("STEEL",F1915)),"Steel","Others"))</f>
        <v>0</v>
      </c>
      <c r="H1915">
        <f>IF(ISNUMBER(SEARCH("scrubber",F1915)) , "Scrubber", IF(ISNUMBER(SEARCH("container",F1915)),"Container", IF(ISNUMBER(SEARCH("basket",F1915)),"Basket", IF(ISNUMBER(SEARCH("lunch",F1915)),"Lunch Box", IF(ISNUMBER(SEARCH("cutlery",F1915)),"Cutlery","Other")))))</f>
        <v>0</v>
      </c>
      <c r="I1915">
        <f>IF('Raw Data'!G1915&lt;&gt;'','Raw Data'!G1915,IFERROR(MID(F1915,SEARCH("MODEL",F1915)+6,20),""))</f>
        <v>0</v>
      </c>
      <c r="J1915">
        <f>'Raw Data'!H1915</f>
        <v>0</v>
      </c>
      <c r="K1915">
        <f>'Raw Data'!I1915</f>
        <v>0</v>
      </c>
      <c r="L1915">
        <f>IF('Raw Data'!N1915&lt;&gt;0,'Raw Data'!N1915,IFERROR(VALUE(MID(F1915,SEARCH("QTY",F1915)+4,IFERROR(FIND(" ",F1915,SEARCH("QTY",F1915)+4)-(SEARCH("QTY",F1915)+4),3))),""))</f>
        <v>0</v>
      </c>
      <c r="M1915">
        <f>'Raw Data'!O1915</f>
        <v>0</v>
      </c>
      <c r="N1915">
        <f>'Raw Data'!P1915</f>
        <v>0</v>
      </c>
      <c r="O1915">
        <f>'Raw Data'!Q1915</f>
        <v>0</v>
      </c>
      <c r="P1915">
        <f>'Raw Data'!R1915</f>
        <v>0</v>
      </c>
      <c r="Q1915">
        <f>'Raw Data'!S1915</f>
        <v>0</v>
      </c>
      <c r="R1915">
        <f>'Raw Data'!T1915</f>
        <v>0</v>
      </c>
      <c r="S1915">
        <f>IFERROR(O1915,0)+IFERROR(R1915,0)</f>
        <v>0</v>
      </c>
      <c r="T1915">
        <f>IF(A1915="","",YEAR(A1915))</f>
        <v>0</v>
      </c>
    </row>
    <row r="1916" spans="1:20">
      <c r="A1916">
        <f>'Raw Data'!B1916</f>
        <v>0</v>
      </c>
      <c r="B1916">
        <f>'Raw Data'!A1916</f>
        <v>0</v>
      </c>
      <c r="C1916">
        <f>'Raw Data'!C1916</f>
        <v>0</v>
      </c>
      <c r="D1916">
        <f>'Raw Data'!D1916</f>
        <v>0</v>
      </c>
      <c r="E1916">
        <f>IFERROR(VLOOKUP(D1916,'Lookup Tables'!$A:$B,2,FALSE),"Unknown")</f>
        <v>0</v>
      </c>
      <c r="F1916">
        <f>'Raw Data'!E1916</f>
        <v>0</v>
      </c>
      <c r="G1916">
        <f>IFERROR(VLOOKUP(D1916,'Lookup Tables'!$A:$C,3,FALSE),IF(ISNUMBER(SEARCH("STEEL",F1916)),"Steel","Others"))</f>
        <v>0</v>
      </c>
      <c r="H1916">
        <f>IF(ISNUMBER(SEARCH("scrubber",F1916)) , "Scrubber", IF(ISNUMBER(SEARCH("container",F1916)),"Container", IF(ISNUMBER(SEARCH("basket",F1916)),"Basket", IF(ISNUMBER(SEARCH("lunch",F1916)),"Lunch Box", IF(ISNUMBER(SEARCH("cutlery",F1916)),"Cutlery","Other")))))</f>
        <v>0</v>
      </c>
      <c r="I1916">
        <f>IF('Raw Data'!G1916&lt;&gt;'','Raw Data'!G1916,IFERROR(MID(F1916,SEARCH("MODEL",F1916)+6,20),""))</f>
        <v>0</v>
      </c>
      <c r="J1916">
        <f>'Raw Data'!H1916</f>
        <v>0</v>
      </c>
      <c r="K1916">
        <f>'Raw Data'!I1916</f>
        <v>0</v>
      </c>
      <c r="L1916">
        <f>IF('Raw Data'!N1916&lt;&gt;0,'Raw Data'!N1916,IFERROR(VALUE(MID(F1916,SEARCH("QTY",F1916)+4,IFERROR(FIND(" ",F1916,SEARCH("QTY",F1916)+4)-(SEARCH("QTY",F1916)+4),3))),""))</f>
        <v>0</v>
      </c>
      <c r="M1916">
        <f>'Raw Data'!O1916</f>
        <v>0</v>
      </c>
      <c r="N1916">
        <f>'Raw Data'!P1916</f>
        <v>0</v>
      </c>
      <c r="O1916">
        <f>'Raw Data'!Q1916</f>
        <v>0</v>
      </c>
      <c r="P1916">
        <f>'Raw Data'!R1916</f>
        <v>0</v>
      </c>
      <c r="Q1916">
        <f>'Raw Data'!S1916</f>
        <v>0</v>
      </c>
      <c r="R1916">
        <f>'Raw Data'!T1916</f>
        <v>0</v>
      </c>
      <c r="S1916">
        <f>IFERROR(O1916,0)+IFERROR(R1916,0)</f>
        <v>0</v>
      </c>
      <c r="T1916">
        <f>IF(A1916="","",YEAR(A1916))</f>
        <v>0</v>
      </c>
    </row>
    <row r="1917" spans="1:20">
      <c r="A1917">
        <f>'Raw Data'!B1917</f>
        <v>0</v>
      </c>
      <c r="B1917">
        <f>'Raw Data'!A1917</f>
        <v>0</v>
      </c>
      <c r="C1917">
        <f>'Raw Data'!C1917</f>
        <v>0</v>
      </c>
      <c r="D1917">
        <f>'Raw Data'!D1917</f>
        <v>0</v>
      </c>
      <c r="E1917">
        <f>IFERROR(VLOOKUP(D1917,'Lookup Tables'!$A:$B,2,FALSE),"Unknown")</f>
        <v>0</v>
      </c>
      <c r="F1917">
        <f>'Raw Data'!E1917</f>
        <v>0</v>
      </c>
      <c r="G1917">
        <f>IFERROR(VLOOKUP(D1917,'Lookup Tables'!$A:$C,3,FALSE),IF(ISNUMBER(SEARCH("STEEL",F1917)),"Steel","Others"))</f>
        <v>0</v>
      </c>
      <c r="H1917">
        <f>IF(ISNUMBER(SEARCH("scrubber",F1917)) , "Scrubber", IF(ISNUMBER(SEARCH("container",F1917)),"Container", IF(ISNUMBER(SEARCH("basket",F1917)),"Basket", IF(ISNUMBER(SEARCH("lunch",F1917)),"Lunch Box", IF(ISNUMBER(SEARCH("cutlery",F1917)),"Cutlery","Other")))))</f>
        <v>0</v>
      </c>
      <c r="I1917">
        <f>IF('Raw Data'!G1917&lt;&gt;'','Raw Data'!G1917,IFERROR(MID(F1917,SEARCH("MODEL",F1917)+6,20),""))</f>
        <v>0</v>
      </c>
      <c r="J1917">
        <f>'Raw Data'!H1917</f>
        <v>0</v>
      </c>
      <c r="K1917">
        <f>'Raw Data'!I1917</f>
        <v>0</v>
      </c>
      <c r="L1917">
        <f>IF('Raw Data'!N1917&lt;&gt;0,'Raw Data'!N1917,IFERROR(VALUE(MID(F1917,SEARCH("QTY",F1917)+4,IFERROR(FIND(" ",F1917,SEARCH("QTY",F1917)+4)-(SEARCH("QTY",F1917)+4),3))),""))</f>
        <v>0</v>
      </c>
      <c r="M1917">
        <f>'Raw Data'!O1917</f>
        <v>0</v>
      </c>
      <c r="N1917">
        <f>'Raw Data'!P1917</f>
        <v>0</v>
      </c>
      <c r="O1917">
        <f>'Raw Data'!Q1917</f>
        <v>0</v>
      </c>
      <c r="P1917">
        <f>'Raw Data'!R1917</f>
        <v>0</v>
      </c>
      <c r="Q1917">
        <f>'Raw Data'!S1917</f>
        <v>0</v>
      </c>
      <c r="R1917">
        <f>'Raw Data'!T1917</f>
        <v>0</v>
      </c>
      <c r="S1917">
        <f>IFERROR(O1917,0)+IFERROR(R1917,0)</f>
        <v>0</v>
      </c>
      <c r="T1917">
        <f>IF(A1917="","",YEAR(A1917))</f>
        <v>0</v>
      </c>
    </row>
    <row r="1918" spans="1:20">
      <c r="A1918">
        <f>'Raw Data'!B1918</f>
        <v>0</v>
      </c>
      <c r="B1918">
        <f>'Raw Data'!A1918</f>
        <v>0</v>
      </c>
      <c r="C1918">
        <f>'Raw Data'!C1918</f>
        <v>0</v>
      </c>
      <c r="D1918">
        <f>'Raw Data'!D1918</f>
        <v>0</v>
      </c>
      <c r="E1918">
        <f>IFERROR(VLOOKUP(D1918,'Lookup Tables'!$A:$B,2,FALSE),"Unknown")</f>
        <v>0</v>
      </c>
      <c r="F1918">
        <f>'Raw Data'!E1918</f>
        <v>0</v>
      </c>
      <c r="G1918">
        <f>IFERROR(VLOOKUP(D1918,'Lookup Tables'!$A:$C,3,FALSE),IF(ISNUMBER(SEARCH("STEEL",F1918)),"Steel","Others"))</f>
        <v>0</v>
      </c>
      <c r="H1918">
        <f>IF(ISNUMBER(SEARCH("scrubber",F1918)) , "Scrubber", IF(ISNUMBER(SEARCH("container",F1918)),"Container", IF(ISNUMBER(SEARCH("basket",F1918)),"Basket", IF(ISNUMBER(SEARCH("lunch",F1918)),"Lunch Box", IF(ISNUMBER(SEARCH("cutlery",F1918)),"Cutlery","Other")))))</f>
        <v>0</v>
      </c>
      <c r="I1918">
        <f>IF('Raw Data'!G1918&lt;&gt;'','Raw Data'!G1918,IFERROR(MID(F1918,SEARCH("MODEL",F1918)+6,20),""))</f>
        <v>0</v>
      </c>
      <c r="J1918">
        <f>'Raw Data'!H1918</f>
        <v>0</v>
      </c>
      <c r="K1918">
        <f>'Raw Data'!I1918</f>
        <v>0</v>
      </c>
      <c r="L1918">
        <f>IF('Raw Data'!N1918&lt;&gt;0,'Raw Data'!N1918,IFERROR(VALUE(MID(F1918,SEARCH("QTY",F1918)+4,IFERROR(FIND(" ",F1918,SEARCH("QTY",F1918)+4)-(SEARCH("QTY",F1918)+4),3))),""))</f>
        <v>0</v>
      </c>
      <c r="M1918">
        <f>'Raw Data'!O1918</f>
        <v>0</v>
      </c>
      <c r="N1918">
        <f>'Raw Data'!P1918</f>
        <v>0</v>
      </c>
      <c r="O1918">
        <f>'Raw Data'!Q1918</f>
        <v>0</v>
      </c>
      <c r="P1918">
        <f>'Raw Data'!R1918</f>
        <v>0</v>
      </c>
      <c r="Q1918">
        <f>'Raw Data'!S1918</f>
        <v>0</v>
      </c>
      <c r="R1918">
        <f>'Raw Data'!T1918</f>
        <v>0</v>
      </c>
      <c r="S1918">
        <f>IFERROR(O1918,0)+IFERROR(R1918,0)</f>
        <v>0</v>
      </c>
      <c r="T1918">
        <f>IF(A1918="","",YEAR(A1918))</f>
        <v>0</v>
      </c>
    </row>
    <row r="1919" spans="1:20">
      <c r="A1919">
        <f>'Raw Data'!B1919</f>
        <v>0</v>
      </c>
      <c r="B1919">
        <f>'Raw Data'!A1919</f>
        <v>0</v>
      </c>
      <c r="C1919">
        <f>'Raw Data'!C1919</f>
        <v>0</v>
      </c>
      <c r="D1919">
        <f>'Raw Data'!D1919</f>
        <v>0</v>
      </c>
      <c r="E1919">
        <f>IFERROR(VLOOKUP(D1919,'Lookup Tables'!$A:$B,2,FALSE),"Unknown")</f>
        <v>0</v>
      </c>
      <c r="F1919">
        <f>'Raw Data'!E1919</f>
        <v>0</v>
      </c>
      <c r="G1919">
        <f>IFERROR(VLOOKUP(D1919,'Lookup Tables'!$A:$C,3,FALSE),IF(ISNUMBER(SEARCH("STEEL",F1919)),"Steel","Others"))</f>
        <v>0</v>
      </c>
      <c r="H1919">
        <f>IF(ISNUMBER(SEARCH("scrubber",F1919)) , "Scrubber", IF(ISNUMBER(SEARCH("container",F1919)),"Container", IF(ISNUMBER(SEARCH("basket",F1919)),"Basket", IF(ISNUMBER(SEARCH("lunch",F1919)),"Lunch Box", IF(ISNUMBER(SEARCH("cutlery",F1919)),"Cutlery","Other")))))</f>
        <v>0</v>
      </c>
      <c r="I1919">
        <f>IF('Raw Data'!G1919&lt;&gt;'','Raw Data'!G1919,IFERROR(MID(F1919,SEARCH("MODEL",F1919)+6,20),""))</f>
        <v>0</v>
      </c>
      <c r="J1919">
        <f>'Raw Data'!H1919</f>
        <v>0</v>
      </c>
      <c r="K1919">
        <f>'Raw Data'!I1919</f>
        <v>0</v>
      </c>
      <c r="L1919">
        <f>IF('Raw Data'!N1919&lt;&gt;0,'Raw Data'!N1919,IFERROR(VALUE(MID(F1919,SEARCH("QTY",F1919)+4,IFERROR(FIND(" ",F1919,SEARCH("QTY",F1919)+4)-(SEARCH("QTY",F1919)+4),3))),""))</f>
        <v>0</v>
      </c>
      <c r="M1919">
        <f>'Raw Data'!O1919</f>
        <v>0</v>
      </c>
      <c r="N1919">
        <f>'Raw Data'!P1919</f>
        <v>0</v>
      </c>
      <c r="O1919">
        <f>'Raw Data'!Q1919</f>
        <v>0</v>
      </c>
      <c r="P1919">
        <f>'Raw Data'!R1919</f>
        <v>0</v>
      </c>
      <c r="Q1919">
        <f>'Raw Data'!S1919</f>
        <v>0</v>
      </c>
      <c r="R1919">
        <f>'Raw Data'!T1919</f>
        <v>0</v>
      </c>
      <c r="S1919">
        <f>IFERROR(O1919,0)+IFERROR(R1919,0)</f>
        <v>0</v>
      </c>
      <c r="T1919">
        <f>IF(A1919="","",YEAR(A1919))</f>
        <v>0</v>
      </c>
    </row>
    <row r="1920" spans="1:20">
      <c r="A1920">
        <f>'Raw Data'!B1920</f>
        <v>0</v>
      </c>
      <c r="B1920">
        <f>'Raw Data'!A1920</f>
        <v>0</v>
      </c>
      <c r="C1920">
        <f>'Raw Data'!C1920</f>
        <v>0</v>
      </c>
      <c r="D1920">
        <f>'Raw Data'!D1920</f>
        <v>0</v>
      </c>
      <c r="E1920">
        <f>IFERROR(VLOOKUP(D1920,'Lookup Tables'!$A:$B,2,FALSE),"Unknown")</f>
        <v>0</v>
      </c>
      <c r="F1920">
        <f>'Raw Data'!E1920</f>
        <v>0</v>
      </c>
      <c r="G1920">
        <f>IFERROR(VLOOKUP(D1920,'Lookup Tables'!$A:$C,3,FALSE),IF(ISNUMBER(SEARCH("STEEL",F1920)),"Steel","Others"))</f>
        <v>0</v>
      </c>
      <c r="H1920">
        <f>IF(ISNUMBER(SEARCH("scrubber",F1920)) , "Scrubber", IF(ISNUMBER(SEARCH("container",F1920)),"Container", IF(ISNUMBER(SEARCH("basket",F1920)),"Basket", IF(ISNUMBER(SEARCH("lunch",F1920)),"Lunch Box", IF(ISNUMBER(SEARCH("cutlery",F1920)),"Cutlery","Other")))))</f>
        <v>0</v>
      </c>
      <c r="I1920">
        <f>IF('Raw Data'!G1920&lt;&gt;'','Raw Data'!G1920,IFERROR(MID(F1920,SEARCH("MODEL",F1920)+6,20),""))</f>
        <v>0</v>
      </c>
      <c r="J1920">
        <f>'Raw Data'!H1920</f>
        <v>0</v>
      </c>
      <c r="K1920">
        <f>'Raw Data'!I1920</f>
        <v>0</v>
      </c>
      <c r="L1920">
        <f>IF('Raw Data'!N1920&lt;&gt;0,'Raw Data'!N1920,IFERROR(VALUE(MID(F1920,SEARCH("QTY",F1920)+4,IFERROR(FIND(" ",F1920,SEARCH("QTY",F1920)+4)-(SEARCH("QTY",F1920)+4),3))),""))</f>
        <v>0</v>
      </c>
      <c r="M1920">
        <f>'Raw Data'!O1920</f>
        <v>0</v>
      </c>
      <c r="N1920">
        <f>'Raw Data'!P1920</f>
        <v>0</v>
      </c>
      <c r="O1920">
        <f>'Raw Data'!Q1920</f>
        <v>0</v>
      </c>
      <c r="P1920">
        <f>'Raw Data'!R1920</f>
        <v>0</v>
      </c>
      <c r="Q1920">
        <f>'Raw Data'!S1920</f>
        <v>0</v>
      </c>
      <c r="R1920">
        <f>'Raw Data'!T1920</f>
        <v>0</v>
      </c>
      <c r="S1920">
        <f>IFERROR(O1920,0)+IFERROR(R1920,0)</f>
        <v>0</v>
      </c>
      <c r="T1920">
        <f>IF(A1920="","",YEAR(A1920))</f>
        <v>0</v>
      </c>
    </row>
    <row r="1921" spans="1:20">
      <c r="A1921">
        <f>'Raw Data'!B1921</f>
        <v>0</v>
      </c>
      <c r="B1921">
        <f>'Raw Data'!A1921</f>
        <v>0</v>
      </c>
      <c r="C1921">
        <f>'Raw Data'!C1921</f>
        <v>0</v>
      </c>
      <c r="D1921">
        <f>'Raw Data'!D1921</f>
        <v>0</v>
      </c>
      <c r="E1921">
        <f>IFERROR(VLOOKUP(D1921,'Lookup Tables'!$A:$B,2,FALSE),"Unknown")</f>
        <v>0</v>
      </c>
      <c r="F1921">
        <f>'Raw Data'!E1921</f>
        <v>0</v>
      </c>
      <c r="G1921">
        <f>IFERROR(VLOOKUP(D1921,'Lookup Tables'!$A:$C,3,FALSE),IF(ISNUMBER(SEARCH("STEEL",F1921)),"Steel","Others"))</f>
        <v>0</v>
      </c>
      <c r="H1921">
        <f>IF(ISNUMBER(SEARCH("scrubber",F1921)) , "Scrubber", IF(ISNUMBER(SEARCH("container",F1921)),"Container", IF(ISNUMBER(SEARCH("basket",F1921)),"Basket", IF(ISNUMBER(SEARCH("lunch",F1921)),"Lunch Box", IF(ISNUMBER(SEARCH("cutlery",F1921)),"Cutlery","Other")))))</f>
        <v>0</v>
      </c>
      <c r="I1921">
        <f>IF('Raw Data'!G1921&lt;&gt;'','Raw Data'!G1921,IFERROR(MID(F1921,SEARCH("MODEL",F1921)+6,20),""))</f>
        <v>0</v>
      </c>
      <c r="J1921">
        <f>'Raw Data'!H1921</f>
        <v>0</v>
      </c>
      <c r="K1921">
        <f>'Raw Data'!I1921</f>
        <v>0</v>
      </c>
      <c r="L1921">
        <f>IF('Raw Data'!N1921&lt;&gt;0,'Raw Data'!N1921,IFERROR(VALUE(MID(F1921,SEARCH("QTY",F1921)+4,IFERROR(FIND(" ",F1921,SEARCH("QTY",F1921)+4)-(SEARCH("QTY",F1921)+4),3))),""))</f>
        <v>0</v>
      </c>
      <c r="M1921">
        <f>'Raw Data'!O1921</f>
        <v>0</v>
      </c>
      <c r="N1921">
        <f>'Raw Data'!P1921</f>
        <v>0</v>
      </c>
      <c r="O1921">
        <f>'Raw Data'!Q1921</f>
        <v>0</v>
      </c>
      <c r="P1921">
        <f>'Raw Data'!R1921</f>
        <v>0</v>
      </c>
      <c r="Q1921">
        <f>'Raw Data'!S1921</f>
        <v>0</v>
      </c>
      <c r="R1921">
        <f>'Raw Data'!T1921</f>
        <v>0</v>
      </c>
      <c r="S1921">
        <f>IFERROR(O1921,0)+IFERROR(R1921,0)</f>
        <v>0</v>
      </c>
      <c r="T1921">
        <f>IF(A1921="","",YEAR(A1921))</f>
        <v>0</v>
      </c>
    </row>
    <row r="1922" spans="1:20">
      <c r="A1922">
        <f>'Raw Data'!B1922</f>
        <v>0</v>
      </c>
      <c r="B1922">
        <f>'Raw Data'!A1922</f>
        <v>0</v>
      </c>
      <c r="C1922">
        <f>'Raw Data'!C1922</f>
        <v>0</v>
      </c>
      <c r="D1922">
        <f>'Raw Data'!D1922</f>
        <v>0</v>
      </c>
      <c r="E1922">
        <f>IFERROR(VLOOKUP(D1922,'Lookup Tables'!$A:$B,2,FALSE),"Unknown")</f>
        <v>0</v>
      </c>
      <c r="F1922">
        <f>'Raw Data'!E1922</f>
        <v>0</v>
      </c>
      <c r="G1922">
        <f>IFERROR(VLOOKUP(D1922,'Lookup Tables'!$A:$C,3,FALSE),IF(ISNUMBER(SEARCH("STEEL",F1922)),"Steel","Others"))</f>
        <v>0</v>
      </c>
      <c r="H1922">
        <f>IF(ISNUMBER(SEARCH("scrubber",F1922)) , "Scrubber", IF(ISNUMBER(SEARCH("container",F1922)),"Container", IF(ISNUMBER(SEARCH("basket",F1922)),"Basket", IF(ISNUMBER(SEARCH("lunch",F1922)),"Lunch Box", IF(ISNUMBER(SEARCH("cutlery",F1922)),"Cutlery","Other")))))</f>
        <v>0</v>
      </c>
      <c r="I1922">
        <f>IF('Raw Data'!G1922&lt;&gt;'','Raw Data'!G1922,IFERROR(MID(F1922,SEARCH("MODEL",F1922)+6,20),""))</f>
        <v>0</v>
      </c>
      <c r="J1922">
        <f>'Raw Data'!H1922</f>
        <v>0</v>
      </c>
      <c r="K1922">
        <f>'Raw Data'!I1922</f>
        <v>0</v>
      </c>
      <c r="L1922">
        <f>IF('Raw Data'!N1922&lt;&gt;0,'Raw Data'!N1922,IFERROR(VALUE(MID(F1922,SEARCH("QTY",F1922)+4,IFERROR(FIND(" ",F1922,SEARCH("QTY",F1922)+4)-(SEARCH("QTY",F1922)+4),3))),""))</f>
        <v>0</v>
      </c>
      <c r="M1922">
        <f>'Raw Data'!O1922</f>
        <v>0</v>
      </c>
      <c r="N1922">
        <f>'Raw Data'!P1922</f>
        <v>0</v>
      </c>
      <c r="O1922">
        <f>'Raw Data'!Q1922</f>
        <v>0</v>
      </c>
      <c r="P1922">
        <f>'Raw Data'!R1922</f>
        <v>0</v>
      </c>
      <c r="Q1922">
        <f>'Raw Data'!S1922</f>
        <v>0</v>
      </c>
      <c r="R1922">
        <f>'Raw Data'!T1922</f>
        <v>0</v>
      </c>
      <c r="S1922">
        <f>IFERROR(O1922,0)+IFERROR(R1922,0)</f>
        <v>0</v>
      </c>
      <c r="T1922">
        <f>IF(A1922="","",YEAR(A1922))</f>
        <v>0</v>
      </c>
    </row>
    <row r="1923" spans="1:20">
      <c r="A1923">
        <f>'Raw Data'!B1923</f>
        <v>0</v>
      </c>
      <c r="B1923">
        <f>'Raw Data'!A1923</f>
        <v>0</v>
      </c>
      <c r="C1923">
        <f>'Raw Data'!C1923</f>
        <v>0</v>
      </c>
      <c r="D1923">
        <f>'Raw Data'!D1923</f>
        <v>0</v>
      </c>
      <c r="E1923">
        <f>IFERROR(VLOOKUP(D1923,'Lookup Tables'!$A:$B,2,FALSE),"Unknown")</f>
        <v>0</v>
      </c>
      <c r="F1923">
        <f>'Raw Data'!E1923</f>
        <v>0</v>
      </c>
      <c r="G1923">
        <f>IFERROR(VLOOKUP(D1923,'Lookup Tables'!$A:$C,3,FALSE),IF(ISNUMBER(SEARCH("STEEL",F1923)),"Steel","Others"))</f>
        <v>0</v>
      </c>
      <c r="H1923">
        <f>IF(ISNUMBER(SEARCH("scrubber",F1923)) , "Scrubber", IF(ISNUMBER(SEARCH("container",F1923)),"Container", IF(ISNUMBER(SEARCH("basket",F1923)),"Basket", IF(ISNUMBER(SEARCH("lunch",F1923)),"Lunch Box", IF(ISNUMBER(SEARCH("cutlery",F1923)),"Cutlery","Other")))))</f>
        <v>0</v>
      </c>
      <c r="I1923">
        <f>IF('Raw Data'!G1923&lt;&gt;'','Raw Data'!G1923,IFERROR(MID(F1923,SEARCH("MODEL",F1923)+6,20),""))</f>
        <v>0</v>
      </c>
      <c r="J1923">
        <f>'Raw Data'!H1923</f>
        <v>0</v>
      </c>
      <c r="K1923">
        <f>'Raw Data'!I1923</f>
        <v>0</v>
      </c>
      <c r="L1923">
        <f>IF('Raw Data'!N1923&lt;&gt;0,'Raw Data'!N1923,IFERROR(VALUE(MID(F1923,SEARCH("QTY",F1923)+4,IFERROR(FIND(" ",F1923,SEARCH("QTY",F1923)+4)-(SEARCH("QTY",F1923)+4),3))),""))</f>
        <v>0</v>
      </c>
      <c r="M1923">
        <f>'Raw Data'!O1923</f>
        <v>0</v>
      </c>
      <c r="N1923">
        <f>'Raw Data'!P1923</f>
        <v>0</v>
      </c>
      <c r="O1923">
        <f>'Raw Data'!Q1923</f>
        <v>0</v>
      </c>
      <c r="P1923">
        <f>'Raw Data'!R1923</f>
        <v>0</v>
      </c>
      <c r="Q1923">
        <f>'Raw Data'!S1923</f>
        <v>0</v>
      </c>
      <c r="R1923">
        <f>'Raw Data'!T1923</f>
        <v>0</v>
      </c>
      <c r="S1923">
        <f>IFERROR(O1923,0)+IFERROR(R1923,0)</f>
        <v>0</v>
      </c>
      <c r="T1923">
        <f>IF(A1923="","",YEAR(A1923))</f>
        <v>0</v>
      </c>
    </row>
    <row r="1924" spans="1:20">
      <c r="A1924">
        <f>'Raw Data'!B1924</f>
        <v>0</v>
      </c>
      <c r="B1924">
        <f>'Raw Data'!A1924</f>
        <v>0</v>
      </c>
      <c r="C1924">
        <f>'Raw Data'!C1924</f>
        <v>0</v>
      </c>
      <c r="D1924">
        <f>'Raw Data'!D1924</f>
        <v>0</v>
      </c>
      <c r="E1924">
        <f>IFERROR(VLOOKUP(D1924,'Lookup Tables'!$A:$B,2,FALSE),"Unknown")</f>
        <v>0</v>
      </c>
      <c r="F1924">
        <f>'Raw Data'!E1924</f>
        <v>0</v>
      </c>
      <c r="G1924">
        <f>IFERROR(VLOOKUP(D1924,'Lookup Tables'!$A:$C,3,FALSE),IF(ISNUMBER(SEARCH("STEEL",F1924)),"Steel","Others"))</f>
        <v>0</v>
      </c>
      <c r="H1924">
        <f>IF(ISNUMBER(SEARCH("scrubber",F1924)) , "Scrubber", IF(ISNUMBER(SEARCH("container",F1924)),"Container", IF(ISNUMBER(SEARCH("basket",F1924)),"Basket", IF(ISNUMBER(SEARCH("lunch",F1924)),"Lunch Box", IF(ISNUMBER(SEARCH("cutlery",F1924)),"Cutlery","Other")))))</f>
        <v>0</v>
      </c>
      <c r="I1924">
        <f>IF('Raw Data'!G1924&lt;&gt;'','Raw Data'!G1924,IFERROR(MID(F1924,SEARCH("MODEL",F1924)+6,20),""))</f>
        <v>0</v>
      </c>
      <c r="J1924">
        <f>'Raw Data'!H1924</f>
        <v>0</v>
      </c>
      <c r="K1924">
        <f>'Raw Data'!I1924</f>
        <v>0</v>
      </c>
      <c r="L1924">
        <f>IF('Raw Data'!N1924&lt;&gt;0,'Raw Data'!N1924,IFERROR(VALUE(MID(F1924,SEARCH("QTY",F1924)+4,IFERROR(FIND(" ",F1924,SEARCH("QTY",F1924)+4)-(SEARCH("QTY",F1924)+4),3))),""))</f>
        <v>0</v>
      </c>
      <c r="M1924">
        <f>'Raw Data'!O1924</f>
        <v>0</v>
      </c>
      <c r="N1924">
        <f>'Raw Data'!P1924</f>
        <v>0</v>
      </c>
      <c r="O1924">
        <f>'Raw Data'!Q1924</f>
        <v>0</v>
      </c>
      <c r="P1924">
        <f>'Raw Data'!R1924</f>
        <v>0</v>
      </c>
      <c r="Q1924">
        <f>'Raw Data'!S1924</f>
        <v>0</v>
      </c>
      <c r="R1924">
        <f>'Raw Data'!T1924</f>
        <v>0</v>
      </c>
      <c r="S1924">
        <f>IFERROR(O1924,0)+IFERROR(R1924,0)</f>
        <v>0</v>
      </c>
      <c r="T1924">
        <f>IF(A1924="","",YEAR(A1924))</f>
        <v>0</v>
      </c>
    </row>
    <row r="1925" spans="1:20">
      <c r="A1925">
        <f>'Raw Data'!B1925</f>
        <v>0</v>
      </c>
      <c r="B1925">
        <f>'Raw Data'!A1925</f>
        <v>0</v>
      </c>
      <c r="C1925">
        <f>'Raw Data'!C1925</f>
        <v>0</v>
      </c>
      <c r="D1925">
        <f>'Raw Data'!D1925</f>
        <v>0</v>
      </c>
      <c r="E1925">
        <f>IFERROR(VLOOKUP(D1925,'Lookup Tables'!$A:$B,2,FALSE),"Unknown")</f>
        <v>0</v>
      </c>
      <c r="F1925">
        <f>'Raw Data'!E1925</f>
        <v>0</v>
      </c>
      <c r="G1925">
        <f>IFERROR(VLOOKUP(D1925,'Lookup Tables'!$A:$C,3,FALSE),IF(ISNUMBER(SEARCH("STEEL",F1925)),"Steel","Others"))</f>
        <v>0</v>
      </c>
      <c r="H1925">
        <f>IF(ISNUMBER(SEARCH("scrubber",F1925)) , "Scrubber", IF(ISNUMBER(SEARCH("container",F1925)),"Container", IF(ISNUMBER(SEARCH("basket",F1925)),"Basket", IF(ISNUMBER(SEARCH("lunch",F1925)),"Lunch Box", IF(ISNUMBER(SEARCH("cutlery",F1925)),"Cutlery","Other")))))</f>
        <v>0</v>
      </c>
      <c r="I1925">
        <f>IF('Raw Data'!G1925&lt;&gt;'','Raw Data'!G1925,IFERROR(MID(F1925,SEARCH("MODEL",F1925)+6,20),""))</f>
        <v>0</v>
      </c>
      <c r="J1925">
        <f>'Raw Data'!H1925</f>
        <v>0</v>
      </c>
      <c r="K1925">
        <f>'Raw Data'!I1925</f>
        <v>0</v>
      </c>
      <c r="L1925">
        <f>IF('Raw Data'!N1925&lt;&gt;0,'Raw Data'!N1925,IFERROR(VALUE(MID(F1925,SEARCH("QTY",F1925)+4,IFERROR(FIND(" ",F1925,SEARCH("QTY",F1925)+4)-(SEARCH("QTY",F1925)+4),3))),""))</f>
        <v>0</v>
      </c>
      <c r="M1925">
        <f>'Raw Data'!O1925</f>
        <v>0</v>
      </c>
      <c r="N1925">
        <f>'Raw Data'!P1925</f>
        <v>0</v>
      </c>
      <c r="O1925">
        <f>'Raw Data'!Q1925</f>
        <v>0</v>
      </c>
      <c r="P1925">
        <f>'Raw Data'!R1925</f>
        <v>0</v>
      </c>
      <c r="Q1925">
        <f>'Raw Data'!S1925</f>
        <v>0</v>
      </c>
      <c r="R1925">
        <f>'Raw Data'!T1925</f>
        <v>0</v>
      </c>
      <c r="S1925">
        <f>IFERROR(O1925,0)+IFERROR(R1925,0)</f>
        <v>0</v>
      </c>
      <c r="T1925">
        <f>IF(A1925="","",YEAR(A1925))</f>
        <v>0</v>
      </c>
    </row>
    <row r="1926" spans="1:20">
      <c r="A1926">
        <f>'Raw Data'!B1926</f>
        <v>0</v>
      </c>
      <c r="B1926">
        <f>'Raw Data'!A1926</f>
        <v>0</v>
      </c>
      <c r="C1926">
        <f>'Raw Data'!C1926</f>
        <v>0</v>
      </c>
      <c r="D1926">
        <f>'Raw Data'!D1926</f>
        <v>0</v>
      </c>
      <c r="E1926">
        <f>IFERROR(VLOOKUP(D1926,'Lookup Tables'!$A:$B,2,FALSE),"Unknown")</f>
        <v>0</v>
      </c>
      <c r="F1926">
        <f>'Raw Data'!E1926</f>
        <v>0</v>
      </c>
      <c r="G1926">
        <f>IFERROR(VLOOKUP(D1926,'Lookup Tables'!$A:$C,3,FALSE),IF(ISNUMBER(SEARCH("STEEL",F1926)),"Steel","Others"))</f>
        <v>0</v>
      </c>
      <c r="H1926">
        <f>IF(ISNUMBER(SEARCH("scrubber",F1926)) , "Scrubber", IF(ISNUMBER(SEARCH("container",F1926)),"Container", IF(ISNUMBER(SEARCH("basket",F1926)),"Basket", IF(ISNUMBER(SEARCH("lunch",F1926)),"Lunch Box", IF(ISNUMBER(SEARCH("cutlery",F1926)),"Cutlery","Other")))))</f>
        <v>0</v>
      </c>
      <c r="I1926">
        <f>IF('Raw Data'!G1926&lt;&gt;'','Raw Data'!G1926,IFERROR(MID(F1926,SEARCH("MODEL",F1926)+6,20),""))</f>
        <v>0</v>
      </c>
      <c r="J1926">
        <f>'Raw Data'!H1926</f>
        <v>0</v>
      </c>
      <c r="K1926">
        <f>'Raw Data'!I1926</f>
        <v>0</v>
      </c>
      <c r="L1926">
        <f>IF('Raw Data'!N1926&lt;&gt;0,'Raw Data'!N1926,IFERROR(VALUE(MID(F1926,SEARCH("QTY",F1926)+4,IFERROR(FIND(" ",F1926,SEARCH("QTY",F1926)+4)-(SEARCH("QTY",F1926)+4),3))),""))</f>
        <v>0</v>
      </c>
      <c r="M1926">
        <f>'Raw Data'!O1926</f>
        <v>0</v>
      </c>
      <c r="N1926">
        <f>'Raw Data'!P1926</f>
        <v>0</v>
      </c>
      <c r="O1926">
        <f>'Raw Data'!Q1926</f>
        <v>0</v>
      </c>
      <c r="P1926">
        <f>'Raw Data'!R1926</f>
        <v>0</v>
      </c>
      <c r="Q1926">
        <f>'Raw Data'!S1926</f>
        <v>0</v>
      </c>
      <c r="R1926">
        <f>'Raw Data'!T1926</f>
        <v>0</v>
      </c>
      <c r="S1926">
        <f>IFERROR(O1926,0)+IFERROR(R1926,0)</f>
        <v>0</v>
      </c>
      <c r="T1926">
        <f>IF(A1926="","",YEAR(A1926))</f>
        <v>0</v>
      </c>
    </row>
    <row r="1927" spans="1:20">
      <c r="A1927">
        <f>'Raw Data'!B1927</f>
        <v>0</v>
      </c>
      <c r="B1927">
        <f>'Raw Data'!A1927</f>
        <v>0</v>
      </c>
      <c r="C1927">
        <f>'Raw Data'!C1927</f>
        <v>0</v>
      </c>
      <c r="D1927">
        <f>'Raw Data'!D1927</f>
        <v>0</v>
      </c>
      <c r="E1927">
        <f>IFERROR(VLOOKUP(D1927,'Lookup Tables'!$A:$B,2,FALSE),"Unknown")</f>
        <v>0</v>
      </c>
      <c r="F1927">
        <f>'Raw Data'!E1927</f>
        <v>0</v>
      </c>
      <c r="G1927">
        <f>IFERROR(VLOOKUP(D1927,'Lookup Tables'!$A:$C,3,FALSE),IF(ISNUMBER(SEARCH("STEEL",F1927)),"Steel","Others"))</f>
        <v>0</v>
      </c>
      <c r="H1927">
        <f>IF(ISNUMBER(SEARCH("scrubber",F1927)) , "Scrubber", IF(ISNUMBER(SEARCH("container",F1927)),"Container", IF(ISNUMBER(SEARCH("basket",F1927)),"Basket", IF(ISNUMBER(SEARCH("lunch",F1927)),"Lunch Box", IF(ISNUMBER(SEARCH("cutlery",F1927)),"Cutlery","Other")))))</f>
        <v>0</v>
      </c>
      <c r="I1927">
        <f>IF('Raw Data'!G1927&lt;&gt;'','Raw Data'!G1927,IFERROR(MID(F1927,SEARCH("MODEL",F1927)+6,20),""))</f>
        <v>0</v>
      </c>
      <c r="J1927">
        <f>'Raw Data'!H1927</f>
        <v>0</v>
      </c>
      <c r="K1927">
        <f>'Raw Data'!I1927</f>
        <v>0</v>
      </c>
      <c r="L1927">
        <f>IF('Raw Data'!N1927&lt;&gt;0,'Raw Data'!N1927,IFERROR(VALUE(MID(F1927,SEARCH("QTY",F1927)+4,IFERROR(FIND(" ",F1927,SEARCH("QTY",F1927)+4)-(SEARCH("QTY",F1927)+4),3))),""))</f>
        <v>0</v>
      </c>
      <c r="M1927">
        <f>'Raw Data'!O1927</f>
        <v>0</v>
      </c>
      <c r="N1927">
        <f>'Raw Data'!P1927</f>
        <v>0</v>
      </c>
      <c r="O1927">
        <f>'Raw Data'!Q1927</f>
        <v>0</v>
      </c>
      <c r="P1927">
        <f>'Raw Data'!R1927</f>
        <v>0</v>
      </c>
      <c r="Q1927">
        <f>'Raw Data'!S1927</f>
        <v>0</v>
      </c>
      <c r="R1927">
        <f>'Raw Data'!T1927</f>
        <v>0</v>
      </c>
      <c r="S1927">
        <f>IFERROR(O1927,0)+IFERROR(R1927,0)</f>
        <v>0</v>
      </c>
      <c r="T1927">
        <f>IF(A1927="","",YEAR(A1927))</f>
        <v>0</v>
      </c>
    </row>
    <row r="1928" spans="1:20">
      <c r="A1928">
        <f>'Raw Data'!B1928</f>
        <v>0</v>
      </c>
      <c r="B1928">
        <f>'Raw Data'!A1928</f>
        <v>0</v>
      </c>
      <c r="C1928">
        <f>'Raw Data'!C1928</f>
        <v>0</v>
      </c>
      <c r="D1928">
        <f>'Raw Data'!D1928</f>
        <v>0</v>
      </c>
      <c r="E1928">
        <f>IFERROR(VLOOKUP(D1928,'Lookup Tables'!$A:$B,2,FALSE),"Unknown")</f>
        <v>0</v>
      </c>
      <c r="F1928">
        <f>'Raw Data'!E1928</f>
        <v>0</v>
      </c>
      <c r="G1928">
        <f>IFERROR(VLOOKUP(D1928,'Lookup Tables'!$A:$C,3,FALSE),IF(ISNUMBER(SEARCH("STEEL",F1928)),"Steel","Others"))</f>
        <v>0</v>
      </c>
      <c r="H1928">
        <f>IF(ISNUMBER(SEARCH("scrubber",F1928)) , "Scrubber", IF(ISNUMBER(SEARCH("container",F1928)),"Container", IF(ISNUMBER(SEARCH("basket",F1928)),"Basket", IF(ISNUMBER(SEARCH("lunch",F1928)),"Lunch Box", IF(ISNUMBER(SEARCH("cutlery",F1928)),"Cutlery","Other")))))</f>
        <v>0</v>
      </c>
      <c r="I1928">
        <f>IF('Raw Data'!G1928&lt;&gt;'','Raw Data'!G1928,IFERROR(MID(F1928,SEARCH("MODEL",F1928)+6,20),""))</f>
        <v>0</v>
      </c>
      <c r="J1928">
        <f>'Raw Data'!H1928</f>
        <v>0</v>
      </c>
      <c r="K1928">
        <f>'Raw Data'!I1928</f>
        <v>0</v>
      </c>
      <c r="L1928">
        <f>IF('Raw Data'!N1928&lt;&gt;0,'Raw Data'!N1928,IFERROR(VALUE(MID(F1928,SEARCH("QTY",F1928)+4,IFERROR(FIND(" ",F1928,SEARCH("QTY",F1928)+4)-(SEARCH("QTY",F1928)+4),3))),""))</f>
        <v>0</v>
      </c>
      <c r="M1928">
        <f>'Raw Data'!O1928</f>
        <v>0</v>
      </c>
      <c r="N1928">
        <f>'Raw Data'!P1928</f>
        <v>0</v>
      </c>
      <c r="O1928">
        <f>'Raw Data'!Q1928</f>
        <v>0</v>
      </c>
      <c r="P1928">
        <f>'Raw Data'!R1928</f>
        <v>0</v>
      </c>
      <c r="Q1928">
        <f>'Raw Data'!S1928</f>
        <v>0</v>
      </c>
      <c r="R1928">
        <f>'Raw Data'!T1928</f>
        <v>0</v>
      </c>
      <c r="S1928">
        <f>IFERROR(O1928,0)+IFERROR(R1928,0)</f>
        <v>0</v>
      </c>
      <c r="T1928">
        <f>IF(A1928="","",YEAR(A1928))</f>
        <v>0</v>
      </c>
    </row>
    <row r="1929" spans="1:20">
      <c r="A1929">
        <f>'Raw Data'!B1929</f>
        <v>0</v>
      </c>
      <c r="B1929">
        <f>'Raw Data'!A1929</f>
        <v>0</v>
      </c>
      <c r="C1929">
        <f>'Raw Data'!C1929</f>
        <v>0</v>
      </c>
      <c r="D1929">
        <f>'Raw Data'!D1929</f>
        <v>0</v>
      </c>
      <c r="E1929">
        <f>IFERROR(VLOOKUP(D1929,'Lookup Tables'!$A:$B,2,FALSE),"Unknown")</f>
        <v>0</v>
      </c>
      <c r="F1929">
        <f>'Raw Data'!E1929</f>
        <v>0</v>
      </c>
      <c r="G1929">
        <f>IFERROR(VLOOKUP(D1929,'Lookup Tables'!$A:$C,3,FALSE),IF(ISNUMBER(SEARCH("STEEL",F1929)),"Steel","Others"))</f>
        <v>0</v>
      </c>
      <c r="H1929">
        <f>IF(ISNUMBER(SEARCH("scrubber",F1929)) , "Scrubber", IF(ISNUMBER(SEARCH("container",F1929)),"Container", IF(ISNUMBER(SEARCH("basket",F1929)),"Basket", IF(ISNUMBER(SEARCH("lunch",F1929)),"Lunch Box", IF(ISNUMBER(SEARCH("cutlery",F1929)),"Cutlery","Other")))))</f>
        <v>0</v>
      </c>
      <c r="I1929">
        <f>IF('Raw Data'!G1929&lt;&gt;'','Raw Data'!G1929,IFERROR(MID(F1929,SEARCH("MODEL",F1929)+6,20),""))</f>
        <v>0</v>
      </c>
      <c r="J1929">
        <f>'Raw Data'!H1929</f>
        <v>0</v>
      </c>
      <c r="K1929">
        <f>'Raw Data'!I1929</f>
        <v>0</v>
      </c>
      <c r="L1929">
        <f>IF('Raw Data'!N1929&lt;&gt;0,'Raw Data'!N1929,IFERROR(VALUE(MID(F1929,SEARCH("QTY",F1929)+4,IFERROR(FIND(" ",F1929,SEARCH("QTY",F1929)+4)-(SEARCH("QTY",F1929)+4),3))),""))</f>
        <v>0</v>
      </c>
      <c r="M1929">
        <f>'Raw Data'!O1929</f>
        <v>0</v>
      </c>
      <c r="N1929">
        <f>'Raw Data'!P1929</f>
        <v>0</v>
      </c>
      <c r="O1929">
        <f>'Raw Data'!Q1929</f>
        <v>0</v>
      </c>
      <c r="P1929">
        <f>'Raw Data'!R1929</f>
        <v>0</v>
      </c>
      <c r="Q1929">
        <f>'Raw Data'!S1929</f>
        <v>0</v>
      </c>
      <c r="R1929">
        <f>'Raw Data'!T1929</f>
        <v>0</v>
      </c>
      <c r="S1929">
        <f>IFERROR(O1929,0)+IFERROR(R1929,0)</f>
        <v>0</v>
      </c>
      <c r="T1929">
        <f>IF(A1929="","",YEAR(A1929))</f>
        <v>0</v>
      </c>
    </row>
    <row r="1930" spans="1:20">
      <c r="A1930">
        <f>'Raw Data'!B1930</f>
        <v>0</v>
      </c>
      <c r="B1930">
        <f>'Raw Data'!A1930</f>
        <v>0</v>
      </c>
      <c r="C1930">
        <f>'Raw Data'!C1930</f>
        <v>0</v>
      </c>
      <c r="D1930">
        <f>'Raw Data'!D1930</f>
        <v>0</v>
      </c>
      <c r="E1930">
        <f>IFERROR(VLOOKUP(D1930,'Lookup Tables'!$A:$B,2,FALSE),"Unknown")</f>
        <v>0</v>
      </c>
      <c r="F1930">
        <f>'Raw Data'!E1930</f>
        <v>0</v>
      </c>
      <c r="G1930">
        <f>IFERROR(VLOOKUP(D1930,'Lookup Tables'!$A:$C,3,FALSE),IF(ISNUMBER(SEARCH("STEEL",F1930)),"Steel","Others"))</f>
        <v>0</v>
      </c>
      <c r="H1930">
        <f>IF(ISNUMBER(SEARCH("scrubber",F1930)) , "Scrubber", IF(ISNUMBER(SEARCH("container",F1930)),"Container", IF(ISNUMBER(SEARCH("basket",F1930)),"Basket", IF(ISNUMBER(SEARCH("lunch",F1930)),"Lunch Box", IF(ISNUMBER(SEARCH("cutlery",F1930)),"Cutlery","Other")))))</f>
        <v>0</v>
      </c>
      <c r="I1930">
        <f>IF('Raw Data'!G1930&lt;&gt;'','Raw Data'!G1930,IFERROR(MID(F1930,SEARCH("MODEL",F1930)+6,20),""))</f>
        <v>0</v>
      </c>
      <c r="J1930">
        <f>'Raw Data'!H1930</f>
        <v>0</v>
      </c>
      <c r="K1930">
        <f>'Raw Data'!I1930</f>
        <v>0</v>
      </c>
      <c r="L1930">
        <f>IF('Raw Data'!N1930&lt;&gt;0,'Raw Data'!N1930,IFERROR(VALUE(MID(F1930,SEARCH("QTY",F1930)+4,IFERROR(FIND(" ",F1930,SEARCH("QTY",F1930)+4)-(SEARCH("QTY",F1930)+4),3))),""))</f>
        <v>0</v>
      </c>
      <c r="M1930">
        <f>'Raw Data'!O1930</f>
        <v>0</v>
      </c>
      <c r="N1930">
        <f>'Raw Data'!P1930</f>
        <v>0</v>
      </c>
      <c r="O1930">
        <f>'Raw Data'!Q1930</f>
        <v>0</v>
      </c>
      <c r="P1930">
        <f>'Raw Data'!R1930</f>
        <v>0</v>
      </c>
      <c r="Q1930">
        <f>'Raw Data'!S1930</f>
        <v>0</v>
      </c>
      <c r="R1930">
        <f>'Raw Data'!T1930</f>
        <v>0</v>
      </c>
      <c r="S1930">
        <f>IFERROR(O1930,0)+IFERROR(R1930,0)</f>
        <v>0</v>
      </c>
      <c r="T1930">
        <f>IF(A1930="","",YEAR(A1930))</f>
        <v>0</v>
      </c>
    </row>
    <row r="1931" spans="1:20">
      <c r="A1931">
        <f>'Raw Data'!B1931</f>
        <v>0</v>
      </c>
      <c r="B1931">
        <f>'Raw Data'!A1931</f>
        <v>0</v>
      </c>
      <c r="C1931">
        <f>'Raw Data'!C1931</f>
        <v>0</v>
      </c>
      <c r="D1931">
        <f>'Raw Data'!D1931</f>
        <v>0</v>
      </c>
      <c r="E1931">
        <f>IFERROR(VLOOKUP(D1931,'Lookup Tables'!$A:$B,2,FALSE),"Unknown")</f>
        <v>0</v>
      </c>
      <c r="F1931">
        <f>'Raw Data'!E1931</f>
        <v>0</v>
      </c>
      <c r="G1931">
        <f>IFERROR(VLOOKUP(D1931,'Lookup Tables'!$A:$C,3,FALSE),IF(ISNUMBER(SEARCH("STEEL",F1931)),"Steel","Others"))</f>
        <v>0</v>
      </c>
      <c r="H1931">
        <f>IF(ISNUMBER(SEARCH("scrubber",F1931)) , "Scrubber", IF(ISNUMBER(SEARCH("container",F1931)),"Container", IF(ISNUMBER(SEARCH("basket",F1931)),"Basket", IF(ISNUMBER(SEARCH("lunch",F1931)),"Lunch Box", IF(ISNUMBER(SEARCH("cutlery",F1931)),"Cutlery","Other")))))</f>
        <v>0</v>
      </c>
      <c r="I1931">
        <f>IF('Raw Data'!G1931&lt;&gt;'','Raw Data'!G1931,IFERROR(MID(F1931,SEARCH("MODEL",F1931)+6,20),""))</f>
        <v>0</v>
      </c>
      <c r="J1931">
        <f>'Raw Data'!H1931</f>
        <v>0</v>
      </c>
      <c r="K1931">
        <f>'Raw Data'!I1931</f>
        <v>0</v>
      </c>
      <c r="L1931">
        <f>IF('Raw Data'!N1931&lt;&gt;0,'Raw Data'!N1931,IFERROR(VALUE(MID(F1931,SEARCH("QTY",F1931)+4,IFERROR(FIND(" ",F1931,SEARCH("QTY",F1931)+4)-(SEARCH("QTY",F1931)+4),3))),""))</f>
        <v>0</v>
      </c>
      <c r="M1931">
        <f>'Raw Data'!O1931</f>
        <v>0</v>
      </c>
      <c r="N1931">
        <f>'Raw Data'!P1931</f>
        <v>0</v>
      </c>
      <c r="O1931">
        <f>'Raw Data'!Q1931</f>
        <v>0</v>
      </c>
      <c r="P1931">
        <f>'Raw Data'!R1931</f>
        <v>0</v>
      </c>
      <c r="Q1931">
        <f>'Raw Data'!S1931</f>
        <v>0</v>
      </c>
      <c r="R1931">
        <f>'Raw Data'!T1931</f>
        <v>0</v>
      </c>
      <c r="S1931">
        <f>IFERROR(O1931,0)+IFERROR(R1931,0)</f>
        <v>0</v>
      </c>
      <c r="T1931">
        <f>IF(A1931="","",YEAR(A1931))</f>
        <v>0</v>
      </c>
    </row>
    <row r="1932" spans="1:20">
      <c r="A1932">
        <f>'Raw Data'!B1932</f>
        <v>0</v>
      </c>
      <c r="B1932">
        <f>'Raw Data'!A1932</f>
        <v>0</v>
      </c>
      <c r="C1932">
        <f>'Raw Data'!C1932</f>
        <v>0</v>
      </c>
      <c r="D1932">
        <f>'Raw Data'!D1932</f>
        <v>0</v>
      </c>
      <c r="E1932">
        <f>IFERROR(VLOOKUP(D1932,'Lookup Tables'!$A:$B,2,FALSE),"Unknown")</f>
        <v>0</v>
      </c>
      <c r="F1932">
        <f>'Raw Data'!E1932</f>
        <v>0</v>
      </c>
      <c r="G1932">
        <f>IFERROR(VLOOKUP(D1932,'Lookup Tables'!$A:$C,3,FALSE),IF(ISNUMBER(SEARCH("STEEL",F1932)),"Steel","Others"))</f>
        <v>0</v>
      </c>
      <c r="H1932">
        <f>IF(ISNUMBER(SEARCH("scrubber",F1932)) , "Scrubber", IF(ISNUMBER(SEARCH("container",F1932)),"Container", IF(ISNUMBER(SEARCH("basket",F1932)),"Basket", IF(ISNUMBER(SEARCH("lunch",F1932)),"Lunch Box", IF(ISNUMBER(SEARCH("cutlery",F1932)),"Cutlery","Other")))))</f>
        <v>0</v>
      </c>
      <c r="I1932">
        <f>IF('Raw Data'!G1932&lt;&gt;'','Raw Data'!G1932,IFERROR(MID(F1932,SEARCH("MODEL",F1932)+6,20),""))</f>
        <v>0</v>
      </c>
      <c r="J1932">
        <f>'Raw Data'!H1932</f>
        <v>0</v>
      </c>
      <c r="K1932">
        <f>'Raw Data'!I1932</f>
        <v>0</v>
      </c>
      <c r="L1932">
        <f>IF('Raw Data'!N1932&lt;&gt;0,'Raw Data'!N1932,IFERROR(VALUE(MID(F1932,SEARCH("QTY",F1932)+4,IFERROR(FIND(" ",F1932,SEARCH("QTY",F1932)+4)-(SEARCH("QTY",F1932)+4),3))),""))</f>
        <v>0</v>
      </c>
      <c r="M1932">
        <f>'Raw Data'!O1932</f>
        <v>0</v>
      </c>
      <c r="N1932">
        <f>'Raw Data'!P1932</f>
        <v>0</v>
      </c>
      <c r="O1932">
        <f>'Raw Data'!Q1932</f>
        <v>0</v>
      </c>
      <c r="P1932">
        <f>'Raw Data'!R1932</f>
        <v>0</v>
      </c>
      <c r="Q1932">
        <f>'Raw Data'!S1932</f>
        <v>0</v>
      </c>
      <c r="R1932">
        <f>'Raw Data'!T1932</f>
        <v>0</v>
      </c>
      <c r="S1932">
        <f>IFERROR(O1932,0)+IFERROR(R1932,0)</f>
        <v>0</v>
      </c>
      <c r="T1932">
        <f>IF(A1932="","",YEAR(A1932))</f>
        <v>0</v>
      </c>
    </row>
    <row r="1933" spans="1:20">
      <c r="A1933">
        <f>'Raw Data'!B1933</f>
        <v>0</v>
      </c>
      <c r="B1933">
        <f>'Raw Data'!A1933</f>
        <v>0</v>
      </c>
      <c r="C1933">
        <f>'Raw Data'!C1933</f>
        <v>0</v>
      </c>
      <c r="D1933">
        <f>'Raw Data'!D1933</f>
        <v>0</v>
      </c>
      <c r="E1933">
        <f>IFERROR(VLOOKUP(D1933,'Lookup Tables'!$A:$B,2,FALSE),"Unknown")</f>
        <v>0</v>
      </c>
      <c r="F1933">
        <f>'Raw Data'!E1933</f>
        <v>0</v>
      </c>
      <c r="G1933">
        <f>IFERROR(VLOOKUP(D1933,'Lookup Tables'!$A:$C,3,FALSE),IF(ISNUMBER(SEARCH("STEEL",F1933)),"Steel","Others"))</f>
        <v>0</v>
      </c>
      <c r="H1933">
        <f>IF(ISNUMBER(SEARCH("scrubber",F1933)) , "Scrubber", IF(ISNUMBER(SEARCH("container",F1933)),"Container", IF(ISNUMBER(SEARCH("basket",F1933)),"Basket", IF(ISNUMBER(SEARCH("lunch",F1933)),"Lunch Box", IF(ISNUMBER(SEARCH("cutlery",F1933)),"Cutlery","Other")))))</f>
        <v>0</v>
      </c>
      <c r="I1933">
        <f>IF('Raw Data'!G1933&lt;&gt;'','Raw Data'!G1933,IFERROR(MID(F1933,SEARCH("MODEL",F1933)+6,20),""))</f>
        <v>0</v>
      </c>
      <c r="J1933">
        <f>'Raw Data'!H1933</f>
        <v>0</v>
      </c>
      <c r="K1933">
        <f>'Raw Data'!I1933</f>
        <v>0</v>
      </c>
      <c r="L1933">
        <f>IF('Raw Data'!N1933&lt;&gt;0,'Raw Data'!N1933,IFERROR(VALUE(MID(F1933,SEARCH("QTY",F1933)+4,IFERROR(FIND(" ",F1933,SEARCH("QTY",F1933)+4)-(SEARCH("QTY",F1933)+4),3))),""))</f>
        <v>0</v>
      </c>
      <c r="M1933">
        <f>'Raw Data'!O1933</f>
        <v>0</v>
      </c>
      <c r="N1933">
        <f>'Raw Data'!P1933</f>
        <v>0</v>
      </c>
      <c r="O1933">
        <f>'Raw Data'!Q1933</f>
        <v>0</v>
      </c>
      <c r="P1933">
        <f>'Raw Data'!R1933</f>
        <v>0</v>
      </c>
      <c r="Q1933">
        <f>'Raw Data'!S1933</f>
        <v>0</v>
      </c>
      <c r="R1933">
        <f>'Raw Data'!T1933</f>
        <v>0</v>
      </c>
      <c r="S1933">
        <f>IFERROR(O1933,0)+IFERROR(R1933,0)</f>
        <v>0</v>
      </c>
      <c r="T1933">
        <f>IF(A1933="","",YEAR(A1933))</f>
        <v>0</v>
      </c>
    </row>
    <row r="1934" spans="1:20">
      <c r="A1934">
        <f>'Raw Data'!B1934</f>
        <v>0</v>
      </c>
      <c r="B1934">
        <f>'Raw Data'!A1934</f>
        <v>0</v>
      </c>
      <c r="C1934">
        <f>'Raw Data'!C1934</f>
        <v>0</v>
      </c>
      <c r="D1934">
        <f>'Raw Data'!D1934</f>
        <v>0</v>
      </c>
      <c r="E1934">
        <f>IFERROR(VLOOKUP(D1934,'Lookup Tables'!$A:$B,2,FALSE),"Unknown")</f>
        <v>0</v>
      </c>
      <c r="F1934">
        <f>'Raw Data'!E1934</f>
        <v>0</v>
      </c>
      <c r="G1934">
        <f>IFERROR(VLOOKUP(D1934,'Lookup Tables'!$A:$C,3,FALSE),IF(ISNUMBER(SEARCH("STEEL",F1934)),"Steel","Others"))</f>
        <v>0</v>
      </c>
      <c r="H1934">
        <f>IF(ISNUMBER(SEARCH("scrubber",F1934)) , "Scrubber", IF(ISNUMBER(SEARCH("container",F1934)),"Container", IF(ISNUMBER(SEARCH("basket",F1934)),"Basket", IF(ISNUMBER(SEARCH("lunch",F1934)),"Lunch Box", IF(ISNUMBER(SEARCH("cutlery",F1934)),"Cutlery","Other")))))</f>
        <v>0</v>
      </c>
      <c r="I1934">
        <f>IF('Raw Data'!G1934&lt;&gt;'','Raw Data'!G1934,IFERROR(MID(F1934,SEARCH("MODEL",F1934)+6,20),""))</f>
        <v>0</v>
      </c>
      <c r="J1934">
        <f>'Raw Data'!H1934</f>
        <v>0</v>
      </c>
      <c r="K1934">
        <f>'Raw Data'!I1934</f>
        <v>0</v>
      </c>
      <c r="L1934">
        <f>IF('Raw Data'!N1934&lt;&gt;0,'Raw Data'!N1934,IFERROR(VALUE(MID(F1934,SEARCH("QTY",F1934)+4,IFERROR(FIND(" ",F1934,SEARCH("QTY",F1934)+4)-(SEARCH("QTY",F1934)+4),3))),""))</f>
        <v>0</v>
      </c>
      <c r="M1934">
        <f>'Raw Data'!O1934</f>
        <v>0</v>
      </c>
      <c r="N1934">
        <f>'Raw Data'!P1934</f>
        <v>0</v>
      </c>
      <c r="O1934">
        <f>'Raw Data'!Q1934</f>
        <v>0</v>
      </c>
      <c r="P1934">
        <f>'Raw Data'!R1934</f>
        <v>0</v>
      </c>
      <c r="Q1934">
        <f>'Raw Data'!S1934</f>
        <v>0</v>
      </c>
      <c r="R1934">
        <f>'Raw Data'!T1934</f>
        <v>0</v>
      </c>
      <c r="S1934">
        <f>IFERROR(O1934,0)+IFERROR(R1934,0)</f>
        <v>0</v>
      </c>
      <c r="T1934">
        <f>IF(A1934="","",YEAR(A1934))</f>
        <v>0</v>
      </c>
    </row>
    <row r="1935" spans="1:20">
      <c r="A1935">
        <f>'Raw Data'!B1935</f>
        <v>0</v>
      </c>
      <c r="B1935">
        <f>'Raw Data'!A1935</f>
        <v>0</v>
      </c>
      <c r="C1935">
        <f>'Raw Data'!C1935</f>
        <v>0</v>
      </c>
      <c r="D1935">
        <f>'Raw Data'!D1935</f>
        <v>0</v>
      </c>
      <c r="E1935">
        <f>IFERROR(VLOOKUP(D1935,'Lookup Tables'!$A:$B,2,FALSE),"Unknown")</f>
        <v>0</v>
      </c>
      <c r="F1935">
        <f>'Raw Data'!E1935</f>
        <v>0</v>
      </c>
      <c r="G1935">
        <f>IFERROR(VLOOKUP(D1935,'Lookup Tables'!$A:$C,3,FALSE),IF(ISNUMBER(SEARCH("STEEL",F1935)),"Steel","Others"))</f>
        <v>0</v>
      </c>
      <c r="H1935">
        <f>IF(ISNUMBER(SEARCH("scrubber",F1935)) , "Scrubber", IF(ISNUMBER(SEARCH("container",F1935)),"Container", IF(ISNUMBER(SEARCH("basket",F1935)),"Basket", IF(ISNUMBER(SEARCH("lunch",F1935)),"Lunch Box", IF(ISNUMBER(SEARCH("cutlery",F1935)),"Cutlery","Other")))))</f>
        <v>0</v>
      </c>
      <c r="I1935">
        <f>IF('Raw Data'!G1935&lt;&gt;'','Raw Data'!G1935,IFERROR(MID(F1935,SEARCH("MODEL",F1935)+6,20),""))</f>
        <v>0</v>
      </c>
      <c r="J1935">
        <f>'Raw Data'!H1935</f>
        <v>0</v>
      </c>
      <c r="K1935">
        <f>'Raw Data'!I1935</f>
        <v>0</v>
      </c>
      <c r="L1935">
        <f>IF('Raw Data'!N1935&lt;&gt;0,'Raw Data'!N1935,IFERROR(VALUE(MID(F1935,SEARCH("QTY",F1935)+4,IFERROR(FIND(" ",F1935,SEARCH("QTY",F1935)+4)-(SEARCH("QTY",F1935)+4),3))),""))</f>
        <v>0</v>
      </c>
      <c r="M1935">
        <f>'Raw Data'!O1935</f>
        <v>0</v>
      </c>
      <c r="N1935">
        <f>'Raw Data'!P1935</f>
        <v>0</v>
      </c>
      <c r="O1935">
        <f>'Raw Data'!Q1935</f>
        <v>0</v>
      </c>
      <c r="P1935">
        <f>'Raw Data'!R1935</f>
        <v>0</v>
      </c>
      <c r="Q1935">
        <f>'Raw Data'!S1935</f>
        <v>0</v>
      </c>
      <c r="R1935">
        <f>'Raw Data'!T1935</f>
        <v>0</v>
      </c>
      <c r="S1935">
        <f>IFERROR(O1935,0)+IFERROR(R1935,0)</f>
        <v>0</v>
      </c>
      <c r="T1935">
        <f>IF(A1935="","",YEAR(A1935))</f>
        <v>0</v>
      </c>
    </row>
    <row r="1936" spans="1:20">
      <c r="A1936">
        <f>'Raw Data'!B1936</f>
        <v>0</v>
      </c>
      <c r="B1936">
        <f>'Raw Data'!A1936</f>
        <v>0</v>
      </c>
      <c r="C1936">
        <f>'Raw Data'!C1936</f>
        <v>0</v>
      </c>
      <c r="D1936">
        <f>'Raw Data'!D1936</f>
        <v>0</v>
      </c>
      <c r="E1936">
        <f>IFERROR(VLOOKUP(D1936,'Lookup Tables'!$A:$B,2,FALSE),"Unknown")</f>
        <v>0</v>
      </c>
      <c r="F1936">
        <f>'Raw Data'!E1936</f>
        <v>0</v>
      </c>
      <c r="G1936">
        <f>IFERROR(VLOOKUP(D1936,'Lookup Tables'!$A:$C,3,FALSE),IF(ISNUMBER(SEARCH("STEEL",F1936)),"Steel","Others"))</f>
        <v>0</v>
      </c>
      <c r="H1936">
        <f>IF(ISNUMBER(SEARCH("scrubber",F1936)) , "Scrubber", IF(ISNUMBER(SEARCH("container",F1936)),"Container", IF(ISNUMBER(SEARCH("basket",F1936)),"Basket", IF(ISNUMBER(SEARCH("lunch",F1936)),"Lunch Box", IF(ISNUMBER(SEARCH("cutlery",F1936)),"Cutlery","Other")))))</f>
        <v>0</v>
      </c>
      <c r="I1936">
        <f>IF('Raw Data'!G1936&lt;&gt;'','Raw Data'!G1936,IFERROR(MID(F1936,SEARCH("MODEL",F1936)+6,20),""))</f>
        <v>0</v>
      </c>
      <c r="J1936">
        <f>'Raw Data'!H1936</f>
        <v>0</v>
      </c>
      <c r="K1936">
        <f>'Raw Data'!I1936</f>
        <v>0</v>
      </c>
      <c r="L1936">
        <f>IF('Raw Data'!N1936&lt;&gt;0,'Raw Data'!N1936,IFERROR(VALUE(MID(F1936,SEARCH("QTY",F1936)+4,IFERROR(FIND(" ",F1936,SEARCH("QTY",F1936)+4)-(SEARCH("QTY",F1936)+4),3))),""))</f>
        <v>0</v>
      </c>
      <c r="M1936">
        <f>'Raw Data'!O1936</f>
        <v>0</v>
      </c>
      <c r="N1936">
        <f>'Raw Data'!P1936</f>
        <v>0</v>
      </c>
      <c r="O1936">
        <f>'Raw Data'!Q1936</f>
        <v>0</v>
      </c>
      <c r="P1936">
        <f>'Raw Data'!R1936</f>
        <v>0</v>
      </c>
      <c r="Q1936">
        <f>'Raw Data'!S1936</f>
        <v>0</v>
      </c>
      <c r="R1936">
        <f>'Raw Data'!T1936</f>
        <v>0</v>
      </c>
      <c r="S1936">
        <f>IFERROR(O1936,0)+IFERROR(R1936,0)</f>
        <v>0</v>
      </c>
      <c r="T1936">
        <f>IF(A1936="","",YEAR(A1936))</f>
        <v>0</v>
      </c>
    </row>
    <row r="1937" spans="1:20">
      <c r="A1937">
        <f>'Raw Data'!B1937</f>
        <v>0</v>
      </c>
      <c r="B1937">
        <f>'Raw Data'!A1937</f>
        <v>0</v>
      </c>
      <c r="C1937">
        <f>'Raw Data'!C1937</f>
        <v>0</v>
      </c>
      <c r="D1937">
        <f>'Raw Data'!D1937</f>
        <v>0</v>
      </c>
      <c r="E1937">
        <f>IFERROR(VLOOKUP(D1937,'Lookup Tables'!$A:$B,2,FALSE),"Unknown")</f>
        <v>0</v>
      </c>
      <c r="F1937">
        <f>'Raw Data'!E1937</f>
        <v>0</v>
      </c>
      <c r="G1937">
        <f>IFERROR(VLOOKUP(D1937,'Lookup Tables'!$A:$C,3,FALSE),IF(ISNUMBER(SEARCH("STEEL",F1937)),"Steel","Others"))</f>
        <v>0</v>
      </c>
      <c r="H1937">
        <f>IF(ISNUMBER(SEARCH("scrubber",F1937)) , "Scrubber", IF(ISNUMBER(SEARCH("container",F1937)),"Container", IF(ISNUMBER(SEARCH("basket",F1937)),"Basket", IF(ISNUMBER(SEARCH("lunch",F1937)),"Lunch Box", IF(ISNUMBER(SEARCH("cutlery",F1937)),"Cutlery","Other")))))</f>
        <v>0</v>
      </c>
      <c r="I1937">
        <f>IF('Raw Data'!G1937&lt;&gt;'','Raw Data'!G1937,IFERROR(MID(F1937,SEARCH("MODEL",F1937)+6,20),""))</f>
        <v>0</v>
      </c>
      <c r="J1937">
        <f>'Raw Data'!H1937</f>
        <v>0</v>
      </c>
      <c r="K1937">
        <f>'Raw Data'!I1937</f>
        <v>0</v>
      </c>
      <c r="L1937">
        <f>IF('Raw Data'!N1937&lt;&gt;0,'Raw Data'!N1937,IFERROR(VALUE(MID(F1937,SEARCH("QTY",F1937)+4,IFERROR(FIND(" ",F1937,SEARCH("QTY",F1937)+4)-(SEARCH("QTY",F1937)+4),3))),""))</f>
        <v>0</v>
      </c>
      <c r="M1937">
        <f>'Raw Data'!O1937</f>
        <v>0</v>
      </c>
      <c r="N1937">
        <f>'Raw Data'!P1937</f>
        <v>0</v>
      </c>
      <c r="O1937">
        <f>'Raw Data'!Q1937</f>
        <v>0</v>
      </c>
      <c r="P1937">
        <f>'Raw Data'!R1937</f>
        <v>0</v>
      </c>
      <c r="Q1937">
        <f>'Raw Data'!S1937</f>
        <v>0</v>
      </c>
      <c r="R1937">
        <f>'Raw Data'!T1937</f>
        <v>0</v>
      </c>
      <c r="S1937">
        <f>IFERROR(O1937,0)+IFERROR(R1937,0)</f>
        <v>0</v>
      </c>
      <c r="T1937">
        <f>IF(A1937="","",YEAR(A1937))</f>
        <v>0</v>
      </c>
    </row>
    <row r="1938" spans="1:20">
      <c r="A1938">
        <f>'Raw Data'!B1938</f>
        <v>0</v>
      </c>
      <c r="B1938">
        <f>'Raw Data'!A1938</f>
        <v>0</v>
      </c>
      <c r="C1938">
        <f>'Raw Data'!C1938</f>
        <v>0</v>
      </c>
      <c r="D1938">
        <f>'Raw Data'!D1938</f>
        <v>0</v>
      </c>
      <c r="E1938">
        <f>IFERROR(VLOOKUP(D1938,'Lookup Tables'!$A:$B,2,FALSE),"Unknown")</f>
        <v>0</v>
      </c>
      <c r="F1938">
        <f>'Raw Data'!E1938</f>
        <v>0</v>
      </c>
      <c r="G1938">
        <f>IFERROR(VLOOKUP(D1938,'Lookup Tables'!$A:$C,3,FALSE),IF(ISNUMBER(SEARCH("STEEL",F1938)),"Steel","Others"))</f>
        <v>0</v>
      </c>
      <c r="H1938">
        <f>IF(ISNUMBER(SEARCH("scrubber",F1938)) , "Scrubber", IF(ISNUMBER(SEARCH("container",F1938)),"Container", IF(ISNUMBER(SEARCH("basket",F1938)),"Basket", IF(ISNUMBER(SEARCH("lunch",F1938)),"Lunch Box", IF(ISNUMBER(SEARCH("cutlery",F1938)),"Cutlery","Other")))))</f>
        <v>0</v>
      </c>
      <c r="I1938">
        <f>IF('Raw Data'!G1938&lt;&gt;'','Raw Data'!G1938,IFERROR(MID(F1938,SEARCH("MODEL",F1938)+6,20),""))</f>
        <v>0</v>
      </c>
      <c r="J1938">
        <f>'Raw Data'!H1938</f>
        <v>0</v>
      </c>
      <c r="K1938">
        <f>'Raw Data'!I1938</f>
        <v>0</v>
      </c>
      <c r="L1938">
        <f>IF('Raw Data'!N1938&lt;&gt;0,'Raw Data'!N1938,IFERROR(VALUE(MID(F1938,SEARCH("QTY",F1938)+4,IFERROR(FIND(" ",F1938,SEARCH("QTY",F1938)+4)-(SEARCH("QTY",F1938)+4),3))),""))</f>
        <v>0</v>
      </c>
      <c r="M1938">
        <f>'Raw Data'!O1938</f>
        <v>0</v>
      </c>
      <c r="N1938">
        <f>'Raw Data'!P1938</f>
        <v>0</v>
      </c>
      <c r="O1938">
        <f>'Raw Data'!Q1938</f>
        <v>0</v>
      </c>
      <c r="P1938">
        <f>'Raw Data'!R1938</f>
        <v>0</v>
      </c>
      <c r="Q1938">
        <f>'Raw Data'!S1938</f>
        <v>0</v>
      </c>
      <c r="R1938">
        <f>'Raw Data'!T1938</f>
        <v>0</v>
      </c>
      <c r="S1938">
        <f>IFERROR(O1938,0)+IFERROR(R1938,0)</f>
        <v>0</v>
      </c>
      <c r="T1938">
        <f>IF(A1938="","",YEAR(A1938))</f>
        <v>0</v>
      </c>
    </row>
    <row r="1939" spans="1:20">
      <c r="A1939">
        <f>'Raw Data'!B1939</f>
        <v>0</v>
      </c>
      <c r="B1939">
        <f>'Raw Data'!A1939</f>
        <v>0</v>
      </c>
      <c r="C1939">
        <f>'Raw Data'!C1939</f>
        <v>0</v>
      </c>
      <c r="D1939">
        <f>'Raw Data'!D1939</f>
        <v>0</v>
      </c>
      <c r="E1939">
        <f>IFERROR(VLOOKUP(D1939,'Lookup Tables'!$A:$B,2,FALSE),"Unknown")</f>
        <v>0</v>
      </c>
      <c r="F1939">
        <f>'Raw Data'!E1939</f>
        <v>0</v>
      </c>
      <c r="G1939">
        <f>IFERROR(VLOOKUP(D1939,'Lookup Tables'!$A:$C,3,FALSE),IF(ISNUMBER(SEARCH("STEEL",F1939)),"Steel","Others"))</f>
        <v>0</v>
      </c>
      <c r="H1939">
        <f>IF(ISNUMBER(SEARCH("scrubber",F1939)) , "Scrubber", IF(ISNUMBER(SEARCH("container",F1939)),"Container", IF(ISNUMBER(SEARCH("basket",F1939)),"Basket", IF(ISNUMBER(SEARCH("lunch",F1939)),"Lunch Box", IF(ISNUMBER(SEARCH("cutlery",F1939)),"Cutlery","Other")))))</f>
        <v>0</v>
      </c>
      <c r="I1939">
        <f>IF('Raw Data'!G1939&lt;&gt;'','Raw Data'!G1939,IFERROR(MID(F1939,SEARCH("MODEL",F1939)+6,20),""))</f>
        <v>0</v>
      </c>
      <c r="J1939">
        <f>'Raw Data'!H1939</f>
        <v>0</v>
      </c>
      <c r="K1939">
        <f>'Raw Data'!I1939</f>
        <v>0</v>
      </c>
      <c r="L1939">
        <f>IF('Raw Data'!N1939&lt;&gt;0,'Raw Data'!N1939,IFERROR(VALUE(MID(F1939,SEARCH("QTY",F1939)+4,IFERROR(FIND(" ",F1939,SEARCH("QTY",F1939)+4)-(SEARCH("QTY",F1939)+4),3))),""))</f>
        <v>0</v>
      </c>
      <c r="M1939">
        <f>'Raw Data'!O1939</f>
        <v>0</v>
      </c>
      <c r="N1939">
        <f>'Raw Data'!P1939</f>
        <v>0</v>
      </c>
      <c r="O1939">
        <f>'Raw Data'!Q1939</f>
        <v>0</v>
      </c>
      <c r="P1939">
        <f>'Raw Data'!R1939</f>
        <v>0</v>
      </c>
      <c r="Q1939">
        <f>'Raw Data'!S1939</f>
        <v>0</v>
      </c>
      <c r="R1939">
        <f>'Raw Data'!T1939</f>
        <v>0</v>
      </c>
      <c r="S1939">
        <f>IFERROR(O1939,0)+IFERROR(R1939,0)</f>
        <v>0</v>
      </c>
      <c r="T1939">
        <f>IF(A1939="","",YEAR(A1939))</f>
        <v>0</v>
      </c>
    </row>
    <row r="1940" spans="1:20">
      <c r="A1940">
        <f>'Raw Data'!B1940</f>
        <v>0</v>
      </c>
      <c r="B1940">
        <f>'Raw Data'!A1940</f>
        <v>0</v>
      </c>
      <c r="C1940">
        <f>'Raw Data'!C1940</f>
        <v>0</v>
      </c>
      <c r="D1940">
        <f>'Raw Data'!D1940</f>
        <v>0</v>
      </c>
      <c r="E1940">
        <f>IFERROR(VLOOKUP(D1940,'Lookup Tables'!$A:$B,2,FALSE),"Unknown")</f>
        <v>0</v>
      </c>
      <c r="F1940">
        <f>'Raw Data'!E1940</f>
        <v>0</v>
      </c>
      <c r="G1940">
        <f>IFERROR(VLOOKUP(D1940,'Lookup Tables'!$A:$C,3,FALSE),IF(ISNUMBER(SEARCH("STEEL",F1940)),"Steel","Others"))</f>
        <v>0</v>
      </c>
      <c r="H1940">
        <f>IF(ISNUMBER(SEARCH("scrubber",F1940)) , "Scrubber", IF(ISNUMBER(SEARCH("container",F1940)),"Container", IF(ISNUMBER(SEARCH("basket",F1940)),"Basket", IF(ISNUMBER(SEARCH("lunch",F1940)),"Lunch Box", IF(ISNUMBER(SEARCH("cutlery",F1940)),"Cutlery","Other")))))</f>
        <v>0</v>
      </c>
      <c r="I1940">
        <f>IF('Raw Data'!G1940&lt;&gt;'','Raw Data'!G1940,IFERROR(MID(F1940,SEARCH("MODEL",F1940)+6,20),""))</f>
        <v>0</v>
      </c>
      <c r="J1940">
        <f>'Raw Data'!H1940</f>
        <v>0</v>
      </c>
      <c r="K1940">
        <f>'Raw Data'!I1940</f>
        <v>0</v>
      </c>
      <c r="L1940">
        <f>IF('Raw Data'!N1940&lt;&gt;0,'Raw Data'!N1940,IFERROR(VALUE(MID(F1940,SEARCH("QTY",F1940)+4,IFERROR(FIND(" ",F1940,SEARCH("QTY",F1940)+4)-(SEARCH("QTY",F1940)+4),3))),""))</f>
        <v>0</v>
      </c>
      <c r="M1940">
        <f>'Raw Data'!O1940</f>
        <v>0</v>
      </c>
      <c r="N1940">
        <f>'Raw Data'!P1940</f>
        <v>0</v>
      </c>
      <c r="O1940">
        <f>'Raw Data'!Q1940</f>
        <v>0</v>
      </c>
      <c r="P1940">
        <f>'Raw Data'!R1940</f>
        <v>0</v>
      </c>
      <c r="Q1940">
        <f>'Raw Data'!S1940</f>
        <v>0</v>
      </c>
      <c r="R1940">
        <f>'Raw Data'!T1940</f>
        <v>0</v>
      </c>
      <c r="S1940">
        <f>IFERROR(O1940,0)+IFERROR(R1940,0)</f>
        <v>0</v>
      </c>
      <c r="T1940">
        <f>IF(A1940="","",YEAR(A1940))</f>
        <v>0</v>
      </c>
    </row>
    <row r="1941" spans="1:20">
      <c r="A1941">
        <f>'Raw Data'!B1941</f>
        <v>0</v>
      </c>
      <c r="B1941">
        <f>'Raw Data'!A1941</f>
        <v>0</v>
      </c>
      <c r="C1941">
        <f>'Raw Data'!C1941</f>
        <v>0</v>
      </c>
      <c r="D1941">
        <f>'Raw Data'!D1941</f>
        <v>0</v>
      </c>
      <c r="E1941">
        <f>IFERROR(VLOOKUP(D1941,'Lookup Tables'!$A:$B,2,FALSE),"Unknown")</f>
        <v>0</v>
      </c>
      <c r="F1941">
        <f>'Raw Data'!E1941</f>
        <v>0</v>
      </c>
      <c r="G1941">
        <f>IFERROR(VLOOKUP(D1941,'Lookup Tables'!$A:$C,3,FALSE),IF(ISNUMBER(SEARCH("STEEL",F1941)),"Steel","Others"))</f>
        <v>0</v>
      </c>
      <c r="H1941">
        <f>IF(ISNUMBER(SEARCH("scrubber",F1941)) , "Scrubber", IF(ISNUMBER(SEARCH("container",F1941)),"Container", IF(ISNUMBER(SEARCH("basket",F1941)),"Basket", IF(ISNUMBER(SEARCH("lunch",F1941)),"Lunch Box", IF(ISNUMBER(SEARCH("cutlery",F1941)),"Cutlery","Other")))))</f>
        <v>0</v>
      </c>
      <c r="I1941">
        <f>IF('Raw Data'!G1941&lt;&gt;'','Raw Data'!G1941,IFERROR(MID(F1941,SEARCH("MODEL",F1941)+6,20),""))</f>
        <v>0</v>
      </c>
      <c r="J1941">
        <f>'Raw Data'!H1941</f>
        <v>0</v>
      </c>
      <c r="K1941">
        <f>'Raw Data'!I1941</f>
        <v>0</v>
      </c>
      <c r="L1941">
        <f>IF('Raw Data'!N1941&lt;&gt;0,'Raw Data'!N1941,IFERROR(VALUE(MID(F1941,SEARCH("QTY",F1941)+4,IFERROR(FIND(" ",F1941,SEARCH("QTY",F1941)+4)-(SEARCH("QTY",F1941)+4),3))),""))</f>
        <v>0</v>
      </c>
      <c r="M1941">
        <f>'Raw Data'!O1941</f>
        <v>0</v>
      </c>
      <c r="N1941">
        <f>'Raw Data'!P1941</f>
        <v>0</v>
      </c>
      <c r="O1941">
        <f>'Raw Data'!Q1941</f>
        <v>0</v>
      </c>
      <c r="P1941">
        <f>'Raw Data'!R1941</f>
        <v>0</v>
      </c>
      <c r="Q1941">
        <f>'Raw Data'!S1941</f>
        <v>0</v>
      </c>
      <c r="R1941">
        <f>'Raw Data'!T1941</f>
        <v>0</v>
      </c>
      <c r="S1941">
        <f>IFERROR(O1941,0)+IFERROR(R1941,0)</f>
        <v>0</v>
      </c>
      <c r="T1941">
        <f>IF(A1941="","",YEAR(A1941))</f>
        <v>0</v>
      </c>
    </row>
    <row r="1942" spans="1:20">
      <c r="A1942">
        <f>'Raw Data'!B1942</f>
        <v>0</v>
      </c>
      <c r="B1942">
        <f>'Raw Data'!A1942</f>
        <v>0</v>
      </c>
      <c r="C1942">
        <f>'Raw Data'!C1942</f>
        <v>0</v>
      </c>
      <c r="D1942">
        <f>'Raw Data'!D1942</f>
        <v>0</v>
      </c>
      <c r="E1942">
        <f>IFERROR(VLOOKUP(D1942,'Lookup Tables'!$A:$B,2,FALSE),"Unknown")</f>
        <v>0</v>
      </c>
      <c r="F1942">
        <f>'Raw Data'!E1942</f>
        <v>0</v>
      </c>
      <c r="G1942">
        <f>IFERROR(VLOOKUP(D1942,'Lookup Tables'!$A:$C,3,FALSE),IF(ISNUMBER(SEARCH("STEEL",F1942)),"Steel","Others"))</f>
        <v>0</v>
      </c>
      <c r="H1942">
        <f>IF(ISNUMBER(SEARCH("scrubber",F1942)) , "Scrubber", IF(ISNUMBER(SEARCH("container",F1942)),"Container", IF(ISNUMBER(SEARCH("basket",F1942)),"Basket", IF(ISNUMBER(SEARCH("lunch",F1942)),"Lunch Box", IF(ISNUMBER(SEARCH("cutlery",F1942)),"Cutlery","Other")))))</f>
        <v>0</v>
      </c>
      <c r="I1942">
        <f>IF('Raw Data'!G1942&lt;&gt;'','Raw Data'!G1942,IFERROR(MID(F1942,SEARCH("MODEL",F1942)+6,20),""))</f>
        <v>0</v>
      </c>
      <c r="J1942">
        <f>'Raw Data'!H1942</f>
        <v>0</v>
      </c>
      <c r="K1942">
        <f>'Raw Data'!I1942</f>
        <v>0</v>
      </c>
      <c r="L1942">
        <f>IF('Raw Data'!N1942&lt;&gt;0,'Raw Data'!N1942,IFERROR(VALUE(MID(F1942,SEARCH("QTY",F1942)+4,IFERROR(FIND(" ",F1942,SEARCH("QTY",F1942)+4)-(SEARCH("QTY",F1942)+4),3))),""))</f>
        <v>0</v>
      </c>
      <c r="M1942">
        <f>'Raw Data'!O1942</f>
        <v>0</v>
      </c>
      <c r="N1942">
        <f>'Raw Data'!P1942</f>
        <v>0</v>
      </c>
      <c r="O1942">
        <f>'Raw Data'!Q1942</f>
        <v>0</v>
      </c>
      <c r="P1942">
        <f>'Raw Data'!R1942</f>
        <v>0</v>
      </c>
      <c r="Q1942">
        <f>'Raw Data'!S1942</f>
        <v>0</v>
      </c>
      <c r="R1942">
        <f>'Raw Data'!T1942</f>
        <v>0</v>
      </c>
      <c r="S1942">
        <f>IFERROR(O1942,0)+IFERROR(R1942,0)</f>
        <v>0</v>
      </c>
      <c r="T1942">
        <f>IF(A1942="","",YEAR(A1942))</f>
        <v>0</v>
      </c>
    </row>
    <row r="1943" spans="1:20">
      <c r="A1943">
        <f>'Raw Data'!B1943</f>
        <v>0</v>
      </c>
      <c r="B1943">
        <f>'Raw Data'!A1943</f>
        <v>0</v>
      </c>
      <c r="C1943">
        <f>'Raw Data'!C1943</f>
        <v>0</v>
      </c>
      <c r="D1943">
        <f>'Raw Data'!D1943</f>
        <v>0</v>
      </c>
      <c r="E1943">
        <f>IFERROR(VLOOKUP(D1943,'Lookup Tables'!$A:$B,2,FALSE),"Unknown")</f>
        <v>0</v>
      </c>
      <c r="F1943">
        <f>'Raw Data'!E1943</f>
        <v>0</v>
      </c>
      <c r="G1943">
        <f>IFERROR(VLOOKUP(D1943,'Lookup Tables'!$A:$C,3,FALSE),IF(ISNUMBER(SEARCH("STEEL",F1943)),"Steel","Others"))</f>
        <v>0</v>
      </c>
      <c r="H1943">
        <f>IF(ISNUMBER(SEARCH("scrubber",F1943)) , "Scrubber", IF(ISNUMBER(SEARCH("container",F1943)),"Container", IF(ISNUMBER(SEARCH("basket",F1943)),"Basket", IF(ISNUMBER(SEARCH("lunch",F1943)),"Lunch Box", IF(ISNUMBER(SEARCH("cutlery",F1943)),"Cutlery","Other")))))</f>
        <v>0</v>
      </c>
      <c r="I1943">
        <f>IF('Raw Data'!G1943&lt;&gt;'','Raw Data'!G1943,IFERROR(MID(F1943,SEARCH("MODEL",F1943)+6,20),""))</f>
        <v>0</v>
      </c>
      <c r="J1943">
        <f>'Raw Data'!H1943</f>
        <v>0</v>
      </c>
      <c r="K1943">
        <f>'Raw Data'!I1943</f>
        <v>0</v>
      </c>
      <c r="L1943">
        <f>IF('Raw Data'!N1943&lt;&gt;0,'Raw Data'!N1943,IFERROR(VALUE(MID(F1943,SEARCH("QTY",F1943)+4,IFERROR(FIND(" ",F1943,SEARCH("QTY",F1943)+4)-(SEARCH("QTY",F1943)+4),3))),""))</f>
        <v>0</v>
      </c>
      <c r="M1943">
        <f>'Raw Data'!O1943</f>
        <v>0</v>
      </c>
      <c r="N1943">
        <f>'Raw Data'!P1943</f>
        <v>0</v>
      </c>
      <c r="O1943">
        <f>'Raw Data'!Q1943</f>
        <v>0</v>
      </c>
      <c r="P1943">
        <f>'Raw Data'!R1943</f>
        <v>0</v>
      </c>
      <c r="Q1943">
        <f>'Raw Data'!S1943</f>
        <v>0</v>
      </c>
      <c r="R1943">
        <f>'Raw Data'!T1943</f>
        <v>0</v>
      </c>
      <c r="S1943">
        <f>IFERROR(O1943,0)+IFERROR(R1943,0)</f>
        <v>0</v>
      </c>
      <c r="T1943">
        <f>IF(A1943="","",YEAR(A1943))</f>
        <v>0</v>
      </c>
    </row>
    <row r="1944" spans="1:20">
      <c r="A1944">
        <f>'Raw Data'!B1944</f>
        <v>0</v>
      </c>
      <c r="B1944">
        <f>'Raw Data'!A1944</f>
        <v>0</v>
      </c>
      <c r="C1944">
        <f>'Raw Data'!C1944</f>
        <v>0</v>
      </c>
      <c r="D1944">
        <f>'Raw Data'!D1944</f>
        <v>0</v>
      </c>
      <c r="E1944">
        <f>IFERROR(VLOOKUP(D1944,'Lookup Tables'!$A:$B,2,FALSE),"Unknown")</f>
        <v>0</v>
      </c>
      <c r="F1944">
        <f>'Raw Data'!E1944</f>
        <v>0</v>
      </c>
      <c r="G1944">
        <f>IFERROR(VLOOKUP(D1944,'Lookup Tables'!$A:$C,3,FALSE),IF(ISNUMBER(SEARCH("STEEL",F1944)),"Steel","Others"))</f>
        <v>0</v>
      </c>
      <c r="H1944">
        <f>IF(ISNUMBER(SEARCH("scrubber",F1944)) , "Scrubber", IF(ISNUMBER(SEARCH("container",F1944)),"Container", IF(ISNUMBER(SEARCH("basket",F1944)),"Basket", IF(ISNUMBER(SEARCH("lunch",F1944)),"Lunch Box", IF(ISNUMBER(SEARCH("cutlery",F1944)),"Cutlery","Other")))))</f>
        <v>0</v>
      </c>
      <c r="I1944">
        <f>IF('Raw Data'!G1944&lt;&gt;'','Raw Data'!G1944,IFERROR(MID(F1944,SEARCH("MODEL",F1944)+6,20),""))</f>
        <v>0</v>
      </c>
      <c r="J1944">
        <f>'Raw Data'!H1944</f>
        <v>0</v>
      </c>
      <c r="K1944">
        <f>'Raw Data'!I1944</f>
        <v>0</v>
      </c>
      <c r="L1944">
        <f>IF('Raw Data'!N1944&lt;&gt;0,'Raw Data'!N1944,IFERROR(VALUE(MID(F1944,SEARCH("QTY",F1944)+4,IFERROR(FIND(" ",F1944,SEARCH("QTY",F1944)+4)-(SEARCH("QTY",F1944)+4),3))),""))</f>
        <v>0</v>
      </c>
      <c r="M1944">
        <f>'Raw Data'!O1944</f>
        <v>0</v>
      </c>
      <c r="N1944">
        <f>'Raw Data'!P1944</f>
        <v>0</v>
      </c>
      <c r="O1944">
        <f>'Raw Data'!Q1944</f>
        <v>0</v>
      </c>
      <c r="P1944">
        <f>'Raw Data'!R1944</f>
        <v>0</v>
      </c>
      <c r="Q1944">
        <f>'Raw Data'!S1944</f>
        <v>0</v>
      </c>
      <c r="R1944">
        <f>'Raw Data'!T1944</f>
        <v>0</v>
      </c>
      <c r="S1944">
        <f>IFERROR(O1944,0)+IFERROR(R1944,0)</f>
        <v>0</v>
      </c>
      <c r="T1944">
        <f>IF(A1944="","",YEAR(A1944))</f>
        <v>0</v>
      </c>
    </row>
    <row r="1945" spans="1:20">
      <c r="A1945">
        <f>'Raw Data'!B1945</f>
        <v>0</v>
      </c>
      <c r="B1945">
        <f>'Raw Data'!A1945</f>
        <v>0</v>
      </c>
      <c r="C1945">
        <f>'Raw Data'!C1945</f>
        <v>0</v>
      </c>
      <c r="D1945">
        <f>'Raw Data'!D1945</f>
        <v>0</v>
      </c>
      <c r="E1945">
        <f>IFERROR(VLOOKUP(D1945,'Lookup Tables'!$A:$B,2,FALSE),"Unknown")</f>
        <v>0</v>
      </c>
      <c r="F1945">
        <f>'Raw Data'!E1945</f>
        <v>0</v>
      </c>
      <c r="G1945">
        <f>IFERROR(VLOOKUP(D1945,'Lookup Tables'!$A:$C,3,FALSE),IF(ISNUMBER(SEARCH("STEEL",F1945)),"Steel","Others"))</f>
        <v>0</v>
      </c>
      <c r="H1945">
        <f>IF(ISNUMBER(SEARCH("scrubber",F1945)) , "Scrubber", IF(ISNUMBER(SEARCH("container",F1945)),"Container", IF(ISNUMBER(SEARCH("basket",F1945)),"Basket", IF(ISNUMBER(SEARCH("lunch",F1945)),"Lunch Box", IF(ISNUMBER(SEARCH("cutlery",F1945)),"Cutlery","Other")))))</f>
        <v>0</v>
      </c>
      <c r="I1945">
        <f>IF('Raw Data'!G1945&lt;&gt;'','Raw Data'!G1945,IFERROR(MID(F1945,SEARCH("MODEL",F1945)+6,20),""))</f>
        <v>0</v>
      </c>
      <c r="J1945">
        <f>'Raw Data'!H1945</f>
        <v>0</v>
      </c>
      <c r="K1945">
        <f>'Raw Data'!I1945</f>
        <v>0</v>
      </c>
      <c r="L1945">
        <f>IF('Raw Data'!N1945&lt;&gt;0,'Raw Data'!N1945,IFERROR(VALUE(MID(F1945,SEARCH("QTY",F1945)+4,IFERROR(FIND(" ",F1945,SEARCH("QTY",F1945)+4)-(SEARCH("QTY",F1945)+4),3))),""))</f>
        <v>0</v>
      </c>
      <c r="M1945">
        <f>'Raw Data'!O1945</f>
        <v>0</v>
      </c>
      <c r="N1945">
        <f>'Raw Data'!P1945</f>
        <v>0</v>
      </c>
      <c r="O1945">
        <f>'Raw Data'!Q1945</f>
        <v>0</v>
      </c>
      <c r="P1945">
        <f>'Raw Data'!R1945</f>
        <v>0</v>
      </c>
      <c r="Q1945">
        <f>'Raw Data'!S1945</f>
        <v>0</v>
      </c>
      <c r="R1945">
        <f>'Raw Data'!T1945</f>
        <v>0</v>
      </c>
      <c r="S1945">
        <f>IFERROR(O1945,0)+IFERROR(R1945,0)</f>
        <v>0</v>
      </c>
      <c r="T1945">
        <f>IF(A1945="","",YEAR(A1945))</f>
        <v>0</v>
      </c>
    </row>
    <row r="1946" spans="1:20">
      <c r="A1946">
        <f>'Raw Data'!B1946</f>
        <v>0</v>
      </c>
      <c r="B1946">
        <f>'Raw Data'!A1946</f>
        <v>0</v>
      </c>
      <c r="C1946">
        <f>'Raw Data'!C1946</f>
        <v>0</v>
      </c>
      <c r="D1946">
        <f>'Raw Data'!D1946</f>
        <v>0</v>
      </c>
      <c r="E1946">
        <f>IFERROR(VLOOKUP(D1946,'Lookup Tables'!$A:$B,2,FALSE),"Unknown")</f>
        <v>0</v>
      </c>
      <c r="F1946">
        <f>'Raw Data'!E1946</f>
        <v>0</v>
      </c>
      <c r="G1946">
        <f>IFERROR(VLOOKUP(D1946,'Lookup Tables'!$A:$C,3,FALSE),IF(ISNUMBER(SEARCH("STEEL",F1946)),"Steel","Others"))</f>
        <v>0</v>
      </c>
      <c r="H1946">
        <f>IF(ISNUMBER(SEARCH("scrubber",F1946)) , "Scrubber", IF(ISNUMBER(SEARCH("container",F1946)),"Container", IF(ISNUMBER(SEARCH("basket",F1946)),"Basket", IF(ISNUMBER(SEARCH("lunch",F1946)),"Lunch Box", IF(ISNUMBER(SEARCH("cutlery",F1946)),"Cutlery","Other")))))</f>
        <v>0</v>
      </c>
      <c r="I1946">
        <f>IF('Raw Data'!G1946&lt;&gt;'','Raw Data'!G1946,IFERROR(MID(F1946,SEARCH("MODEL",F1946)+6,20),""))</f>
        <v>0</v>
      </c>
      <c r="J1946">
        <f>'Raw Data'!H1946</f>
        <v>0</v>
      </c>
      <c r="K1946">
        <f>'Raw Data'!I1946</f>
        <v>0</v>
      </c>
      <c r="L1946">
        <f>IF('Raw Data'!N1946&lt;&gt;0,'Raw Data'!N1946,IFERROR(VALUE(MID(F1946,SEARCH("QTY",F1946)+4,IFERROR(FIND(" ",F1946,SEARCH("QTY",F1946)+4)-(SEARCH("QTY",F1946)+4),3))),""))</f>
        <v>0</v>
      </c>
      <c r="M1946">
        <f>'Raw Data'!O1946</f>
        <v>0</v>
      </c>
      <c r="N1946">
        <f>'Raw Data'!P1946</f>
        <v>0</v>
      </c>
      <c r="O1946">
        <f>'Raw Data'!Q1946</f>
        <v>0</v>
      </c>
      <c r="P1946">
        <f>'Raw Data'!R1946</f>
        <v>0</v>
      </c>
      <c r="Q1946">
        <f>'Raw Data'!S1946</f>
        <v>0</v>
      </c>
      <c r="R1946">
        <f>'Raw Data'!T1946</f>
        <v>0</v>
      </c>
      <c r="S1946">
        <f>IFERROR(O1946,0)+IFERROR(R1946,0)</f>
        <v>0</v>
      </c>
      <c r="T1946">
        <f>IF(A1946="","",YEAR(A1946))</f>
        <v>0</v>
      </c>
    </row>
    <row r="1947" spans="1:20">
      <c r="A1947">
        <f>'Raw Data'!B1947</f>
        <v>0</v>
      </c>
      <c r="B1947">
        <f>'Raw Data'!A1947</f>
        <v>0</v>
      </c>
      <c r="C1947">
        <f>'Raw Data'!C1947</f>
        <v>0</v>
      </c>
      <c r="D1947">
        <f>'Raw Data'!D1947</f>
        <v>0</v>
      </c>
      <c r="E1947">
        <f>IFERROR(VLOOKUP(D1947,'Lookup Tables'!$A:$B,2,FALSE),"Unknown")</f>
        <v>0</v>
      </c>
      <c r="F1947">
        <f>'Raw Data'!E1947</f>
        <v>0</v>
      </c>
      <c r="G1947">
        <f>IFERROR(VLOOKUP(D1947,'Lookup Tables'!$A:$C,3,FALSE),IF(ISNUMBER(SEARCH("STEEL",F1947)),"Steel","Others"))</f>
        <v>0</v>
      </c>
      <c r="H1947">
        <f>IF(ISNUMBER(SEARCH("scrubber",F1947)) , "Scrubber", IF(ISNUMBER(SEARCH("container",F1947)),"Container", IF(ISNUMBER(SEARCH("basket",F1947)),"Basket", IF(ISNUMBER(SEARCH("lunch",F1947)),"Lunch Box", IF(ISNUMBER(SEARCH("cutlery",F1947)),"Cutlery","Other")))))</f>
        <v>0</v>
      </c>
      <c r="I1947">
        <f>IF('Raw Data'!G1947&lt;&gt;'','Raw Data'!G1947,IFERROR(MID(F1947,SEARCH("MODEL",F1947)+6,20),""))</f>
        <v>0</v>
      </c>
      <c r="J1947">
        <f>'Raw Data'!H1947</f>
        <v>0</v>
      </c>
      <c r="K1947">
        <f>'Raw Data'!I1947</f>
        <v>0</v>
      </c>
      <c r="L1947">
        <f>IF('Raw Data'!N1947&lt;&gt;0,'Raw Data'!N1947,IFERROR(VALUE(MID(F1947,SEARCH("QTY",F1947)+4,IFERROR(FIND(" ",F1947,SEARCH("QTY",F1947)+4)-(SEARCH("QTY",F1947)+4),3))),""))</f>
        <v>0</v>
      </c>
      <c r="M1947">
        <f>'Raw Data'!O1947</f>
        <v>0</v>
      </c>
      <c r="N1947">
        <f>'Raw Data'!P1947</f>
        <v>0</v>
      </c>
      <c r="O1947">
        <f>'Raw Data'!Q1947</f>
        <v>0</v>
      </c>
      <c r="P1947">
        <f>'Raw Data'!R1947</f>
        <v>0</v>
      </c>
      <c r="Q1947">
        <f>'Raw Data'!S1947</f>
        <v>0</v>
      </c>
      <c r="R1947">
        <f>'Raw Data'!T1947</f>
        <v>0</v>
      </c>
      <c r="S1947">
        <f>IFERROR(O1947,0)+IFERROR(R1947,0)</f>
        <v>0</v>
      </c>
      <c r="T1947">
        <f>IF(A1947="","",YEAR(A1947))</f>
        <v>0</v>
      </c>
    </row>
    <row r="1948" spans="1:20">
      <c r="A1948">
        <f>'Raw Data'!B1948</f>
        <v>0</v>
      </c>
      <c r="B1948">
        <f>'Raw Data'!A1948</f>
        <v>0</v>
      </c>
      <c r="C1948">
        <f>'Raw Data'!C1948</f>
        <v>0</v>
      </c>
      <c r="D1948">
        <f>'Raw Data'!D1948</f>
        <v>0</v>
      </c>
      <c r="E1948">
        <f>IFERROR(VLOOKUP(D1948,'Lookup Tables'!$A:$B,2,FALSE),"Unknown")</f>
        <v>0</v>
      </c>
      <c r="F1948">
        <f>'Raw Data'!E1948</f>
        <v>0</v>
      </c>
      <c r="G1948">
        <f>IFERROR(VLOOKUP(D1948,'Lookup Tables'!$A:$C,3,FALSE),IF(ISNUMBER(SEARCH("STEEL",F1948)),"Steel","Others"))</f>
        <v>0</v>
      </c>
      <c r="H1948">
        <f>IF(ISNUMBER(SEARCH("scrubber",F1948)) , "Scrubber", IF(ISNUMBER(SEARCH("container",F1948)),"Container", IF(ISNUMBER(SEARCH("basket",F1948)),"Basket", IF(ISNUMBER(SEARCH("lunch",F1948)),"Lunch Box", IF(ISNUMBER(SEARCH("cutlery",F1948)),"Cutlery","Other")))))</f>
        <v>0</v>
      </c>
      <c r="I1948">
        <f>IF('Raw Data'!G1948&lt;&gt;'','Raw Data'!G1948,IFERROR(MID(F1948,SEARCH("MODEL",F1948)+6,20),""))</f>
        <v>0</v>
      </c>
      <c r="J1948">
        <f>'Raw Data'!H1948</f>
        <v>0</v>
      </c>
      <c r="K1948">
        <f>'Raw Data'!I1948</f>
        <v>0</v>
      </c>
      <c r="L1948">
        <f>IF('Raw Data'!N1948&lt;&gt;0,'Raw Data'!N1948,IFERROR(VALUE(MID(F1948,SEARCH("QTY",F1948)+4,IFERROR(FIND(" ",F1948,SEARCH("QTY",F1948)+4)-(SEARCH("QTY",F1948)+4),3))),""))</f>
        <v>0</v>
      </c>
      <c r="M1948">
        <f>'Raw Data'!O1948</f>
        <v>0</v>
      </c>
      <c r="N1948">
        <f>'Raw Data'!P1948</f>
        <v>0</v>
      </c>
      <c r="O1948">
        <f>'Raw Data'!Q1948</f>
        <v>0</v>
      </c>
      <c r="P1948">
        <f>'Raw Data'!R1948</f>
        <v>0</v>
      </c>
      <c r="Q1948">
        <f>'Raw Data'!S1948</f>
        <v>0</v>
      </c>
      <c r="R1948">
        <f>'Raw Data'!T1948</f>
        <v>0</v>
      </c>
      <c r="S1948">
        <f>IFERROR(O1948,0)+IFERROR(R1948,0)</f>
        <v>0</v>
      </c>
      <c r="T1948">
        <f>IF(A1948="","",YEAR(A1948))</f>
        <v>0</v>
      </c>
    </row>
    <row r="1949" spans="1:20">
      <c r="A1949">
        <f>'Raw Data'!B1949</f>
        <v>0</v>
      </c>
      <c r="B1949">
        <f>'Raw Data'!A1949</f>
        <v>0</v>
      </c>
      <c r="C1949">
        <f>'Raw Data'!C1949</f>
        <v>0</v>
      </c>
      <c r="D1949">
        <f>'Raw Data'!D1949</f>
        <v>0</v>
      </c>
      <c r="E1949">
        <f>IFERROR(VLOOKUP(D1949,'Lookup Tables'!$A:$B,2,FALSE),"Unknown")</f>
        <v>0</v>
      </c>
      <c r="F1949">
        <f>'Raw Data'!E1949</f>
        <v>0</v>
      </c>
      <c r="G1949">
        <f>IFERROR(VLOOKUP(D1949,'Lookup Tables'!$A:$C,3,FALSE),IF(ISNUMBER(SEARCH("STEEL",F1949)),"Steel","Others"))</f>
        <v>0</v>
      </c>
      <c r="H1949">
        <f>IF(ISNUMBER(SEARCH("scrubber",F1949)) , "Scrubber", IF(ISNUMBER(SEARCH("container",F1949)),"Container", IF(ISNUMBER(SEARCH("basket",F1949)),"Basket", IF(ISNUMBER(SEARCH("lunch",F1949)),"Lunch Box", IF(ISNUMBER(SEARCH("cutlery",F1949)),"Cutlery","Other")))))</f>
        <v>0</v>
      </c>
      <c r="I1949">
        <f>IF('Raw Data'!G1949&lt;&gt;'','Raw Data'!G1949,IFERROR(MID(F1949,SEARCH("MODEL",F1949)+6,20),""))</f>
        <v>0</v>
      </c>
      <c r="J1949">
        <f>'Raw Data'!H1949</f>
        <v>0</v>
      </c>
      <c r="K1949">
        <f>'Raw Data'!I1949</f>
        <v>0</v>
      </c>
      <c r="L1949">
        <f>IF('Raw Data'!N1949&lt;&gt;0,'Raw Data'!N1949,IFERROR(VALUE(MID(F1949,SEARCH("QTY",F1949)+4,IFERROR(FIND(" ",F1949,SEARCH("QTY",F1949)+4)-(SEARCH("QTY",F1949)+4),3))),""))</f>
        <v>0</v>
      </c>
      <c r="M1949">
        <f>'Raw Data'!O1949</f>
        <v>0</v>
      </c>
      <c r="N1949">
        <f>'Raw Data'!P1949</f>
        <v>0</v>
      </c>
      <c r="O1949">
        <f>'Raw Data'!Q1949</f>
        <v>0</v>
      </c>
      <c r="P1949">
        <f>'Raw Data'!R1949</f>
        <v>0</v>
      </c>
      <c r="Q1949">
        <f>'Raw Data'!S1949</f>
        <v>0</v>
      </c>
      <c r="R1949">
        <f>'Raw Data'!T1949</f>
        <v>0</v>
      </c>
      <c r="S1949">
        <f>IFERROR(O1949,0)+IFERROR(R1949,0)</f>
        <v>0</v>
      </c>
      <c r="T1949">
        <f>IF(A1949="","",YEAR(A1949))</f>
        <v>0</v>
      </c>
    </row>
    <row r="1950" spans="1:20">
      <c r="A1950">
        <f>'Raw Data'!B1950</f>
        <v>0</v>
      </c>
      <c r="B1950">
        <f>'Raw Data'!A1950</f>
        <v>0</v>
      </c>
      <c r="C1950">
        <f>'Raw Data'!C1950</f>
        <v>0</v>
      </c>
      <c r="D1950">
        <f>'Raw Data'!D1950</f>
        <v>0</v>
      </c>
      <c r="E1950">
        <f>IFERROR(VLOOKUP(D1950,'Lookup Tables'!$A:$B,2,FALSE),"Unknown")</f>
        <v>0</v>
      </c>
      <c r="F1950">
        <f>'Raw Data'!E1950</f>
        <v>0</v>
      </c>
      <c r="G1950">
        <f>IFERROR(VLOOKUP(D1950,'Lookup Tables'!$A:$C,3,FALSE),IF(ISNUMBER(SEARCH("STEEL",F1950)),"Steel","Others"))</f>
        <v>0</v>
      </c>
      <c r="H1950">
        <f>IF(ISNUMBER(SEARCH("scrubber",F1950)) , "Scrubber", IF(ISNUMBER(SEARCH("container",F1950)),"Container", IF(ISNUMBER(SEARCH("basket",F1950)),"Basket", IF(ISNUMBER(SEARCH("lunch",F1950)),"Lunch Box", IF(ISNUMBER(SEARCH("cutlery",F1950)),"Cutlery","Other")))))</f>
        <v>0</v>
      </c>
      <c r="I1950">
        <f>IF('Raw Data'!G1950&lt;&gt;'','Raw Data'!G1950,IFERROR(MID(F1950,SEARCH("MODEL",F1950)+6,20),""))</f>
        <v>0</v>
      </c>
      <c r="J1950">
        <f>'Raw Data'!H1950</f>
        <v>0</v>
      </c>
      <c r="K1950">
        <f>'Raw Data'!I1950</f>
        <v>0</v>
      </c>
      <c r="L1950">
        <f>IF('Raw Data'!N1950&lt;&gt;0,'Raw Data'!N1950,IFERROR(VALUE(MID(F1950,SEARCH("QTY",F1950)+4,IFERROR(FIND(" ",F1950,SEARCH("QTY",F1950)+4)-(SEARCH("QTY",F1950)+4),3))),""))</f>
        <v>0</v>
      </c>
      <c r="M1950">
        <f>'Raw Data'!O1950</f>
        <v>0</v>
      </c>
      <c r="N1950">
        <f>'Raw Data'!P1950</f>
        <v>0</v>
      </c>
      <c r="O1950">
        <f>'Raw Data'!Q1950</f>
        <v>0</v>
      </c>
      <c r="P1950">
        <f>'Raw Data'!R1950</f>
        <v>0</v>
      </c>
      <c r="Q1950">
        <f>'Raw Data'!S1950</f>
        <v>0</v>
      </c>
      <c r="R1950">
        <f>'Raw Data'!T1950</f>
        <v>0</v>
      </c>
      <c r="S1950">
        <f>IFERROR(O1950,0)+IFERROR(R1950,0)</f>
        <v>0</v>
      </c>
      <c r="T1950">
        <f>IF(A1950="","",YEAR(A1950))</f>
        <v>0</v>
      </c>
    </row>
    <row r="1951" spans="1:20">
      <c r="A1951">
        <f>'Raw Data'!B1951</f>
        <v>0</v>
      </c>
      <c r="B1951">
        <f>'Raw Data'!A1951</f>
        <v>0</v>
      </c>
      <c r="C1951">
        <f>'Raw Data'!C1951</f>
        <v>0</v>
      </c>
      <c r="D1951">
        <f>'Raw Data'!D1951</f>
        <v>0</v>
      </c>
      <c r="E1951">
        <f>IFERROR(VLOOKUP(D1951,'Lookup Tables'!$A:$B,2,FALSE),"Unknown")</f>
        <v>0</v>
      </c>
      <c r="F1951">
        <f>'Raw Data'!E1951</f>
        <v>0</v>
      </c>
      <c r="G1951">
        <f>IFERROR(VLOOKUP(D1951,'Lookup Tables'!$A:$C,3,FALSE),IF(ISNUMBER(SEARCH("STEEL",F1951)),"Steel","Others"))</f>
        <v>0</v>
      </c>
      <c r="H1951">
        <f>IF(ISNUMBER(SEARCH("scrubber",F1951)) , "Scrubber", IF(ISNUMBER(SEARCH("container",F1951)),"Container", IF(ISNUMBER(SEARCH("basket",F1951)),"Basket", IF(ISNUMBER(SEARCH("lunch",F1951)),"Lunch Box", IF(ISNUMBER(SEARCH("cutlery",F1951)),"Cutlery","Other")))))</f>
        <v>0</v>
      </c>
      <c r="I1951">
        <f>IF('Raw Data'!G1951&lt;&gt;'','Raw Data'!G1951,IFERROR(MID(F1951,SEARCH("MODEL",F1951)+6,20),""))</f>
        <v>0</v>
      </c>
      <c r="J1951">
        <f>'Raw Data'!H1951</f>
        <v>0</v>
      </c>
      <c r="K1951">
        <f>'Raw Data'!I1951</f>
        <v>0</v>
      </c>
      <c r="L1951">
        <f>IF('Raw Data'!N1951&lt;&gt;0,'Raw Data'!N1951,IFERROR(VALUE(MID(F1951,SEARCH("QTY",F1951)+4,IFERROR(FIND(" ",F1951,SEARCH("QTY",F1951)+4)-(SEARCH("QTY",F1951)+4),3))),""))</f>
        <v>0</v>
      </c>
      <c r="M1951">
        <f>'Raw Data'!O1951</f>
        <v>0</v>
      </c>
      <c r="N1951">
        <f>'Raw Data'!P1951</f>
        <v>0</v>
      </c>
      <c r="O1951">
        <f>'Raw Data'!Q1951</f>
        <v>0</v>
      </c>
      <c r="P1951">
        <f>'Raw Data'!R1951</f>
        <v>0</v>
      </c>
      <c r="Q1951">
        <f>'Raw Data'!S1951</f>
        <v>0</v>
      </c>
      <c r="R1951">
        <f>'Raw Data'!T1951</f>
        <v>0</v>
      </c>
      <c r="S1951">
        <f>IFERROR(O1951,0)+IFERROR(R1951,0)</f>
        <v>0</v>
      </c>
      <c r="T1951">
        <f>IF(A1951="","",YEAR(A1951))</f>
        <v>0</v>
      </c>
    </row>
    <row r="1952" spans="1:20">
      <c r="A1952">
        <f>'Raw Data'!B1952</f>
        <v>0</v>
      </c>
      <c r="B1952">
        <f>'Raw Data'!A1952</f>
        <v>0</v>
      </c>
      <c r="C1952">
        <f>'Raw Data'!C1952</f>
        <v>0</v>
      </c>
      <c r="D1952">
        <f>'Raw Data'!D1952</f>
        <v>0</v>
      </c>
      <c r="E1952">
        <f>IFERROR(VLOOKUP(D1952,'Lookup Tables'!$A:$B,2,FALSE),"Unknown")</f>
        <v>0</v>
      </c>
      <c r="F1952">
        <f>'Raw Data'!E1952</f>
        <v>0</v>
      </c>
      <c r="G1952">
        <f>IFERROR(VLOOKUP(D1952,'Lookup Tables'!$A:$C,3,FALSE),IF(ISNUMBER(SEARCH("STEEL",F1952)),"Steel","Others"))</f>
        <v>0</v>
      </c>
      <c r="H1952">
        <f>IF(ISNUMBER(SEARCH("scrubber",F1952)) , "Scrubber", IF(ISNUMBER(SEARCH("container",F1952)),"Container", IF(ISNUMBER(SEARCH("basket",F1952)),"Basket", IF(ISNUMBER(SEARCH("lunch",F1952)),"Lunch Box", IF(ISNUMBER(SEARCH("cutlery",F1952)),"Cutlery","Other")))))</f>
        <v>0</v>
      </c>
      <c r="I1952">
        <f>IF('Raw Data'!G1952&lt;&gt;'','Raw Data'!G1952,IFERROR(MID(F1952,SEARCH("MODEL",F1952)+6,20),""))</f>
        <v>0</v>
      </c>
      <c r="J1952">
        <f>'Raw Data'!H1952</f>
        <v>0</v>
      </c>
      <c r="K1952">
        <f>'Raw Data'!I1952</f>
        <v>0</v>
      </c>
      <c r="L1952">
        <f>IF('Raw Data'!N1952&lt;&gt;0,'Raw Data'!N1952,IFERROR(VALUE(MID(F1952,SEARCH("QTY",F1952)+4,IFERROR(FIND(" ",F1952,SEARCH("QTY",F1952)+4)-(SEARCH("QTY",F1952)+4),3))),""))</f>
        <v>0</v>
      </c>
      <c r="M1952">
        <f>'Raw Data'!O1952</f>
        <v>0</v>
      </c>
      <c r="N1952">
        <f>'Raw Data'!P1952</f>
        <v>0</v>
      </c>
      <c r="O1952">
        <f>'Raw Data'!Q1952</f>
        <v>0</v>
      </c>
      <c r="P1952">
        <f>'Raw Data'!R1952</f>
        <v>0</v>
      </c>
      <c r="Q1952">
        <f>'Raw Data'!S1952</f>
        <v>0</v>
      </c>
      <c r="R1952">
        <f>'Raw Data'!T1952</f>
        <v>0</v>
      </c>
      <c r="S1952">
        <f>IFERROR(O1952,0)+IFERROR(R1952,0)</f>
        <v>0</v>
      </c>
      <c r="T1952">
        <f>IF(A1952="","",YEAR(A1952))</f>
        <v>0</v>
      </c>
    </row>
    <row r="1953" spans="1:20">
      <c r="A1953">
        <f>'Raw Data'!B1953</f>
        <v>0</v>
      </c>
      <c r="B1953">
        <f>'Raw Data'!A1953</f>
        <v>0</v>
      </c>
      <c r="C1953">
        <f>'Raw Data'!C1953</f>
        <v>0</v>
      </c>
      <c r="D1953">
        <f>'Raw Data'!D1953</f>
        <v>0</v>
      </c>
      <c r="E1953">
        <f>IFERROR(VLOOKUP(D1953,'Lookup Tables'!$A:$B,2,FALSE),"Unknown")</f>
        <v>0</v>
      </c>
      <c r="F1953">
        <f>'Raw Data'!E1953</f>
        <v>0</v>
      </c>
      <c r="G1953">
        <f>IFERROR(VLOOKUP(D1953,'Lookup Tables'!$A:$C,3,FALSE),IF(ISNUMBER(SEARCH("STEEL",F1953)),"Steel","Others"))</f>
        <v>0</v>
      </c>
      <c r="H1953">
        <f>IF(ISNUMBER(SEARCH("scrubber",F1953)) , "Scrubber", IF(ISNUMBER(SEARCH("container",F1953)),"Container", IF(ISNUMBER(SEARCH("basket",F1953)),"Basket", IF(ISNUMBER(SEARCH("lunch",F1953)),"Lunch Box", IF(ISNUMBER(SEARCH("cutlery",F1953)),"Cutlery","Other")))))</f>
        <v>0</v>
      </c>
      <c r="I1953">
        <f>IF('Raw Data'!G1953&lt;&gt;'','Raw Data'!G1953,IFERROR(MID(F1953,SEARCH("MODEL",F1953)+6,20),""))</f>
        <v>0</v>
      </c>
      <c r="J1953">
        <f>'Raw Data'!H1953</f>
        <v>0</v>
      </c>
      <c r="K1953">
        <f>'Raw Data'!I1953</f>
        <v>0</v>
      </c>
      <c r="L1953">
        <f>IF('Raw Data'!N1953&lt;&gt;0,'Raw Data'!N1953,IFERROR(VALUE(MID(F1953,SEARCH("QTY",F1953)+4,IFERROR(FIND(" ",F1953,SEARCH("QTY",F1953)+4)-(SEARCH("QTY",F1953)+4),3))),""))</f>
        <v>0</v>
      </c>
      <c r="M1953">
        <f>'Raw Data'!O1953</f>
        <v>0</v>
      </c>
      <c r="N1953">
        <f>'Raw Data'!P1953</f>
        <v>0</v>
      </c>
      <c r="O1953">
        <f>'Raw Data'!Q1953</f>
        <v>0</v>
      </c>
      <c r="P1953">
        <f>'Raw Data'!R1953</f>
        <v>0</v>
      </c>
      <c r="Q1953">
        <f>'Raw Data'!S1953</f>
        <v>0</v>
      </c>
      <c r="R1953">
        <f>'Raw Data'!T1953</f>
        <v>0</v>
      </c>
      <c r="S1953">
        <f>IFERROR(O1953,0)+IFERROR(R1953,0)</f>
        <v>0</v>
      </c>
      <c r="T1953">
        <f>IF(A1953="","",YEAR(A1953))</f>
        <v>0</v>
      </c>
    </row>
    <row r="1954" spans="1:20">
      <c r="A1954">
        <f>'Raw Data'!B1954</f>
        <v>0</v>
      </c>
      <c r="B1954">
        <f>'Raw Data'!A1954</f>
        <v>0</v>
      </c>
      <c r="C1954">
        <f>'Raw Data'!C1954</f>
        <v>0</v>
      </c>
      <c r="D1954">
        <f>'Raw Data'!D1954</f>
        <v>0</v>
      </c>
      <c r="E1954">
        <f>IFERROR(VLOOKUP(D1954,'Lookup Tables'!$A:$B,2,FALSE),"Unknown")</f>
        <v>0</v>
      </c>
      <c r="F1954">
        <f>'Raw Data'!E1954</f>
        <v>0</v>
      </c>
      <c r="G1954">
        <f>IFERROR(VLOOKUP(D1954,'Lookup Tables'!$A:$C,3,FALSE),IF(ISNUMBER(SEARCH("STEEL",F1954)),"Steel","Others"))</f>
        <v>0</v>
      </c>
      <c r="H1954">
        <f>IF(ISNUMBER(SEARCH("scrubber",F1954)) , "Scrubber", IF(ISNUMBER(SEARCH("container",F1954)),"Container", IF(ISNUMBER(SEARCH("basket",F1954)),"Basket", IF(ISNUMBER(SEARCH("lunch",F1954)),"Lunch Box", IF(ISNUMBER(SEARCH("cutlery",F1954)),"Cutlery","Other")))))</f>
        <v>0</v>
      </c>
      <c r="I1954">
        <f>IF('Raw Data'!G1954&lt;&gt;'','Raw Data'!G1954,IFERROR(MID(F1954,SEARCH("MODEL",F1954)+6,20),""))</f>
        <v>0</v>
      </c>
      <c r="J1954">
        <f>'Raw Data'!H1954</f>
        <v>0</v>
      </c>
      <c r="K1954">
        <f>'Raw Data'!I1954</f>
        <v>0</v>
      </c>
      <c r="L1954">
        <f>IF('Raw Data'!N1954&lt;&gt;0,'Raw Data'!N1954,IFERROR(VALUE(MID(F1954,SEARCH("QTY",F1954)+4,IFERROR(FIND(" ",F1954,SEARCH("QTY",F1954)+4)-(SEARCH("QTY",F1954)+4),3))),""))</f>
        <v>0</v>
      </c>
      <c r="M1954">
        <f>'Raw Data'!O1954</f>
        <v>0</v>
      </c>
      <c r="N1954">
        <f>'Raw Data'!P1954</f>
        <v>0</v>
      </c>
      <c r="O1954">
        <f>'Raw Data'!Q1954</f>
        <v>0</v>
      </c>
      <c r="P1954">
        <f>'Raw Data'!R1954</f>
        <v>0</v>
      </c>
      <c r="Q1954">
        <f>'Raw Data'!S1954</f>
        <v>0</v>
      </c>
      <c r="R1954">
        <f>'Raw Data'!T1954</f>
        <v>0</v>
      </c>
      <c r="S1954">
        <f>IFERROR(O1954,0)+IFERROR(R1954,0)</f>
        <v>0</v>
      </c>
      <c r="T1954">
        <f>IF(A1954="","",YEAR(A1954))</f>
        <v>0</v>
      </c>
    </row>
    <row r="1955" spans="1:20">
      <c r="A1955">
        <f>'Raw Data'!B1955</f>
        <v>0</v>
      </c>
      <c r="B1955">
        <f>'Raw Data'!A1955</f>
        <v>0</v>
      </c>
      <c r="C1955">
        <f>'Raw Data'!C1955</f>
        <v>0</v>
      </c>
      <c r="D1955">
        <f>'Raw Data'!D1955</f>
        <v>0</v>
      </c>
      <c r="E1955">
        <f>IFERROR(VLOOKUP(D1955,'Lookup Tables'!$A:$B,2,FALSE),"Unknown")</f>
        <v>0</v>
      </c>
      <c r="F1955">
        <f>'Raw Data'!E1955</f>
        <v>0</v>
      </c>
      <c r="G1955">
        <f>IFERROR(VLOOKUP(D1955,'Lookup Tables'!$A:$C,3,FALSE),IF(ISNUMBER(SEARCH("STEEL",F1955)),"Steel","Others"))</f>
        <v>0</v>
      </c>
      <c r="H1955">
        <f>IF(ISNUMBER(SEARCH("scrubber",F1955)) , "Scrubber", IF(ISNUMBER(SEARCH("container",F1955)),"Container", IF(ISNUMBER(SEARCH("basket",F1955)),"Basket", IF(ISNUMBER(SEARCH("lunch",F1955)),"Lunch Box", IF(ISNUMBER(SEARCH("cutlery",F1955)),"Cutlery","Other")))))</f>
        <v>0</v>
      </c>
      <c r="I1955">
        <f>IF('Raw Data'!G1955&lt;&gt;'','Raw Data'!G1955,IFERROR(MID(F1955,SEARCH("MODEL",F1955)+6,20),""))</f>
        <v>0</v>
      </c>
      <c r="J1955">
        <f>'Raw Data'!H1955</f>
        <v>0</v>
      </c>
      <c r="K1955">
        <f>'Raw Data'!I1955</f>
        <v>0</v>
      </c>
      <c r="L1955">
        <f>IF('Raw Data'!N1955&lt;&gt;0,'Raw Data'!N1955,IFERROR(VALUE(MID(F1955,SEARCH("QTY",F1955)+4,IFERROR(FIND(" ",F1955,SEARCH("QTY",F1955)+4)-(SEARCH("QTY",F1955)+4),3))),""))</f>
        <v>0</v>
      </c>
      <c r="M1955">
        <f>'Raw Data'!O1955</f>
        <v>0</v>
      </c>
      <c r="N1955">
        <f>'Raw Data'!P1955</f>
        <v>0</v>
      </c>
      <c r="O1955">
        <f>'Raw Data'!Q1955</f>
        <v>0</v>
      </c>
      <c r="P1955">
        <f>'Raw Data'!R1955</f>
        <v>0</v>
      </c>
      <c r="Q1955">
        <f>'Raw Data'!S1955</f>
        <v>0</v>
      </c>
      <c r="R1955">
        <f>'Raw Data'!T1955</f>
        <v>0</v>
      </c>
      <c r="S1955">
        <f>IFERROR(O1955,0)+IFERROR(R1955,0)</f>
        <v>0</v>
      </c>
      <c r="T1955">
        <f>IF(A1955="","",YEAR(A1955))</f>
        <v>0</v>
      </c>
    </row>
    <row r="1956" spans="1:20">
      <c r="A1956">
        <f>'Raw Data'!B1956</f>
        <v>0</v>
      </c>
      <c r="B1956">
        <f>'Raw Data'!A1956</f>
        <v>0</v>
      </c>
      <c r="C1956">
        <f>'Raw Data'!C1956</f>
        <v>0</v>
      </c>
      <c r="D1956">
        <f>'Raw Data'!D1956</f>
        <v>0</v>
      </c>
      <c r="E1956">
        <f>IFERROR(VLOOKUP(D1956,'Lookup Tables'!$A:$B,2,FALSE),"Unknown")</f>
        <v>0</v>
      </c>
      <c r="F1956">
        <f>'Raw Data'!E1956</f>
        <v>0</v>
      </c>
      <c r="G1956">
        <f>IFERROR(VLOOKUP(D1956,'Lookup Tables'!$A:$C,3,FALSE),IF(ISNUMBER(SEARCH("STEEL",F1956)),"Steel","Others"))</f>
        <v>0</v>
      </c>
      <c r="H1956">
        <f>IF(ISNUMBER(SEARCH("scrubber",F1956)) , "Scrubber", IF(ISNUMBER(SEARCH("container",F1956)),"Container", IF(ISNUMBER(SEARCH("basket",F1956)),"Basket", IF(ISNUMBER(SEARCH("lunch",F1956)),"Lunch Box", IF(ISNUMBER(SEARCH("cutlery",F1956)),"Cutlery","Other")))))</f>
        <v>0</v>
      </c>
      <c r="I1956">
        <f>IF('Raw Data'!G1956&lt;&gt;'','Raw Data'!G1956,IFERROR(MID(F1956,SEARCH("MODEL",F1956)+6,20),""))</f>
        <v>0</v>
      </c>
      <c r="J1956">
        <f>'Raw Data'!H1956</f>
        <v>0</v>
      </c>
      <c r="K1956">
        <f>'Raw Data'!I1956</f>
        <v>0</v>
      </c>
      <c r="L1956">
        <f>IF('Raw Data'!N1956&lt;&gt;0,'Raw Data'!N1956,IFERROR(VALUE(MID(F1956,SEARCH("QTY",F1956)+4,IFERROR(FIND(" ",F1956,SEARCH("QTY",F1956)+4)-(SEARCH("QTY",F1956)+4),3))),""))</f>
        <v>0</v>
      </c>
      <c r="M1956">
        <f>'Raw Data'!O1956</f>
        <v>0</v>
      </c>
      <c r="N1956">
        <f>'Raw Data'!P1956</f>
        <v>0</v>
      </c>
      <c r="O1956">
        <f>'Raw Data'!Q1956</f>
        <v>0</v>
      </c>
      <c r="P1956">
        <f>'Raw Data'!R1956</f>
        <v>0</v>
      </c>
      <c r="Q1956">
        <f>'Raw Data'!S1956</f>
        <v>0</v>
      </c>
      <c r="R1956">
        <f>'Raw Data'!T1956</f>
        <v>0</v>
      </c>
      <c r="S1956">
        <f>IFERROR(O1956,0)+IFERROR(R1956,0)</f>
        <v>0</v>
      </c>
      <c r="T1956">
        <f>IF(A1956="","",YEAR(A1956))</f>
        <v>0</v>
      </c>
    </row>
    <row r="1957" spans="1:20">
      <c r="A1957">
        <f>'Raw Data'!B1957</f>
        <v>0</v>
      </c>
      <c r="B1957">
        <f>'Raw Data'!A1957</f>
        <v>0</v>
      </c>
      <c r="C1957">
        <f>'Raw Data'!C1957</f>
        <v>0</v>
      </c>
      <c r="D1957">
        <f>'Raw Data'!D1957</f>
        <v>0</v>
      </c>
      <c r="E1957">
        <f>IFERROR(VLOOKUP(D1957,'Lookup Tables'!$A:$B,2,FALSE),"Unknown")</f>
        <v>0</v>
      </c>
      <c r="F1957">
        <f>'Raw Data'!E1957</f>
        <v>0</v>
      </c>
      <c r="G1957">
        <f>IFERROR(VLOOKUP(D1957,'Lookup Tables'!$A:$C,3,FALSE),IF(ISNUMBER(SEARCH("STEEL",F1957)),"Steel","Others"))</f>
        <v>0</v>
      </c>
      <c r="H1957">
        <f>IF(ISNUMBER(SEARCH("scrubber",F1957)) , "Scrubber", IF(ISNUMBER(SEARCH("container",F1957)),"Container", IF(ISNUMBER(SEARCH("basket",F1957)),"Basket", IF(ISNUMBER(SEARCH("lunch",F1957)),"Lunch Box", IF(ISNUMBER(SEARCH("cutlery",F1957)),"Cutlery","Other")))))</f>
        <v>0</v>
      </c>
      <c r="I1957">
        <f>IF('Raw Data'!G1957&lt;&gt;'','Raw Data'!G1957,IFERROR(MID(F1957,SEARCH("MODEL",F1957)+6,20),""))</f>
        <v>0</v>
      </c>
      <c r="J1957">
        <f>'Raw Data'!H1957</f>
        <v>0</v>
      </c>
      <c r="K1957">
        <f>'Raw Data'!I1957</f>
        <v>0</v>
      </c>
      <c r="L1957">
        <f>IF('Raw Data'!N1957&lt;&gt;0,'Raw Data'!N1957,IFERROR(VALUE(MID(F1957,SEARCH("QTY",F1957)+4,IFERROR(FIND(" ",F1957,SEARCH("QTY",F1957)+4)-(SEARCH("QTY",F1957)+4),3))),""))</f>
        <v>0</v>
      </c>
      <c r="M1957">
        <f>'Raw Data'!O1957</f>
        <v>0</v>
      </c>
      <c r="N1957">
        <f>'Raw Data'!P1957</f>
        <v>0</v>
      </c>
      <c r="O1957">
        <f>'Raw Data'!Q1957</f>
        <v>0</v>
      </c>
      <c r="P1957">
        <f>'Raw Data'!R1957</f>
        <v>0</v>
      </c>
      <c r="Q1957">
        <f>'Raw Data'!S1957</f>
        <v>0</v>
      </c>
      <c r="R1957">
        <f>'Raw Data'!T1957</f>
        <v>0</v>
      </c>
      <c r="S1957">
        <f>IFERROR(O1957,0)+IFERROR(R1957,0)</f>
        <v>0</v>
      </c>
      <c r="T1957">
        <f>IF(A1957="","",YEAR(A1957))</f>
        <v>0</v>
      </c>
    </row>
    <row r="1958" spans="1:20">
      <c r="A1958">
        <f>'Raw Data'!B1958</f>
        <v>0</v>
      </c>
      <c r="B1958">
        <f>'Raw Data'!A1958</f>
        <v>0</v>
      </c>
      <c r="C1958">
        <f>'Raw Data'!C1958</f>
        <v>0</v>
      </c>
      <c r="D1958">
        <f>'Raw Data'!D1958</f>
        <v>0</v>
      </c>
      <c r="E1958">
        <f>IFERROR(VLOOKUP(D1958,'Lookup Tables'!$A:$B,2,FALSE),"Unknown")</f>
        <v>0</v>
      </c>
      <c r="F1958">
        <f>'Raw Data'!E1958</f>
        <v>0</v>
      </c>
      <c r="G1958">
        <f>IFERROR(VLOOKUP(D1958,'Lookup Tables'!$A:$C,3,FALSE),IF(ISNUMBER(SEARCH("STEEL",F1958)),"Steel","Others"))</f>
        <v>0</v>
      </c>
      <c r="H1958">
        <f>IF(ISNUMBER(SEARCH("scrubber",F1958)) , "Scrubber", IF(ISNUMBER(SEARCH("container",F1958)),"Container", IF(ISNUMBER(SEARCH("basket",F1958)),"Basket", IF(ISNUMBER(SEARCH("lunch",F1958)),"Lunch Box", IF(ISNUMBER(SEARCH("cutlery",F1958)),"Cutlery","Other")))))</f>
        <v>0</v>
      </c>
      <c r="I1958">
        <f>IF('Raw Data'!G1958&lt;&gt;'','Raw Data'!G1958,IFERROR(MID(F1958,SEARCH("MODEL",F1958)+6,20),""))</f>
        <v>0</v>
      </c>
      <c r="J1958">
        <f>'Raw Data'!H1958</f>
        <v>0</v>
      </c>
      <c r="K1958">
        <f>'Raw Data'!I1958</f>
        <v>0</v>
      </c>
      <c r="L1958">
        <f>IF('Raw Data'!N1958&lt;&gt;0,'Raw Data'!N1958,IFERROR(VALUE(MID(F1958,SEARCH("QTY",F1958)+4,IFERROR(FIND(" ",F1958,SEARCH("QTY",F1958)+4)-(SEARCH("QTY",F1958)+4),3))),""))</f>
        <v>0</v>
      </c>
      <c r="M1958">
        <f>'Raw Data'!O1958</f>
        <v>0</v>
      </c>
      <c r="N1958">
        <f>'Raw Data'!P1958</f>
        <v>0</v>
      </c>
      <c r="O1958">
        <f>'Raw Data'!Q1958</f>
        <v>0</v>
      </c>
      <c r="P1958">
        <f>'Raw Data'!R1958</f>
        <v>0</v>
      </c>
      <c r="Q1958">
        <f>'Raw Data'!S1958</f>
        <v>0</v>
      </c>
      <c r="R1958">
        <f>'Raw Data'!T1958</f>
        <v>0</v>
      </c>
      <c r="S1958">
        <f>IFERROR(O1958,0)+IFERROR(R1958,0)</f>
        <v>0</v>
      </c>
      <c r="T1958">
        <f>IF(A1958="","",YEAR(A1958))</f>
        <v>0</v>
      </c>
    </row>
    <row r="1959" spans="1:20">
      <c r="A1959">
        <f>'Raw Data'!B1959</f>
        <v>0</v>
      </c>
      <c r="B1959">
        <f>'Raw Data'!A1959</f>
        <v>0</v>
      </c>
      <c r="C1959">
        <f>'Raw Data'!C1959</f>
        <v>0</v>
      </c>
      <c r="D1959">
        <f>'Raw Data'!D1959</f>
        <v>0</v>
      </c>
      <c r="E1959">
        <f>IFERROR(VLOOKUP(D1959,'Lookup Tables'!$A:$B,2,FALSE),"Unknown")</f>
        <v>0</v>
      </c>
      <c r="F1959">
        <f>'Raw Data'!E1959</f>
        <v>0</v>
      </c>
      <c r="G1959">
        <f>IFERROR(VLOOKUP(D1959,'Lookup Tables'!$A:$C,3,FALSE),IF(ISNUMBER(SEARCH("STEEL",F1959)),"Steel","Others"))</f>
        <v>0</v>
      </c>
      <c r="H1959">
        <f>IF(ISNUMBER(SEARCH("scrubber",F1959)) , "Scrubber", IF(ISNUMBER(SEARCH("container",F1959)),"Container", IF(ISNUMBER(SEARCH("basket",F1959)),"Basket", IF(ISNUMBER(SEARCH("lunch",F1959)),"Lunch Box", IF(ISNUMBER(SEARCH("cutlery",F1959)),"Cutlery","Other")))))</f>
        <v>0</v>
      </c>
      <c r="I1959">
        <f>IF('Raw Data'!G1959&lt;&gt;'','Raw Data'!G1959,IFERROR(MID(F1959,SEARCH("MODEL",F1959)+6,20),""))</f>
        <v>0</v>
      </c>
      <c r="J1959">
        <f>'Raw Data'!H1959</f>
        <v>0</v>
      </c>
      <c r="K1959">
        <f>'Raw Data'!I1959</f>
        <v>0</v>
      </c>
      <c r="L1959">
        <f>IF('Raw Data'!N1959&lt;&gt;0,'Raw Data'!N1959,IFERROR(VALUE(MID(F1959,SEARCH("QTY",F1959)+4,IFERROR(FIND(" ",F1959,SEARCH("QTY",F1959)+4)-(SEARCH("QTY",F1959)+4),3))),""))</f>
        <v>0</v>
      </c>
      <c r="M1959">
        <f>'Raw Data'!O1959</f>
        <v>0</v>
      </c>
      <c r="N1959">
        <f>'Raw Data'!P1959</f>
        <v>0</v>
      </c>
      <c r="O1959">
        <f>'Raw Data'!Q1959</f>
        <v>0</v>
      </c>
      <c r="P1959">
        <f>'Raw Data'!R1959</f>
        <v>0</v>
      </c>
      <c r="Q1959">
        <f>'Raw Data'!S1959</f>
        <v>0</v>
      </c>
      <c r="R1959">
        <f>'Raw Data'!T1959</f>
        <v>0</v>
      </c>
      <c r="S1959">
        <f>IFERROR(O1959,0)+IFERROR(R1959,0)</f>
        <v>0</v>
      </c>
      <c r="T1959">
        <f>IF(A1959="","",YEAR(A1959))</f>
        <v>0</v>
      </c>
    </row>
    <row r="1960" spans="1:20">
      <c r="A1960">
        <f>'Raw Data'!B1960</f>
        <v>0</v>
      </c>
      <c r="B1960">
        <f>'Raw Data'!A1960</f>
        <v>0</v>
      </c>
      <c r="C1960">
        <f>'Raw Data'!C1960</f>
        <v>0</v>
      </c>
      <c r="D1960">
        <f>'Raw Data'!D1960</f>
        <v>0</v>
      </c>
      <c r="E1960">
        <f>IFERROR(VLOOKUP(D1960,'Lookup Tables'!$A:$B,2,FALSE),"Unknown")</f>
        <v>0</v>
      </c>
      <c r="F1960">
        <f>'Raw Data'!E1960</f>
        <v>0</v>
      </c>
      <c r="G1960">
        <f>IFERROR(VLOOKUP(D1960,'Lookup Tables'!$A:$C,3,FALSE),IF(ISNUMBER(SEARCH("STEEL",F1960)),"Steel","Others"))</f>
        <v>0</v>
      </c>
      <c r="H1960">
        <f>IF(ISNUMBER(SEARCH("scrubber",F1960)) , "Scrubber", IF(ISNUMBER(SEARCH("container",F1960)),"Container", IF(ISNUMBER(SEARCH("basket",F1960)),"Basket", IF(ISNUMBER(SEARCH("lunch",F1960)),"Lunch Box", IF(ISNUMBER(SEARCH("cutlery",F1960)),"Cutlery","Other")))))</f>
        <v>0</v>
      </c>
      <c r="I1960">
        <f>IF('Raw Data'!G1960&lt;&gt;'','Raw Data'!G1960,IFERROR(MID(F1960,SEARCH("MODEL",F1960)+6,20),""))</f>
        <v>0</v>
      </c>
      <c r="J1960">
        <f>'Raw Data'!H1960</f>
        <v>0</v>
      </c>
      <c r="K1960">
        <f>'Raw Data'!I1960</f>
        <v>0</v>
      </c>
      <c r="L1960">
        <f>IF('Raw Data'!N1960&lt;&gt;0,'Raw Data'!N1960,IFERROR(VALUE(MID(F1960,SEARCH("QTY",F1960)+4,IFERROR(FIND(" ",F1960,SEARCH("QTY",F1960)+4)-(SEARCH("QTY",F1960)+4),3))),""))</f>
        <v>0</v>
      </c>
      <c r="M1960">
        <f>'Raw Data'!O1960</f>
        <v>0</v>
      </c>
      <c r="N1960">
        <f>'Raw Data'!P1960</f>
        <v>0</v>
      </c>
      <c r="O1960">
        <f>'Raw Data'!Q1960</f>
        <v>0</v>
      </c>
      <c r="P1960">
        <f>'Raw Data'!R1960</f>
        <v>0</v>
      </c>
      <c r="Q1960">
        <f>'Raw Data'!S1960</f>
        <v>0</v>
      </c>
      <c r="R1960">
        <f>'Raw Data'!T1960</f>
        <v>0</v>
      </c>
      <c r="S1960">
        <f>IFERROR(O1960,0)+IFERROR(R1960,0)</f>
        <v>0</v>
      </c>
      <c r="T1960">
        <f>IF(A1960="","",YEAR(A1960))</f>
        <v>0</v>
      </c>
    </row>
    <row r="1961" spans="1:20">
      <c r="A1961">
        <f>'Raw Data'!B1961</f>
        <v>0</v>
      </c>
      <c r="B1961">
        <f>'Raw Data'!A1961</f>
        <v>0</v>
      </c>
      <c r="C1961">
        <f>'Raw Data'!C1961</f>
        <v>0</v>
      </c>
      <c r="D1961">
        <f>'Raw Data'!D1961</f>
        <v>0</v>
      </c>
      <c r="E1961">
        <f>IFERROR(VLOOKUP(D1961,'Lookup Tables'!$A:$B,2,FALSE),"Unknown")</f>
        <v>0</v>
      </c>
      <c r="F1961">
        <f>'Raw Data'!E1961</f>
        <v>0</v>
      </c>
      <c r="G1961">
        <f>IFERROR(VLOOKUP(D1961,'Lookup Tables'!$A:$C,3,FALSE),IF(ISNUMBER(SEARCH("STEEL",F1961)),"Steel","Others"))</f>
        <v>0</v>
      </c>
      <c r="H1961">
        <f>IF(ISNUMBER(SEARCH("scrubber",F1961)) , "Scrubber", IF(ISNUMBER(SEARCH("container",F1961)),"Container", IF(ISNUMBER(SEARCH("basket",F1961)),"Basket", IF(ISNUMBER(SEARCH("lunch",F1961)),"Lunch Box", IF(ISNUMBER(SEARCH("cutlery",F1961)),"Cutlery","Other")))))</f>
        <v>0</v>
      </c>
      <c r="I1961">
        <f>IF('Raw Data'!G1961&lt;&gt;'','Raw Data'!G1961,IFERROR(MID(F1961,SEARCH("MODEL",F1961)+6,20),""))</f>
        <v>0</v>
      </c>
      <c r="J1961">
        <f>'Raw Data'!H1961</f>
        <v>0</v>
      </c>
      <c r="K1961">
        <f>'Raw Data'!I1961</f>
        <v>0</v>
      </c>
      <c r="L1961">
        <f>IF('Raw Data'!N1961&lt;&gt;0,'Raw Data'!N1961,IFERROR(VALUE(MID(F1961,SEARCH("QTY",F1961)+4,IFERROR(FIND(" ",F1961,SEARCH("QTY",F1961)+4)-(SEARCH("QTY",F1961)+4),3))),""))</f>
        <v>0</v>
      </c>
      <c r="M1961">
        <f>'Raw Data'!O1961</f>
        <v>0</v>
      </c>
      <c r="N1961">
        <f>'Raw Data'!P1961</f>
        <v>0</v>
      </c>
      <c r="O1961">
        <f>'Raw Data'!Q1961</f>
        <v>0</v>
      </c>
      <c r="P1961">
        <f>'Raw Data'!R1961</f>
        <v>0</v>
      </c>
      <c r="Q1961">
        <f>'Raw Data'!S1961</f>
        <v>0</v>
      </c>
      <c r="R1961">
        <f>'Raw Data'!T1961</f>
        <v>0</v>
      </c>
      <c r="S1961">
        <f>IFERROR(O1961,0)+IFERROR(R1961,0)</f>
        <v>0</v>
      </c>
      <c r="T1961">
        <f>IF(A1961="","",YEAR(A1961))</f>
        <v>0</v>
      </c>
    </row>
    <row r="1962" spans="1:20">
      <c r="A1962">
        <f>'Raw Data'!B1962</f>
        <v>0</v>
      </c>
      <c r="B1962">
        <f>'Raw Data'!A1962</f>
        <v>0</v>
      </c>
      <c r="C1962">
        <f>'Raw Data'!C1962</f>
        <v>0</v>
      </c>
      <c r="D1962">
        <f>'Raw Data'!D1962</f>
        <v>0</v>
      </c>
      <c r="E1962">
        <f>IFERROR(VLOOKUP(D1962,'Lookup Tables'!$A:$B,2,FALSE),"Unknown")</f>
        <v>0</v>
      </c>
      <c r="F1962">
        <f>'Raw Data'!E1962</f>
        <v>0</v>
      </c>
      <c r="G1962">
        <f>IFERROR(VLOOKUP(D1962,'Lookup Tables'!$A:$C,3,FALSE),IF(ISNUMBER(SEARCH("STEEL",F1962)),"Steel","Others"))</f>
        <v>0</v>
      </c>
      <c r="H1962">
        <f>IF(ISNUMBER(SEARCH("scrubber",F1962)) , "Scrubber", IF(ISNUMBER(SEARCH("container",F1962)),"Container", IF(ISNUMBER(SEARCH("basket",F1962)),"Basket", IF(ISNUMBER(SEARCH("lunch",F1962)),"Lunch Box", IF(ISNUMBER(SEARCH("cutlery",F1962)),"Cutlery","Other")))))</f>
        <v>0</v>
      </c>
      <c r="I1962">
        <f>IF('Raw Data'!G1962&lt;&gt;'','Raw Data'!G1962,IFERROR(MID(F1962,SEARCH("MODEL",F1962)+6,20),""))</f>
        <v>0</v>
      </c>
      <c r="J1962">
        <f>'Raw Data'!H1962</f>
        <v>0</v>
      </c>
      <c r="K1962">
        <f>'Raw Data'!I1962</f>
        <v>0</v>
      </c>
      <c r="L1962">
        <f>IF('Raw Data'!N1962&lt;&gt;0,'Raw Data'!N1962,IFERROR(VALUE(MID(F1962,SEARCH("QTY",F1962)+4,IFERROR(FIND(" ",F1962,SEARCH("QTY",F1962)+4)-(SEARCH("QTY",F1962)+4),3))),""))</f>
        <v>0</v>
      </c>
      <c r="M1962">
        <f>'Raw Data'!O1962</f>
        <v>0</v>
      </c>
      <c r="N1962">
        <f>'Raw Data'!P1962</f>
        <v>0</v>
      </c>
      <c r="O1962">
        <f>'Raw Data'!Q1962</f>
        <v>0</v>
      </c>
      <c r="P1962">
        <f>'Raw Data'!R1962</f>
        <v>0</v>
      </c>
      <c r="Q1962">
        <f>'Raw Data'!S1962</f>
        <v>0</v>
      </c>
      <c r="R1962">
        <f>'Raw Data'!T1962</f>
        <v>0</v>
      </c>
      <c r="S1962">
        <f>IFERROR(O1962,0)+IFERROR(R1962,0)</f>
        <v>0</v>
      </c>
      <c r="T1962">
        <f>IF(A1962="","",YEAR(A1962))</f>
        <v>0</v>
      </c>
    </row>
    <row r="1963" spans="1:20">
      <c r="A1963">
        <f>'Raw Data'!B1963</f>
        <v>0</v>
      </c>
      <c r="B1963">
        <f>'Raw Data'!A1963</f>
        <v>0</v>
      </c>
      <c r="C1963">
        <f>'Raw Data'!C1963</f>
        <v>0</v>
      </c>
      <c r="D1963">
        <f>'Raw Data'!D1963</f>
        <v>0</v>
      </c>
      <c r="E1963">
        <f>IFERROR(VLOOKUP(D1963,'Lookup Tables'!$A:$B,2,FALSE),"Unknown")</f>
        <v>0</v>
      </c>
      <c r="F1963">
        <f>'Raw Data'!E1963</f>
        <v>0</v>
      </c>
      <c r="G1963">
        <f>IFERROR(VLOOKUP(D1963,'Lookup Tables'!$A:$C,3,FALSE),IF(ISNUMBER(SEARCH("STEEL",F1963)),"Steel","Others"))</f>
        <v>0</v>
      </c>
      <c r="H1963">
        <f>IF(ISNUMBER(SEARCH("scrubber",F1963)) , "Scrubber", IF(ISNUMBER(SEARCH("container",F1963)),"Container", IF(ISNUMBER(SEARCH("basket",F1963)),"Basket", IF(ISNUMBER(SEARCH("lunch",F1963)),"Lunch Box", IF(ISNUMBER(SEARCH("cutlery",F1963)),"Cutlery","Other")))))</f>
        <v>0</v>
      </c>
      <c r="I1963">
        <f>IF('Raw Data'!G1963&lt;&gt;'','Raw Data'!G1963,IFERROR(MID(F1963,SEARCH("MODEL",F1963)+6,20),""))</f>
        <v>0</v>
      </c>
      <c r="J1963">
        <f>'Raw Data'!H1963</f>
        <v>0</v>
      </c>
      <c r="K1963">
        <f>'Raw Data'!I1963</f>
        <v>0</v>
      </c>
      <c r="L1963">
        <f>IF('Raw Data'!N1963&lt;&gt;0,'Raw Data'!N1963,IFERROR(VALUE(MID(F1963,SEARCH("QTY",F1963)+4,IFERROR(FIND(" ",F1963,SEARCH("QTY",F1963)+4)-(SEARCH("QTY",F1963)+4),3))),""))</f>
        <v>0</v>
      </c>
      <c r="M1963">
        <f>'Raw Data'!O1963</f>
        <v>0</v>
      </c>
      <c r="N1963">
        <f>'Raw Data'!P1963</f>
        <v>0</v>
      </c>
      <c r="O1963">
        <f>'Raw Data'!Q1963</f>
        <v>0</v>
      </c>
      <c r="P1963">
        <f>'Raw Data'!R1963</f>
        <v>0</v>
      </c>
      <c r="Q1963">
        <f>'Raw Data'!S1963</f>
        <v>0</v>
      </c>
      <c r="R1963">
        <f>'Raw Data'!T1963</f>
        <v>0</v>
      </c>
      <c r="S1963">
        <f>IFERROR(O1963,0)+IFERROR(R1963,0)</f>
        <v>0</v>
      </c>
      <c r="T1963">
        <f>IF(A1963="","",YEAR(A1963))</f>
        <v>0</v>
      </c>
    </row>
    <row r="1964" spans="1:20">
      <c r="A1964">
        <f>'Raw Data'!B1964</f>
        <v>0</v>
      </c>
      <c r="B1964">
        <f>'Raw Data'!A1964</f>
        <v>0</v>
      </c>
      <c r="C1964">
        <f>'Raw Data'!C1964</f>
        <v>0</v>
      </c>
      <c r="D1964">
        <f>'Raw Data'!D1964</f>
        <v>0</v>
      </c>
      <c r="E1964">
        <f>IFERROR(VLOOKUP(D1964,'Lookup Tables'!$A:$B,2,FALSE),"Unknown")</f>
        <v>0</v>
      </c>
      <c r="F1964">
        <f>'Raw Data'!E1964</f>
        <v>0</v>
      </c>
      <c r="G1964">
        <f>IFERROR(VLOOKUP(D1964,'Lookup Tables'!$A:$C,3,FALSE),IF(ISNUMBER(SEARCH("STEEL",F1964)),"Steel","Others"))</f>
        <v>0</v>
      </c>
      <c r="H1964">
        <f>IF(ISNUMBER(SEARCH("scrubber",F1964)) , "Scrubber", IF(ISNUMBER(SEARCH("container",F1964)),"Container", IF(ISNUMBER(SEARCH("basket",F1964)),"Basket", IF(ISNUMBER(SEARCH("lunch",F1964)),"Lunch Box", IF(ISNUMBER(SEARCH("cutlery",F1964)),"Cutlery","Other")))))</f>
        <v>0</v>
      </c>
      <c r="I1964">
        <f>IF('Raw Data'!G1964&lt;&gt;'','Raw Data'!G1964,IFERROR(MID(F1964,SEARCH("MODEL",F1964)+6,20),""))</f>
        <v>0</v>
      </c>
      <c r="J1964">
        <f>'Raw Data'!H1964</f>
        <v>0</v>
      </c>
      <c r="K1964">
        <f>'Raw Data'!I1964</f>
        <v>0</v>
      </c>
      <c r="L1964">
        <f>IF('Raw Data'!N1964&lt;&gt;0,'Raw Data'!N1964,IFERROR(VALUE(MID(F1964,SEARCH("QTY",F1964)+4,IFERROR(FIND(" ",F1964,SEARCH("QTY",F1964)+4)-(SEARCH("QTY",F1964)+4),3))),""))</f>
        <v>0</v>
      </c>
      <c r="M1964">
        <f>'Raw Data'!O1964</f>
        <v>0</v>
      </c>
      <c r="N1964">
        <f>'Raw Data'!P1964</f>
        <v>0</v>
      </c>
      <c r="O1964">
        <f>'Raw Data'!Q1964</f>
        <v>0</v>
      </c>
      <c r="P1964">
        <f>'Raw Data'!R1964</f>
        <v>0</v>
      </c>
      <c r="Q1964">
        <f>'Raw Data'!S1964</f>
        <v>0</v>
      </c>
      <c r="R1964">
        <f>'Raw Data'!T1964</f>
        <v>0</v>
      </c>
      <c r="S1964">
        <f>IFERROR(O1964,0)+IFERROR(R1964,0)</f>
        <v>0</v>
      </c>
      <c r="T1964">
        <f>IF(A1964="","",YEAR(A1964))</f>
        <v>0</v>
      </c>
    </row>
    <row r="1965" spans="1:20">
      <c r="A1965">
        <f>'Raw Data'!B1965</f>
        <v>0</v>
      </c>
      <c r="B1965">
        <f>'Raw Data'!A1965</f>
        <v>0</v>
      </c>
      <c r="C1965">
        <f>'Raw Data'!C1965</f>
        <v>0</v>
      </c>
      <c r="D1965">
        <f>'Raw Data'!D1965</f>
        <v>0</v>
      </c>
      <c r="E1965">
        <f>IFERROR(VLOOKUP(D1965,'Lookup Tables'!$A:$B,2,FALSE),"Unknown")</f>
        <v>0</v>
      </c>
      <c r="F1965">
        <f>'Raw Data'!E1965</f>
        <v>0</v>
      </c>
      <c r="G1965">
        <f>IFERROR(VLOOKUP(D1965,'Lookup Tables'!$A:$C,3,FALSE),IF(ISNUMBER(SEARCH("STEEL",F1965)),"Steel","Others"))</f>
        <v>0</v>
      </c>
      <c r="H1965">
        <f>IF(ISNUMBER(SEARCH("scrubber",F1965)) , "Scrubber", IF(ISNUMBER(SEARCH("container",F1965)),"Container", IF(ISNUMBER(SEARCH("basket",F1965)),"Basket", IF(ISNUMBER(SEARCH("lunch",F1965)),"Lunch Box", IF(ISNUMBER(SEARCH("cutlery",F1965)),"Cutlery","Other")))))</f>
        <v>0</v>
      </c>
      <c r="I1965">
        <f>IF('Raw Data'!G1965&lt;&gt;'','Raw Data'!G1965,IFERROR(MID(F1965,SEARCH("MODEL",F1965)+6,20),""))</f>
        <v>0</v>
      </c>
      <c r="J1965">
        <f>'Raw Data'!H1965</f>
        <v>0</v>
      </c>
      <c r="K1965">
        <f>'Raw Data'!I1965</f>
        <v>0</v>
      </c>
      <c r="L1965">
        <f>IF('Raw Data'!N1965&lt;&gt;0,'Raw Data'!N1965,IFERROR(VALUE(MID(F1965,SEARCH("QTY",F1965)+4,IFERROR(FIND(" ",F1965,SEARCH("QTY",F1965)+4)-(SEARCH("QTY",F1965)+4),3))),""))</f>
        <v>0</v>
      </c>
      <c r="M1965">
        <f>'Raw Data'!O1965</f>
        <v>0</v>
      </c>
      <c r="N1965">
        <f>'Raw Data'!P1965</f>
        <v>0</v>
      </c>
      <c r="O1965">
        <f>'Raw Data'!Q1965</f>
        <v>0</v>
      </c>
      <c r="P1965">
        <f>'Raw Data'!R1965</f>
        <v>0</v>
      </c>
      <c r="Q1965">
        <f>'Raw Data'!S1965</f>
        <v>0</v>
      </c>
      <c r="R1965">
        <f>'Raw Data'!T1965</f>
        <v>0</v>
      </c>
      <c r="S1965">
        <f>IFERROR(O1965,0)+IFERROR(R1965,0)</f>
        <v>0</v>
      </c>
      <c r="T1965">
        <f>IF(A1965="","",YEAR(A1965))</f>
        <v>0</v>
      </c>
    </row>
    <row r="1966" spans="1:20">
      <c r="A1966">
        <f>'Raw Data'!B1966</f>
        <v>0</v>
      </c>
      <c r="B1966">
        <f>'Raw Data'!A1966</f>
        <v>0</v>
      </c>
      <c r="C1966">
        <f>'Raw Data'!C1966</f>
        <v>0</v>
      </c>
      <c r="D1966">
        <f>'Raw Data'!D1966</f>
        <v>0</v>
      </c>
      <c r="E1966">
        <f>IFERROR(VLOOKUP(D1966,'Lookup Tables'!$A:$B,2,FALSE),"Unknown")</f>
        <v>0</v>
      </c>
      <c r="F1966">
        <f>'Raw Data'!E1966</f>
        <v>0</v>
      </c>
      <c r="G1966">
        <f>IFERROR(VLOOKUP(D1966,'Lookup Tables'!$A:$C,3,FALSE),IF(ISNUMBER(SEARCH("STEEL",F1966)),"Steel","Others"))</f>
        <v>0</v>
      </c>
      <c r="H1966">
        <f>IF(ISNUMBER(SEARCH("scrubber",F1966)) , "Scrubber", IF(ISNUMBER(SEARCH("container",F1966)),"Container", IF(ISNUMBER(SEARCH("basket",F1966)),"Basket", IF(ISNUMBER(SEARCH("lunch",F1966)),"Lunch Box", IF(ISNUMBER(SEARCH("cutlery",F1966)),"Cutlery","Other")))))</f>
        <v>0</v>
      </c>
      <c r="I1966">
        <f>IF('Raw Data'!G1966&lt;&gt;'','Raw Data'!G1966,IFERROR(MID(F1966,SEARCH("MODEL",F1966)+6,20),""))</f>
        <v>0</v>
      </c>
      <c r="J1966">
        <f>'Raw Data'!H1966</f>
        <v>0</v>
      </c>
      <c r="K1966">
        <f>'Raw Data'!I1966</f>
        <v>0</v>
      </c>
      <c r="L1966">
        <f>IF('Raw Data'!N1966&lt;&gt;0,'Raw Data'!N1966,IFERROR(VALUE(MID(F1966,SEARCH("QTY",F1966)+4,IFERROR(FIND(" ",F1966,SEARCH("QTY",F1966)+4)-(SEARCH("QTY",F1966)+4),3))),""))</f>
        <v>0</v>
      </c>
      <c r="M1966">
        <f>'Raw Data'!O1966</f>
        <v>0</v>
      </c>
      <c r="N1966">
        <f>'Raw Data'!P1966</f>
        <v>0</v>
      </c>
      <c r="O1966">
        <f>'Raw Data'!Q1966</f>
        <v>0</v>
      </c>
      <c r="P1966">
        <f>'Raw Data'!R1966</f>
        <v>0</v>
      </c>
      <c r="Q1966">
        <f>'Raw Data'!S1966</f>
        <v>0</v>
      </c>
      <c r="R1966">
        <f>'Raw Data'!T1966</f>
        <v>0</v>
      </c>
      <c r="S1966">
        <f>IFERROR(O1966,0)+IFERROR(R1966,0)</f>
        <v>0</v>
      </c>
      <c r="T1966">
        <f>IF(A1966="","",YEAR(A1966))</f>
        <v>0</v>
      </c>
    </row>
    <row r="1967" spans="1:20">
      <c r="A1967">
        <f>'Raw Data'!B1967</f>
        <v>0</v>
      </c>
      <c r="B1967">
        <f>'Raw Data'!A1967</f>
        <v>0</v>
      </c>
      <c r="C1967">
        <f>'Raw Data'!C1967</f>
        <v>0</v>
      </c>
      <c r="D1967">
        <f>'Raw Data'!D1967</f>
        <v>0</v>
      </c>
      <c r="E1967">
        <f>IFERROR(VLOOKUP(D1967,'Lookup Tables'!$A:$B,2,FALSE),"Unknown")</f>
        <v>0</v>
      </c>
      <c r="F1967">
        <f>'Raw Data'!E1967</f>
        <v>0</v>
      </c>
      <c r="G1967">
        <f>IFERROR(VLOOKUP(D1967,'Lookup Tables'!$A:$C,3,FALSE),IF(ISNUMBER(SEARCH("STEEL",F1967)),"Steel","Others"))</f>
        <v>0</v>
      </c>
      <c r="H1967">
        <f>IF(ISNUMBER(SEARCH("scrubber",F1967)) , "Scrubber", IF(ISNUMBER(SEARCH("container",F1967)),"Container", IF(ISNUMBER(SEARCH("basket",F1967)),"Basket", IF(ISNUMBER(SEARCH("lunch",F1967)),"Lunch Box", IF(ISNUMBER(SEARCH("cutlery",F1967)),"Cutlery","Other")))))</f>
        <v>0</v>
      </c>
      <c r="I1967">
        <f>IF('Raw Data'!G1967&lt;&gt;'','Raw Data'!G1967,IFERROR(MID(F1967,SEARCH("MODEL",F1967)+6,20),""))</f>
        <v>0</v>
      </c>
      <c r="J1967">
        <f>'Raw Data'!H1967</f>
        <v>0</v>
      </c>
      <c r="K1967">
        <f>'Raw Data'!I1967</f>
        <v>0</v>
      </c>
      <c r="L1967">
        <f>IF('Raw Data'!N1967&lt;&gt;0,'Raw Data'!N1967,IFERROR(VALUE(MID(F1967,SEARCH("QTY",F1967)+4,IFERROR(FIND(" ",F1967,SEARCH("QTY",F1967)+4)-(SEARCH("QTY",F1967)+4),3))),""))</f>
        <v>0</v>
      </c>
      <c r="M1967">
        <f>'Raw Data'!O1967</f>
        <v>0</v>
      </c>
      <c r="N1967">
        <f>'Raw Data'!P1967</f>
        <v>0</v>
      </c>
      <c r="O1967">
        <f>'Raw Data'!Q1967</f>
        <v>0</v>
      </c>
      <c r="P1967">
        <f>'Raw Data'!R1967</f>
        <v>0</v>
      </c>
      <c r="Q1967">
        <f>'Raw Data'!S1967</f>
        <v>0</v>
      </c>
      <c r="R1967">
        <f>'Raw Data'!T1967</f>
        <v>0</v>
      </c>
      <c r="S1967">
        <f>IFERROR(O1967,0)+IFERROR(R1967,0)</f>
        <v>0</v>
      </c>
      <c r="T1967">
        <f>IF(A1967="","",YEAR(A1967))</f>
        <v>0</v>
      </c>
    </row>
    <row r="1968" spans="1:20">
      <c r="A1968">
        <f>'Raw Data'!B1968</f>
        <v>0</v>
      </c>
      <c r="B1968">
        <f>'Raw Data'!A1968</f>
        <v>0</v>
      </c>
      <c r="C1968">
        <f>'Raw Data'!C1968</f>
        <v>0</v>
      </c>
      <c r="D1968">
        <f>'Raw Data'!D1968</f>
        <v>0</v>
      </c>
      <c r="E1968">
        <f>IFERROR(VLOOKUP(D1968,'Lookup Tables'!$A:$B,2,FALSE),"Unknown")</f>
        <v>0</v>
      </c>
      <c r="F1968">
        <f>'Raw Data'!E1968</f>
        <v>0</v>
      </c>
      <c r="G1968">
        <f>IFERROR(VLOOKUP(D1968,'Lookup Tables'!$A:$C,3,FALSE),IF(ISNUMBER(SEARCH("STEEL",F1968)),"Steel","Others"))</f>
        <v>0</v>
      </c>
      <c r="H1968">
        <f>IF(ISNUMBER(SEARCH("scrubber",F1968)) , "Scrubber", IF(ISNUMBER(SEARCH("container",F1968)),"Container", IF(ISNUMBER(SEARCH("basket",F1968)),"Basket", IF(ISNUMBER(SEARCH("lunch",F1968)),"Lunch Box", IF(ISNUMBER(SEARCH("cutlery",F1968)),"Cutlery","Other")))))</f>
        <v>0</v>
      </c>
      <c r="I1968">
        <f>IF('Raw Data'!G1968&lt;&gt;'','Raw Data'!G1968,IFERROR(MID(F1968,SEARCH("MODEL",F1968)+6,20),""))</f>
        <v>0</v>
      </c>
      <c r="J1968">
        <f>'Raw Data'!H1968</f>
        <v>0</v>
      </c>
      <c r="K1968">
        <f>'Raw Data'!I1968</f>
        <v>0</v>
      </c>
      <c r="L1968">
        <f>IF('Raw Data'!N1968&lt;&gt;0,'Raw Data'!N1968,IFERROR(VALUE(MID(F1968,SEARCH("QTY",F1968)+4,IFERROR(FIND(" ",F1968,SEARCH("QTY",F1968)+4)-(SEARCH("QTY",F1968)+4),3))),""))</f>
        <v>0</v>
      </c>
      <c r="M1968">
        <f>'Raw Data'!O1968</f>
        <v>0</v>
      </c>
      <c r="N1968">
        <f>'Raw Data'!P1968</f>
        <v>0</v>
      </c>
      <c r="O1968">
        <f>'Raw Data'!Q1968</f>
        <v>0</v>
      </c>
      <c r="P1968">
        <f>'Raw Data'!R1968</f>
        <v>0</v>
      </c>
      <c r="Q1968">
        <f>'Raw Data'!S1968</f>
        <v>0</v>
      </c>
      <c r="R1968">
        <f>'Raw Data'!T1968</f>
        <v>0</v>
      </c>
      <c r="S1968">
        <f>IFERROR(O1968,0)+IFERROR(R1968,0)</f>
        <v>0</v>
      </c>
      <c r="T1968">
        <f>IF(A1968="","",YEAR(A1968))</f>
        <v>0</v>
      </c>
    </row>
    <row r="1969" spans="1:20">
      <c r="A1969">
        <f>'Raw Data'!B1969</f>
        <v>0</v>
      </c>
      <c r="B1969">
        <f>'Raw Data'!A1969</f>
        <v>0</v>
      </c>
      <c r="C1969">
        <f>'Raw Data'!C1969</f>
        <v>0</v>
      </c>
      <c r="D1969">
        <f>'Raw Data'!D1969</f>
        <v>0</v>
      </c>
      <c r="E1969">
        <f>IFERROR(VLOOKUP(D1969,'Lookup Tables'!$A:$B,2,FALSE),"Unknown")</f>
        <v>0</v>
      </c>
      <c r="F1969">
        <f>'Raw Data'!E1969</f>
        <v>0</v>
      </c>
      <c r="G1969">
        <f>IFERROR(VLOOKUP(D1969,'Lookup Tables'!$A:$C,3,FALSE),IF(ISNUMBER(SEARCH("STEEL",F1969)),"Steel","Others"))</f>
        <v>0</v>
      </c>
      <c r="H1969">
        <f>IF(ISNUMBER(SEARCH("scrubber",F1969)) , "Scrubber", IF(ISNUMBER(SEARCH("container",F1969)),"Container", IF(ISNUMBER(SEARCH("basket",F1969)),"Basket", IF(ISNUMBER(SEARCH("lunch",F1969)),"Lunch Box", IF(ISNUMBER(SEARCH("cutlery",F1969)),"Cutlery","Other")))))</f>
        <v>0</v>
      </c>
      <c r="I1969">
        <f>IF('Raw Data'!G1969&lt;&gt;'','Raw Data'!G1969,IFERROR(MID(F1969,SEARCH("MODEL",F1969)+6,20),""))</f>
        <v>0</v>
      </c>
      <c r="J1969">
        <f>'Raw Data'!H1969</f>
        <v>0</v>
      </c>
      <c r="K1969">
        <f>'Raw Data'!I1969</f>
        <v>0</v>
      </c>
      <c r="L1969">
        <f>IF('Raw Data'!N1969&lt;&gt;0,'Raw Data'!N1969,IFERROR(VALUE(MID(F1969,SEARCH("QTY",F1969)+4,IFERROR(FIND(" ",F1969,SEARCH("QTY",F1969)+4)-(SEARCH("QTY",F1969)+4),3))),""))</f>
        <v>0</v>
      </c>
      <c r="M1969">
        <f>'Raw Data'!O1969</f>
        <v>0</v>
      </c>
      <c r="N1969">
        <f>'Raw Data'!P1969</f>
        <v>0</v>
      </c>
      <c r="O1969">
        <f>'Raw Data'!Q1969</f>
        <v>0</v>
      </c>
      <c r="P1969">
        <f>'Raw Data'!R1969</f>
        <v>0</v>
      </c>
      <c r="Q1969">
        <f>'Raw Data'!S1969</f>
        <v>0</v>
      </c>
      <c r="R1969">
        <f>'Raw Data'!T1969</f>
        <v>0</v>
      </c>
      <c r="S1969">
        <f>IFERROR(O1969,0)+IFERROR(R1969,0)</f>
        <v>0</v>
      </c>
      <c r="T1969">
        <f>IF(A1969="","",YEAR(A1969))</f>
        <v>0</v>
      </c>
    </row>
    <row r="1970" spans="1:20">
      <c r="A1970">
        <f>'Raw Data'!B1970</f>
        <v>0</v>
      </c>
      <c r="B1970">
        <f>'Raw Data'!A1970</f>
        <v>0</v>
      </c>
      <c r="C1970">
        <f>'Raw Data'!C1970</f>
        <v>0</v>
      </c>
      <c r="D1970">
        <f>'Raw Data'!D1970</f>
        <v>0</v>
      </c>
      <c r="E1970">
        <f>IFERROR(VLOOKUP(D1970,'Lookup Tables'!$A:$B,2,FALSE),"Unknown")</f>
        <v>0</v>
      </c>
      <c r="F1970">
        <f>'Raw Data'!E1970</f>
        <v>0</v>
      </c>
      <c r="G1970">
        <f>IFERROR(VLOOKUP(D1970,'Lookup Tables'!$A:$C,3,FALSE),IF(ISNUMBER(SEARCH("STEEL",F1970)),"Steel","Others"))</f>
        <v>0</v>
      </c>
      <c r="H1970">
        <f>IF(ISNUMBER(SEARCH("scrubber",F1970)) , "Scrubber", IF(ISNUMBER(SEARCH("container",F1970)),"Container", IF(ISNUMBER(SEARCH("basket",F1970)),"Basket", IF(ISNUMBER(SEARCH("lunch",F1970)),"Lunch Box", IF(ISNUMBER(SEARCH("cutlery",F1970)),"Cutlery","Other")))))</f>
        <v>0</v>
      </c>
      <c r="I1970">
        <f>IF('Raw Data'!G1970&lt;&gt;'','Raw Data'!G1970,IFERROR(MID(F1970,SEARCH("MODEL",F1970)+6,20),""))</f>
        <v>0</v>
      </c>
      <c r="J1970">
        <f>'Raw Data'!H1970</f>
        <v>0</v>
      </c>
      <c r="K1970">
        <f>'Raw Data'!I1970</f>
        <v>0</v>
      </c>
      <c r="L1970">
        <f>IF('Raw Data'!N1970&lt;&gt;0,'Raw Data'!N1970,IFERROR(VALUE(MID(F1970,SEARCH("QTY",F1970)+4,IFERROR(FIND(" ",F1970,SEARCH("QTY",F1970)+4)-(SEARCH("QTY",F1970)+4),3))),""))</f>
        <v>0</v>
      </c>
      <c r="M1970">
        <f>'Raw Data'!O1970</f>
        <v>0</v>
      </c>
      <c r="N1970">
        <f>'Raw Data'!P1970</f>
        <v>0</v>
      </c>
      <c r="O1970">
        <f>'Raw Data'!Q1970</f>
        <v>0</v>
      </c>
      <c r="P1970">
        <f>'Raw Data'!R1970</f>
        <v>0</v>
      </c>
      <c r="Q1970">
        <f>'Raw Data'!S1970</f>
        <v>0</v>
      </c>
      <c r="R1970">
        <f>'Raw Data'!T1970</f>
        <v>0</v>
      </c>
      <c r="S1970">
        <f>IFERROR(O1970,0)+IFERROR(R1970,0)</f>
        <v>0</v>
      </c>
      <c r="T1970">
        <f>IF(A1970="","",YEAR(A1970))</f>
        <v>0</v>
      </c>
    </row>
    <row r="1971" spans="1:20">
      <c r="A1971">
        <f>'Raw Data'!B1971</f>
        <v>0</v>
      </c>
      <c r="B1971">
        <f>'Raw Data'!A1971</f>
        <v>0</v>
      </c>
      <c r="C1971">
        <f>'Raw Data'!C1971</f>
        <v>0</v>
      </c>
      <c r="D1971">
        <f>'Raw Data'!D1971</f>
        <v>0</v>
      </c>
      <c r="E1971">
        <f>IFERROR(VLOOKUP(D1971,'Lookup Tables'!$A:$B,2,FALSE),"Unknown")</f>
        <v>0</v>
      </c>
      <c r="F1971">
        <f>'Raw Data'!E1971</f>
        <v>0</v>
      </c>
      <c r="G1971">
        <f>IFERROR(VLOOKUP(D1971,'Lookup Tables'!$A:$C,3,FALSE),IF(ISNUMBER(SEARCH("STEEL",F1971)),"Steel","Others"))</f>
        <v>0</v>
      </c>
      <c r="H1971">
        <f>IF(ISNUMBER(SEARCH("scrubber",F1971)) , "Scrubber", IF(ISNUMBER(SEARCH("container",F1971)),"Container", IF(ISNUMBER(SEARCH("basket",F1971)),"Basket", IF(ISNUMBER(SEARCH("lunch",F1971)),"Lunch Box", IF(ISNUMBER(SEARCH("cutlery",F1971)),"Cutlery","Other")))))</f>
        <v>0</v>
      </c>
      <c r="I1971">
        <f>IF('Raw Data'!G1971&lt;&gt;'','Raw Data'!G1971,IFERROR(MID(F1971,SEARCH("MODEL",F1971)+6,20),""))</f>
        <v>0</v>
      </c>
      <c r="J1971">
        <f>'Raw Data'!H1971</f>
        <v>0</v>
      </c>
      <c r="K1971">
        <f>'Raw Data'!I1971</f>
        <v>0</v>
      </c>
      <c r="L1971">
        <f>IF('Raw Data'!N1971&lt;&gt;0,'Raw Data'!N1971,IFERROR(VALUE(MID(F1971,SEARCH("QTY",F1971)+4,IFERROR(FIND(" ",F1971,SEARCH("QTY",F1971)+4)-(SEARCH("QTY",F1971)+4),3))),""))</f>
        <v>0</v>
      </c>
      <c r="M1971">
        <f>'Raw Data'!O1971</f>
        <v>0</v>
      </c>
      <c r="N1971">
        <f>'Raw Data'!P1971</f>
        <v>0</v>
      </c>
      <c r="O1971">
        <f>'Raw Data'!Q1971</f>
        <v>0</v>
      </c>
      <c r="P1971">
        <f>'Raw Data'!R1971</f>
        <v>0</v>
      </c>
      <c r="Q1971">
        <f>'Raw Data'!S1971</f>
        <v>0</v>
      </c>
      <c r="R1971">
        <f>'Raw Data'!T1971</f>
        <v>0</v>
      </c>
      <c r="S1971">
        <f>IFERROR(O1971,0)+IFERROR(R1971,0)</f>
        <v>0</v>
      </c>
      <c r="T1971">
        <f>IF(A1971="","",YEAR(A1971))</f>
        <v>0</v>
      </c>
    </row>
    <row r="1972" spans="1:20">
      <c r="A1972">
        <f>'Raw Data'!B1972</f>
        <v>0</v>
      </c>
      <c r="B1972">
        <f>'Raw Data'!A1972</f>
        <v>0</v>
      </c>
      <c r="C1972">
        <f>'Raw Data'!C1972</f>
        <v>0</v>
      </c>
      <c r="D1972">
        <f>'Raw Data'!D1972</f>
        <v>0</v>
      </c>
      <c r="E1972">
        <f>IFERROR(VLOOKUP(D1972,'Lookup Tables'!$A:$B,2,FALSE),"Unknown")</f>
        <v>0</v>
      </c>
      <c r="F1972">
        <f>'Raw Data'!E1972</f>
        <v>0</v>
      </c>
      <c r="G1972">
        <f>IFERROR(VLOOKUP(D1972,'Lookup Tables'!$A:$C,3,FALSE),IF(ISNUMBER(SEARCH("STEEL",F1972)),"Steel","Others"))</f>
        <v>0</v>
      </c>
      <c r="H1972">
        <f>IF(ISNUMBER(SEARCH("scrubber",F1972)) , "Scrubber", IF(ISNUMBER(SEARCH("container",F1972)),"Container", IF(ISNUMBER(SEARCH("basket",F1972)),"Basket", IF(ISNUMBER(SEARCH("lunch",F1972)),"Lunch Box", IF(ISNUMBER(SEARCH("cutlery",F1972)),"Cutlery","Other")))))</f>
        <v>0</v>
      </c>
      <c r="I1972">
        <f>IF('Raw Data'!G1972&lt;&gt;'','Raw Data'!G1972,IFERROR(MID(F1972,SEARCH("MODEL",F1972)+6,20),""))</f>
        <v>0</v>
      </c>
      <c r="J1972">
        <f>'Raw Data'!H1972</f>
        <v>0</v>
      </c>
      <c r="K1972">
        <f>'Raw Data'!I1972</f>
        <v>0</v>
      </c>
      <c r="L1972">
        <f>IF('Raw Data'!N1972&lt;&gt;0,'Raw Data'!N1972,IFERROR(VALUE(MID(F1972,SEARCH("QTY",F1972)+4,IFERROR(FIND(" ",F1972,SEARCH("QTY",F1972)+4)-(SEARCH("QTY",F1972)+4),3))),""))</f>
        <v>0</v>
      </c>
      <c r="M1972">
        <f>'Raw Data'!O1972</f>
        <v>0</v>
      </c>
      <c r="N1972">
        <f>'Raw Data'!P1972</f>
        <v>0</v>
      </c>
      <c r="O1972">
        <f>'Raw Data'!Q1972</f>
        <v>0</v>
      </c>
      <c r="P1972">
        <f>'Raw Data'!R1972</f>
        <v>0</v>
      </c>
      <c r="Q1972">
        <f>'Raw Data'!S1972</f>
        <v>0</v>
      </c>
      <c r="R1972">
        <f>'Raw Data'!T1972</f>
        <v>0</v>
      </c>
      <c r="S1972">
        <f>IFERROR(O1972,0)+IFERROR(R1972,0)</f>
        <v>0</v>
      </c>
      <c r="T1972">
        <f>IF(A1972="","",YEAR(A1972))</f>
        <v>0</v>
      </c>
    </row>
    <row r="1973" spans="1:20">
      <c r="A1973">
        <f>'Raw Data'!B1973</f>
        <v>0</v>
      </c>
      <c r="B1973">
        <f>'Raw Data'!A1973</f>
        <v>0</v>
      </c>
      <c r="C1973">
        <f>'Raw Data'!C1973</f>
        <v>0</v>
      </c>
      <c r="D1973">
        <f>'Raw Data'!D1973</f>
        <v>0</v>
      </c>
      <c r="E1973">
        <f>IFERROR(VLOOKUP(D1973,'Lookup Tables'!$A:$B,2,FALSE),"Unknown")</f>
        <v>0</v>
      </c>
      <c r="F1973">
        <f>'Raw Data'!E1973</f>
        <v>0</v>
      </c>
      <c r="G1973">
        <f>IFERROR(VLOOKUP(D1973,'Lookup Tables'!$A:$C,3,FALSE),IF(ISNUMBER(SEARCH("STEEL",F1973)),"Steel","Others"))</f>
        <v>0</v>
      </c>
      <c r="H1973">
        <f>IF(ISNUMBER(SEARCH("scrubber",F1973)) , "Scrubber", IF(ISNUMBER(SEARCH("container",F1973)),"Container", IF(ISNUMBER(SEARCH("basket",F1973)),"Basket", IF(ISNUMBER(SEARCH("lunch",F1973)),"Lunch Box", IF(ISNUMBER(SEARCH("cutlery",F1973)),"Cutlery","Other")))))</f>
        <v>0</v>
      </c>
      <c r="I1973">
        <f>IF('Raw Data'!G1973&lt;&gt;'','Raw Data'!G1973,IFERROR(MID(F1973,SEARCH("MODEL",F1973)+6,20),""))</f>
        <v>0</v>
      </c>
      <c r="J1973">
        <f>'Raw Data'!H1973</f>
        <v>0</v>
      </c>
      <c r="K1973">
        <f>'Raw Data'!I1973</f>
        <v>0</v>
      </c>
      <c r="L1973">
        <f>IF('Raw Data'!N1973&lt;&gt;0,'Raw Data'!N1973,IFERROR(VALUE(MID(F1973,SEARCH("QTY",F1973)+4,IFERROR(FIND(" ",F1973,SEARCH("QTY",F1973)+4)-(SEARCH("QTY",F1973)+4),3))),""))</f>
        <v>0</v>
      </c>
      <c r="M1973">
        <f>'Raw Data'!O1973</f>
        <v>0</v>
      </c>
      <c r="N1973">
        <f>'Raw Data'!P1973</f>
        <v>0</v>
      </c>
      <c r="O1973">
        <f>'Raw Data'!Q1973</f>
        <v>0</v>
      </c>
      <c r="P1973">
        <f>'Raw Data'!R1973</f>
        <v>0</v>
      </c>
      <c r="Q1973">
        <f>'Raw Data'!S1973</f>
        <v>0</v>
      </c>
      <c r="R1973">
        <f>'Raw Data'!T1973</f>
        <v>0</v>
      </c>
      <c r="S1973">
        <f>IFERROR(O1973,0)+IFERROR(R1973,0)</f>
        <v>0</v>
      </c>
      <c r="T1973">
        <f>IF(A1973="","",YEAR(A1973))</f>
        <v>0</v>
      </c>
    </row>
    <row r="1974" spans="1:20">
      <c r="A1974">
        <f>'Raw Data'!B1974</f>
        <v>0</v>
      </c>
      <c r="B1974">
        <f>'Raw Data'!A1974</f>
        <v>0</v>
      </c>
      <c r="C1974">
        <f>'Raw Data'!C1974</f>
        <v>0</v>
      </c>
      <c r="D1974">
        <f>'Raw Data'!D1974</f>
        <v>0</v>
      </c>
      <c r="E1974">
        <f>IFERROR(VLOOKUP(D1974,'Lookup Tables'!$A:$B,2,FALSE),"Unknown")</f>
        <v>0</v>
      </c>
      <c r="F1974">
        <f>'Raw Data'!E1974</f>
        <v>0</v>
      </c>
      <c r="G1974">
        <f>IFERROR(VLOOKUP(D1974,'Lookup Tables'!$A:$C,3,FALSE),IF(ISNUMBER(SEARCH("STEEL",F1974)),"Steel","Others"))</f>
        <v>0</v>
      </c>
      <c r="H1974">
        <f>IF(ISNUMBER(SEARCH("scrubber",F1974)) , "Scrubber", IF(ISNUMBER(SEARCH("container",F1974)),"Container", IF(ISNUMBER(SEARCH("basket",F1974)),"Basket", IF(ISNUMBER(SEARCH("lunch",F1974)),"Lunch Box", IF(ISNUMBER(SEARCH("cutlery",F1974)),"Cutlery","Other")))))</f>
        <v>0</v>
      </c>
      <c r="I1974">
        <f>IF('Raw Data'!G1974&lt;&gt;'','Raw Data'!G1974,IFERROR(MID(F1974,SEARCH("MODEL",F1974)+6,20),""))</f>
        <v>0</v>
      </c>
      <c r="J1974">
        <f>'Raw Data'!H1974</f>
        <v>0</v>
      </c>
      <c r="K1974">
        <f>'Raw Data'!I1974</f>
        <v>0</v>
      </c>
      <c r="L1974">
        <f>IF('Raw Data'!N1974&lt;&gt;0,'Raw Data'!N1974,IFERROR(VALUE(MID(F1974,SEARCH("QTY",F1974)+4,IFERROR(FIND(" ",F1974,SEARCH("QTY",F1974)+4)-(SEARCH("QTY",F1974)+4),3))),""))</f>
        <v>0</v>
      </c>
      <c r="M1974">
        <f>'Raw Data'!O1974</f>
        <v>0</v>
      </c>
      <c r="N1974">
        <f>'Raw Data'!P1974</f>
        <v>0</v>
      </c>
      <c r="O1974">
        <f>'Raw Data'!Q1974</f>
        <v>0</v>
      </c>
      <c r="P1974">
        <f>'Raw Data'!R1974</f>
        <v>0</v>
      </c>
      <c r="Q1974">
        <f>'Raw Data'!S1974</f>
        <v>0</v>
      </c>
      <c r="R1974">
        <f>'Raw Data'!T1974</f>
        <v>0</v>
      </c>
      <c r="S1974">
        <f>IFERROR(O1974,0)+IFERROR(R1974,0)</f>
        <v>0</v>
      </c>
      <c r="T1974">
        <f>IF(A1974="","",YEAR(A1974))</f>
        <v>0</v>
      </c>
    </row>
    <row r="1975" spans="1:20">
      <c r="A1975">
        <f>'Raw Data'!B1975</f>
        <v>0</v>
      </c>
      <c r="B1975">
        <f>'Raw Data'!A1975</f>
        <v>0</v>
      </c>
      <c r="C1975">
        <f>'Raw Data'!C1975</f>
        <v>0</v>
      </c>
      <c r="D1975">
        <f>'Raw Data'!D1975</f>
        <v>0</v>
      </c>
      <c r="E1975">
        <f>IFERROR(VLOOKUP(D1975,'Lookup Tables'!$A:$B,2,FALSE),"Unknown")</f>
        <v>0</v>
      </c>
      <c r="F1975">
        <f>'Raw Data'!E1975</f>
        <v>0</v>
      </c>
      <c r="G1975">
        <f>IFERROR(VLOOKUP(D1975,'Lookup Tables'!$A:$C,3,FALSE),IF(ISNUMBER(SEARCH("STEEL",F1975)),"Steel","Others"))</f>
        <v>0</v>
      </c>
      <c r="H1975">
        <f>IF(ISNUMBER(SEARCH("scrubber",F1975)) , "Scrubber", IF(ISNUMBER(SEARCH("container",F1975)),"Container", IF(ISNUMBER(SEARCH("basket",F1975)),"Basket", IF(ISNUMBER(SEARCH("lunch",F1975)),"Lunch Box", IF(ISNUMBER(SEARCH("cutlery",F1975)),"Cutlery","Other")))))</f>
        <v>0</v>
      </c>
      <c r="I1975">
        <f>IF('Raw Data'!G1975&lt;&gt;'','Raw Data'!G1975,IFERROR(MID(F1975,SEARCH("MODEL",F1975)+6,20),""))</f>
        <v>0</v>
      </c>
      <c r="J1975">
        <f>'Raw Data'!H1975</f>
        <v>0</v>
      </c>
      <c r="K1975">
        <f>'Raw Data'!I1975</f>
        <v>0</v>
      </c>
      <c r="L1975">
        <f>IF('Raw Data'!N1975&lt;&gt;0,'Raw Data'!N1975,IFERROR(VALUE(MID(F1975,SEARCH("QTY",F1975)+4,IFERROR(FIND(" ",F1975,SEARCH("QTY",F1975)+4)-(SEARCH("QTY",F1975)+4),3))),""))</f>
        <v>0</v>
      </c>
      <c r="M1975">
        <f>'Raw Data'!O1975</f>
        <v>0</v>
      </c>
      <c r="N1975">
        <f>'Raw Data'!P1975</f>
        <v>0</v>
      </c>
      <c r="O1975">
        <f>'Raw Data'!Q1975</f>
        <v>0</v>
      </c>
      <c r="P1975">
        <f>'Raw Data'!R1975</f>
        <v>0</v>
      </c>
      <c r="Q1975">
        <f>'Raw Data'!S1975</f>
        <v>0</v>
      </c>
      <c r="R1975">
        <f>'Raw Data'!T1975</f>
        <v>0</v>
      </c>
      <c r="S1975">
        <f>IFERROR(O1975,0)+IFERROR(R1975,0)</f>
        <v>0</v>
      </c>
      <c r="T1975">
        <f>IF(A1975="","",YEAR(A1975))</f>
        <v>0</v>
      </c>
    </row>
    <row r="1976" spans="1:20">
      <c r="A1976">
        <f>'Raw Data'!B1976</f>
        <v>0</v>
      </c>
      <c r="B1976">
        <f>'Raw Data'!A1976</f>
        <v>0</v>
      </c>
      <c r="C1976">
        <f>'Raw Data'!C1976</f>
        <v>0</v>
      </c>
      <c r="D1976">
        <f>'Raw Data'!D1976</f>
        <v>0</v>
      </c>
      <c r="E1976">
        <f>IFERROR(VLOOKUP(D1976,'Lookup Tables'!$A:$B,2,FALSE),"Unknown")</f>
        <v>0</v>
      </c>
      <c r="F1976">
        <f>'Raw Data'!E1976</f>
        <v>0</v>
      </c>
      <c r="G1976">
        <f>IFERROR(VLOOKUP(D1976,'Lookup Tables'!$A:$C,3,FALSE),IF(ISNUMBER(SEARCH("STEEL",F1976)),"Steel","Others"))</f>
        <v>0</v>
      </c>
      <c r="H1976">
        <f>IF(ISNUMBER(SEARCH("scrubber",F1976)) , "Scrubber", IF(ISNUMBER(SEARCH("container",F1976)),"Container", IF(ISNUMBER(SEARCH("basket",F1976)),"Basket", IF(ISNUMBER(SEARCH("lunch",F1976)),"Lunch Box", IF(ISNUMBER(SEARCH("cutlery",F1976)),"Cutlery","Other")))))</f>
        <v>0</v>
      </c>
      <c r="I1976">
        <f>IF('Raw Data'!G1976&lt;&gt;'','Raw Data'!G1976,IFERROR(MID(F1976,SEARCH("MODEL",F1976)+6,20),""))</f>
        <v>0</v>
      </c>
      <c r="J1976">
        <f>'Raw Data'!H1976</f>
        <v>0</v>
      </c>
      <c r="K1976">
        <f>'Raw Data'!I1976</f>
        <v>0</v>
      </c>
      <c r="L1976">
        <f>IF('Raw Data'!N1976&lt;&gt;0,'Raw Data'!N1976,IFERROR(VALUE(MID(F1976,SEARCH("QTY",F1976)+4,IFERROR(FIND(" ",F1976,SEARCH("QTY",F1976)+4)-(SEARCH("QTY",F1976)+4),3))),""))</f>
        <v>0</v>
      </c>
      <c r="M1976">
        <f>'Raw Data'!O1976</f>
        <v>0</v>
      </c>
      <c r="N1976">
        <f>'Raw Data'!P1976</f>
        <v>0</v>
      </c>
      <c r="O1976">
        <f>'Raw Data'!Q1976</f>
        <v>0</v>
      </c>
      <c r="P1976">
        <f>'Raw Data'!R1976</f>
        <v>0</v>
      </c>
      <c r="Q1976">
        <f>'Raw Data'!S1976</f>
        <v>0</v>
      </c>
      <c r="R1976">
        <f>'Raw Data'!T1976</f>
        <v>0</v>
      </c>
      <c r="S1976">
        <f>IFERROR(O1976,0)+IFERROR(R1976,0)</f>
        <v>0</v>
      </c>
      <c r="T1976">
        <f>IF(A1976="","",YEAR(A1976))</f>
        <v>0</v>
      </c>
    </row>
    <row r="1977" spans="1:20">
      <c r="A1977">
        <f>'Raw Data'!B1977</f>
        <v>0</v>
      </c>
      <c r="B1977">
        <f>'Raw Data'!A1977</f>
        <v>0</v>
      </c>
      <c r="C1977">
        <f>'Raw Data'!C1977</f>
        <v>0</v>
      </c>
      <c r="D1977">
        <f>'Raw Data'!D1977</f>
        <v>0</v>
      </c>
      <c r="E1977">
        <f>IFERROR(VLOOKUP(D1977,'Lookup Tables'!$A:$B,2,FALSE),"Unknown")</f>
        <v>0</v>
      </c>
      <c r="F1977">
        <f>'Raw Data'!E1977</f>
        <v>0</v>
      </c>
      <c r="G1977">
        <f>IFERROR(VLOOKUP(D1977,'Lookup Tables'!$A:$C,3,FALSE),IF(ISNUMBER(SEARCH("STEEL",F1977)),"Steel","Others"))</f>
        <v>0</v>
      </c>
      <c r="H1977">
        <f>IF(ISNUMBER(SEARCH("scrubber",F1977)) , "Scrubber", IF(ISNUMBER(SEARCH("container",F1977)),"Container", IF(ISNUMBER(SEARCH("basket",F1977)),"Basket", IF(ISNUMBER(SEARCH("lunch",F1977)),"Lunch Box", IF(ISNUMBER(SEARCH("cutlery",F1977)),"Cutlery","Other")))))</f>
        <v>0</v>
      </c>
      <c r="I1977">
        <f>IF('Raw Data'!G1977&lt;&gt;'','Raw Data'!G1977,IFERROR(MID(F1977,SEARCH("MODEL",F1977)+6,20),""))</f>
        <v>0</v>
      </c>
      <c r="J1977">
        <f>'Raw Data'!H1977</f>
        <v>0</v>
      </c>
      <c r="K1977">
        <f>'Raw Data'!I1977</f>
        <v>0</v>
      </c>
      <c r="L1977">
        <f>IF('Raw Data'!N1977&lt;&gt;0,'Raw Data'!N1977,IFERROR(VALUE(MID(F1977,SEARCH("QTY",F1977)+4,IFERROR(FIND(" ",F1977,SEARCH("QTY",F1977)+4)-(SEARCH("QTY",F1977)+4),3))),""))</f>
        <v>0</v>
      </c>
      <c r="M1977">
        <f>'Raw Data'!O1977</f>
        <v>0</v>
      </c>
      <c r="N1977">
        <f>'Raw Data'!P1977</f>
        <v>0</v>
      </c>
      <c r="O1977">
        <f>'Raw Data'!Q1977</f>
        <v>0</v>
      </c>
      <c r="P1977">
        <f>'Raw Data'!R1977</f>
        <v>0</v>
      </c>
      <c r="Q1977">
        <f>'Raw Data'!S1977</f>
        <v>0</v>
      </c>
      <c r="R1977">
        <f>'Raw Data'!T1977</f>
        <v>0</v>
      </c>
      <c r="S1977">
        <f>IFERROR(O1977,0)+IFERROR(R1977,0)</f>
        <v>0</v>
      </c>
      <c r="T1977">
        <f>IF(A1977="","",YEAR(A1977))</f>
        <v>0</v>
      </c>
    </row>
    <row r="1978" spans="1:20">
      <c r="A1978">
        <f>'Raw Data'!B1978</f>
        <v>0</v>
      </c>
      <c r="B1978">
        <f>'Raw Data'!A1978</f>
        <v>0</v>
      </c>
      <c r="C1978">
        <f>'Raw Data'!C1978</f>
        <v>0</v>
      </c>
      <c r="D1978">
        <f>'Raw Data'!D1978</f>
        <v>0</v>
      </c>
      <c r="E1978">
        <f>IFERROR(VLOOKUP(D1978,'Lookup Tables'!$A:$B,2,FALSE),"Unknown")</f>
        <v>0</v>
      </c>
      <c r="F1978">
        <f>'Raw Data'!E1978</f>
        <v>0</v>
      </c>
      <c r="G1978">
        <f>IFERROR(VLOOKUP(D1978,'Lookup Tables'!$A:$C,3,FALSE),IF(ISNUMBER(SEARCH("STEEL",F1978)),"Steel","Others"))</f>
        <v>0</v>
      </c>
      <c r="H1978">
        <f>IF(ISNUMBER(SEARCH("scrubber",F1978)) , "Scrubber", IF(ISNUMBER(SEARCH("container",F1978)),"Container", IF(ISNUMBER(SEARCH("basket",F1978)),"Basket", IF(ISNUMBER(SEARCH("lunch",F1978)),"Lunch Box", IF(ISNUMBER(SEARCH("cutlery",F1978)),"Cutlery","Other")))))</f>
        <v>0</v>
      </c>
      <c r="I1978">
        <f>IF('Raw Data'!G1978&lt;&gt;'','Raw Data'!G1978,IFERROR(MID(F1978,SEARCH("MODEL",F1978)+6,20),""))</f>
        <v>0</v>
      </c>
      <c r="J1978">
        <f>'Raw Data'!H1978</f>
        <v>0</v>
      </c>
      <c r="K1978">
        <f>'Raw Data'!I1978</f>
        <v>0</v>
      </c>
      <c r="L1978">
        <f>IF('Raw Data'!N1978&lt;&gt;0,'Raw Data'!N1978,IFERROR(VALUE(MID(F1978,SEARCH("QTY",F1978)+4,IFERROR(FIND(" ",F1978,SEARCH("QTY",F1978)+4)-(SEARCH("QTY",F1978)+4),3))),""))</f>
        <v>0</v>
      </c>
      <c r="M1978">
        <f>'Raw Data'!O1978</f>
        <v>0</v>
      </c>
      <c r="N1978">
        <f>'Raw Data'!P1978</f>
        <v>0</v>
      </c>
      <c r="O1978">
        <f>'Raw Data'!Q1978</f>
        <v>0</v>
      </c>
      <c r="P1978">
        <f>'Raw Data'!R1978</f>
        <v>0</v>
      </c>
      <c r="Q1978">
        <f>'Raw Data'!S1978</f>
        <v>0</v>
      </c>
      <c r="R1978">
        <f>'Raw Data'!T1978</f>
        <v>0</v>
      </c>
      <c r="S1978">
        <f>IFERROR(O1978,0)+IFERROR(R1978,0)</f>
        <v>0</v>
      </c>
      <c r="T1978">
        <f>IF(A1978="","",YEAR(A1978))</f>
        <v>0</v>
      </c>
    </row>
    <row r="1979" spans="1:20">
      <c r="A1979">
        <f>'Raw Data'!B1979</f>
        <v>0</v>
      </c>
      <c r="B1979">
        <f>'Raw Data'!A1979</f>
        <v>0</v>
      </c>
      <c r="C1979">
        <f>'Raw Data'!C1979</f>
        <v>0</v>
      </c>
      <c r="D1979">
        <f>'Raw Data'!D1979</f>
        <v>0</v>
      </c>
      <c r="E1979">
        <f>IFERROR(VLOOKUP(D1979,'Lookup Tables'!$A:$B,2,FALSE),"Unknown")</f>
        <v>0</v>
      </c>
      <c r="F1979">
        <f>'Raw Data'!E1979</f>
        <v>0</v>
      </c>
      <c r="G1979">
        <f>IFERROR(VLOOKUP(D1979,'Lookup Tables'!$A:$C,3,FALSE),IF(ISNUMBER(SEARCH("STEEL",F1979)),"Steel","Others"))</f>
        <v>0</v>
      </c>
      <c r="H1979">
        <f>IF(ISNUMBER(SEARCH("scrubber",F1979)) , "Scrubber", IF(ISNUMBER(SEARCH("container",F1979)),"Container", IF(ISNUMBER(SEARCH("basket",F1979)),"Basket", IF(ISNUMBER(SEARCH("lunch",F1979)),"Lunch Box", IF(ISNUMBER(SEARCH("cutlery",F1979)),"Cutlery","Other")))))</f>
        <v>0</v>
      </c>
      <c r="I1979">
        <f>IF('Raw Data'!G1979&lt;&gt;'','Raw Data'!G1979,IFERROR(MID(F1979,SEARCH("MODEL",F1979)+6,20),""))</f>
        <v>0</v>
      </c>
      <c r="J1979">
        <f>'Raw Data'!H1979</f>
        <v>0</v>
      </c>
      <c r="K1979">
        <f>'Raw Data'!I1979</f>
        <v>0</v>
      </c>
      <c r="L1979">
        <f>IF('Raw Data'!N1979&lt;&gt;0,'Raw Data'!N1979,IFERROR(VALUE(MID(F1979,SEARCH("QTY",F1979)+4,IFERROR(FIND(" ",F1979,SEARCH("QTY",F1979)+4)-(SEARCH("QTY",F1979)+4),3))),""))</f>
        <v>0</v>
      </c>
      <c r="M1979">
        <f>'Raw Data'!O1979</f>
        <v>0</v>
      </c>
      <c r="N1979">
        <f>'Raw Data'!P1979</f>
        <v>0</v>
      </c>
      <c r="O1979">
        <f>'Raw Data'!Q1979</f>
        <v>0</v>
      </c>
      <c r="P1979">
        <f>'Raw Data'!R1979</f>
        <v>0</v>
      </c>
      <c r="Q1979">
        <f>'Raw Data'!S1979</f>
        <v>0</v>
      </c>
      <c r="R1979">
        <f>'Raw Data'!T1979</f>
        <v>0</v>
      </c>
      <c r="S1979">
        <f>IFERROR(O1979,0)+IFERROR(R1979,0)</f>
        <v>0</v>
      </c>
      <c r="T1979">
        <f>IF(A1979="","",YEAR(A1979))</f>
        <v>0</v>
      </c>
    </row>
    <row r="1980" spans="1:20">
      <c r="A1980">
        <f>'Raw Data'!B1980</f>
        <v>0</v>
      </c>
      <c r="B1980">
        <f>'Raw Data'!A1980</f>
        <v>0</v>
      </c>
      <c r="C1980">
        <f>'Raw Data'!C1980</f>
        <v>0</v>
      </c>
      <c r="D1980">
        <f>'Raw Data'!D1980</f>
        <v>0</v>
      </c>
      <c r="E1980">
        <f>IFERROR(VLOOKUP(D1980,'Lookup Tables'!$A:$B,2,FALSE),"Unknown")</f>
        <v>0</v>
      </c>
      <c r="F1980">
        <f>'Raw Data'!E1980</f>
        <v>0</v>
      </c>
      <c r="G1980">
        <f>IFERROR(VLOOKUP(D1980,'Lookup Tables'!$A:$C,3,FALSE),IF(ISNUMBER(SEARCH("STEEL",F1980)),"Steel","Others"))</f>
        <v>0</v>
      </c>
      <c r="H1980">
        <f>IF(ISNUMBER(SEARCH("scrubber",F1980)) , "Scrubber", IF(ISNUMBER(SEARCH("container",F1980)),"Container", IF(ISNUMBER(SEARCH("basket",F1980)),"Basket", IF(ISNUMBER(SEARCH("lunch",F1980)),"Lunch Box", IF(ISNUMBER(SEARCH("cutlery",F1980)),"Cutlery","Other")))))</f>
        <v>0</v>
      </c>
      <c r="I1980">
        <f>IF('Raw Data'!G1980&lt;&gt;'','Raw Data'!G1980,IFERROR(MID(F1980,SEARCH("MODEL",F1980)+6,20),""))</f>
        <v>0</v>
      </c>
      <c r="J1980">
        <f>'Raw Data'!H1980</f>
        <v>0</v>
      </c>
      <c r="K1980">
        <f>'Raw Data'!I1980</f>
        <v>0</v>
      </c>
      <c r="L1980">
        <f>IF('Raw Data'!N1980&lt;&gt;0,'Raw Data'!N1980,IFERROR(VALUE(MID(F1980,SEARCH("QTY",F1980)+4,IFERROR(FIND(" ",F1980,SEARCH("QTY",F1980)+4)-(SEARCH("QTY",F1980)+4),3))),""))</f>
        <v>0</v>
      </c>
      <c r="M1980">
        <f>'Raw Data'!O1980</f>
        <v>0</v>
      </c>
      <c r="N1980">
        <f>'Raw Data'!P1980</f>
        <v>0</v>
      </c>
      <c r="O1980">
        <f>'Raw Data'!Q1980</f>
        <v>0</v>
      </c>
      <c r="P1980">
        <f>'Raw Data'!R1980</f>
        <v>0</v>
      </c>
      <c r="Q1980">
        <f>'Raw Data'!S1980</f>
        <v>0</v>
      </c>
      <c r="R1980">
        <f>'Raw Data'!T1980</f>
        <v>0</v>
      </c>
      <c r="S1980">
        <f>IFERROR(O1980,0)+IFERROR(R1980,0)</f>
        <v>0</v>
      </c>
      <c r="T1980">
        <f>IF(A1980="","",YEAR(A1980))</f>
        <v>0</v>
      </c>
    </row>
    <row r="1981" spans="1:20">
      <c r="A1981">
        <f>'Raw Data'!B1981</f>
        <v>0</v>
      </c>
      <c r="B1981">
        <f>'Raw Data'!A1981</f>
        <v>0</v>
      </c>
      <c r="C1981">
        <f>'Raw Data'!C1981</f>
        <v>0</v>
      </c>
      <c r="D1981">
        <f>'Raw Data'!D1981</f>
        <v>0</v>
      </c>
      <c r="E1981">
        <f>IFERROR(VLOOKUP(D1981,'Lookup Tables'!$A:$B,2,FALSE),"Unknown")</f>
        <v>0</v>
      </c>
      <c r="F1981">
        <f>'Raw Data'!E1981</f>
        <v>0</v>
      </c>
      <c r="G1981">
        <f>IFERROR(VLOOKUP(D1981,'Lookup Tables'!$A:$C,3,FALSE),IF(ISNUMBER(SEARCH("STEEL",F1981)),"Steel","Others"))</f>
        <v>0</v>
      </c>
      <c r="H1981">
        <f>IF(ISNUMBER(SEARCH("scrubber",F1981)) , "Scrubber", IF(ISNUMBER(SEARCH("container",F1981)),"Container", IF(ISNUMBER(SEARCH("basket",F1981)),"Basket", IF(ISNUMBER(SEARCH("lunch",F1981)),"Lunch Box", IF(ISNUMBER(SEARCH("cutlery",F1981)),"Cutlery","Other")))))</f>
        <v>0</v>
      </c>
      <c r="I1981">
        <f>IF('Raw Data'!G1981&lt;&gt;'','Raw Data'!G1981,IFERROR(MID(F1981,SEARCH("MODEL",F1981)+6,20),""))</f>
        <v>0</v>
      </c>
      <c r="J1981">
        <f>'Raw Data'!H1981</f>
        <v>0</v>
      </c>
      <c r="K1981">
        <f>'Raw Data'!I1981</f>
        <v>0</v>
      </c>
      <c r="L1981">
        <f>IF('Raw Data'!N1981&lt;&gt;0,'Raw Data'!N1981,IFERROR(VALUE(MID(F1981,SEARCH("QTY",F1981)+4,IFERROR(FIND(" ",F1981,SEARCH("QTY",F1981)+4)-(SEARCH("QTY",F1981)+4),3))),""))</f>
        <v>0</v>
      </c>
      <c r="M1981">
        <f>'Raw Data'!O1981</f>
        <v>0</v>
      </c>
      <c r="N1981">
        <f>'Raw Data'!P1981</f>
        <v>0</v>
      </c>
      <c r="O1981">
        <f>'Raw Data'!Q1981</f>
        <v>0</v>
      </c>
      <c r="P1981">
        <f>'Raw Data'!R1981</f>
        <v>0</v>
      </c>
      <c r="Q1981">
        <f>'Raw Data'!S1981</f>
        <v>0</v>
      </c>
      <c r="R1981">
        <f>'Raw Data'!T1981</f>
        <v>0</v>
      </c>
      <c r="S1981">
        <f>IFERROR(O1981,0)+IFERROR(R1981,0)</f>
        <v>0</v>
      </c>
      <c r="T1981">
        <f>IF(A1981="","",YEAR(A1981))</f>
        <v>0</v>
      </c>
    </row>
    <row r="1982" spans="1:20">
      <c r="A1982">
        <f>'Raw Data'!B1982</f>
        <v>0</v>
      </c>
      <c r="B1982">
        <f>'Raw Data'!A1982</f>
        <v>0</v>
      </c>
      <c r="C1982">
        <f>'Raw Data'!C1982</f>
        <v>0</v>
      </c>
      <c r="D1982">
        <f>'Raw Data'!D1982</f>
        <v>0</v>
      </c>
      <c r="E1982">
        <f>IFERROR(VLOOKUP(D1982,'Lookup Tables'!$A:$B,2,FALSE),"Unknown")</f>
        <v>0</v>
      </c>
      <c r="F1982">
        <f>'Raw Data'!E1982</f>
        <v>0</v>
      </c>
      <c r="G1982">
        <f>IFERROR(VLOOKUP(D1982,'Lookup Tables'!$A:$C,3,FALSE),IF(ISNUMBER(SEARCH("STEEL",F1982)),"Steel","Others"))</f>
        <v>0</v>
      </c>
      <c r="H1982">
        <f>IF(ISNUMBER(SEARCH("scrubber",F1982)) , "Scrubber", IF(ISNUMBER(SEARCH("container",F1982)),"Container", IF(ISNUMBER(SEARCH("basket",F1982)),"Basket", IF(ISNUMBER(SEARCH("lunch",F1982)),"Lunch Box", IF(ISNUMBER(SEARCH("cutlery",F1982)),"Cutlery","Other")))))</f>
        <v>0</v>
      </c>
      <c r="I1982">
        <f>IF('Raw Data'!G1982&lt;&gt;'','Raw Data'!G1982,IFERROR(MID(F1982,SEARCH("MODEL",F1982)+6,20),""))</f>
        <v>0</v>
      </c>
      <c r="J1982">
        <f>'Raw Data'!H1982</f>
        <v>0</v>
      </c>
      <c r="K1982">
        <f>'Raw Data'!I1982</f>
        <v>0</v>
      </c>
      <c r="L1982">
        <f>IF('Raw Data'!N1982&lt;&gt;0,'Raw Data'!N1982,IFERROR(VALUE(MID(F1982,SEARCH("QTY",F1982)+4,IFERROR(FIND(" ",F1982,SEARCH("QTY",F1982)+4)-(SEARCH("QTY",F1982)+4),3))),""))</f>
        <v>0</v>
      </c>
      <c r="M1982">
        <f>'Raw Data'!O1982</f>
        <v>0</v>
      </c>
      <c r="N1982">
        <f>'Raw Data'!P1982</f>
        <v>0</v>
      </c>
      <c r="O1982">
        <f>'Raw Data'!Q1982</f>
        <v>0</v>
      </c>
      <c r="P1982">
        <f>'Raw Data'!R1982</f>
        <v>0</v>
      </c>
      <c r="Q1982">
        <f>'Raw Data'!S1982</f>
        <v>0</v>
      </c>
      <c r="R1982">
        <f>'Raw Data'!T1982</f>
        <v>0</v>
      </c>
      <c r="S1982">
        <f>IFERROR(O1982,0)+IFERROR(R1982,0)</f>
        <v>0</v>
      </c>
      <c r="T1982">
        <f>IF(A1982="","",YEAR(A1982))</f>
        <v>0</v>
      </c>
    </row>
    <row r="1983" spans="1:20">
      <c r="A1983">
        <f>'Raw Data'!B1983</f>
        <v>0</v>
      </c>
      <c r="B1983">
        <f>'Raw Data'!A1983</f>
        <v>0</v>
      </c>
      <c r="C1983">
        <f>'Raw Data'!C1983</f>
        <v>0</v>
      </c>
      <c r="D1983">
        <f>'Raw Data'!D1983</f>
        <v>0</v>
      </c>
      <c r="E1983">
        <f>IFERROR(VLOOKUP(D1983,'Lookup Tables'!$A:$B,2,FALSE),"Unknown")</f>
        <v>0</v>
      </c>
      <c r="F1983">
        <f>'Raw Data'!E1983</f>
        <v>0</v>
      </c>
      <c r="G1983">
        <f>IFERROR(VLOOKUP(D1983,'Lookup Tables'!$A:$C,3,FALSE),IF(ISNUMBER(SEARCH("STEEL",F1983)),"Steel","Others"))</f>
        <v>0</v>
      </c>
      <c r="H1983">
        <f>IF(ISNUMBER(SEARCH("scrubber",F1983)) , "Scrubber", IF(ISNUMBER(SEARCH("container",F1983)),"Container", IF(ISNUMBER(SEARCH("basket",F1983)),"Basket", IF(ISNUMBER(SEARCH("lunch",F1983)),"Lunch Box", IF(ISNUMBER(SEARCH("cutlery",F1983)),"Cutlery","Other")))))</f>
        <v>0</v>
      </c>
      <c r="I1983">
        <f>IF('Raw Data'!G1983&lt;&gt;'','Raw Data'!G1983,IFERROR(MID(F1983,SEARCH("MODEL",F1983)+6,20),""))</f>
        <v>0</v>
      </c>
      <c r="J1983">
        <f>'Raw Data'!H1983</f>
        <v>0</v>
      </c>
      <c r="K1983">
        <f>'Raw Data'!I1983</f>
        <v>0</v>
      </c>
      <c r="L1983">
        <f>IF('Raw Data'!N1983&lt;&gt;0,'Raw Data'!N1983,IFERROR(VALUE(MID(F1983,SEARCH("QTY",F1983)+4,IFERROR(FIND(" ",F1983,SEARCH("QTY",F1983)+4)-(SEARCH("QTY",F1983)+4),3))),""))</f>
        <v>0</v>
      </c>
      <c r="M1983">
        <f>'Raw Data'!O1983</f>
        <v>0</v>
      </c>
      <c r="N1983">
        <f>'Raw Data'!P1983</f>
        <v>0</v>
      </c>
      <c r="O1983">
        <f>'Raw Data'!Q1983</f>
        <v>0</v>
      </c>
      <c r="P1983">
        <f>'Raw Data'!R1983</f>
        <v>0</v>
      </c>
      <c r="Q1983">
        <f>'Raw Data'!S1983</f>
        <v>0</v>
      </c>
      <c r="R1983">
        <f>'Raw Data'!T1983</f>
        <v>0</v>
      </c>
      <c r="S1983">
        <f>IFERROR(O1983,0)+IFERROR(R1983,0)</f>
        <v>0</v>
      </c>
      <c r="T1983">
        <f>IF(A1983="","",YEAR(A1983))</f>
        <v>0</v>
      </c>
    </row>
    <row r="1984" spans="1:20">
      <c r="A1984">
        <f>'Raw Data'!B1984</f>
        <v>0</v>
      </c>
      <c r="B1984">
        <f>'Raw Data'!A1984</f>
        <v>0</v>
      </c>
      <c r="C1984">
        <f>'Raw Data'!C1984</f>
        <v>0</v>
      </c>
      <c r="D1984">
        <f>'Raw Data'!D1984</f>
        <v>0</v>
      </c>
      <c r="E1984">
        <f>IFERROR(VLOOKUP(D1984,'Lookup Tables'!$A:$B,2,FALSE),"Unknown")</f>
        <v>0</v>
      </c>
      <c r="F1984">
        <f>'Raw Data'!E1984</f>
        <v>0</v>
      </c>
      <c r="G1984">
        <f>IFERROR(VLOOKUP(D1984,'Lookup Tables'!$A:$C,3,FALSE),IF(ISNUMBER(SEARCH("STEEL",F1984)),"Steel","Others"))</f>
        <v>0</v>
      </c>
      <c r="H1984">
        <f>IF(ISNUMBER(SEARCH("scrubber",F1984)) , "Scrubber", IF(ISNUMBER(SEARCH("container",F1984)),"Container", IF(ISNUMBER(SEARCH("basket",F1984)),"Basket", IF(ISNUMBER(SEARCH("lunch",F1984)),"Lunch Box", IF(ISNUMBER(SEARCH("cutlery",F1984)),"Cutlery","Other")))))</f>
        <v>0</v>
      </c>
      <c r="I1984">
        <f>IF('Raw Data'!G1984&lt;&gt;'','Raw Data'!G1984,IFERROR(MID(F1984,SEARCH("MODEL",F1984)+6,20),""))</f>
        <v>0</v>
      </c>
      <c r="J1984">
        <f>'Raw Data'!H1984</f>
        <v>0</v>
      </c>
      <c r="K1984">
        <f>'Raw Data'!I1984</f>
        <v>0</v>
      </c>
      <c r="L1984">
        <f>IF('Raw Data'!N1984&lt;&gt;0,'Raw Data'!N1984,IFERROR(VALUE(MID(F1984,SEARCH("QTY",F1984)+4,IFERROR(FIND(" ",F1984,SEARCH("QTY",F1984)+4)-(SEARCH("QTY",F1984)+4),3))),""))</f>
        <v>0</v>
      </c>
      <c r="M1984">
        <f>'Raw Data'!O1984</f>
        <v>0</v>
      </c>
      <c r="N1984">
        <f>'Raw Data'!P1984</f>
        <v>0</v>
      </c>
      <c r="O1984">
        <f>'Raw Data'!Q1984</f>
        <v>0</v>
      </c>
      <c r="P1984">
        <f>'Raw Data'!R1984</f>
        <v>0</v>
      </c>
      <c r="Q1984">
        <f>'Raw Data'!S1984</f>
        <v>0</v>
      </c>
      <c r="R1984">
        <f>'Raw Data'!T1984</f>
        <v>0</v>
      </c>
      <c r="S1984">
        <f>IFERROR(O1984,0)+IFERROR(R1984,0)</f>
        <v>0</v>
      </c>
      <c r="T1984">
        <f>IF(A1984="","",YEAR(A1984))</f>
        <v>0</v>
      </c>
    </row>
    <row r="1985" spans="1:20">
      <c r="A1985">
        <f>'Raw Data'!B1985</f>
        <v>0</v>
      </c>
      <c r="B1985">
        <f>'Raw Data'!A1985</f>
        <v>0</v>
      </c>
      <c r="C1985">
        <f>'Raw Data'!C1985</f>
        <v>0</v>
      </c>
      <c r="D1985">
        <f>'Raw Data'!D1985</f>
        <v>0</v>
      </c>
      <c r="E1985">
        <f>IFERROR(VLOOKUP(D1985,'Lookup Tables'!$A:$B,2,FALSE),"Unknown")</f>
        <v>0</v>
      </c>
      <c r="F1985">
        <f>'Raw Data'!E1985</f>
        <v>0</v>
      </c>
      <c r="G1985">
        <f>IFERROR(VLOOKUP(D1985,'Lookup Tables'!$A:$C,3,FALSE),IF(ISNUMBER(SEARCH("STEEL",F1985)),"Steel","Others"))</f>
        <v>0</v>
      </c>
      <c r="H1985">
        <f>IF(ISNUMBER(SEARCH("scrubber",F1985)) , "Scrubber", IF(ISNUMBER(SEARCH("container",F1985)),"Container", IF(ISNUMBER(SEARCH("basket",F1985)),"Basket", IF(ISNUMBER(SEARCH("lunch",F1985)),"Lunch Box", IF(ISNUMBER(SEARCH("cutlery",F1985)),"Cutlery","Other")))))</f>
        <v>0</v>
      </c>
      <c r="I1985">
        <f>IF('Raw Data'!G1985&lt;&gt;'','Raw Data'!G1985,IFERROR(MID(F1985,SEARCH("MODEL",F1985)+6,20),""))</f>
        <v>0</v>
      </c>
      <c r="J1985">
        <f>'Raw Data'!H1985</f>
        <v>0</v>
      </c>
      <c r="K1985">
        <f>'Raw Data'!I1985</f>
        <v>0</v>
      </c>
      <c r="L1985">
        <f>IF('Raw Data'!N1985&lt;&gt;0,'Raw Data'!N1985,IFERROR(VALUE(MID(F1985,SEARCH("QTY",F1985)+4,IFERROR(FIND(" ",F1985,SEARCH("QTY",F1985)+4)-(SEARCH("QTY",F1985)+4),3))),""))</f>
        <v>0</v>
      </c>
      <c r="M1985">
        <f>'Raw Data'!O1985</f>
        <v>0</v>
      </c>
      <c r="N1985">
        <f>'Raw Data'!P1985</f>
        <v>0</v>
      </c>
      <c r="O1985">
        <f>'Raw Data'!Q1985</f>
        <v>0</v>
      </c>
      <c r="P1985">
        <f>'Raw Data'!R1985</f>
        <v>0</v>
      </c>
      <c r="Q1985">
        <f>'Raw Data'!S1985</f>
        <v>0</v>
      </c>
      <c r="R1985">
        <f>'Raw Data'!T1985</f>
        <v>0</v>
      </c>
      <c r="S1985">
        <f>IFERROR(O1985,0)+IFERROR(R1985,0)</f>
        <v>0</v>
      </c>
      <c r="T1985">
        <f>IF(A1985="","",YEAR(A1985))</f>
        <v>0</v>
      </c>
    </row>
    <row r="1986" spans="1:20">
      <c r="A1986">
        <f>'Raw Data'!B1986</f>
        <v>0</v>
      </c>
      <c r="B1986">
        <f>'Raw Data'!A1986</f>
        <v>0</v>
      </c>
      <c r="C1986">
        <f>'Raw Data'!C1986</f>
        <v>0</v>
      </c>
      <c r="D1986">
        <f>'Raw Data'!D1986</f>
        <v>0</v>
      </c>
      <c r="E1986">
        <f>IFERROR(VLOOKUP(D1986,'Lookup Tables'!$A:$B,2,FALSE),"Unknown")</f>
        <v>0</v>
      </c>
      <c r="F1986">
        <f>'Raw Data'!E1986</f>
        <v>0</v>
      </c>
      <c r="G1986">
        <f>IFERROR(VLOOKUP(D1986,'Lookup Tables'!$A:$C,3,FALSE),IF(ISNUMBER(SEARCH("STEEL",F1986)),"Steel","Others"))</f>
        <v>0</v>
      </c>
      <c r="H1986">
        <f>IF(ISNUMBER(SEARCH("scrubber",F1986)) , "Scrubber", IF(ISNUMBER(SEARCH("container",F1986)),"Container", IF(ISNUMBER(SEARCH("basket",F1986)),"Basket", IF(ISNUMBER(SEARCH("lunch",F1986)),"Lunch Box", IF(ISNUMBER(SEARCH("cutlery",F1986)),"Cutlery","Other")))))</f>
        <v>0</v>
      </c>
      <c r="I1986">
        <f>IF('Raw Data'!G1986&lt;&gt;'','Raw Data'!G1986,IFERROR(MID(F1986,SEARCH("MODEL",F1986)+6,20),""))</f>
        <v>0</v>
      </c>
      <c r="J1986">
        <f>'Raw Data'!H1986</f>
        <v>0</v>
      </c>
      <c r="K1986">
        <f>'Raw Data'!I1986</f>
        <v>0</v>
      </c>
      <c r="L1986">
        <f>IF('Raw Data'!N1986&lt;&gt;0,'Raw Data'!N1986,IFERROR(VALUE(MID(F1986,SEARCH("QTY",F1986)+4,IFERROR(FIND(" ",F1986,SEARCH("QTY",F1986)+4)-(SEARCH("QTY",F1986)+4),3))),""))</f>
        <v>0</v>
      </c>
      <c r="M1986">
        <f>'Raw Data'!O1986</f>
        <v>0</v>
      </c>
      <c r="N1986">
        <f>'Raw Data'!P1986</f>
        <v>0</v>
      </c>
      <c r="O1986">
        <f>'Raw Data'!Q1986</f>
        <v>0</v>
      </c>
      <c r="P1986">
        <f>'Raw Data'!R1986</f>
        <v>0</v>
      </c>
      <c r="Q1986">
        <f>'Raw Data'!S1986</f>
        <v>0</v>
      </c>
      <c r="R1986">
        <f>'Raw Data'!T1986</f>
        <v>0</v>
      </c>
      <c r="S1986">
        <f>IFERROR(O1986,0)+IFERROR(R1986,0)</f>
        <v>0</v>
      </c>
      <c r="T1986">
        <f>IF(A1986="","",YEAR(A1986))</f>
        <v>0</v>
      </c>
    </row>
    <row r="1987" spans="1:20">
      <c r="A1987">
        <f>'Raw Data'!B1987</f>
        <v>0</v>
      </c>
      <c r="B1987">
        <f>'Raw Data'!A1987</f>
        <v>0</v>
      </c>
      <c r="C1987">
        <f>'Raw Data'!C1987</f>
        <v>0</v>
      </c>
      <c r="D1987">
        <f>'Raw Data'!D1987</f>
        <v>0</v>
      </c>
      <c r="E1987">
        <f>IFERROR(VLOOKUP(D1987,'Lookup Tables'!$A:$B,2,FALSE),"Unknown")</f>
        <v>0</v>
      </c>
      <c r="F1987">
        <f>'Raw Data'!E1987</f>
        <v>0</v>
      </c>
      <c r="G1987">
        <f>IFERROR(VLOOKUP(D1987,'Lookup Tables'!$A:$C,3,FALSE),IF(ISNUMBER(SEARCH("STEEL",F1987)),"Steel","Others"))</f>
        <v>0</v>
      </c>
      <c r="H1987">
        <f>IF(ISNUMBER(SEARCH("scrubber",F1987)) , "Scrubber", IF(ISNUMBER(SEARCH("container",F1987)),"Container", IF(ISNUMBER(SEARCH("basket",F1987)),"Basket", IF(ISNUMBER(SEARCH("lunch",F1987)),"Lunch Box", IF(ISNUMBER(SEARCH("cutlery",F1987)),"Cutlery","Other")))))</f>
        <v>0</v>
      </c>
      <c r="I1987">
        <f>IF('Raw Data'!G1987&lt;&gt;'','Raw Data'!G1987,IFERROR(MID(F1987,SEARCH("MODEL",F1987)+6,20),""))</f>
        <v>0</v>
      </c>
      <c r="J1987">
        <f>'Raw Data'!H1987</f>
        <v>0</v>
      </c>
      <c r="K1987">
        <f>'Raw Data'!I1987</f>
        <v>0</v>
      </c>
      <c r="L1987">
        <f>IF('Raw Data'!N1987&lt;&gt;0,'Raw Data'!N1987,IFERROR(VALUE(MID(F1987,SEARCH("QTY",F1987)+4,IFERROR(FIND(" ",F1987,SEARCH("QTY",F1987)+4)-(SEARCH("QTY",F1987)+4),3))),""))</f>
        <v>0</v>
      </c>
      <c r="M1987">
        <f>'Raw Data'!O1987</f>
        <v>0</v>
      </c>
      <c r="N1987">
        <f>'Raw Data'!P1987</f>
        <v>0</v>
      </c>
      <c r="O1987">
        <f>'Raw Data'!Q1987</f>
        <v>0</v>
      </c>
      <c r="P1987">
        <f>'Raw Data'!R1987</f>
        <v>0</v>
      </c>
      <c r="Q1987">
        <f>'Raw Data'!S1987</f>
        <v>0</v>
      </c>
      <c r="R1987">
        <f>'Raw Data'!T1987</f>
        <v>0</v>
      </c>
      <c r="S1987">
        <f>IFERROR(O1987,0)+IFERROR(R1987,0)</f>
        <v>0</v>
      </c>
      <c r="T1987">
        <f>IF(A1987="","",YEAR(A1987))</f>
        <v>0</v>
      </c>
    </row>
    <row r="1988" spans="1:20">
      <c r="A1988">
        <f>'Raw Data'!B1988</f>
        <v>0</v>
      </c>
      <c r="B1988">
        <f>'Raw Data'!A1988</f>
        <v>0</v>
      </c>
      <c r="C1988">
        <f>'Raw Data'!C1988</f>
        <v>0</v>
      </c>
      <c r="D1988">
        <f>'Raw Data'!D1988</f>
        <v>0</v>
      </c>
      <c r="E1988">
        <f>IFERROR(VLOOKUP(D1988,'Lookup Tables'!$A:$B,2,FALSE),"Unknown")</f>
        <v>0</v>
      </c>
      <c r="F1988">
        <f>'Raw Data'!E1988</f>
        <v>0</v>
      </c>
      <c r="G1988">
        <f>IFERROR(VLOOKUP(D1988,'Lookup Tables'!$A:$C,3,FALSE),IF(ISNUMBER(SEARCH("STEEL",F1988)),"Steel","Others"))</f>
        <v>0</v>
      </c>
      <c r="H1988">
        <f>IF(ISNUMBER(SEARCH("scrubber",F1988)) , "Scrubber", IF(ISNUMBER(SEARCH("container",F1988)),"Container", IF(ISNUMBER(SEARCH("basket",F1988)),"Basket", IF(ISNUMBER(SEARCH("lunch",F1988)),"Lunch Box", IF(ISNUMBER(SEARCH("cutlery",F1988)),"Cutlery","Other")))))</f>
        <v>0</v>
      </c>
      <c r="I1988">
        <f>IF('Raw Data'!G1988&lt;&gt;'','Raw Data'!G1988,IFERROR(MID(F1988,SEARCH("MODEL",F1988)+6,20),""))</f>
        <v>0</v>
      </c>
      <c r="J1988">
        <f>'Raw Data'!H1988</f>
        <v>0</v>
      </c>
      <c r="K1988">
        <f>'Raw Data'!I1988</f>
        <v>0</v>
      </c>
      <c r="L1988">
        <f>IF('Raw Data'!N1988&lt;&gt;0,'Raw Data'!N1988,IFERROR(VALUE(MID(F1988,SEARCH("QTY",F1988)+4,IFERROR(FIND(" ",F1988,SEARCH("QTY",F1988)+4)-(SEARCH("QTY",F1988)+4),3))),""))</f>
        <v>0</v>
      </c>
      <c r="M1988">
        <f>'Raw Data'!O1988</f>
        <v>0</v>
      </c>
      <c r="N1988">
        <f>'Raw Data'!P1988</f>
        <v>0</v>
      </c>
      <c r="O1988">
        <f>'Raw Data'!Q1988</f>
        <v>0</v>
      </c>
      <c r="P1988">
        <f>'Raw Data'!R1988</f>
        <v>0</v>
      </c>
      <c r="Q1988">
        <f>'Raw Data'!S1988</f>
        <v>0</v>
      </c>
      <c r="R1988">
        <f>'Raw Data'!T1988</f>
        <v>0</v>
      </c>
      <c r="S1988">
        <f>IFERROR(O1988,0)+IFERROR(R1988,0)</f>
        <v>0</v>
      </c>
      <c r="T1988">
        <f>IF(A1988="","",YEAR(A1988))</f>
        <v>0</v>
      </c>
    </row>
    <row r="1989" spans="1:20">
      <c r="A1989">
        <f>'Raw Data'!B1989</f>
        <v>0</v>
      </c>
      <c r="B1989">
        <f>'Raw Data'!A1989</f>
        <v>0</v>
      </c>
      <c r="C1989">
        <f>'Raw Data'!C1989</f>
        <v>0</v>
      </c>
      <c r="D1989">
        <f>'Raw Data'!D1989</f>
        <v>0</v>
      </c>
      <c r="E1989">
        <f>IFERROR(VLOOKUP(D1989,'Lookup Tables'!$A:$B,2,FALSE),"Unknown")</f>
        <v>0</v>
      </c>
      <c r="F1989">
        <f>'Raw Data'!E1989</f>
        <v>0</v>
      </c>
      <c r="G1989">
        <f>IFERROR(VLOOKUP(D1989,'Lookup Tables'!$A:$C,3,FALSE),IF(ISNUMBER(SEARCH("STEEL",F1989)),"Steel","Others"))</f>
        <v>0</v>
      </c>
      <c r="H1989">
        <f>IF(ISNUMBER(SEARCH("scrubber",F1989)) , "Scrubber", IF(ISNUMBER(SEARCH("container",F1989)),"Container", IF(ISNUMBER(SEARCH("basket",F1989)),"Basket", IF(ISNUMBER(SEARCH("lunch",F1989)),"Lunch Box", IF(ISNUMBER(SEARCH("cutlery",F1989)),"Cutlery","Other")))))</f>
        <v>0</v>
      </c>
      <c r="I1989">
        <f>IF('Raw Data'!G1989&lt;&gt;'','Raw Data'!G1989,IFERROR(MID(F1989,SEARCH("MODEL",F1989)+6,20),""))</f>
        <v>0</v>
      </c>
      <c r="J1989">
        <f>'Raw Data'!H1989</f>
        <v>0</v>
      </c>
      <c r="K1989">
        <f>'Raw Data'!I1989</f>
        <v>0</v>
      </c>
      <c r="L1989">
        <f>IF('Raw Data'!N1989&lt;&gt;0,'Raw Data'!N1989,IFERROR(VALUE(MID(F1989,SEARCH("QTY",F1989)+4,IFERROR(FIND(" ",F1989,SEARCH("QTY",F1989)+4)-(SEARCH("QTY",F1989)+4),3))),""))</f>
        <v>0</v>
      </c>
      <c r="M1989">
        <f>'Raw Data'!O1989</f>
        <v>0</v>
      </c>
      <c r="N1989">
        <f>'Raw Data'!P1989</f>
        <v>0</v>
      </c>
      <c r="O1989">
        <f>'Raw Data'!Q1989</f>
        <v>0</v>
      </c>
      <c r="P1989">
        <f>'Raw Data'!R1989</f>
        <v>0</v>
      </c>
      <c r="Q1989">
        <f>'Raw Data'!S1989</f>
        <v>0</v>
      </c>
      <c r="R1989">
        <f>'Raw Data'!T1989</f>
        <v>0</v>
      </c>
      <c r="S1989">
        <f>IFERROR(O1989,0)+IFERROR(R1989,0)</f>
        <v>0</v>
      </c>
      <c r="T1989">
        <f>IF(A1989="","",YEAR(A1989))</f>
        <v>0</v>
      </c>
    </row>
    <row r="1990" spans="1:20">
      <c r="A1990">
        <f>'Raw Data'!B1990</f>
        <v>0</v>
      </c>
      <c r="B1990">
        <f>'Raw Data'!A1990</f>
        <v>0</v>
      </c>
      <c r="C1990">
        <f>'Raw Data'!C1990</f>
        <v>0</v>
      </c>
      <c r="D1990">
        <f>'Raw Data'!D1990</f>
        <v>0</v>
      </c>
      <c r="E1990">
        <f>IFERROR(VLOOKUP(D1990,'Lookup Tables'!$A:$B,2,FALSE),"Unknown")</f>
        <v>0</v>
      </c>
      <c r="F1990">
        <f>'Raw Data'!E1990</f>
        <v>0</v>
      </c>
      <c r="G1990">
        <f>IFERROR(VLOOKUP(D1990,'Lookup Tables'!$A:$C,3,FALSE),IF(ISNUMBER(SEARCH("STEEL",F1990)),"Steel","Others"))</f>
        <v>0</v>
      </c>
      <c r="H1990">
        <f>IF(ISNUMBER(SEARCH("scrubber",F1990)) , "Scrubber", IF(ISNUMBER(SEARCH("container",F1990)),"Container", IF(ISNUMBER(SEARCH("basket",F1990)),"Basket", IF(ISNUMBER(SEARCH("lunch",F1990)),"Lunch Box", IF(ISNUMBER(SEARCH("cutlery",F1990)),"Cutlery","Other")))))</f>
        <v>0</v>
      </c>
      <c r="I1990">
        <f>IF('Raw Data'!G1990&lt;&gt;'','Raw Data'!G1990,IFERROR(MID(F1990,SEARCH("MODEL",F1990)+6,20),""))</f>
        <v>0</v>
      </c>
      <c r="J1990">
        <f>'Raw Data'!H1990</f>
        <v>0</v>
      </c>
      <c r="K1990">
        <f>'Raw Data'!I1990</f>
        <v>0</v>
      </c>
      <c r="L1990">
        <f>IF('Raw Data'!N1990&lt;&gt;0,'Raw Data'!N1990,IFERROR(VALUE(MID(F1990,SEARCH("QTY",F1990)+4,IFERROR(FIND(" ",F1990,SEARCH("QTY",F1990)+4)-(SEARCH("QTY",F1990)+4),3))),""))</f>
        <v>0</v>
      </c>
      <c r="M1990">
        <f>'Raw Data'!O1990</f>
        <v>0</v>
      </c>
      <c r="N1990">
        <f>'Raw Data'!P1990</f>
        <v>0</v>
      </c>
      <c r="O1990">
        <f>'Raw Data'!Q1990</f>
        <v>0</v>
      </c>
      <c r="P1990">
        <f>'Raw Data'!R1990</f>
        <v>0</v>
      </c>
      <c r="Q1990">
        <f>'Raw Data'!S1990</f>
        <v>0</v>
      </c>
      <c r="R1990">
        <f>'Raw Data'!T1990</f>
        <v>0</v>
      </c>
      <c r="S1990">
        <f>IFERROR(O1990,0)+IFERROR(R1990,0)</f>
        <v>0</v>
      </c>
      <c r="T1990">
        <f>IF(A1990="","",YEAR(A1990))</f>
        <v>0</v>
      </c>
    </row>
    <row r="1991" spans="1:20">
      <c r="A1991">
        <f>'Raw Data'!B1991</f>
        <v>0</v>
      </c>
      <c r="B1991">
        <f>'Raw Data'!A1991</f>
        <v>0</v>
      </c>
      <c r="C1991">
        <f>'Raw Data'!C1991</f>
        <v>0</v>
      </c>
      <c r="D1991">
        <f>'Raw Data'!D1991</f>
        <v>0</v>
      </c>
      <c r="E1991">
        <f>IFERROR(VLOOKUP(D1991,'Lookup Tables'!$A:$B,2,FALSE),"Unknown")</f>
        <v>0</v>
      </c>
      <c r="F1991">
        <f>'Raw Data'!E1991</f>
        <v>0</v>
      </c>
      <c r="G1991">
        <f>IFERROR(VLOOKUP(D1991,'Lookup Tables'!$A:$C,3,FALSE),IF(ISNUMBER(SEARCH("STEEL",F1991)),"Steel","Others"))</f>
        <v>0</v>
      </c>
      <c r="H1991">
        <f>IF(ISNUMBER(SEARCH("scrubber",F1991)) , "Scrubber", IF(ISNUMBER(SEARCH("container",F1991)),"Container", IF(ISNUMBER(SEARCH("basket",F1991)),"Basket", IF(ISNUMBER(SEARCH("lunch",F1991)),"Lunch Box", IF(ISNUMBER(SEARCH("cutlery",F1991)),"Cutlery","Other")))))</f>
        <v>0</v>
      </c>
      <c r="I1991">
        <f>IF('Raw Data'!G1991&lt;&gt;'','Raw Data'!G1991,IFERROR(MID(F1991,SEARCH("MODEL",F1991)+6,20),""))</f>
        <v>0</v>
      </c>
      <c r="J1991">
        <f>'Raw Data'!H1991</f>
        <v>0</v>
      </c>
      <c r="K1991">
        <f>'Raw Data'!I1991</f>
        <v>0</v>
      </c>
      <c r="L1991">
        <f>IF('Raw Data'!N1991&lt;&gt;0,'Raw Data'!N1991,IFERROR(VALUE(MID(F1991,SEARCH("QTY",F1991)+4,IFERROR(FIND(" ",F1991,SEARCH("QTY",F1991)+4)-(SEARCH("QTY",F1991)+4),3))),""))</f>
        <v>0</v>
      </c>
      <c r="M1991">
        <f>'Raw Data'!O1991</f>
        <v>0</v>
      </c>
      <c r="N1991">
        <f>'Raw Data'!P1991</f>
        <v>0</v>
      </c>
      <c r="O1991">
        <f>'Raw Data'!Q1991</f>
        <v>0</v>
      </c>
      <c r="P1991">
        <f>'Raw Data'!R1991</f>
        <v>0</v>
      </c>
      <c r="Q1991">
        <f>'Raw Data'!S1991</f>
        <v>0</v>
      </c>
      <c r="R1991">
        <f>'Raw Data'!T1991</f>
        <v>0</v>
      </c>
      <c r="S1991">
        <f>IFERROR(O1991,0)+IFERROR(R1991,0)</f>
        <v>0</v>
      </c>
      <c r="T1991">
        <f>IF(A1991="","",YEAR(A1991))</f>
        <v>0</v>
      </c>
    </row>
    <row r="1992" spans="1:20">
      <c r="A1992">
        <f>'Raw Data'!B1992</f>
        <v>0</v>
      </c>
      <c r="B1992">
        <f>'Raw Data'!A1992</f>
        <v>0</v>
      </c>
      <c r="C1992">
        <f>'Raw Data'!C1992</f>
        <v>0</v>
      </c>
      <c r="D1992">
        <f>'Raw Data'!D1992</f>
        <v>0</v>
      </c>
      <c r="E1992">
        <f>IFERROR(VLOOKUP(D1992,'Lookup Tables'!$A:$B,2,FALSE),"Unknown")</f>
        <v>0</v>
      </c>
      <c r="F1992">
        <f>'Raw Data'!E1992</f>
        <v>0</v>
      </c>
      <c r="G1992">
        <f>IFERROR(VLOOKUP(D1992,'Lookup Tables'!$A:$C,3,FALSE),IF(ISNUMBER(SEARCH("STEEL",F1992)),"Steel","Others"))</f>
        <v>0</v>
      </c>
      <c r="H1992">
        <f>IF(ISNUMBER(SEARCH("scrubber",F1992)) , "Scrubber", IF(ISNUMBER(SEARCH("container",F1992)),"Container", IF(ISNUMBER(SEARCH("basket",F1992)),"Basket", IF(ISNUMBER(SEARCH("lunch",F1992)),"Lunch Box", IF(ISNUMBER(SEARCH("cutlery",F1992)),"Cutlery","Other")))))</f>
        <v>0</v>
      </c>
      <c r="I1992">
        <f>IF('Raw Data'!G1992&lt;&gt;'','Raw Data'!G1992,IFERROR(MID(F1992,SEARCH("MODEL",F1992)+6,20),""))</f>
        <v>0</v>
      </c>
      <c r="J1992">
        <f>'Raw Data'!H1992</f>
        <v>0</v>
      </c>
      <c r="K1992">
        <f>'Raw Data'!I1992</f>
        <v>0</v>
      </c>
      <c r="L1992">
        <f>IF('Raw Data'!N1992&lt;&gt;0,'Raw Data'!N1992,IFERROR(VALUE(MID(F1992,SEARCH("QTY",F1992)+4,IFERROR(FIND(" ",F1992,SEARCH("QTY",F1992)+4)-(SEARCH("QTY",F1992)+4),3))),""))</f>
        <v>0</v>
      </c>
      <c r="M1992">
        <f>'Raw Data'!O1992</f>
        <v>0</v>
      </c>
      <c r="N1992">
        <f>'Raw Data'!P1992</f>
        <v>0</v>
      </c>
      <c r="O1992">
        <f>'Raw Data'!Q1992</f>
        <v>0</v>
      </c>
      <c r="P1992">
        <f>'Raw Data'!R1992</f>
        <v>0</v>
      </c>
      <c r="Q1992">
        <f>'Raw Data'!S1992</f>
        <v>0</v>
      </c>
      <c r="R1992">
        <f>'Raw Data'!T1992</f>
        <v>0</v>
      </c>
      <c r="S1992">
        <f>IFERROR(O1992,0)+IFERROR(R1992,0)</f>
        <v>0</v>
      </c>
      <c r="T1992">
        <f>IF(A1992="","",YEAR(A1992))</f>
        <v>0</v>
      </c>
    </row>
    <row r="1993" spans="1:20">
      <c r="A1993">
        <f>'Raw Data'!B1993</f>
        <v>0</v>
      </c>
      <c r="B1993">
        <f>'Raw Data'!A1993</f>
        <v>0</v>
      </c>
      <c r="C1993">
        <f>'Raw Data'!C1993</f>
        <v>0</v>
      </c>
      <c r="D1993">
        <f>'Raw Data'!D1993</f>
        <v>0</v>
      </c>
      <c r="E1993">
        <f>IFERROR(VLOOKUP(D1993,'Lookup Tables'!$A:$B,2,FALSE),"Unknown")</f>
        <v>0</v>
      </c>
      <c r="F1993">
        <f>'Raw Data'!E1993</f>
        <v>0</v>
      </c>
      <c r="G1993">
        <f>IFERROR(VLOOKUP(D1993,'Lookup Tables'!$A:$C,3,FALSE),IF(ISNUMBER(SEARCH("STEEL",F1993)),"Steel","Others"))</f>
        <v>0</v>
      </c>
      <c r="H1993">
        <f>IF(ISNUMBER(SEARCH("scrubber",F1993)) , "Scrubber", IF(ISNUMBER(SEARCH("container",F1993)),"Container", IF(ISNUMBER(SEARCH("basket",F1993)),"Basket", IF(ISNUMBER(SEARCH("lunch",F1993)),"Lunch Box", IF(ISNUMBER(SEARCH("cutlery",F1993)),"Cutlery","Other")))))</f>
        <v>0</v>
      </c>
      <c r="I1993">
        <f>IF('Raw Data'!G1993&lt;&gt;'','Raw Data'!G1993,IFERROR(MID(F1993,SEARCH("MODEL",F1993)+6,20),""))</f>
        <v>0</v>
      </c>
      <c r="J1993">
        <f>'Raw Data'!H1993</f>
        <v>0</v>
      </c>
      <c r="K1993">
        <f>'Raw Data'!I1993</f>
        <v>0</v>
      </c>
      <c r="L1993">
        <f>IF('Raw Data'!N1993&lt;&gt;0,'Raw Data'!N1993,IFERROR(VALUE(MID(F1993,SEARCH("QTY",F1993)+4,IFERROR(FIND(" ",F1993,SEARCH("QTY",F1993)+4)-(SEARCH("QTY",F1993)+4),3))),""))</f>
        <v>0</v>
      </c>
      <c r="M1993">
        <f>'Raw Data'!O1993</f>
        <v>0</v>
      </c>
      <c r="N1993">
        <f>'Raw Data'!P1993</f>
        <v>0</v>
      </c>
      <c r="O1993">
        <f>'Raw Data'!Q1993</f>
        <v>0</v>
      </c>
      <c r="P1993">
        <f>'Raw Data'!R1993</f>
        <v>0</v>
      </c>
      <c r="Q1993">
        <f>'Raw Data'!S1993</f>
        <v>0</v>
      </c>
      <c r="R1993">
        <f>'Raw Data'!T1993</f>
        <v>0</v>
      </c>
      <c r="S1993">
        <f>IFERROR(O1993,0)+IFERROR(R1993,0)</f>
        <v>0</v>
      </c>
      <c r="T1993">
        <f>IF(A1993="","",YEAR(A1993))</f>
        <v>0</v>
      </c>
    </row>
    <row r="1994" spans="1:20">
      <c r="A1994">
        <f>'Raw Data'!B1994</f>
        <v>0</v>
      </c>
      <c r="B1994">
        <f>'Raw Data'!A1994</f>
        <v>0</v>
      </c>
      <c r="C1994">
        <f>'Raw Data'!C1994</f>
        <v>0</v>
      </c>
      <c r="D1994">
        <f>'Raw Data'!D1994</f>
        <v>0</v>
      </c>
      <c r="E1994">
        <f>IFERROR(VLOOKUP(D1994,'Lookup Tables'!$A:$B,2,FALSE),"Unknown")</f>
        <v>0</v>
      </c>
      <c r="F1994">
        <f>'Raw Data'!E1994</f>
        <v>0</v>
      </c>
      <c r="G1994">
        <f>IFERROR(VLOOKUP(D1994,'Lookup Tables'!$A:$C,3,FALSE),IF(ISNUMBER(SEARCH("STEEL",F1994)),"Steel","Others"))</f>
        <v>0</v>
      </c>
      <c r="H1994">
        <f>IF(ISNUMBER(SEARCH("scrubber",F1994)) , "Scrubber", IF(ISNUMBER(SEARCH("container",F1994)),"Container", IF(ISNUMBER(SEARCH("basket",F1994)),"Basket", IF(ISNUMBER(SEARCH("lunch",F1994)),"Lunch Box", IF(ISNUMBER(SEARCH("cutlery",F1994)),"Cutlery","Other")))))</f>
        <v>0</v>
      </c>
      <c r="I1994">
        <f>IF('Raw Data'!G1994&lt;&gt;'','Raw Data'!G1994,IFERROR(MID(F1994,SEARCH("MODEL",F1994)+6,20),""))</f>
        <v>0</v>
      </c>
      <c r="J1994">
        <f>'Raw Data'!H1994</f>
        <v>0</v>
      </c>
      <c r="K1994">
        <f>'Raw Data'!I1994</f>
        <v>0</v>
      </c>
      <c r="L1994">
        <f>IF('Raw Data'!N1994&lt;&gt;0,'Raw Data'!N1994,IFERROR(VALUE(MID(F1994,SEARCH("QTY",F1994)+4,IFERROR(FIND(" ",F1994,SEARCH("QTY",F1994)+4)-(SEARCH("QTY",F1994)+4),3))),""))</f>
        <v>0</v>
      </c>
      <c r="M1994">
        <f>'Raw Data'!O1994</f>
        <v>0</v>
      </c>
      <c r="N1994">
        <f>'Raw Data'!P1994</f>
        <v>0</v>
      </c>
      <c r="O1994">
        <f>'Raw Data'!Q1994</f>
        <v>0</v>
      </c>
      <c r="P1994">
        <f>'Raw Data'!R1994</f>
        <v>0</v>
      </c>
      <c r="Q1994">
        <f>'Raw Data'!S1994</f>
        <v>0</v>
      </c>
      <c r="R1994">
        <f>'Raw Data'!T1994</f>
        <v>0</v>
      </c>
      <c r="S1994">
        <f>IFERROR(O1994,0)+IFERROR(R1994,0)</f>
        <v>0</v>
      </c>
      <c r="T1994">
        <f>IF(A1994="","",YEAR(A1994))</f>
        <v>0</v>
      </c>
    </row>
    <row r="1995" spans="1:20">
      <c r="A1995">
        <f>'Raw Data'!B1995</f>
        <v>0</v>
      </c>
      <c r="B1995">
        <f>'Raw Data'!A1995</f>
        <v>0</v>
      </c>
      <c r="C1995">
        <f>'Raw Data'!C1995</f>
        <v>0</v>
      </c>
      <c r="D1995">
        <f>'Raw Data'!D1995</f>
        <v>0</v>
      </c>
      <c r="E1995">
        <f>IFERROR(VLOOKUP(D1995,'Lookup Tables'!$A:$B,2,FALSE),"Unknown")</f>
        <v>0</v>
      </c>
      <c r="F1995">
        <f>'Raw Data'!E1995</f>
        <v>0</v>
      </c>
      <c r="G1995">
        <f>IFERROR(VLOOKUP(D1995,'Lookup Tables'!$A:$C,3,FALSE),IF(ISNUMBER(SEARCH("STEEL",F1995)),"Steel","Others"))</f>
        <v>0</v>
      </c>
      <c r="H1995">
        <f>IF(ISNUMBER(SEARCH("scrubber",F1995)) , "Scrubber", IF(ISNUMBER(SEARCH("container",F1995)),"Container", IF(ISNUMBER(SEARCH("basket",F1995)),"Basket", IF(ISNUMBER(SEARCH("lunch",F1995)),"Lunch Box", IF(ISNUMBER(SEARCH("cutlery",F1995)),"Cutlery","Other")))))</f>
        <v>0</v>
      </c>
      <c r="I1995">
        <f>IF('Raw Data'!G1995&lt;&gt;'','Raw Data'!G1995,IFERROR(MID(F1995,SEARCH("MODEL",F1995)+6,20),""))</f>
        <v>0</v>
      </c>
      <c r="J1995">
        <f>'Raw Data'!H1995</f>
        <v>0</v>
      </c>
      <c r="K1995">
        <f>'Raw Data'!I1995</f>
        <v>0</v>
      </c>
      <c r="L1995">
        <f>IF('Raw Data'!N1995&lt;&gt;0,'Raw Data'!N1995,IFERROR(VALUE(MID(F1995,SEARCH("QTY",F1995)+4,IFERROR(FIND(" ",F1995,SEARCH("QTY",F1995)+4)-(SEARCH("QTY",F1995)+4),3))),""))</f>
        <v>0</v>
      </c>
      <c r="M1995">
        <f>'Raw Data'!O1995</f>
        <v>0</v>
      </c>
      <c r="N1995">
        <f>'Raw Data'!P1995</f>
        <v>0</v>
      </c>
      <c r="O1995">
        <f>'Raw Data'!Q1995</f>
        <v>0</v>
      </c>
      <c r="P1995">
        <f>'Raw Data'!R1995</f>
        <v>0</v>
      </c>
      <c r="Q1995">
        <f>'Raw Data'!S1995</f>
        <v>0</v>
      </c>
      <c r="R1995">
        <f>'Raw Data'!T1995</f>
        <v>0</v>
      </c>
      <c r="S1995">
        <f>IFERROR(O1995,0)+IFERROR(R1995,0)</f>
        <v>0</v>
      </c>
      <c r="T1995">
        <f>IF(A1995="","",YEAR(A1995))</f>
        <v>0</v>
      </c>
    </row>
    <row r="1996" spans="1:20">
      <c r="A1996">
        <f>'Raw Data'!B1996</f>
        <v>0</v>
      </c>
      <c r="B1996">
        <f>'Raw Data'!A1996</f>
        <v>0</v>
      </c>
      <c r="C1996">
        <f>'Raw Data'!C1996</f>
        <v>0</v>
      </c>
      <c r="D1996">
        <f>'Raw Data'!D1996</f>
        <v>0</v>
      </c>
      <c r="E1996">
        <f>IFERROR(VLOOKUP(D1996,'Lookup Tables'!$A:$B,2,FALSE),"Unknown")</f>
        <v>0</v>
      </c>
      <c r="F1996">
        <f>'Raw Data'!E1996</f>
        <v>0</v>
      </c>
      <c r="G1996">
        <f>IFERROR(VLOOKUP(D1996,'Lookup Tables'!$A:$C,3,FALSE),IF(ISNUMBER(SEARCH("STEEL",F1996)),"Steel","Others"))</f>
        <v>0</v>
      </c>
      <c r="H1996">
        <f>IF(ISNUMBER(SEARCH("scrubber",F1996)) , "Scrubber", IF(ISNUMBER(SEARCH("container",F1996)),"Container", IF(ISNUMBER(SEARCH("basket",F1996)),"Basket", IF(ISNUMBER(SEARCH("lunch",F1996)),"Lunch Box", IF(ISNUMBER(SEARCH("cutlery",F1996)),"Cutlery","Other")))))</f>
        <v>0</v>
      </c>
      <c r="I1996">
        <f>IF('Raw Data'!G1996&lt;&gt;'','Raw Data'!G1996,IFERROR(MID(F1996,SEARCH("MODEL",F1996)+6,20),""))</f>
        <v>0</v>
      </c>
      <c r="J1996">
        <f>'Raw Data'!H1996</f>
        <v>0</v>
      </c>
      <c r="K1996">
        <f>'Raw Data'!I1996</f>
        <v>0</v>
      </c>
      <c r="L1996">
        <f>IF('Raw Data'!N1996&lt;&gt;0,'Raw Data'!N1996,IFERROR(VALUE(MID(F1996,SEARCH("QTY",F1996)+4,IFERROR(FIND(" ",F1996,SEARCH("QTY",F1996)+4)-(SEARCH("QTY",F1996)+4),3))),""))</f>
        <v>0</v>
      </c>
      <c r="M1996">
        <f>'Raw Data'!O1996</f>
        <v>0</v>
      </c>
      <c r="N1996">
        <f>'Raw Data'!P1996</f>
        <v>0</v>
      </c>
      <c r="O1996">
        <f>'Raw Data'!Q1996</f>
        <v>0</v>
      </c>
      <c r="P1996">
        <f>'Raw Data'!R1996</f>
        <v>0</v>
      </c>
      <c r="Q1996">
        <f>'Raw Data'!S1996</f>
        <v>0</v>
      </c>
      <c r="R1996">
        <f>'Raw Data'!T1996</f>
        <v>0</v>
      </c>
      <c r="S1996">
        <f>IFERROR(O1996,0)+IFERROR(R1996,0)</f>
        <v>0</v>
      </c>
      <c r="T1996">
        <f>IF(A1996="","",YEAR(A1996))</f>
        <v>0</v>
      </c>
    </row>
    <row r="1997" spans="1:20">
      <c r="A1997">
        <f>'Raw Data'!B1997</f>
        <v>0</v>
      </c>
      <c r="B1997">
        <f>'Raw Data'!A1997</f>
        <v>0</v>
      </c>
      <c r="C1997">
        <f>'Raw Data'!C1997</f>
        <v>0</v>
      </c>
      <c r="D1997">
        <f>'Raw Data'!D1997</f>
        <v>0</v>
      </c>
      <c r="E1997">
        <f>IFERROR(VLOOKUP(D1997,'Lookup Tables'!$A:$B,2,FALSE),"Unknown")</f>
        <v>0</v>
      </c>
      <c r="F1997">
        <f>'Raw Data'!E1997</f>
        <v>0</v>
      </c>
      <c r="G1997">
        <f>IFERROR(VLOOKUP(D1997,'Lookup Tables'!$A:$C,3,FALSE),IF(ISNUMBER(SEARCH("STEEL",F1997)),"Steel","Others"))</f>
        <v>0</v>
      </c>
      <c r="H1997">
        <f>IF(ISNUMBER(SEARCH("scrubber",F1997)) , "Scrubber", IF(ISNUMBER(SEARCH("container",F1997)),"Container", IF(ISNUMBER(SEARCH("basket",F1997)),"Basket", IF(ISNUMBER(SEARCH("lunch",F1997)),"Lunch Box", IF(ISNUMBER(SEARCH("cutlery",F1997)),"Cutlery","Other")))))</f>
        <v>0</v>
      </c>
      <c r="I1997">
        <f>IF('Raw Data'!G1997&lt;&gt;'','Raw Data'!G1997,IFERROR(MID(F1997,SEARCH("MODEL",F1997)+6,20),""))</f>
        <v>0</v>
      </c>
      <c r="J1997">
        <f>'Raw Data'!H1997</f>
        <v>0</v>
      </c>
      <c r="K1997">
        <f>'Raw Data'!I1997</f>
        <v>0</v>
      </c>
      <c r="L1997">
        <f>IF('Raw Data'!N1997&lt;&gt;0,'Raw Data'!N1997,IFERROR(VALUE(MID(F1997,SEARCH("QTY",F1997)+4,IFERROR(FIND(" ",F1997,SEARCH("QTY",F1997)+4)-(SEARCH("QTY",F1997)+4),3))),""))</f>
        <v>0</v>
      </c>
      <c r="M1997">
        <f>'Raw Data'!O1997</f>
        <v>0</v>
      </c>
      <c r="N1997">
        <f>'Raw Data'!P1997</f>
        <v>0</v>
      </c>
      <c r="O1997">
        <f>'Raw Data'!Q1997</f>
        <v>0</v>
      </c>
      <c r="P1997">
        <f>'Raw Data'!R1997</f>
        <v>0</v>
      </c>
      <c r="Q1997">
        <f>'Raw Data'!S1997</f>
        <v>0</v>
      </c>
      <c r="R1997">
        <f>'Raw Data'!T1997</f>
        <v>0</v>
      </c>
      <c r="S1997">
        <f>IFERROR(O1997,0)+IFERROR(R1997,0)</f>
        <v>0</v>
      </c>
      <c r="T1997">
        <f>IF(A1997="","",YEAR(A1997))</f>
        <v>0</v>
      </c>
    </row>
    <row r="1998" spans="1:20">
      <c r="A1998">
        <f>'Raw Data'!B1998</f>
        <v>0</v>
      </c>
      <c r="B1998">
        <f>'Raw Data'!A1998</f>
        <v>0</v>
      </c>
      <c r="C1998">
        <f>'Raw Data'!C1998</f>
        <v>0</v>
      </c>
      <c r="D1998">
        <f>'Raw Data'!D1998</f>
        <v>0</v>
      </c>
      <c r="E1998">
        <f>IFERROR(VLOOKUP(D1998,'Lookup Tables'!$A:$B,2,FALSE),"Unknown")</f>
        <v>0</v>
      </c>
      <c r="F1998">
        <f>'Raw Data'!E1998</f>
        <v>0</v>
      </c>
      <c r="G1998">
        <f>IFERROR(VLOOKUP(D1998,'Lookup Tables'!$A:$C,3,FALSE),IF(ISNUMBER(SEARCH("STEEL",F1998)),"Steel","Others"))</f>
        <v>0</v>
      </c>
      <c r="H1998">
        <f>IF(ISNUMBER(SEARCH("scrubber",F1998)) , "Scrubber", IF(ISNUMBER(SEARCH("container",F1998)),"Container", IF(ISNUMBER(SEARCH("basket",F1998)),"Basket", IF(ISNUMBER(SEARCH("lunch",F1998)),"Lunch Box", IF(ISNUMBER(SEARCH("cutlery",F1998)),"Cutlery","Other")))))</f>
        <v>0</v>
      </c>
      <c r="I1998">
        <f>IF('Raw Data'!G1998&lt;&gt;'','Raw Data'!G1998,IFERROR(MID(F1998,SEARCH("MODEL",F1998)+6,20),""))</f>
        <v>0</v>
      </c>
      <c r="J1998">
        <f>'Raw Data'!H1998</f>
        <v>0</v>
      </c>
      <c r="K1998">
        <f>'Raw Data'!I1998</f>
        <v>0</v>
      </c>
      <c r="L1998">
        <f>IF('Raw Data'!N1998&lt;&gt;0,'Raw Data'!N1998,IFERROR(VALUE(MID(F1998,SEARCH("QTY",F1998)+4,IFERROR(FIND(" ",F1998,SEARCH("QTY",F1998)+4)-(SEARCH("QTY",F1998)+4),3))),""))</f>
        <v>0</v>
      </c>
      <c r="M1998">
        <f>'Raw Data'!O1998</f>
        <v>0</v>
      </c>
      <c r="N1998">
        <f>'Raw Data'!P1998</f>
        <v>0</v>
      </c>
      <c r="O1998">
        <f>'Raw Data'!Q1998</f>
        <v>0</v>
      </c>
      <c r="P1998">
        <f>'Raw Data'!R1998</f>
        <v>0</v>
      </c>
      <c r="Q1998">
        <f>'Raw Data'!S1998</f>
        <v>0</v>
      </c>
      <c r="R1998">
        <f>'Raw Data'!T1998</f>
        <v>0</v>
      </c>
      <c r="S1998">
        <f>IFERROR(O1998,0)+IFERROR(R1998,0)</f>
        <v>0</v>
      </c>
      <c r="T1998">
        <f>IF(A1998="","",YEAR(A1998))</f>
        <v>0</v>
      </c>
    </row>
    <row r="1999" spans="1:20">
      <c r="A1999">
        <f>'Raw Data'!B1999</f>
        <v>0</v>
      </c>
      <c r="B1999">
        <f>'Raw Data'!A1999</f>
        <v>0</v>
      </c>
      <c r="C1999">
        <f>'Raw Data'!C1999</f>
        <v>0</v>
      </c>
      <c r="D1999">
        <f>'Raw Data'!D1999</f>
        <v>0</v>
      </c>
      <c r="E1999">
        <f>IFERROR(VLOOKUP(D1999,'Lookup Tables'!$A:$B,2,FALSE),"Unknown")</f>
        <v>0</v>
      </c>
      <c r="F1999">
        <f>'Raw Data'!E1999</f>
        <v>0</v>
      </c>
      <c r="G1999">
        <f>IFERROR(VLOOKUP(D1999,'Lookup Tables'!$A:$C,3,FALSE),IF(ISNUMBER(SEARCH("STEEL",F1999)),"Steel","Others"))</f>
        <v>0</v>
      </c>
      <c r="H1999">
        <f>IF(ISNUMBER(SEARCH("scrubber",F1999)) , "Scrubber", IF(ISNUMBER(SEARCH("container",F1999)),"Container", IF(ISNUMBER(SEARCH("basket",F1999)),"Basket", IF(ISNUMBER(SEARCH("lunch",F1999)),"Lunch Box", IF(ISNUMBER(SEARCH("cutlery",F1999)),"Cutlery","Other")))))</f>
        <v>0</v>
      </c>
      <c r="I1999">
        <f>IF('Raw Data'!G1999&lt;&gt;'','Raw Data'!G1999,IFERROR(MID(F1999,SEARCH("MODEL",F1999)+6,20),""))</f>
        <v>0</v>
      </c>
      <c r="J1999">
        <f>'Raw Data'!H1999</f>
        <v>0</v>
      </c>
      <c r="K1999">
        <f>'Raw Data'!I1999</f>
        <v>0</v>
      </c>
      <c r="L1999">
        <f>IF('Raw Data'!N1999&lt;&gt;0,'Raw Data'!N1999,IFERROR(VALUE(MID(F1999,SEARCH("QTY",F1999)+4,IFERROR(FIND(" ",F1999,SEARCH("QTY",F1999)+4)-(SEARCH("QTY",F1999)+4),3))),""))</f>
        <v>0</v>
      </c>
      <c r="M1999">
        <f>'Raw Data'!O1999</f>
        <v>0</v>
      </c>
      <c r="N1999">
        <f>'Raw Data'!P1999</f>
        <v>0</v>
      </c>
      <c r="O1999">
        <f>'Raw Data'!Q1999</f>
        <v>0</v>
      </c>
      <c r="P1999">
        <f>'Raw Data'!R1999</f>
        <v>0</v>
      </c>
      <c r="Q1999">
        <f>'Raw Data'!S1999</f>
        <v>0</v>
      </c>
      <c r="R1999">
        <f>'Raw Data'!T1999</f>
        <v>0</v>
      </c>
      <c r="S1999">
        <f>IFERROR(O1999,0)+IFERROR(R1999,0)</f>
        <v>0</v>
      </c>
      <c r="T1999">
        <f>IF(A1999="","",YEAR(A1999))</f>
        <v>0</v>
      </c>
    </row>
    <row r="2000" spans="1:20">
      <c r="A2000">
        <f>'Raw Data'!B2000</f>
        <v>0</v>
      </c>
      <c r="B2000">
        <f>'Raw Data'!A2000</f>
        <v>0</v>
      </c>
      <c r="C2000">
        <f>'Raw Data'!C2000</f>
        <v>0</v>
      </c>
      <c r="D2000">
        <f>'Raw Data'!D2000</f>
        <v>0</v>
      </c>
      <c r="E2000">
        <f>IFERROR(VLOOKUP(D2000,'Lookup Tables'!$A:$B,2,FALSE),"Unknown")</f>
        <v>0</v>
      </c>
      <c r="F2000">
        <f>'Raw Data'!E2000</f>
        <v>0</v>
      </c>
      <c r="G2000">
        <f>IFERROR(VLOOKUP(D2000,'Lookup Tables'!$A:$C,3,FALSE),IF(ISNUMBER(SEARCH("STEEL",F2000)),"Steel","Others"))</f>
        <v>0</v>
      </c>
      <c r="H2000">
        <f>IF(ISNUMBER(SEARCH("scrubber",F2000)) , "Scrubber", IF(ISNUMBER(SEARCH("container",F2000)),"Container", IF(ISNUMBER(SEARCH("basket",F2000)),"Basket", IF(ISNUMBER(SEARCH("lunch",F2000)),"Lunch Box", IF(ISNUMBER(SEARCH("cutlery",F2000)),"Cutlery","Other")))))</f>
        <v>0</v>
      </c>
      <c r="I2000">
        <f>IF('Raw Data'!G2000&lt;&gt;'','Raw Data'!G2000,IFERROR(MID(F2000,SEARCH("MODEL",F2000)+6,20),""))</f>
        <v>0</v>
      </c>
      <c r="J2000">
        <f>'Raw Data'!H2000</f>
        <v>0</v>
      </c>
      <c r="K2000">
        <f>'Raw Data'!I2000</f>
        <v>0</v>
      </c>
      <c r="L2000">
        <f>IF('Raw Data'!N2000&lt;&gt;0,'Raw Data'!N2000,IFERROR(VALUE(MID(F2000,SEARCH("QTY",F2000)+4,IFERROR(FIND(" ",F2000,SEARCH("QTY",F2000)+4)-(SEARCH("QTY",F2000)+4),3))),""))</f>
        <v>0</v>
      </c>
      <c r="M2000">
        <f>'Raw Data'!O2000</f>
        <v>0</v>
      </c>
      <c r="N2000">
        <f>'Raw Data'!P2000</f>
        <v>0</v>
      </c>
      <c r="O2000">
        <f>'Raw Data'!Q2000</f>
        <v>0</v>
      </c>
      <c r="P2000">
        <f>'Raw Data'!R2000</f>
        <v>0</v>
      </c>
      <c r="Q2000">
        <f>'Raw Data'!S2000</f>
        <v>0</v>
      </c>
      <c r="R2000">
        <f>'Raw Data'!T2000</f>
        <v>0</v>
      </c>
      <c r="S2000">
        <f>IFERROR(O2000,0)+IFERROR(R2000,0)</f>
        <v>0</v>
      </c>
      <c r="T2000">
        <f>IF(A2000="","",YEAR(A2000))</f>
        <v>0</v>
      </c>
    </row>
    <row r="2001" spans="1:20">
      <c r="A2001">
        <f>'Raw Data'!B2001</f>
        <v>0</v>
      </c>
      <c r="B2001">
        <f>'Raw Data'!A2001</f>
        <v>0</v>
      </c>
      <c r="C2001">
        <f>'Raw Data'!C2001</f>
        <v>0</v>
      </c>
      <c r="D2001">
        <f>'Raw Data'!D2001</f>
        <v>0</v>
      </c>
      <c r="E2001">
        <f>IFERROR(VLOOKUP(D2001,'Lookup Tables'!$A:$B,2,FALSE),"Unknown")</f>
        <v>0</v>
      </c>
      <c r="F2001">
        <f>'Raw Data'!E2001</f>
        <v>0</v>
      </c>
      <c r="G2001">
        <f>IFERROR(VLOOKUP(D2001,'Lookup Tables'!$A:$C,3,FALSE),IF(ISNUMBER(SEARCH("STEEL",F2001)),"Steel","Others"))</f>
        <v>0</v>
      </c>
      <c r="H2001">
        <f>IF(ISNUMBER(SEARCH("scrubber",F2001)) , "Scrubber", IF(ISNUMBER(SEARCH("container",F2001)),"Container", IF(ISNUMBER(SEARCH("basket",F2001)),"Basket", IF(ISNUMBER(SEARCH("lunch",F2001)),"Lunch Box", IF(ISNUMBER(SEARCH("cutlery",F2001)),"Cutlery","Other")))))</f>
        <v>0</v>
      </c>
      <c r="I2001">
        <f>IF('Raw Data'!G2001&lt;&gt;'','Raw Data'!G2001,IFERROR(MID(F2001,SEARCH("MODEL",F2001)+6,20),""))</f>
        <v>0</v>
      </c>
      <c r="J2001">
        <f>'Raw Data'!H2001</f>
        <v>0</v>
      </c>
      <c r="K2001">
        <f>'Raw Data'!I2001</f>
        <v>0</v>
      </c>
      <c r="L2001">
        <f>IF('Raw Data'!N2001&lt;&gt;0,'Raw Data'!N2001,IFERROR(VALUE(MID(F2001,SEARCH("QTY",F2001)+4,IFERROR(FIND(" ",F2001,SEARCH("QTY",F2001)+4)-(SEARCH("QTY",F2001)+4),3))),""))</f>
        <v>0</v>
      </c>
      <c r="M2001">
        <f>'Raw Data'!O2001</f>
        <v>0</v>
      </c>
      <c r="N2001">
        <f>'Raw Data'!P2001</f>
        <v>0</v>
      </c>
      <c r="O2001">
        <f>'Raw Data'!Q2001</f>
        <v>0</v>
      </c>
      <c r="P2001">
        <f>'Raw Data'!R2001</f>
        <v>0</v>
      </c>
      <c r="Q2001">
        <f>'Raw Data'!S2001</f>
        <v>0</v>
      </c>
      <c r="R2001">
        <f>'Raw Data'!T2001</f>
        <v>0</v>
      </c>
      <c r="S2001">
        <f>IFERROR(O2001,0)+IFERROR(R2001,0)</f>
        <v>0</v>
      </c>
      <c r="T2001">
        <f>IF(A2001="","",YEAR(A2001))</f>
        <v>0</v>
      </c>
    </row>
    <row r="2002" spans="1:20">
      <c r="A2002">
        <f>'Raw Data'!B2002</f>
        <v>0</v>
      </c>
      <c r="B2002">
        <f>'Raw Data'!A2002</f>
        <v>0</v>
      </c>
      <c r="C2002">
        <f>'Raw Data'!C2002</f>
        <v>0</v>
      </c>
      <c r="D2002">
        <f>'Raw Data'!D2002</f>
        <v>0</v>
      </c>
      <c r="E2002">
        <f>IFERROR(VLOOKUP(D2002,'Lookup Tables'!$A:$B,2,FALSE),"Unknown")</f>
        <v>0</v>
      </c>
      <c r="F2002">
        <f>'Raw Data'!E2002</f>
        <v>0</v>
      </c>
      <c r="G2002">
        <f>IFERROR(VLOOKUP(D2002,'Lookup Tables'!$A:$C,3,FALSE),IF(ISNUMBER(SEARCH("STEEL",F2002)),"Steel","Others"))</f>
        <v>0</v>
      </c>
      <c r="H2002">
        <f>IF(ISNUMBER(SEARCH("scrubber",F2002)) , "Scrubber", IF(ISNUMBER(SEARCH("container",F2002)),"Container", IF(ISNUMBER(SEARCH("basket",F2002)),"Basket", IF(ISNUMBER(SEARCH("lunch",F2002)),"Lunch Box", IF(ISNUMBER(SEARCH("cutlery",F2002)),"Cutlery","Other")))))</f>
        <v>0</v>
      </c>
      <c r="I2002">
        <f>IF('Raw Data'!G2002&lt;&gt;'','Raw Data'!G2002,IFERROR(MID(F2002,SEARCH("MODEL",F2002)+6,20),""))</f>
        <v>0</v>
      </c>
      <c r="J2002">
        <f>'Raw Data'!H2002</f>
        <v>0</v>
      </c>
      <c r="K2002">
        <f>'Raw Data'!I2002</f>
        <v>0</v>
      </c>
      <c r="L2002">
        <f>IF('Raw Data'!N2002&lt;&gt;0,'Raw Data'!N2002,IFERROR(VALUE(MID(F2002,SEARCH("QTY",F2002)+4,IFERROR(FIND(" ",F2002,SEARCH("QTY",F2002)+4)-(SEARCH("QTY",F2002)+4),3))),""))</f>
        <v>0</v>
      </c>
      <c r="M2002">
        <f>'Raw Data'!O2002</f>
        <v>0</v>
      </c>
      <c r="N2002">
        <f>'Raw Data'!P2002</f>
        <v>0</v>
      </c>
      <c r="O2002">
        <f>'Raw Data'!Q2002</f>
        <v>0</v>
      </c>
      <c r="P2002">
        <f>'Raw Data'!R2002</f>
        <v>0</v>
      </c>
      <c r="Q2002">
        <f>'Raw Data'!S2002</f>
        <v>0</v>
      </c>
      <c r="R2002">
        <f>'Raw Data'!T2002</f>
        <v>0</v>
      </c>
      <c r="S2002">
        <f>IFERROR(O2002,0)+IFERROR(R2002,0)</f>
        <v>0</v>
      </c>
      <c r="T2002">
        <f>IF(A2002="","",YEAR(A2002))</f>
        <v>0</v>
      </c>
    </row>
    <row r="2003" spans="1:20">
      <c r="A2003">
        <f>'Raw Data'!B2003</f>
        <v>0</v>
      </c>
      <c r="B2003">
        <f>'Raw Data'!A2003</f>
        <v>0</v>
      </c>
      <c r="C2003">
        <f>'Raw Data'!C2003</f>
        <v>0</v>
      </c>
      <c r="D2003">
        <f>'Raw Data'!D2003</f>
        <v>0</v>
      </c>
      <c r="E2003">
        <f>IFERROR(VLOOKUP(D2003,'Lookup Tables'!$A:$B,2,FALSE),"Unknown")</f>
        <v>0</v>
      </c>
      <c r="F2003">
        <f>'Raw Data'!E2003</f>
        <v>0</v>
      </c>
      <c r="G2003">
        <f>IFERROR(VLOOKUP(D2003,'Lookup Tables'!$A:$C,3,FALSE),IF(ISNUMBER(SEARCH("STEEL",F2003)),"Steel","Others"))</f>
        <v>0</v>
      </c>
      <c r="H2003">
        <f>IF(ISNUMBER(SEARCH("scrubber",F2003)) , "Scrubber", IF(ISNUMBER(SEARCH("container",F2003)),"Container", IF(ISNUMBER(SEARCH("basket",F2003)),"Basket", IF(ISNUMBER(SEARCH("lunch",F2003)),"Lunch Box", IF(ISNUMBER(SEARCH("cutlery",F2003)),"Cutlery","Other")))))</f>
        <v>0</v>
      </c>
      <c r="I2003">
        <f>IF('Raw Data'!G2003&lt;&gt;'','Raw Data'!G2003,IFERROR(MID(F2003,SEARCH("MODEL",F2003)+6,20),""))</f>
        <v>0</v>
      </c>
      <c r="J2003">
        <f>'Raw Data'!H2003</f>
        <v>0</v>
      </c>
      <c r="K2003">
        <f>'Raw Data'!I2003</f>
        <v>0</v>
      </c>
      <c r="L2003">
        <f>IF('Raw Data'!N2003&lt;&gt;0,'Raw Data'!N2003,IFERROR(VALUE(MID(F2003,SEARCH("QTY",F2003)+4,IFERROR(FIND(" ",F2003,SEARCH("QTY",F2003)+4)-(SEARCH("QTY",F2003)+4),3))),""))</f>
        <v>0</v>
      </c>
      <c r="M2003">
        <f>'Raw Data'!O2003</f>
        <v>0</v>
      </c>
      <c r="N2003">
        <f>'Raw Data'!P2003</f>
        <v>0</v>
      </c>
      <c r="O2003">
        <f>'Raw Data'!Q2003</f>
        <v>0</v>
      </c>
      <c r="P2003">
        <f>'Raw Data'!R2003</f>
        <v>0</v>
      </c>
      <c r="Q2003">
        <f>'Raw Data'!S2003</f>
        <v>0</v>
      </c>
      <c r="R2003">
        <f>'Raw Data'!T2003</f>
        <v>0</v>
      </c>
      <c r="S2003">
        <f>IFERROR(O2003,0)+IFERROR(R2003,0)</f>
        <v>0</v>
      </c>
      <c r="T2003">
        <f>IF(A2003="","",YEAR(A2003))</f>
        <v>0</v>
      </c>
    </row>
    <row r="2004" spans="1:20">
      <c r="A2004">
        <f>'Raw Data'!B2004</f>
        <v>0</v>
      </c>
      <c r="B2004">
        <f>'Raw Data'!A2004</f>
        <v>0</v>
      </c>
      <c r="C2004">
        <f>'Raw Data'!C2004</f>
        <v>0</v>
      </c>
      <c r="D2004">
        <f>'Raw Data'!D2004</f>
        <v>0</v>
      </c>
      <c r="E2004">
        <f>IFERROR(VLOOKUP(D2004,'Lookup Tables'!$A:$B,2,FALSE),"Unknown")</f>
        <v>0</v>
      </c>
      <c r="F2004">
        <f>'Raw Data'!E2004</f>
        <v>0</v>
      </c>
      <c r="G2004">
        <f>IFERROR(VLOOKUP(D2004,'Lookup Tables'!$A:$C,3,FALSE),IF(ISNUMBER(SEARCH("STEEL",F2004)),"Steel","Others"))</f>
        <v>0</v>
      </c>
      <c r="H2004">
        <f>IF(ISNUMBER(SEARCH("scrubber",F2004)) , "Scrubber", IF(ISNUMBER(SEARCH("container",F2004)),"Container", IF(ISNUMBER(SEARCH("basket",F2004)),"Basket", IF(ISNUMBER(SEARCH("lunch",F2004)),"Lunch Box", IF(ISNUMBER(SEARCH("cutlery",F2004)),"Cutlery","Other")))))</f>
        <v>0</v>
      </c>
      <c r="I2004">
        <f>IF('Raw Data'!G2004&lt;&gt;'','Raw Data'!G2004,IFERROR(MID(F2004,SEARCH("MODEL",F2004)+6,20),""))</f>
        <v>0</v>
      </c>
      <c r="J2004">
        <f>'Raw Data'!H2004</f>
        <v>0</v>
      </c>
      <c r="K2004">
        <f>'Raw Data'!I2004</f>
        <v>0</v>
      </c>
      <c r="L2004">
        <f>IF('Raw Data'!N2004&lt;&gt;0,'Raw Data'!N2004,IFERROR(VALUE(MID(F2004,SEARCH("QTY",F2004)+4,IFERROR(FIND(" ",F2004,SEARCH("QTY",F2004)+4)-(SEARCH("QTY",F2004)+4),3))),""))</f>
        <v>0</v>
      </c>
      <c r="M2004">
        <f>'Raw Data'!O2004</f>
        <v>0</v>
      </c>
      <c r="N2004">
        <f>'Raw Data'!P2004</f>
        <v>0</v>
      </c>
      <c r="O2004">
        <f>'Raw Data'!Q2004</f>
        <v>0</v>
      </c>
      <c r="P2004">
        <f>'Raw Data'!R2004</f>
        <v>0</v>
      </c>
      <c r="Q2004">
        <f>'Raw Data'!S2004</f>
        <v>0</v>
      </c>
      <c r="R2004">
        <f>'Raw Data'!T2004</f>
        <v>0</v>
      </c>
      <c r="S2004">
        <f>IFERROR(O2004,0)+IFERROR(R2004,0)</f>
        <v>0</v>
      </c>
      <c r="T2004">
        <f>IF(A2004="","",YEAR(A2004))</f>
        <v>0</v>
      </c>
    </row>
    <row r="2005" spans="1:20">
      <c r="A2005">
        <f>'Raw Data'!B2005</f>
        <v>0</v>
      </c>
      <c r="B2005">
        <f>'Raw Data'!A2005</f>
        <v>0</v>
      </c>
      <c r="C2005">
        <f>'Raw Data'!C2005</f>
        <v>0</v>
      </c>
      <c r="D2005">
        <f>'Raw Data'!D2005</f>
        <v>0</v>
      </c>
      <c r="E2005">
        <f>IFERROR(VLOOKUP(D2005,'Lookup Tables'!$A:$B,2,FALSE),"Unknown")</f>
        <v>0</v>
      </c>
      <c r="F2005">
        <f>'Raw Data'!E2005</f>
        <v>0</v>
      </c>
      <c r="G2005">
        <f>IFERROR(VLOOKUP(D2005,'Lookup Tables'!$A:$C,3,FALSE),IF(ISNUMBER(SEARCH("STEEL",F2005)),"Steel","Others"))</f>
        <v>0</v>
      </c>
      <c r="H2005">
        <f>IF(ISNUMBER(SEARCH("scrubber",F2005)) , "Scrubber", IF(ISNUMBER(SEARCH("container",F2005)),"Container", IF(ISNUMBER(SEARCH("basket",F2005)),"Basket", IF(ISNUMBER(SEARCH("lunch",F2005)),"Lunch Box", IF(ISNUMBER(SEARCH("cutlery",F2005)),"Cutlery","Other")))))</f>
        <v>0</v>
      </c>
      <c r="I2005">
        <f>IF('Raw Data'!G2005&lt;&gt;'','Raw Data'!G2005,IFERROR(MID(F2005,SEARCH("MODEL",F2005)+6,20),""))</f>
        <v>0</v>
      </c>
      <c r="J2005">
        <f>'Raw Data'!H2005</f>
        <v>0</v>
      </c>
      <c r="K2005">
        <f>'Raw Data'!I2005</f>
        <v>0</v>
      </c>
      <c r="L2005">
        <f>IF('Raw Data'!N2005&lt;&gt;0,'Raw Data'!N2005,IFERROR(VALUE(MID(F2005,SEARCH("QTY",F2005)+4,IFERROR(FIND(" ",F2005,SEARCH("QTY",F2005)+4)-(SEARCH("QTY",F2005)+4),3))),""))</f>
        <v>0</v>
      </c>
      <c r="M2005">
        <f>'Raw Data'!O2005</f>
        <v>0</v>
      </c>
      <c r="N2005">
        <f>'Raw Data'!P2005</f>
        <v>0</v>
      </c>
      <c r="O2005">
        <f>'Raw Data'!Q2005</f>
        <v>0</v>
      </c>
      <c r="P2005">
        <f>'Raw Data'!R2005</f>
        <v>0</v>
      </c>
      <c r="Q2005">
        <f>'Raw Data'!S2005</f>
        <v>0</v>
      </c>
      <c r="R2005">
        <f>'Raw Data'!T2005</f>
        <v>0</v>
      </c>
      <c r="S2005">
        <f>IFERROR(O2005,0)+IFERROR(R2005,0)</f>
        <v>0</v>
      </c>
      <c r="T2005">
        <f>IF(A2005="","",YEAR(A2005))</f>
        <v>0</v>
      </c>
    </row>
    <row r="2006" spans="1:20">
      <c r="A2006">
        <f>'Raw Data'!B2006</f>
        <v>0</v>
      </c>
      <c r="B2006">
        <f>'Raw Data'!A2006</f>
        <v>0</v>
      </c>
      <c r="C2006">
        <f>'Raw Data'!C2006</f>
        <v>0</v>
      </c>
      <c r="D2006">
        <f>'Raw Data'!D2006</f>
        <v>0</v>
      </c>
      <c r="E2006">
        <f>IFERROR(VLOOKUP(D2006,'Lookup Tables'!$A:$B,2,FALSE),"Unknown")</f>
        <v>0</v>
      </c>
      <c r="F2006">
        <f>'Raw Data'!E2006</f>
        <v>0</v>
      </c>
      <c r="G2006">
        <f>IFERROR(VLOOKUP(D2006,'Lookup Tables'!$A:$C,3,FALSE),IF(ISNUMBER(SEARCH("STEEL",F2006)),"Steel","Others"))</f>
        <v>0</v>
      </c>
      <c r="H2006">
        <f>IF(ISNUMBER(SEARCH("scrubber",F2006)) , "Scrubber", IF(ISNUMBER(SEARCH("container",F2006)),"Container", IF(ISNUMBER(SEARCH("basket",F2006)),"Basket", IF(ISNUMBER(SEARCH("lunch",F2006)),"Lunch Box", IF(ISNUMBER(SEARCH("cutlery",F2006)),"Cutlery","Other")))))</f>
        <v>0</v>
      </c>
      <c r="I2006">
        <f>IF('Raw Data'!G2006&lt;&gt;'','Raw Data'!G2006,IFERROR(MID(F2006,SEARCH("MODEL",F2006)+6,20),""))</f>
        <v>0</v>
      </c>
      <c r="J2006">
        <f>'Raw Data'!H2006</f>
        <v>0</v>
      </c>
      <c r="K2006">
        <f>'Raw Data'!I2006</f>
        <v>0</v>
      </c>
      <c r="L2006">
        <f>IF('Raw Data'!N2006&lt;&gt;0,'Raw Data'!N2006,IFERROR(VALUE(MID(F2006,SEARCH("QTY",F2006)+4,IFERROR(FIND(" ",F2006,SEARCH("QTY",F2006)+4)-(SEARCH("QTY",F2006)+4),3))),""))</f>
        <v>0</v>
      </c>
      <c r="M2006">
        <f>'Raw Data'!O2006</f>
        <v>0</v>
      </c>
      <c r="N2006">
        <f>'Raw Data'!P2006</f>
        <v>0</v>
      </c>
      <c r="O2006">
        <f>'Raw Data'!Q2006</f>
        <v>0</v>
      </c>
      <c r="P2006">
        <f>'Raw Data'!R2006</f>
        <v>0</v>
      </c>
      <c r="Q2006">
        <f>'Raw Data'!S2006</f>
        <v>0</v>
      </c>
      <c r="R2006">
        <f>'Raw Data'!T2006</f>
        <v>0</v>
      </c>
      <c r="S2006">
        <f>IFERROR(O2006,0)+IFERROR(R2006,0)</f>
        <v>0</v>
      </c>
      <c r="T2006">
        <f>IF(A2006="","",YEAR(A2006))</f>
        <v>0</v>
      </c>
    </row>
    <row r="2007" spans="1:20">
      <c r="A2007">
        <f>'Raw Data'!B2007</f>
        <v>0</v>
      </c>
      <c r="B2007">
        <f>'Raw Data'!A2007</f>
        <v>0</v>
      </c>
      <c r="C2007">
        <f>'Raw Data'!C2007</f>
        <v>0</v>
      </c>
      <c r="D2007">
        <f>'Raw Data'!D2007</f>
        <v>0</v>
      </c>
      <c r="E2007">
        <f>IFERROR(VLOOKUP(D2007,'Lookup Tables'!$A:$B,2,FALSE),"Unknown")</f>
        <v>0</v>
      </c>
      <c r="F2007">
        <f>'Raw Data'!E2007</f>
        <v>0</v>
      </c>
      <c r="G2007">
        <f>IFERROR(VLOOKUP(D2007,'Lookup Tables'!$A:$C,3,FALSE),IF(ISNUMBER(SEARCH("STEEL",F2007)),"Steel","Others"))</f>
        <v>0</v>
      </c>
      <c r="H2007">
        <f>IF(ISNUMBER(SEARCH("scrubber",F2007)) , "Scrubber", IF(ISNUMBER(SEARCH("container",F2007)),"Container", IF(ISNUMBER(SEARCH("basket",F2007)),"Basket", IF(ISNUMBER(SEARCH("lunch",F2007)),"Lunch Box", IF(ISNUMBER(SEARCH("cutlery",F2007)),"Cutlery","Other")))))</f>
        <v>0</v>
      </c>
      <c r="I2007">
        <f>IF('Raw Data'!G2007&lt;&gt;'','Raw Data'!G2007,IFERROR(MID(F2007,SEARCH("MODEL",F2007)+6,20),""))</f>
        <v>0</v>
      </c>
      <c r="J2007">
        <f>'Raw Data'!H2007</f>
        <v>0</v>
      </c>
      <c r="K2007">
        <f>'Raw Data'!I2007</f>
        <v>0</v>
      </c>
      <c r="L2007">
        <f>IF('Raw Data'!N2007&lt;&gt;0,'Raw Data'!N2007,IFERROR(VALUE(MID(F2007,SEARCH("QTY",F2007)+4,IFERROR(FIND(" ",F2007,SEARCH("QTY",F2007)+4)-(SEARCH("QTY",F2007)+4),3))),""))</f>
        <v>0</v>
      </c>
      <c r="M2007">
        <f>'Raw Data'!O2007</f>
        <v>0</v>
      </c>
      <c r="N2007">
        <f>'Raw Data'!P2007</f>
        <v>0</v>
      </c>
      <c r="O2007">
        <f>'Raw Data'!Q2007</f>
        <v>0</v>
      </c>
      <c r="P2007">
        <f>'Raw Data'!R2007</f>
        <v>0</v>
      </c>
      <c r="Q2007">
        <f>'Raw Data'!S2007</f>
        <v>0</v>
      </c>
      <c r="R2007">
        <f>'Raw Data'!T2007</f>
        <v>0</v>
      </c>
      <c r="S2007">
        <f>IFERROR(O2007,0)+IFERROR(R2007,0)</f>
        <v>0</v>
      </c>
      <c r="T2007">
        <f>IF(A2007="","",YEAR(A2007))</f>
        <v>0</v>
      </c>
    </row>
    <row r="2008" spans="1:20">
      <c r="A2008">
        <f>'Raw Data'!B2008</f>
        <v>0</v>
      </c>
      <c r="B2008">
        <f>'Raw Data'!A2008</f>
        <v>0</v>
      </c>
      <c r="C2008">
        <f>'Raw Data'!C2008</f>
        <v>0</v>
      </c>
      <c r="D2008">
        <f>'Raw Data'!D2008</f>
        <v>0</v>
      </c>
      <c r="E2008">
        <f>IFERROR(VLOOKUP(D2008,'Lookup Tables'!$A:$B,2,FALSE),"Unknown")</f>
        <v>0</v>
      </c>
      <c r="F2008">
        <f>'Raw Data'!E2008</f>
        <v>0</v>
      </c>
      <c r="G2008">
        <f>IFERROR(VLOOKUP(D2008,'Lookup Tables'!$A:$C,3,FALSE),IF(ISNUMBER(SEARCH("STEEL",F2008)),"Steel","Others"))</f>
        <v>0</v>
      </c>
      <c r="H2008">
        <f>IF(ISNUMBER(SEARCH("scrubber",F2008)) , "Scrubber", IF(ISNUMBER(SEARCH("container",F2008)),"Container", IF(ISNUMBER(SEARCH("basket",F2008)),"Basket", IF(ISNUMBER(SEARCH("lunch",F2008)),"Lunch Box", IF(ISNUMBER(SEARCH("cutlery",F2008)),"Cutlery","Other")))))</f>
        <v>0</v>
      </c>
      <c r="I2008">
        <f>IF('Raw Data'!G2008&lt;&gt;'','Raw Data'!G2008,IFERROR(MID(F2008,SEARCH("MODEL",F2008)+6,20),""))</f>
        <v>0</v>
      </c>
      <c r="J2008">
        <f>'Raw Data'!H2008</f>
        <v>0</v>
      </c>
      <c r="K2008">
        <f>'Raw Data'!I2008</f>
        <v>0</v>
      </c>
      <c r="L2008">
        <f>IF('Raw Data'!N2008&lt;&gt;0,'Raw Data'!N2008,IFERROR(VALUE(MID(F2008,SEARCH("QTY",F2008)+4,IFERROR(FIND(" ",F2008,SEARCH("QTY",F2008)+4)-(SEARCH("QTY",F2008)+4),3))),""))</f>
        <v>0</v>
      </c>
      <c r="M2008">
        <f>'Raw Data'!O2008</f>
        <v>0</v>
      </c>
      <c r="N2008">
        <f>'Raw Data'!P2008</f>
        <v>0</v>
      </c>
      <c r="O2008">
        <f>'Raw Data'!Q2008</f>
        <v>0</v>
      </c>
      <c r="P2008">
        <f>'Raw Data'!R2008</f>
        <v>0</v>
      </c>
      <c r="Q2008">
        <f>'Raw Data'!S2008</f>
        <v>0</v>
      </c>
      <c r="R2008">
        <f>'Raw Data'!T2008</f>
        <v>0</v>
      </c>
      <c r="S2008">
        <f>IFERROR(O2008,0)+IFERROR(R2008,0)</f>
        <v>0</v>
      </c>
      <c r="T2008">
        <f>IF(A2008="","",YEAR(A2008))</f>
        <v>0</v>
      </c>
    </row>
    <row r="2009" spans="1:20">
      <c r="A2009">
        <f>'Raw Data'!B2009</f>
        <v>0</v>
      </c>
      <c r="B2009">
        <f>'Raw Data'!A2009</f>
        <v>0</v>
      </c>
      <c r="C2009">
        <f>'Raw Data'!C2009</f>
        <v>0</v>
      </c>
      <c r="D2009">
        <f>'Raw Data'!D2009</f>
        <v>0</v>
      </c>
      <c r="E2009">
        <f>IFERROR(VLOOKUP(D2009,'Lookup Tables'!$A:$B,2,FALSE),"Unknown")</f>
        <v>0</v>
      </c>
      <c r="F2009">
        <f>'Raw Data'!E2009</f>
        <v>0</v>
      </c>
      <c r="G2009">
        <f>IFERROR(VLOOKUP(D2009,'Lookup Tables'!$A:$C,3,FALSE),IF(ISNUMBER(SEARCH("STEEL",F2009)),"Steel","Others"))</f>
        <v>0</v>
      </c>
      <c r="H2009">
        <f>IF(ISNUMBER(SEARCH("scrubber",F2009)) , "Scrubber", IF(ISNUMBER(SEARCH("container",F2009)),"Container", IF(ISNUMBER(SEARCH("basket",F2009)),"Basket", IF(ISNUMBER(SEARCH("lunch",F2009)),"Lunch Box", IF(ISNUMBER(SEARCH("cutlery",F2009)),"Cutlery","Other")))))</f>
        <v>0</v>
      </c>
      <c r="I2009">
        <f>IF('Raw Data'!G2009&lt;&gt;'','Raw Data'!G2009,IFERROR(MID(F2009,SEARCH("MODEL",F2009)+6,20),""))</f>
        <v>0</v>
      </c>
      <c r="J2009">
        <f>'Raw Data'!H2009</f>
        <v>0</v>
      </c>
      <c r="K2009">
        <f>'Raw Data'!I2009</f>
        <v>0</v>
      </c>
      <c r="L2009">
        <f>IF('Raw Data'!N2009&lt;&gt;0,'Raw Data'!N2009,IFERROR(VALUE(MID(F2009,SEARCH("QTY",F2009)+4,IFERROR(FIND(" ",F2009,SEARCH("QTY",F2009)+4)-(SEARCH("QTY",F2009)+4),3))),""))</f>
        <v>0</v>
      </c>
      <c r="M2009">
        <f>'Raw Data'!O2009</f>
        <v>0</v>
      </c>
      <c r="N2009">
        <f>'Raw Data'!P2009</f>
        <v>0</v>
      </c>
      <c r="O2009">
        <f>'Raw Data'!Q2009</f>
        <v>0</v>
      </c>
      <c r="P2009">
        <f>'Raw Data'!R2009</f>
        <v>0</v>
      </c>
      <c r="Q2009">
        <f>'Raw Data'!S2009</f>
        <v>0</v>
      </c>
      <c r="R2009">
        <f>'Raw Data'!T2009</f>
        <v>0</v>
      </c>
      <c r="S2009">
        <f>IFERROR(O2009,0)+IFERROR(R2009,0)</f>
        <v>0</v>
      </c>
      <c r="T2009">
        <f>IF(A2009="","",YEAR(A2009))</f>
        <v>0</v>
      </c>
    </row>
    <row r="2010" spans="1:20">
      <c r="A2010">
        <f>'Raw Data'!B2010</f>
        <v>0</v>
      </c>
      <c r="B2010">
        <f>'Raw Data'!A2010</f>
        <v>0</v>
      </c>
      <c r="C2010">
        <f>'Raw Data'!C2010</f>
        <v>0</v>
      </c>
      <c r="D2010">
        <f>'Raw Data'!D2010</f>
        <v>0</v>
      </c>
      <c r="E2010">
        <f>IFERROR(VLOOKUP(D2010,'Lookup Tables'!$A:$B,2,FALSE),"Unknown")</f>
        <v>0</v>
      </c>
      <c r="F2010">
        <f>'Raw Data'!E2010</f>
        <v>0</v>
      </c>
      <c r="G2010">
        <f>IFERROR(VLOOKUP(D2010,'Lookup Tables'!$A:$C,3,FALSE),IF(ISNUMBER(SEARCH("STEEL",F2010)),"Steel","Others"))</f>
        <v>0</v>
      </c>
      <c r="H2010">
        <f>IF(ISNUMBER(SEARCH("scrubber",F2010)) , "Scrubber", IF(ISNUMBER(SEARCH("container",F2010)),"Container", IF(ISNUMBER(SEARCH("basket",F2010)),"Basket", IF(ISNUMBER(SEARCH("lunch",F2010)),"Lunch Box", IF(ISNUMBER(SEARCH("cutlery",F2010)),"Cutlery","Other")))))</f>
        <v>0</v>
      </c>
      <c r="I2010">
        <f>IF('Raw Data'!G2010&lt;&gt;'','Raw Data'!G2010,IFERROR(MID(F2010,SEARCH("MODEL",F2010)+6,20),""))</f>
        <v>0</v>
      </c>
      <c r="J2010">
        <f>'Raw Data'!H2010</f>
        <v>0</v>
      </c>
      <c r="K2010">
        <f>'Raw Data'!I2010</f>
        <v>0</v>
      </c>
      <c r="L2010">
        <f>IF('Raw Data'!N2010&lt;&gt;0,'Raw Data'!N2010,IFERROR(VALUE(MID(F2010,SEARCH("QTY",F2010)+4,IFERROR(FIND(" ",F2010,SEARCH("QTY",F2010)+4)-(SEARCH("QTY",F2010)+4),3))),""))</f>
        <v>0</v>
      </c>
      <c r="M2010">
        <f>'Raw Data'!O2010</f>
        <v>0</v>
      </c>
      <c r="N2010">
        <f>'Raw Data'!P2010</f>
        <v>0</v>
      </c>
      <c r="O2010">
        <f>'Raw Data'!Q2010</f>
        <v>0</v>
      </c>
      <c r="P2010">
        <f>'Raw Data'!R2010</f>
        <v>0</v>
      </c>
      <c r="Q2010">
        <f>'Raw Data'!S2010</f>
        <v>0</v>
      </c>
      <c r="R2010">
        <f>'Raw Data'!T2010</f>
        <v>0</v>
      </c>
      <c r="S2010">
        <f>IFERROR(O2010,0)+IFERROR(R2010,0)</f>
        <v>0</v>
      </c>
      <c r="T2010">
        <f>IF(A2010="","",YEAR(A2010))</f>
        <v>0</v>
      </c>
    </row>
    <row r="2011" spans="1:20">
      <c r="A2011">
        <f>'Raw Data'!B2011</f>
        <v>0</v>
      </c>
      <c r="B2011">
        <f>'Raw Data'!A2011</f>
        <v>0</v>
      </c>
      <c r="C2011">
        <f>'Raw Data'!C2011</f>
        <v>0</v>
      </c>
      <c r="D2011">
        <f>'Raw Data'!D2011</f>
        <v>0</v>
      </c>
      <c r="E2011">
        <f>IFERROR(VLOOKUP(D2011,'Lookup Tables'!$A:$B,2,FALSE),"Unknown")</f>
        <v>0</v>
      </c>
      <c r="F2011">
        <f>'Raw Data'!E2011</f>
        <v>0</v>
      </c>
      <c r="G2011">
        <f>IFERROR(VLOOKUP(D2011,'Lookup Tables'!$A:$C,3,FALSE),IF(ISNUMBER(SEARCH("STEEL",F2011)),"Steel","Others"))</f>
        <v>0</v>
      </c>
      <c r="H2011">
        <f>IF(ISNUMBER(SEARCH("scrubber",F2011)) , "Scrubber", IF(ISNUMBER(SEARCH("container",F2011)),"Container", IF(ISNUMBER(SEARCH("basket",F2011)),"Basket", IF(ISNUMBER(SEARCH("lunch",F2011)),"Lunch Box", IF(ISNUMBER(SEARCH("cutlery",F2011)),"Cutlery","Other")))))</f>
        <v>0</v>
      </c>
      <c r="I2011">
        <f>IF('Raw Data'!G2011&lt;&gt;'','Raw Data'!G2011,IFERROR(MID(F2011,SEARCH("MODEL",F2011)+6,20),""))</f>
        <v>0</v>
      </c>
      <c r="J2011">
        <f>'Raw Data'!H2011</f>
        <v>0</v>
      </c>
      <c r="K2011">
        <f>'Raw Data'!I2011</f>
        <v>0</v>
      </c>
      <c r="L2011">
        <f>IF('Raw Data'!N2011&lt;&gt;0,'Raw Data'!N2011,IFERROR(VALUE(MID(F2011,SEARCH("QTY",F2011)+4,IFERROR(FIND(" ",F2011,SEARCH("QTY",F2011)+4)-(SEARCH("QTY",F2011)+4),3))),""))</f>
        <v>0</v>
      </c>
      <c r="M2011">
        <f>'Raw Data'!O2011</f>
        <v>0</v>
      </c>
      <c r="N2011">
        <f>'Raw Data'!P2011</f>
        <v>0</v>
      </c>
      <c r="O2011">
        <f>'Raw Data'!Q2011</f>
        <v>0</v>
      </c>
      <c r="P2011">
        <f>'Raw Data'!R2011</f>
        <v>0</v>
      </c>
      <c r="Q2011">
        <f>'Raw Data'!S2011</f>
        <v>0</v>
      </c>
      <c r="R2011">
        <f>'Raw Data'!T2011</f>
        <v>0</v>
      </c>
      <c r="S2011">
        <f>IFERROR(O2011,0)+IFERROR(R2011,0)</f>
        <v>0</v>
      </c>
      <c r="T2011">
        <f>IF(A2011="","",YEAR(A2011))</f>
        <v>0</v>
      </c>
    </row>
    <row r="2012" spans="1:20">
      <c r="A2012">
        <f>'Raw Data'!B2012</f>
        <v>0</v>
      </c>
      <c r="B2012">
        <f>'Raw Data'!A2012</f>
        <v>0</v>
      </c>
      <c r="C2012">
        <f>'Raw Data'!C2012</f>
        <v>0</v>
      </c>
      <c r="D2012">
        <f>'Raw Data'!D2012</f>
        <v>0</v>
      </c>
      <c r="E2012">
        <f>IFERROR(VLOOKUP(D2012,'Lookup Tables'!$A:$B,2,FALSE),"Unknown")</f>
        <v>0</v>
      </c>
      <c r="F2012">
        <f>'Raw Data'!E2012</f>
        <v>0</v>
      </c>
      <c r="G2012">
        <f>IFERROR(VLOOKUP(D2012,'Lookup Tables'!$A:$C,3,FALSE),IF(ISNUMBER(SEARCH("STEEL",F2012)),"Steel","Others"))</f>
        <v>0</v>
      </c>
      <c r="H2012">
        <f>IF(ISNUMBER(SEARCH("scrubber",F2012)) , "Scrubber", IF(ISNUMBER(SEARCH("container",F2012)),"Container", IF(ISNUMBER(SEARCH("basket",F2012)),"Basket", IF(ISNUMBER(SEARCH("lunch",F2012)),"Lunch Box", IF(ISNUMBER(SEARCH("cutlery",F2012)),"Cutlery","Other")))))</f>
        <v>0</v>
      </c>
      <c r="I2012">
        <f>IF('Raw Data'!G2012&lt;&gt;'','Raw Data'!G2012,IFERROR(MID(F2012,SEARCH("MODEL",F2012)+6,20),""))</f>
        <v>0</v>
      </c>
      <c r="J2012">
        <f>'Raw Data'!H2012</f>
        <v>0</v>
      </c>
      <c r="K2012">
        <f>'Raw Data'!I2012</f>
        <v>0</v>
      </c>
      <c r="L2012">
        <f>IF('Raw Data'!N2012&lt;&gt;0,'Raw Data'!N2012,IFERROR(VALUE(MID(F2012,SEARCH("QTY",F2012)+4,IFERROR(FIND(" ",F2012,SEARCH("QTY",F2012)+4)-(SEARCH("QTY",F2012)+4),3))),""))</f>
        <v>0</v>
      </c>
      <c r="M2012">
        <f>'Raw Data'!O2012</f>
        <v>0</v>
      </c>
      <c r="N2012">
        <f>'Raw Data'!P2012</f>
        <v>0</v>
      </c>
      <c r="O2012">
        <f>'Raw Data'!Q2012</f>
        <v>0</v>
      </c>
      <c r="P2012">
        <f>'Raw Data'!R2012</f>
        <v>0</v>
      </c>
      <c r="Q2012">
        <f>'Raw Data'!S2012</f>
        <v>0</v>
      </c>
      <c r="R2012">
        <f>'Raw Data'!T2012</f>
        <v>0</v>
      </c>
      <c r="S2012">
        <f>IFERROR(O2012,0)+IFERROR(R2012,0)</f>
        <v>0</v>
      </c>
      <c r="T2012">
        <f>IF(A2012="","",YEAR(A2012))</f>
        <v>0</v>
      </c>
    </row>
    <row r="2013" spans="1:20">
      <c r="A2013">
        <f>'Raw Data'!B2013</f>
        <v>0</v>
      </c>
      <c r="B2013">
        <f>'Raw Data'!A2013</f>
        <v>0</v>
      </c>
      <c r="C2013">
        <f>'Raw Data'!C2013</f>
        <v>0</v>
      </c>
      <c r="D2013">
        <f>'Raw Data'!D2013</f>
        <v>0</v>
      </c>
      <c r="E2013">
        <f>IFERROR(VLOOKUP(D2013,'Lookup Tables'!$A:$B,2,FALSE),"Unknown")</f>
        <v>0</v>
      </c>
      <c r="F2013">
        <f>'Raw Data'!E2013</f>
        <v>0</v>
      </c>
      <c r="G2013">
        <f>IFERROR(VLOOKUP(D2013,'Lookup Tables'!$A:$C,3,FALSE),IF(ISNUMBER(SEARCH("STEEL",F2013)),"Steel","Others"))</f>
        <v>0</v>
      </c>
      <c r="H2013">
        <f>IF(ISNUMBER(SEARCH("scrubber",F2013)) , "Scrubber", IF(ISNUMBER(SEARCH("container",F2013)),"Container", IF(ISNUMBER(SEARCH("basket",F2013)),"Basket", IF(ISNUMBER(SEARCH("lunch",F2013)),"Lunch Box", IF(ISNUMBER(SEARCH("cutlery",F2013)),"Cutlery","Other")))))</f>
        <v>0</v>
      </c>
      <c r="I2013">
        <f>IF('Raw Data'!G2013&lt;&gt;'','Raw Data'!G2013,IFERROR(MID(F2013,SEARCH("MODEL",F2013)+6,20),""))</f>
        <v>0</v>
      </c>
      <c r="J2013">
        <f>'Raw Data'!H2013</f>
        <v>0</v>
      </c>
      <c r="K2013">
        <f>'Raw Data'!I2013</f>
        <v>0</v>
      </c>
      <c r="L2013">
        <f>IF('Raw Data'!N2013&lt;&gt;0,'Raw Data'!N2013,IFERROR(VALUE(MID(F2013,SEARCH("QTY",F2013)+4,IFERROR(FIND(" ",F2013,SEARCH("QTY",F2013)+4)-(SEARCH("QTY",F2013)+4),3))),""))</f>
        <v>0</v>
      </c>
      <c r="M2013">
        <f>'Raw Data'!O2013</f>
        <v>0</v>
      </c>
      <c r="N2013">
        <f>'Raw Data'!P2013</f>
        <v>0</v>
      </c>
      <c r="O2013">
        <f>'Raw Data'!Q2013</f>
        <v>0</v>
      </c>
      <c r="P2013">
        <f>'Raw Data'!R2013</f>
        <v>0</v>
      </c>
      <c r="Q2013">
        <f>'Raw Data'!S2013</f>
        <v>0</v>
      </c>
      <c r="R2013">
        <f>'Raw Data'!T2013</f>
        <v>0</v>
      </c>
      <c r="S2013">
        <f>IFERROR(O2013,0)+IFERROR(R2013,0)</f>
        <v>0</v>
      </c>
      <c r="T2013">
        <f>IF(A2013="","",YEAR(A2013))</f>
        <v>0</v>
      </c>
    </row>
    <row r="2014" spans="1:20">
      <c r="A2014">
        <f>'Raw Data'!B2014</f>
        <v>0</v>
      </c>
      <c r="B2014">
        <f>'Raw Data'!A2014</f>
        <v>0</v>
      </c>
      <c r="C2014">
        <f>'Raw Data'!C2014</f>
        <v>0</v>
      </c>
      <c r="D2014">
        <f>'Raw Data'!D2014</f>
        <v>0</v>
      </c>
      <c r="E2014">
        <f>IFERROR(VLOOKUP(D2014,'Lookup Tables'!$A:$B,2,FALSE),"Unknown")</f>
        <v>0</v>
      </c>
      <c r="F2014">
        <f>'Raw Data'!E2014</f>
        <v>0</v>
      </c>
      <c r="G2014">
        <f>IFERROR(VLOOKUP(D2014,'Lookup Tables'!$A:$C,3,FALSE),IF(ISNUMBER(SEARCH("STEEL",F2014)),"Steel","Others"))</f>
        <v>0</v>
      </c>
      <c r="H2014">
        <f>IF(ISNUMBER(SEARCH("scrubber",F2014)) , "Scrubber", IF(ISNUMBER(SEARCH("container",F2014)),"Container", IF(ISNUMBER(SEARCH("basket",F2014)),"Basket", IF(ISNUMBER(SEARCH("lunch",F2014)),"Lunch Box", IF(ISNUMBER(SEARCH("cutlery",F2014)),"Cutlery","Other")))))</f>
        <v>0</v>
      </c>
      <c r="I2014">
        <f>IF('Raw Data'!G2014&lt;&gt;'','Raw Data'!G2014,IFERROR(MID(F2014,SEARCH("MODEL",F2014)+6,20),""))</f>
        <v>0</v>
      </c>
      <c r="J2014">
        <f>'Raw Data'!H2014</f>
        <v>0</v>
      </c>
      <c r="K2014">
        <f>'Raw Data'!I2014</f>
        <v>0</v>
      </c>
      <c r="L2014">
        <f>IF('Raw Data'!N2014&lt;&gt;0,'Raw Data'!N2014,IFERROR(VALUE(MID(F2014,SEARCH("QTY",F2014)+4,IFERROR(FIND(" ",F2014,SEARCH("QTY",F2014)+4)-(SEARCH("QTY",F2014)+4),3))),""))</f>
        <v>0</v>
      </c>
      <c r="M2014">
        <f>'Raw Data'!O2014</f>
        <v>0</v>
      </c>
      <c r="N2014">
        <f>'Raw Data'!P2014</f>
        <v>0</v>
      </c>
      <c r="O2014">
        <f>'Raw Data'!Q2014</f>
        <v>0</v>
      </c>
      <c r="P2014">
        <f>'Raw Data'!R2014</f>
        <v>0</v>
      </c>
      <c r="Q2014">
        <f>'Raw Data'!S2014</f>
        <v>0</v>
      </c>
      <c r="R2014">
        <f>'Raw Data'!T2014</f>
        <v>0</v>
      </c>
      <c r="S2014">
        <f>IFERROR(O2014,0)+IFERROR(R2014,0)</f>
        <v>0</v>
      </c>
      <c r="T2014">
        <f>IF(A2014="","",YEAR(A2014))</f>
        <v>0</v>
      </c>
    </row>
    <row r="2015" spans="1:20">
      <c r="A2015">
        <f>'Raw Data'!B2015</f>
        <v>0</v>
      </c>
      <c r="B2015">
        <f>'Raw Data'!A2015</f>
        <v>0</v>
      </c>
      <c r="C2015">
        <f>'Raw Data'!C2015</f>
        <v>0</v>
      </c>
      <c r="D2015">
        <f>'Raw Data'!D2015</f>
        <v>0</v>
      </c>
      <c r="E2015">
        <f>IFERROR(VLOOKUP(D2015,'Lookup Tables'!$A:$B,2,FALSE),"Unknown")</f>
        <v>0</v>
      </c>
      <c r="F2015">
        <f>'Raw Data'!E2015</f>
        <v>0</v>
      </c>
      <c r="G2015">
        <f>IFERROR(VLOOKUP(D2015,'Lookup Tables'!$A:$C,3,FALSE),IF(ISNUMBER(SEARCH("STEEL",F2015)),"Steel","Others"))</f>
        <v>0</v>
      </c>
      <c r="H2015">
        <f>IF(ISNUMBER(SEARCH("scrubber",F2015)) , "Scrubber", IF(ISNUMBER(SEARCH("container",F2015)),"Container", IF(ISNUMBER(SEARCH("basket",F2015)),"Basket", IF(ISNUMBER(SEARCH("lunch",F2015)),"Lunch Box", IF(ISNUMBER(SEARCH("cutlery",F2015)),"Cutlery","Other")))))</f>
        <v>0</v>
      </c>
      <c r="I2015">
        <f>IF('Raw Data'!G2015&lt;&gt;'','Raw Data'!G2015,IFERROR(MID(F2015,SEARCH("MODEL",F2015)+6,20),""))</f>
        <v>0</v>
      </c>
      <c r="J2015">
        <f>'Raw Data'!H2015</f>
        <v>0</v>
      </c>
      <c r="K2015">
        <f>'Raw Data'!I2015</f>
        <v>0</v>
      </c>
      <c r="L2015">
        <f>IF('Raw Data'!N2015&lt;&gt;0,'Raw Data'!N2015,IFERROR(VALUE(MID(F2015,SEARCH("QTY",F2015)+4,IFERROR(FIND(" ",F2015,SEARCH("QTY",F2015)+4)-(SEARCH("QTY",F2015)+4),3))),""))</f>
        <v>0</v>
      </c>
      <c r="M2015">
        <f>'Raw Data'!O2015</f>
        <v>0</v>
      </c>
      <c r="N2015">
        <f>'Raw Data'!P2015</f>
        <v>0</v>
      </c>
      <c r="O2015">
        <f>'Raw Data'!Q2015</f>
        <v>0</v>
      </c>
      <c r="P2015">
        <f>'Raw Data'!R2015</f>
        <v>0</v>
      </c>
      <c r="Q2015">
        <f>'Raw Data'!S2015</f>
        <v>0</v>
      </c>
      <c r="R2015">
        <f>'Raw Data'!T2015</f>
        <v>0</v>
      </c>
      <c r="S2015">
        <f>IFERROR(O2015,0)+IFERROR(R2015,0)</f>
        <v>0</v>
      </c>
      <c r="T2015">
        <f>IF(A2015="","",YEAR(A2015))</f>
        <v>0</v>
      </c>
    </row>
    <row r="2016" spans="1:20">
      <c r="A2016">
        <f>'Raw Data'!B2016</f>
        <v>0</v>
      </c>
      <c r="B2016">
        <f>'Raw Data'!A2016</f>
        <v>0</v>
      </c>
      <c r="C2016">
        <f>'Raw Data'!C2016</f>
        <v>0</v>
      </c>
      <c r="D2016">
        <f>'Raw Data'!D2016</f>
        <v>0</v>
      </c>
      <c r="E2016">
        <f>IFERROR(VLOOKUP(D2016,'Lookup Tables'!$A:$B,2,FALSE),"Unknown")</f>
        <v>0</v>
      </c>
      <c r="F2016">
        <f>'Raw Data'!E2016</f>
        <v>0</v>
      </c>
      <c r="G2016">
        <f>IFERROR(VLOOKUP(D2016,'Lookup Tables'!$A:$C,3,FALSE),IF(ISNUMBER(SEARCH("STEEL",F2016)),"Steel","Others"))</f>
        <v>0</v>
      </c>
      <c r="H2016">
        <f>IF(ISNUMBER(SEARCH("scrubber",F2016)) , "Scrubber", IF(ISNUMBER(SEARCH("container",F2016)),"Container", IF(ISNUMBER(SEARCH("basket",F2016)),"Basket", IF(ISNUMBER(SEARCH("lunch",F2016)),"Lunch Box", IF(ISNUMBER(SEARCH("cutlery",F2016)),"Cutlery","Other")))))</f>
        <v>0</v>
      </c>
      <c r="I2016">
        <f>IF('Raw Data'!G2016&lt;&gt;'','Raw Data'!G2016,IFERROR(MID(F2016,SEARCH("MODEL",F2016)+6,20),""))</f>
        <v>0</v>
      </c>
      <c r="J2016">
        <f>'Raw Data'!H2016</f>
        <v>0</v>
      </c>
      <c r="K2016">
        <f>'Raw Data'!I2016</f>
        <v>0</v>
      </c>
      <c r="L2016">
        <f>IF('Raw Data'!N2016&lt;&gt;0,'Raw Data'!N2016,IFERROR(VALUE(MID(F2016,SEARCH("QTY",F2016)+4,IFERROR(FIND(" ",F2016,SEARCH("QTY",F2016)+4)-(SEARCH("QTY",F2016)+4),3))),""))</f>
        <v>0</v>
      </c>
      <c r="M2016">
        <f>'Raw Data'!O2016</f>
        <v>0</v>
      </c>
      <c r="N2016">
        <f>'Raw Data'!P2016</f>
        <v>0</v>
      </c>
      <c r="O2016">
        <f>'Raw Data'!Q2016</f>
        <v>0</v>
      </c>
      <c r="P2016">
        <f>'Raw Data'!R2016</f>
        <v>0</v>
      </c>
      <c r="Q2016">
        <f>'Raw Data'!S2016</f>
        <v>0</v>
      </c>
      <c r="R2016">
        <f>'Raw Data'!T2016</f>
        <v>0</v>
      </c>
      <c r="S2016">
        <f>IFERROR(O2016,0)+IFERROR(R2016,0)</f>
        <v>0</v>
      </c>
      <c r="T2016">
        <f>IF(A2016="","",YEAR(A2016))</f>
        <v>0</v>
      </c>
    </row>
    <row r="2017" spans="1:20">
      <c r="A2017">
        <f>'Raw Data'!B2017</f>
        <v>0</v>
      </c>
      <c r="B2017">
        <f>'Raw Data'!A2017</f>
        <v>0</v>
      </c>
      <c r="C2017">
        <f>'Raw Data'!C2017</f>
        <v>0</v>
      </c>
      <c r="D2017">
        <f>'Raw Data'!D2017</f>
        <v>0</v>
      </c>
      <c r="E2017">
        <f>IFERROR(VLOOKUP(D2017,'Lookup Tables'!$A:$B,2,FALSE),"Unknown")</f>
        <v>0</v>
      </c>
      <c r="F2017">
        <f>'Raw Data'!E2017</f>
        <v>0</v>
      </c>
      <c r="G2017">
        <f>IFERROR(VLOOKUP(D2017,'Lookup Tables'!$A:$C,3,FALSE),IF(ISNUMBER(SEARCH("STEEL",F2017)),"Steel","Others"))</f>
        <v>0</v>
      </c>
      <c r="H2017">
        <f>IF(ISNUMBER(SEARCH("scrubber",F2017)) , "Scrubber", IF(ISNUMBER(SEARCH("container",F2017)),"Container", IF(ISNUMBER(SEARCH("basket",F2017)),"Basket", IF(ISNUMBER(SEARCH("lunch",F2017)),"Lunch Box", IF(ISNUMBER(SEARCH("cutlery",F2017)),"Cutlery","Other")))))</f>
        <v>0</v>
      </c>
      <c r="I2017">
        <f>IF('Raw Data'!G2017&lt;&gt;'','Raw Data'!G2017,IFERROR(MID(F2017,SEARCH("MODEL",F2017)+6,20),""))</f>
        <v>0</v>
      </c>
      <c r="J2017">
        <f>'Raw Data'!H2017</f>
        <v>0</v>
      </c>
      <c r="K2017">
        <f>'Raw Data'!I2017</f>
        <v>0</v>
      </c>
      <c r="L2017">
        <f>IF('Raw Data'!N2017&lt;&gt;0,'Raw Data'!N2017,IFERROR(VALUE(MID(F2017,SEARCH("QTY",F2017)+4,IFERROR(FIND(" ",F2017,SEARCH("QTY",F2017)+4)-(SEARCH("QTY",F2017)+4),3))),""))</f>
        <v>0</v>
      </c>
      <c r="M2017">
        <f>'Raw Data'!O2017</f>
        <v>0</v>
      </c>
      <c r="N2017">
        <f>'Raw Data'!P2017</f>
        <v>0</v>
      </c>
      <c r="O2017">
        <f>'Raw Data'!Q2017</f>
        <v>0</v>
      </c>
      <c r="P2017">
        <f>'Raw Data'!R2017</f>
        <v>0</v>
      </c>
      <c r="Q2017">
        <f>'Raw Data'!S2017</f>
        <v>0</v>
      </c>
      <c r="R2017">
        <f>'Raw Data'!T2017</f>
        <v>0</v>
      </c>
      <c r="S2017">
        <f>IFERROR(O2017,0)+IFERROR(R2017,0)</f>
        <v>0</v>
      </c>
      <c r="T2017">
        <f>IF(A2017="","",YEAR(A2017))</f>
        <v>0</v>
      </c>
    </row>
    <row r="2018" spans="1:20">
      <c r="A2018">
        <f>'Raw Data'!B2018</f>
        <v>0</v>
      </c>
      <c r="B2018">
        <f>'Raw Data'!A2018</f>
        <v>0</v>
      </c>
      <c r="C2018">
        <f>'Raw Data'!C2018</f>
        <v>0</v>
      </c>
      <c r="D2018">
        <f>'Raw Data'!D2018</f>
        <v>0</v>
      </c>
      <c r="E2018">
        <f>IFERROR(VLOOKUP(D2018,'Lookup Tables'!$A:$B,2,FALSE),"Unknown")</f>
        <v>0</v>
      </c>
      <c r="F2018">
        <f>'Raw Data'!E2018</f>
        <v>0</v>
      </c>
      <c r="G2018">
        <f>IFERROR(VLOOKUP(D2018,'Lookup Tables'!$A:$C,3,FALSE),IF(ISNUMBER(SEARCH("STEEL",F2018)),"Steel","Others"))</f>
        <v>0</v>
      </c>
      <c r="H2018">
        <f>IF(ISNUMBER(SEARCH("scrubber",F2018)) , "Scrubber", IF(ISNUMBER(SEARCH("container",F2018)),"Container", IF(ISNUMBER(SEARCH("basket",F2018)),"Basket", IF(ISNUMBER(SEARCH("lunch",F2018)),"Lunch Box", IF(ISNUMBER(SEARCH("cutlery",F2018)),"Cutlery","Other")))))</f>
        <v>0</v>
      </c>
      <c r="I2018">
        <f>IF('Raw Data'!G2018&lt;&gt;'','Raw Data'!G2018,IFERROR(MID(F2018,SEARCH("MODEL",F2018)+6,20),""))</f>
        <v>0</v>
      </c>
      <c r="J2018">
        <f>'Raw Data'!H2018</f>
        <v>0</v>
      </c>
      <c r="K2018">
        <f>'Raw Data'!I2018</f>
        <v>0</v>
      </c>
      <c r="L2018">
        <f>IF('Raw Data'!N2018&lt;&gt;0,'Raw Data'!N2018,IFERROR(VALUE(MID(F2018,SEARCH("QTY",F2018)+4,IFERROR(FIND(" ",F2018,SEARCH("QTY",F2018)+4)-(SEARCH("QTY",F2018)+4),3))),""))</f>
        <v>0</v>
      </c>
      <c r="M2018">
        <f>'Raw Data'!O2018</f>
        <v>0</v>
      </c>
      <c r="N2018">
        <f>'Raw Data'!P2018</f>
        <v>0</v>
      </c>
      <c r="O2018">
        <f>'Raw Data'!Q2018</f>
        <v>0</v>
      </c>
      <c r="P2018">
        <f>'Raw Data'!R2018</f>
        <v>0</v>
      </c>
      <c r="Q2018">
        <f>'Raw Data'!S2018</f>
        <v>0</v>
      </c>
      <c r="R2018">
        <f>'Raw Data'!T2018</f>
        <v>0</v>
      </c>
      <c r="S2018">
        <f>IFERROR(O2018,0)+IFERROR(R2018,0)</f>
        <v>0</v>
      </c>
      <c r="T2018">
        <f>IF(A2018="","",YEAR(A2018))</f>
        <v>0</v>
      </c>
    </row>
    <row r="2019" spans="1:20">
      <c r="A2019">
        <f>'Raw Data'!B2019</f>
        <v>0</v>
      </c>
      <c r="B2019">
        <f>'Raw Data'!A2019</f>
        <v>0</v>
      </c>
      <c r="C2019">
        <f>'Raw Data'!C2019</f>
        <v>0</v>
      </c>
      <c r="D2019">
        <f>'Raw Data'!D2019</f>
        <v>0</v>
      </c>
      <c r="E2019">
        <f>IFERROR(VLOOKUP(D2019,'Lookup Tables'!$A:$B,2,FALSE),"Unknown")</f>
        <v>0</v>
      </c>
      <c r="F2019">
        <f>'Raw Data'!E2019</f>
        <v>0</v>
      </c>
      <c r="G2019">
        <f>IFERROR(VLOOKUP(D2019,'Lookup Tables'!$A:$C,3,FALSE),IF(ISNUMBER(SEARCH("STEEL",F2019)),"Steel","Others"))</f>
        <v>0</v>
      </c>
      <c r="H2019">
        <f>IF(ISNUMBER(SEARCH("scrubber",F2019)) , "Scrubber", IF(ISNUMBER(SEARCH("container",F2019)),"Container", IF(ISNUMBER(SEARCH("basket",F2019)),"Basket", IF(ISNUMBER(SEARCH("lunch",F2019)),"Lunch Box", IF(ISNUMBER(SEARCH("cutlery",F2019)),"Cutlery","Other")))))</f>
        <v>0</v>
      </c>
      <c r="I2019">
        <f>IF('Raw Data'!G2019&lt;&gt;'','Raw Data'!G2019,IFERROR(MID(F2019,SEARCH("MODEL",F2019)+6,20),""))</f>
        <v>0</v>
      </c>
      <c r="J2019">
        <f>'Raw Data'!H2019</f>
        <v>0</v>
      </c>
      <c r="K2019">
        <f>'Raw Data'!I2019</f>
        <v>0</v>
      </c>
      <c r="L2019">
        <f>IF('Raw Data'!N2019&lt;&gt;0,'Raw Data'!N2019,IFERROR(VALUE(MID(F2019,SEARCH("QTY",F2019)+4,IFERROR(FIND(" ",F2019,SEARCH("QTY",F2019)+4)-(SEARCH("QTY",F2019)+4),3))),""))</f>
        <v>0</v>
      </c>
      <c r="M2019">
        <f>'Raw Data'!O2019</f>
        <v>0</v>
      </c>
      <c r="N2019">
        <f>'Raw Data'!P2019</f>
        <v>0</v>
      </c>
      <c r="O2019">
        <f>'Raw Data'!Q2019</f>
        <v>0</v>
      </c>
      <c r="P2019">
        <f>'Raw Data'!R2019</f>
        <v>0</v>
      </c>
      <c r="Q2019">
        <f>'Raw Data'!S2019</f>
        <v>0</v>
      </c>
      <c r="R2019">
        <f>'Raw Data'!T2019</f>
        <v>0</v>
      </c>
      <c r="S2019">
        <f>IFERROR(O2019,0)+IFERROR(R2019,0)</f>
        <v>0</v>
      </c>
      <c r="T2019">
        <f>IF(A2019="","",YEAR(A2019))</f>
        <v>0</v>
      </c>
    </row>
    <row r="2020" spans="1:20">
      <c r="A2020">
        <f>'Raw Data'!B2020</f>
        <v>0</v>
      </c>
      <c r="B2020">
        <f>'Raw Data'!A2020</f>
        <v>0</v>
      </c>
      <c r="C2020">
        <f>'Raw Data'!C2020</f>
        <v>0</v>
      </c>
      <c r="D2020">
        <f>'Raw Data'!D2020</f>
        <v>0</v>
      </c>
      <c r="E2020">
        <f>IFERROR(VLOOKUP(D2020,'Lookup Tables'!$A:$B,2,FALSE),"Unknown")</f>
        <v>0</v>
      </c>
      <c r="F2020">
        <f>'Raw Data'!E2020</f>
        <v>0</v>
      </c>
      <c r="G2020">
        <f>IFERROR(VLOOKUP(D2020,'Lookup Tables'!$A:$C,3,FALSE),IF(ISNUMBER(SEARCH("STEEL",F2020)),"Steel","Others"))</f>
        <v>0</v>
      </c>
      <c r="H2020">
        <f>IF(ISNUMBER(SEARCH("scrubber",F2020)) , "Scrubber", IF(ISNUMBER(SEARCH("container",F2020)),"Container", IF(ISNUMBER(SEARCH("basket",F2020)),"Basket", IF(ISNUMBER(SEARCH("lunch",F2020)),"Lunch Box", IF(ISNUMBER(SEARCH("cutlery",F2020)),"Cutlery","Other")))))</f>
        <v>0</v>
      </c>
      <c r="I2020">
        <f>IF('Raw Data'!G2020&lt;&gt;'','Raw Data'!G2020,IFERROR(MID(F2020,SEARCH("MODEL",F2020)+6,20),""))</f>
        <v>0</v>
      </c>
      <c r="J2020">
        <f>'Raw Data'!H2020</f>
        <v>0</v>
      </c>
      <c r="K2020">
        <f>'Raw Data'!I2020</f>
        <v>0</v>
      </c>
      <c r="L2020">
        <f>IF('Raw Data'!N2020&lt;&gt;0,'Raw Data'!N2020,IFERROR(VALUE(MID(F2020,SEARCH("QTY",F2020)+4,IFERROR(FIND(" ",F2020,SEARCH("QTY",F2020)+4)-(SEARCH("QTY",F2020)+4),3))),""))</f>
        <v>0</v>
      </c>
      <c r="M2020">
        <f>'Raw Data'!O2020</f>
        <v>0</v>
      </c>
      <c r="N2020">
        <f>'Raw Data'!P2020</f>
        <v>0</v>
      </c>
      <c r="O2020">
        <f>'Raw Data'!Q2020</f>
        <v>0</v>
      </c>
      <c r="P2020">
        <f>'Raw Data'!R2020</f>
        <v>0</v>
      </c>
      <c r="Q2020">
        <f>'Raw Data'!S2020</f>
        <v>0</v>
      </c>
      <c r="R2020">
        <f>'Raw Data'!T2020</f>
        <v>0</v>
      </c>
      <c r="S2020">
        <f>IFERROR(O2020,0)+IFERROR(R2020,0)</f>
        <v>0</v>
      </c>
      <c r="T2020">
        <f>IF(A2020="","",YEAR(A2020))</f>
        <v>0</v>
      </c>
    </row>
    <row r="2021" spans="1:20">
      <c r="A2021">
        <f>'Raw Data'!B2021</f>
        <v>0</v>
      </c>
      <c r="B2021">
        <f>'Raw Data'!A2021</f>
        <v>0</v>
      </c>
      <c r="C2021">
        <f>'Raw Data'!C2021</f>
        <v>0</v>
      </c>
      <c r="D2021">
        <f>'Raw Data'!D2021</f>
        <v>0</v>
      </c>
      <c r="E2021">
        <f>IFERROR(VLOOKUP(D2021,'Lookup Tables'!$A:$B,2,FALSE),"Unknown")</f>
        <v>0</v>
      </c>
      <c r="F2021">
        <f>'Raw Data'!E2021</f>
        <v>0</v>
      </c>
      <c r="G2021">
        <f>IFERROR(VLOOKUP(D2021,'Lookup Tables'!$A:$C,3,FALSE),IF(ISNUMBER(SEARCH("STEEL",F2021)),"Steel","Others"))</f>
        <v>0</v>
      </c>
      <c r="H2021">
        <f>IF(ISNUMBER(SEARCH("scrubber",F2021)) , "Scrubber", IF(ISNUMBER(SEARCH("container",F2021)),"Container", IF(ISNUMBER(SEARCH("basket",F2021)),"Basket", IF(ISNUMBER(SEARCH("lunch",F2021)),"Lunch Box", IF(ISNUMBER(SEARCH("cutlery",F2021)),"Cutlery","Other")))))</f>
        <v>0</v>
      </c>
      <c r="I2021">
        <f>IF('Raw Data'!G2021&lt;&gt;'','Raw Data'!G2021,IFERROR(MID(F2021,SEARCH("MODEL",F2021)+6,20),""))</f>
        <v>0</v>
      </c>
      <c r="J2021">
        <f>'Raw Data'!H2021</f>
        <v>0</v>
      </c>
      <c r="K2021">
        <f>'Raw Data'!I2021</f>
        <v>0</v>
      </c>
      <c r="L2021">
        <f>IF('Raw Data'!N2021&lt;&gt;0,'Raw Data'!N2021,IFERROR(VALUE(MID(F2021,SEARCH("QTY",F2021)+4,IFERROR(FIND(" ",F2021,SEARCH("QTY",F2021)+4)-(SEARCH("QTY",F2021)+4),3))),""))</f>
        <v>0</v>
      </c>
      <c r="M2021">
        <f>'Raw Data'!O2021</f>
        <v>0</v>
      </c>
      <c r="N2021">
        <f>'Raw Data'!P2021</f>
        <v>0</v>
      </c>
      <c r="O2021">
        <f>'Raw Data'!Q2021</f>
        <v>0</v>
      </c>
      <c r="P2021">
        <f>'Raw Data'!R2021</f>
        <v>0</v>
      </c>
      <c r="Q2021">
        <f>'Raw Data'!S2021</f>
        <v>0</v>
      </c>
      <c r="R2021">
        <f>'Raw Data'!T2021</f>
        <v>0</v>
      </c>
      <c r="S2021">
        <f>IFERROR(O2021,0)+IFERROR(R2021,0)</f>
        <v>0</v>
      </c>
      <c r="T2021">
        <f>IF(A2021="","",YEAR(A2021))</f>
        <v>0</v>
      </c>
    </row>
    <row r="2022" spans="1:20">
      <c r="A2022">
        <f>'Raw Data'!B2022</f>
        <v>0</v>
      </c>
      <c r="B2022">
        <f>'Raw Data'!A2022</f>
        <v>0</v>
      </c>
      <c r="C2022">
        <f>'Raw Data'!C2022</f>
        <v>0</v>
      </c>
      <c r="D2022">
        <f>'Raw Data'!D2022</f>
        <v>0</v>
      </c>
      <c r="E2022">
        <f>IFERROR(VLOOKUP(D2022,'Lookup Tables'!$A:$B,2,FALSE),"Unknown")</f>
        <v>0</v>
      </c>
      <c r="F2022">
        <f>'Raw Data'!E2022</f>
        <v>0</v>
      </c>
      <c r="G2022">
        <f>IFERROR(VLOOKUP(D2022,'Lookup Tables'!$A:$C,3,FALSE),IF(ISNUMBER(SEARCH("STEEL",F2022)),"Steel","Others"))</f>
        <v>0</v>
      </c>
      <c r="H2022">
        <f>IF(ISNUMBER(SEARCH("scrubber",F2022)) , "Scrubber", IF(ISNUMBER(SEARCH("container",F2022)),"Container", IF(ISNUMBER(SEARCH("basket",F2022)),"Basket", IF(ISNUMBER(SEARCH("lunch",F2022)),"Lunch Box", IF(ISNUMBER(SEARCH("cutlery",F2022)),"Cutlery","Other")))))</f>
        <v>0</v>
      </c>
      <c r="I2022">
        <f>IF('Raw Data'!G2022&lt;&gt;'','Raw Data'!G2022,IFERROR(MID(F2022,SEARCH("MODEL",F2022)+6,20),""))</f>
        <v>0</v>
      </c>
      <c r="J2022">
        <f>'Raw Data'!H2022</f>
        <v>0</v>
      </c>
      <c r="K2022">
        <f>'Raw Data'!I2022</f>
        <v>0</v>
      </c>
      <c r="L2022">
        <f>IF('Raw Data'!N2022&lt;&gt;0,'Raw Data'!N2022,IFERROR(VALUE(MID(F2022,SEARCH("QTY",F2022)+4,IFERROR(FIND(" ",F2022,SEARCH("QTY",F2022)+4)-(SEARCH("QTY",F2022)+4),3))),""))</f>
        <v>0</v>
      </c>
      <c r="M2022">
        <f>'Raw Data'!O2022</f>
        <v>0</v>
      </c>
      <c r="N2022">
        <f>'Raw Data'!P2022</f>
        <v>0</v>
      </c>
      <c r="O2022">
        <f>'Raw Data'!Q2022</f>
        <v>0</v>
      </c>
      <c r="P2022">
        <f>'Raw Data'!R2022</f>
        <v>0</v>
      </c>
      <c r="Q2022">
        <f>'Raw Data'!S2022</f>
        <v>0</v>
      </c>
      <c r="R2022">
        <f>'Raw Data'!T2022</f>
        <v>0</v>
      </c>
      <c r="S2022">
        <f>IFERROR(O2022,0)+IFERROR(R2022,0)</f>
        <v>0</v>
      </c>
      <c r="T2022">
        <f>IF(A2022="","",YEAR(A2022))</f>
        <v>0</v>
      </c>
    </row>
    <row r="2023" spans="1:20">
      <c r="A2023">
        <f>'Raw Data'!B2023</f>
        <v>0</v>
      </c>
      <c r="B2023">
        <f>'Raw Data'!A2023</f>
        <v>0</v>
      </c>
      <c r="C2023">
        <f>'Raw Data'!C2023</f>
        <v>0</v>
      </c>
      <c r="D2023">
        <f>'Raw Data'!D2023</f>
        <v>0</v>
      </c>
      <c r="E2023">
        <f>IFERROR(VLOOKUP(D2023,'Lookup Tables'!$A:$B,2,FALSE),"Unknown")</f>
        <v>0</v>
      </c>
      <c r="F2023">
        <f>'Raw Data'!E2023</f>
        <v>0</v>
      </c>
      <c r="G2023">
        <f>IFERROR(VLOOKUP(D2023,'Lookup Tables'!$A:$C,3,FALSE),IF(ISNUMBER(SEARCH("STEEL",F2023)),"Steel","Others"))</f>
        <v>0</v>
      </c>
      <c r="H2023">
        <f>IF(ISNUMBER(SEARCH("scrubber",F2023)) , "Scrubber", IF(ISNUMBER(SEARCH("container",F2023)),"Container", IF(ISNUMBER(SEARCH("basket",F2023)),"Basket", IF(ISNUMBER(SEARCH("lunch",F2023)),"Lunch Box", IF(ISNUMBER(SEARCH("cutlery",F2023)),"Cutlery","Other")))))</f>
        <v>0</v>
      </c>
      <c r="I2023">
        <f>IF('Raw Data'!G2023&lt;&gt;'','Raw Data'!G2023,IFERROR(MID(F2023,SEARCH("MODEL",F2023)+6,20),""))</f>
        <v>0</v>
      </c>
      <c r="J2023">
        <f>'Raw Data'!H2023</f>
        <v>0</v>
      </c>
      <c r="K2023">
        <f>'Raw Data'!I2023</f>
        <v>0</v>
      </c>
      <c r="L2023">
        <f>IF('Raw Data'!N2023&lt;&gt;0,'Raw Data'!N2023,IFERROR(VALUE(MID(F2023,SEARCH("QTY",F2023)+4,IFERROR(FIND(" ",F2023,SEARCH("QTY",F2023)+4)-(SEARCH("QTY",F2023)+4),3))),""))</f>
        <v>0</v>
      </c>
      <c r="M2023">
        <f>'Raw Data'!O2023</f>
        <v>0</v>
      </c>
      <c r="N2023">
        <f>'Raw Data'!P2023</f>
        <v>0</v>
      </c>
      <c r="O2023">
        <f>'Raw Data'!Q2023</f>
        <v>0</v>
      </c>
      <c r="P2023">
        <f>'Raw Data'!R2023</f>
        <v>0</v>
      </c>
      <c r="Q2023">
        <f>'Raw Data'!S2023</f>
        <v>0</v>
      </c>
      <c r="R2023">
        <f>'Raw Data'!T2023</f>
        <v>0</v>
      </c>
      <c r="S2023">
        <f>IFERROR(O2023,0)+IFERROR(R2023,0)</f>
        <v>0</v>
      </c>
      <c r="T2023">
        <f>IF(A2023="","",YEAR(A2023))</f>
        <v>0</v>
      </c>
    </row>
    <row r="2024" spans="1:20">
      <c r="A2024">
        <f>'Raw Data'!B2024</f>
        <v>0</v>
      </c>
      <c r="B2024">
        <f>'Raw Data'!A2024</f>
        <v>0</v>
      </c>
      <c r="C2024">
        <f>'Raw Data'!C2024</f>
        <v>0</v>
      </c>
      <c r="D2024">
        <f>'Raw Data'!D2024</f>
        <v>0</v>
      </c>
      <c r="E2024">
        <f>IFERROR(VLOOKUP(D2024,'Lookup Tables'!$A:$B,2,FALSE),"Unknown")</f>
        <v>0</v>
      </c>
      <c r="F2024">
        <f>'Raw Data'!E2024</f>
        <v>0</v>
      </c>
      <c r="G2024">
        <f>IFERROR(VLOOKUP(D2024,'Lookup Tables'!$A:$C,3,FALSE),IF(ISNUMBER(SEARCH("STEEL",F2024)),"Steel","Others"))</f>
        <v>0</v>
      </c>
      <c r="H2024">
        <f>IF(ISNUMBER(SEARCH("scrubber",F2024)) , "Scrubber", IF(ISNUMBER(SEARCH("container",F2024)),"Container", IF(ISNUMBER(SEARCH("basket",F2024)),"Basket", IF(ISNUMBER(SEARCH("lunch",F2024)),"Lunch Box", IF(ISNUMBER(SEARCH("cutlery",F2024)),"Cutlery","Other")))))</f>
        <v>0</v>
      </c>
      <c r="I2024">
        <f>IF('Raw Data'!G2024&lt;&gt;'','Raw Data'!G2024,IFERROR(MID(F2024,SEARCH("MODEL",F2024)+6,20),""))</f>
        <v>0</v>
      </c>
      <c r="J2024">
        <f>'Raw Data'!H2024</f>
        <v>0</v>
      </c>
      <c r="K2024">
        <f>'Raw Data'!I2024</f>
        <v>0</v>
      </c>
      <c r="L2024">
        <f>IF('Raw Data'!N2024&lt;&gt;0,'Raw Data'!N2024,IFERROR(VALUE(MID(F2024,SEARCH("QTY",F2024)+4,IFERROR(FIND(" ",F2024,SEARCH("QTY",F2024)+4)-(SEARCH("QTY",F2024)+4),3))),""))</f>
        <v>0</v>
      </c>
      <c r="M2024">
        <f>'Raw Data'!O2024</f>
        <v>0</v>
      </c>
      <c r="N2024">
        <f>'Raw Data'!P2024</f>
        <v>0</v>
      </c>
      <c r="O2024">
        <f>'Raw Data'!Q2024</f>
        <v>0</v>
      </c>
      <c r="P2024">
        <f>'Raw Data'!R2024</f>
        <v>0</v>
      </c>
      <c r="Q2024">
        <f>'Raw Data'!S2024</f>
        <v>0</v>
      </c>
      <c r="R2024">
        <f>'Raw Data'!T2024</f>
        <v>0</v>
      </c>
      <c r="S2024">
        <f>IFERROR(O2024,0)+IFERROR(R2024,0)</f>
        <v>0</v>
      </c>
      <c r="T2024">
        <f>IF(A2024="","",YEAR(A2024))</f>
        <v>0</v>
      </c>
    </row>
    <row r="2025" spans="1:20">
      <c r="A2025">
        <f>'Raw Data'!B2025</f>
        <v>0</v>
      </c>
      <c r="B2025">
        <f>'Raw Data'!A2025</f>
        <v>0</v>
      </c>
      <c r="C2025">
        <f>'Raw Data'!C2025</f>
        <v>0</v>
      </c>
      <c r="D2025">
        <f>'Raw Data'!D2025</f>
        <v>0</v>
      </c>
      <c r="E2025">
        <f>IFERROR(VLOOKUP(D2025,'Lookup Tables'!$A:$B,2,FALSE),"Unknown")</f>
        <v>0</v>
      </c>
      <c r="F2025">
        <f>'Raw Data'!E2025</f>
        <v>0</v>
      </c>
      <c r="G2025">
        <f>IFERROR(VLOOKUP(D2025,'Lookup Tables'!$A:$C,3,FALSE),IF(ISNUMBER(SEARCH("STEEL",F2025)),"Steel","Others"))</f>
        <v>0</v>
      </c>
      <c r="H2025">
        <f>IF(ISNUMBER(SEARCH("scrubber",F2025)) , "Scrubber", IF(ISNUMBER(SEARCH("container",F2025)),"Container", IF(ISNUMBER(SEARCH("basket",F2025)),"Basket", IF(ISNUMBER(SEARCH("lunch",F2025)),"Lunch Box", IF(ISNUMBER(SEARCH("cutlery",F2025)),"Cutlery","Other")))))</f>
        <v>0</v>
      </c>
      <c r="I2025">
        <f>IF('Raw Data'!G2025&lt;&gt;'','Raw Data'!G2025,IFERROR(MID(F2025,SEARCH("MODEL",F2025)+6,20),""))</f>
        <v>0</v>
      </c>
      <c r="J2025">
        <f>'Raw Data'!H2025</f>
        <v>0</v>
      </c>
      <c r="K2025">
        <f>'Raw Data'!I2025</f>
        <v>0</v>
      </c>
      <c r="L2025">
        <f>IF('Raw Data'!N2025&lt;&gt;0,'Raw Data'!N2025,IFERROR(VALUE(MID(F2025,SEARCH("QTY",F2025)+4,IFERROR(FIND(" ",F2025,SEARCH("QTY",F2025)+4)-(SEARCH("QTY",F2025)+4),3))),""))</f>
        <v>0</v>
      </c>
      <c r="M2025">
        <f>'Raw Data'!O2025</f>
        <v>0</v>
      </c>
      <c r="N2025">
        <f>'Raw Data'!P2025</f>
        <v>0</v>
      </c>
      <c r="O2025">
        <f>'Raw Data'!Q2025</f>
        <v>0</v>
      </c>
      <c r="P2025">
        <f>'Raw Data'!R2025</f>
        <v>0</v>
      </c>
      <c r="Q2025">
        <f>'Raw Data'!S2025</f>
        <v>0</v>
      </c>
      <c r="R2025">
        <f>'Raw Data'!T2025</f>
        <v>0</v>
      </c>
      <c r="S2025">
        <f>IFERROR(O2025,0)+IFERROR(R2025,0)</f>
        <v>0</v>
      </c>
      <c r="T2025">
        <f>IF(A2025="","",YEAR(A2025))</f>
        <v>0</v>
      </c>
    </row>
    <row r="2026" spans="1:20">
      <c r="A2026">
        <f>'Raw Data'!B2026</f>
        <v>0</v>
      </c>
      <c r="B2026">
        <f>'Raw Data'!A2026</f>
        <v>0</v>
      </c>
      <c r="C2026">
        <f>'Raw Data'!C2026</f>
        <v>0</v>
      </c>
      <c r="D2026">
        <f>'Raw Data'!D2026</f>
        <v>0</v>
      </c>
      <c r="E2026">
        <f>IFERROR(VLOOKUP(D2026,'Lookup Tables'!$A:$B,2,FALSE),"Unknown")</f>
        <v>0</v>
      </c>
      <c r="F2026">
        <f>'Raw Data'!E2026</f>
        <v>0</v>
      </c>
      <c r="G2026">
        <f>IFERROR(VLOOKUP(D2026,'Lookup Tables'!$A:$C,3,FALSE),IF(ISNUMBER(SEARCH("STEEL",F2026)),"Steel","Others"))</f>
        <v>0</v>
      </c>
      <c r="H2026">
        <f>IF(ISNUMBER(SEARCH("scrubber",F2026)) , "Scrubber", IF(ISNUMBER(SEARCH("container",F2026)),"Container", IF(ISNUMBER(SEARCH("basket",F2026)),"Basket", IF(ISNUMBER(SEARCH("lunch",F2026)),"Lunch Box", IF(ISNUMBER(SEARCH("cutlery",F2026)),"Cutlery","Other")))))</f>
        <v>0</v>
      </c>
      <c r="I2026">
        <f>IF('Raw Data'!G2026&lt;&gt;'','Raw Data'!G2026,IFERROR(MID(F2026,SEARCH("MODEL",F2026)+6,20),""))</f>
        <v>0</v>
      </c>
      <c r="J2026">
        <f>'Raw Data'!H2026</f>
        <v>0</v>
      </c>
      <c r="K2026">
        <f>'Raw Data'!I2026</f>
        <v>0</v>
      </c>
      <c r="L2026">
        <f>IF('Raw Data'!N2026&lt;&gt;0,'Raw Data'!N2026,IFERROR(VALUE(MID(F2026,SEARCH("QTY",F2026)+4,IFERROR(FIND(" ",F2026,SEARCH("QTY",F2026)+4)-(SEARCH("QTY",F2026)+4),3))),""))</f>
        <v>0</v>
      </c>
      <c r="M2026">
        <f>'Raw Data'!O2026</f>
        <v>0</v>
      </c>
      <c r="N2026">
        <f>'Raw Data'!P2026</f>
        <v>0</v>
      </c>
      <c r="O2026">
        <f>'Raw Data'!Q2026</f>
        <v>0</v>
      </c>
      <c r="P2026">
        <f>'Raw Data'!R2026</f>
        <v>0</v>
      </c>
      <c r="Q2026">
        <f>'Raw Data'!S2026</f>
        <v>0</v>
      </c>
      <c r="R2026">
        <f>'Raw Data'!T2026</f>
        <v>0</v>
      </c>
      <c r="S2026">
        <f>IFERROR(O2026,0)+IFERROR(R2026,0)</f>
        <v>0</v>
      </c>
      <c r="T2026">
        <f>IF(A2026="","",YEAR(A2026))</f>
        <v>0</v>
      </c>
    </row>
    <row r="2027" spans="1:20">
      <c r="A2027">
        <f>'Raw Data'!B2027</f>
        <v>0</v>
      </c>
      <c r="B2027">
        <f>'Raw Data'!A2027</f>
        <v>0</v>
      </c>
      <c r="C2027">
        <f>'Raw Data'!C2027</f>
        <v>0</v>
      </c>
      <c r="D2027">
        <f>'Raw Data'!D2027</f>
        <v>0</v>
      </c>
      <c r="E2027">
        <f>IFERROR(VLOOKUP(D2027,'Lookup Tables'!$A:$B,2,FALSE),"Unknown")</f>
        <v>0</v>
      </c>
      <c r="F2027">
        <f>'Raw Data'!E2027</f>
        <v>0</v>
      </c>
      <c r="G2027">
        <f>IFERROR(VLOOKUP(D2027,'Lookup Tables'!$A:$C,3,FALSE),IF(ISNUMBER(SEARCH("STEEL",F2027)),"Steel","Others"))</f>
        <v>0</v>
      </c>
      <c r="H2027">
        <f>IF(ISNUMBER(SEARCH("scrubber",F2027)) , "Scrubber", IF(ISNUMBER(SEARCH("container",F2027)),"Container", IF(ISNUMBER(SEARCH("basket",F2027)),"Basket", IF(ISNUMBER(SEARCH("lunch",F2027)),"Lunch Box", IF(ISNUMBER(SEARCH("cutlery",F2027)),"Cutlery","Other")))))</f>
        <v>0</v>
      </c>
      <c r="I2027">
        <f>IF('Raw Data'!G2027&lt;&gt;'','Raw Data'!G2027,IFERROR(MID(F2027,SEARCH("MODEL",F2027)+6,20),""))</f>
        <v>0</v>
      </c>
      <c r="J2027">
        <f>'Raw Data'!H2027</f>
        <v>0</v>
      </c>
      <c r="K2027">
        <f>'Raw Data'!I2027</f>
        <v>0</v>
      </c>
      <c r="L2027">
        <f>IF('Raw Data'!N2027&lt;&gt;0,'Raw Data'!N2027,IFERROR(VALUE(MID(F2027,SEARCH("QTY",F2027)+4,IFERROR(FIND(" ",F2027,SEARCH("QTY",F2027)+4)-(SEARCH("QTY",F2027)+4),3))),""))</f>
        <v>0</v>
      </c>
      <c r="M2027">
        <f>'Raw Data'!O2027</f>
        <v>0</v>
      </c>
      <c r="N2027">
        <f>'Raw Data'!P2027</f>
        <v>0</v>
      </c>
      <c r="O2027">
        <f>'Raw Data'!Q2027</f>
        <v>0</v>
      </c>
      <c r="P2027">
        <f>'Raw Data'!R2027</f>
        <v>0</v>
      </c>
      <c r="Q2027">
        <f>'Raw Data'!S2027</f>
        <v>0</v>
      </c>
      <c r="R2027">
        <f>'Raw Data'!T2027</f>
        <v>0</v>
      </c>
      <c r="S2027">
        <f>IFERROR(O2027,0)+IFERROR(R2027,0)</f>
        <v>0</v>
      </c>
      <c r="T2027">
        <f>IF(A2027="","",YEAR(A2027))</f>
        <v>0</v>
      </c>
    </row>
    <row r="2028" spans="1:20">
      <c r="A2028">
        <f>'Raw Data'!B2028</f>
        <v>0</v>
      </c>
      <c r="B2028">
        <f>'Raw Data'!A2028</f>
        <v>0</v>
      </c>
      <c r="C2028">
        <f>'Raw Data'!C2028</f>
        <v>0</v>
      </c>
      <c r="D2028">
        <f>'Raw Data'!D2028</f>
        <v>0</v>
      </c>
      <c r="E2028">
        <f>IFERROR(VLOOKUP(D2028,'Lookup Tables'!$A:$B,2,FALSE),"Unknown")</f>
        <v>0</v>
      </c>
      <c r="F2028">
        <f>'Raw Data'!E2028</f>
        <v>0</v>
      </c>
      <c r="G2028">
        <f>IFERROR(VLOOKUP(D2028,'Lookup Tables'!$A:$C,3,FALSE),IF(ISNUMBER(SEARCH("STEEL",F2028)),"Steel","Others"))</f>
        <v>0</v>
      </c>
      <c r="H2028">
        <f>IF(ISNUMBER(SEARCH("scrubber",F2028)) , "Scrubber", IF(ISNUMBER(SEARCH("container",F2028)),"Container", IF(ISNUMBER(SEARCH("basket",F2028)),"Basket", IF(ISNUMBER(SEARCH("lunch",F2028)),"Lunch Box", IF(ISNUMBER(SEARCH("cutlery",F2028)),"Cutlery","Other")))))</f>
        <v>0</v>
      </c>
      <c r="I2028">
        <f>IF('Raw Data'!G2028&lt;&gt;'','Raw Data'!G2028,IFERROR(MID(F2028,SEARCH("MODEL",F2028)+6,20),""))</f>
        <v>0</v>
      </c>
      <c r="J2028">
        <f>'Raw Data'!H2028</f>
        <v>0</v>
      </c>
      <c r="K2028">
        <f>'Raw Data'!I2028</f>
        <v>0</v>
      </c>
      <c r="L2028">
        <f>IF('Raw Data'!N2028&lt;&gt;0,'Raw Data'!N2028,IFERROR(VALUE(MID(F2028,SEARCH("QTY",F2028)+4,IFERROR(FIND(" ",F2028,SEARCH("QTY",F2028)+4)-(SEARCH("QTY",F2028)+4),3))),""))</f>
        <v>0</v>
      </c>
      <c r="M2028">
        <f>'Raw Data'!O2028</f>
        <v>0</v>
      </c>
      <c r="N2028">
        <f>'Raw Data'!P2028</f>
        <v>0</v>
      </c>
      <c r="O2028">
        <f>'Raw Data'!Q2028</f>
        <v>0</v>
      </c>
      <c r="P2028">
        <f>'Raw Data'!R2028</f>
        <v>0</v>
      </c>
      <c r="Q2028">
        <f>'Raw Data'!S2028</f>
        <v>0</v>
      </c>
      <c r="R2028">
        <f>'Raw Data'!T2028</f>
        <v>0</v>
      </c>
      <c r="S2028">
        <f>IFERROR(O2028,0)+IFERROR(R2028,0)</f>
        <v>0</v>
      </c>
      <c r="T2028">
        <f>IF(A2028="","",YEAR(A2028))</f>
        <v>0</v>
      </c>
    </row>
    <row r="2029" spans="1:20">
      <c r="A2029">
        <f>'Raw Data'!B2029</f>
        <v>0</v>
      </c>
      <c r="B2029">
        <f>'Raw Data'!A2029</f>
        <v>0</v>
      </c>
      <c r="C2029">
        <f>'Raw Data'!C2029</f>
        <v>0</v>
      </c>
      <c r="D2029">
        <f>'Raw Data'!D2029</f>
        <v>0</v>
      </c>
      <c r="E2029">
        <f>IFERROR(VLOOKUP(D2029,'Lookup Tables'!$A:$B,2,FALSE),"Unknown")</f>
        <v>0</v>
      </c>
      <c r="F2029">
        <f>'Raw Data'!E2029</f>
        <v>0</v>
      </c>
      <c r="G2029">
        <f>IFERROR(VLOOKUP(D2029,'Lookup Tables'!$A:$C,3,FALSE),IF(ISNUMBER(SEARCH("STEEL",F2029)),"Steel","Others"))</f>
        <v>0</v>
      </c>
      <c r="H2029">
        <f>IF(ISNUMBER(SEARCH("scrubber",F2029)) , "Scrubber", IF(ISNUMBER(SEARCH("container",F2029)),"Container", IF(ISNUMBER(SEARCH("basket",F2029)),"Basket", IF(ISNUMBER(SEARCH("lunch",F2029)),"Lunch Box", IF(ISNUMBER(SEARCH("cutlery",F2029)),"Cutlery","Other")))))</f>
        <v>0</v>
      </c>
      <c r="I2029">
        <f>IF('Raw Data'!G2029&lt;&gt;'','Raw Data'!G2029,IFERROR(MID(F2029,SEARCH("MODEL",F2029)+6,20),""))</f>
        <v>0</v>
      </c>
      <c r="J2029">
        <f>'Raw Data'!H2029</f>
        <v>0</v>
      </c>
      <c r="K2029">
        <f>'Raw Data'!I2029</f>
        <v>0</v>
      </c>
      <c r="L2029">
        <f>IF('Raw Data'!N2029&lt;&gt;0,'Raw Data'!N2029,IFERROR(VALUE(MID(F2029,SEARCH("QTY",F2029)+4,IFERROR(FIND(" ",F2029,SEARCH("QTY",F2029)+4)-(SEARCH("QTY",F2029)+4),3))),""))</f>
        <v>0</v>
      </c>
      <c r="M2029">
        <f>'Raw Data'!O2029</f>
        <v>0</v>
      </c>
      <c r="N2029">
        <f>'Raw Data'!P2029</f>
        <v>0</v>
      </c>
      <c r="O2029">
        <f>'Raw Data'!Q2029</f>
        <v>0</v>
      </c>
      <c r="P2029">
        <f>'Raw Data'!R2029</f>
        <v>0</v>
      </c>
      <c r="Q2029">
        <f>'Raw Data'!S2029</f>
        <v>0</v>
      </c>
      <c r="R2029">
        <f>'Raw Data'!T2029</f>
        <v>0</v>
      </c>
      <c r="S2029">
        <f>IFERROR(O2029,0)+IFERROR(R2029,0)</f>
        <v>0</v>
      </c>
      <c r="T2029">
        <f>IF(A2029="","",YEAR(A2029))</f>
        <v>0</v>
      </c>
    </row>
    <row r="2030" spans="1:20">
      <c r="A2030">
        <f>'Raw Data'!B2030</f>
        <v>0</v>
      </c>
      <c r="B2030">
        <f>'Raw Data'!A2030</f>
        <v>0</v>
      </c>
      <c r="C2030">
        <f>'Raw Data'!C2030</f>
        <v>0</v>
      </c>
      <c r="D2030">
        <f>'Raw Data'!D2030</f>
        <v>0</v>
      </c>
      <c r="E2030">
        <f>IFERROR(VLOOKUP(D2030,'Lookup Tables'!$A:$B,2,FALSE),"Unknown")</f>
        <v>0</v>
      </c>
      <c r="F2030">
        <f>'Raw Data'!E2030</f>
        <v>0</v>
      </c>
      <c r="G2030">
        <f>IFERROR(VLOOKUP(D2030,'Lookup Tables'!$A:$C,3,FALSE),IF(ISNUMBER(SEARCH("STEEL",F2030)),"Steel","Others"))</f>
        <v>0</v>
      </c>
      <c r="H2030">
        <f>IF(ISNUMBER(SEARCH("scrubber",F2030)) , "Scrubber", IF(ISNUMBER(SEARCH("container",F2030)),"Container", IF(ISNUMBER(SEARCH("basket",F2030)),"Basket", IF(ISNUMBER(SEARCH("lunch",F2030)),"Lunch Box", IF(ISNUMBER(SEARCH("cutlery",F2030)),"Cutlery","Other")))))</f>
        <v>0</v>
      </c>
      <c r="I2030">
        <f>IF('Raw Data'!G2030&lt;&gt;'','Raw Data'!G2030,IFERROR(MID(F2030,SEARCH("MODEL",F2030)+6,20),""))</f>
        <v>0</v>
      </c>
      <c r="J2030">
        <f>'Raw Data'!H2030</f>
        <v>0</v>
      </c>
      <c r="K2030">
        <f>'Raw Data'!I2030</f>
        <v>0</v>
      </c>
      <c r="L2030">
        <f>IF('Raw Data'!N2030&lt;&gt;0,'Raw Data'!N2030,IFERROR(VALUE(MID(F2030,SEARCH("QTY",F2030)+4,IFERROR(FIND(" ",F2030,SEARCH("QTY",F2030)+4)-(SEARCH("QTY",F2030)+4),3))),""))</f>
        <v>0</v>
      </c>
      <c r="M2030">
        <f>'Raw Data'!O2030</f>
        <v>0</v>
      </c>
      <c r="N2030">
        <f>'Raw Data'!P2030</f>
        <v>0</v>
      </c>
      <c r="O2030">
        <f>'Raw Data'!Q2030</f>
        <v>0</v>
      </c>
      <c r="P2030">
        <f>'Raw Data'!R2030</f>
        <v>0</v>
      </c>
      <c r="Q2030">
        <f>'Raw Data'!S2030</f>
        <v>0</v>
      </c>
      <c r="R2030">
        <f>'Raw Data'!T2030</f>
        <v>0</v>
      </c>
      <c r="S2030">
        <f>IFERROR(O2030,0)+IFERROR(R2030,0)</f>
        <v>0</v>
      </c>
      <c r="T2030">
        <f>IF(A2030="","",YEAR(A2030))</f>
        <v>0</v>
      </c>
    </row>
    <row r="2031" spans="1:20">
      <c r="A2031">
        <f>'Raw Data'!B2031</f>
        <v>0</v>
      </c>
      <c r="B2031">
        <f>'Raw Data'!A2031</f>
        <v>0</v>
      </c>
      <c r="C2031">
        <f>'Raw Data'!C2031</f>
        <v>0</v>
      </c>
      <c r="D2031">
        <f>'Raw Data'!D2031</f>
        <v>0</v>
      </c>
      <c r="E2031">
        <f>IFERROR(VLOOKUP(D2031,'Lookup Tables'!$A:$B,2,FALSE),"Unknown")</f>
        <v>0</v>
      </c>
      <c r="F2031">
        <f>'Raw Data'!E2031</f>
        <v>0</v>
      </c>
      <c r="G2031">
        <f>IFERROR(VLOOKUP(D2031,'Lookup Tables'!$A:$C,3,FALSE),IF(ISNUMBER(SEARCH("STEEL",F2031)),"Steel","Others"))</f>
        <v>0</v>
      </c>
      <c r="H2031">
        <f>IF(ISNUMBER(SEARCH("scrubber",F2031)) , "Scrubber", IF(ISNUMBER(SEARCH("container",F2031)),"Container", IF(ISNUMBER(SEARCH("basket",F2031)),"Basket", IF(ISNUMBER(SEARCH("lunch",F2031)),"Lunch Box", IF(ISNUMBER(SEARCH("cutlery",F2031)),"Cutlery","Other")))))</f>
        <v>0</v>
      </c>
      <c r="I2031">
        <f>IF('Raw Data'!G2031&lt;&gt;'','Raw Data'!G2031,IFERROR(MID(F2031,SEARCH("MODEL",F2031)+6,20),""))</f>
        <v>0</v>
      </c>
      <c r="J2031">
        <f>'Raw Data'!H2031</f>
        <v>0</v>
      </c>
      <c r="K2031">
        <f>'Raw Data'!I2031</f>
        <v>0</v>
      </c>
      <c r="L2031">
        <f>IF('Raw Data'!N2031&lt;&gt;0,'Raw Data'!N2031,IFERROR(VALUE(MID(F2031,SEARCH("QTY",F2031)+4,IFERROR(FIND(" ",F2031,SEARCH("QTY",F2031)+4)-(SEARCH("QTY",F2031)+4),3))),""))</f>
        <v>0</v>
      </c>
      <c r="M2031">
        <f>'Raw Data'!O2031</f>
        <v>0</v>
      </c>
      <c r="N2031">
        <f>'Raw Data'!P2031</f>
        <v>0</v>
      </c>
      <c r="O2031">
        <f>'Raw Data'!Q2031</f>
        <v>0</v>
      </c>
      <c r="P2031">
        <f>'Raw Data'!R2031</f>
        <v>0</v>
      </c>
      <c r="Q2031">
        <f>'Raw Data'!S2031</f>
        <v>0</v>
      </c>
      <c r="R2031">
        <f>'Raw Data'!T2031</f>
        <v>0</v>
      </c>
      <c r="S2031">
        <f>IFERROR(O2031,0)+IFERROR(R2031,0)</f>
        <v>0</v>
      </c>
      <c r="T2031">
        <f>IF(A2031="","",YEAR(A2031))</f>
        <v>0</v>
      </c>
    </row>
    <row r="2032" spans="1:20">
      <c r="A2032">
        <f>'Raw Data'!B2032</f>
        <v>0</v>
      </c>
      <c r="B2032">
        <f>'Raw Data'!A2032</f>
        <v>0</v>
      </c>
      <c r="C2032">
        <f>'Raw Data'!C2032</f>
        <v>0</v>
      </c>
      <c r="D2032">
        <f>'Raw Data'!D2032</f>
        <v>0</v>
      </c>
      <c r="E2032">
        <f>IFERROR(VLOOKUP(D2032,'Lookup Tables'!$A:$B,2,FALSE),"Unknown")</f>
        <v>0</v>
      </c>
      <c r="F2032">
        <f>'Raw Data'!E2032</f>
        <v>0</v>
      </c>
      <c r="G2032">
        <f>IFERROR(VLOOKUP(D2032,'Lookup Tables'!$A:$C,3,FALSE),IF(ISNUMBER(SEARCH("STEEL",F2032)),"Steel","Others"))</f>
        <v>0</v>
      </c>
      <c r="H2032">
        <f>IF(ISNUMBER(SEARCH("scrubber",F2032)) , "Scrubber", IF(ISNUMBER(SEARCH("container",F2032)),"Container", IF(ISNUMBER(SEARCH("basket",F2032)),"Basket", IF(ISNUMBER(SEARCH("lunch",F2032)),"Lunch Box", IF(ISNUMBER(SEARCH("cutlery",F2032)),"Cutlery","Other")))))</f>
        <v>0</v>
      </c>
      <c r="I2032">
        <f>IF('Raw Data'!G2032&lt;&gt;'','Raw Data'!G2032,IFERROR(MID(F2032,SEARCH("MODEL",F2032)+6,20),""))</f>
        <v>0</v>
      </c>
      <c r="J2032">
        <f>'Raw Data'!H2032</f>
        <v>0</v>
      </c>
      <c r="K2032">
        <f>'Raw Data'!I2032</f>
        <v>0</v>
      </c>
      <c r="L2032">
        <f>IF('Raw Data'!N2032&lt;&gt;0,'Raw Data'!N2032,IFERROR(VALUE(MID(F2032,SEARCH("QTY",F2032)+4,IFERROR(FIND(" ",F2032,SEARCH("QTY",F2032)+4)-(SEARCH("QTY",F2032)+4),3))),""))</f>
        <v>0</v>
      </c>
      <c r="M2032">
        <f>'Raw Data'!O2032</f>
        <v>0</v>
      </c>
      <c r="N2032">
        <f>'Raw Data'!P2032</f>
        <v>0</v>
      </c>
      <c r="O2032">
        <f>'Raw Data'!Q2032</f>
        <v>0</v>
      </c>
      <c r="P2032">
        <f>'Raw Data'!R2032</f>
        <v>0</v>
      </c>
      <c r="Q2032">
        <f>'Raw Data'!S2032</f>
        <v>0</v>
      </c>
      <c r="R2032">
        <f>'Raw Data'!T2032</f>
        <v>0</v>
      </c>
      <c r="S2032">
        <f>IFERROR(O2032,0)+IFERROR(R2032,0)</f>
        <v>0</v>
      </c>
      <c r="T2032">
        <f>IF(A2032="","",YEAR(A2032))</f>
        <v>0</v>
      </c>
    </row>
    <row r="2033" spans="1:20">
      <c r="A2033">
        <f>'Raw Data'!B2033</f>
        <v>0</v>
      </c>
      <c r="B2033">
        <f>'Raw Data'!A2033</f>
        <v>0</v>
      </c>
      <c r="C2033">
        <f>'Raw Data'!C2033</f>
        <v>0</v>
      </c>
      <c r="D2033">
        <f>'Raw Data'!D2033</f>
        <v>0</v>
      </c>
      <c r="E2033">
        <f>IFERROR(VLOOKUP(D2033,'Lookup Tables'!$A:$B,2,FALSE),"Unknown")</f>
        <v>0</v>
      </c>
      <c r="F2033">
        <f>'Raw Data'!E2033</f>
        <v>0</v>
      </c>
      <c r="G2033">
        <f>IFERROR(VLOOKUP(D2033,'Lookup Tables'!$A:$C,3,FALSE),IF(ISNUMBER(SEARCH("STEEL",F2033)),"Steel","Others"))</f>
        <v>0</v>
      </c>
      <c r="H2033">
        <f>IF(ISNUMBER(SEARCH("scrubber",F2033)) , "Scrubber", IF(ISNUMBER(SEARCH("container",F2033)),"Container", IF(ISNUMBER(SEARCH("basket",F2033)),"Basket", IF(ISNUMBER(SEARCH("lunch",F2033)),"Lunch Box", IF(ISNUMBER(SEARCH("cutlery",F2033)),"Cutlery","Other")))))</f>
        <v>0</v>
      </c>
      <c r="I2033">
        <f>IF('Raw Data'!G2033&lt;&gt;'','Raw Data'!G2033,IFERROR(MID(F2033,SEARCH("MODEL",F2033)+6,20),""))</f>
        <v>0</v>
      </c>
      <c r="J2033">
        <f>'Raw Data'!H2033</f>
        <v>0</v>
      </c>
      <c r="K2033">
        <f>'Raw Data'!I2033</f>
        <v>0</v>
      </c>
      <c r="L2033">
        <f>IF('Raw Data'!N2033&lt;&gt;0,'Raw Data'!N2033,IFERROR(VALUE(MID(F2033,SEARCH("QTY",F2033)+4,IFERROR(FIND(" ",F2033,SEARCH("QTY",F2033)+4)-(SEARCH("QTY",F2033)+4),3))),""))</f>
        <v>0</v>
      </c>
      <c r="M2033">
        <f>'Raw Data'!O2033</f>
        <v>0</v>
      </c>
      <c r="N2033">
        <f>'Raw Data'!P2033</f>
        <v>0</v>
      </c>
      <c r="O2033">
        <f>'Raw Data'!Q2033</f>
        <v>0</v>
      </c>
      <c r="P2033">
        <f>'Raw Data'!R2033</f>
        <v>0</v>
      </c>
      <c r="Q2033">
        <f>'Raw Data'!S2033</f>
        <v>0</v>
      </c>
      <c r="R2033">
        <f>'Raw Data'!T2033</f>
        <v>0</v>
      </c>
      <c r="S2033">
        <f>IFERROR(O2033,0)+IFERROR(R2033,0)</f>
        <v>0</v>
      </c>
      <c r="T2033">
        <f>IF(A2033="","",YEAR(A2033))</f>
        <v>0</v>
      </c>
    </row>
    <row r="2034" spans="1:20">
      <c r="A2034">
        <f>'Raw Data'!B2034</f>
        <v>0</v>
      </c>
      <c r="B2034">
        <f>'Raw Data'!A2034</f>
        <v>0</v>
      </c>
      <c r="C2034">
        <f>'Raw Data'!C2034</f>
        <v>0</v>
      </c>
      <c r="D2034">
        <f>'Raw Data'!D2034</f>
        <v>0</v>
      </c>
      <c r="E2034">
        <f>IFERROR(VLOOKUP(D2034,'Lookup Tables'!$A:$B,2,FALSE),"Unknown")</f>
        <v>0</v>
      </c>
      <c r="F2034">
        <f>'Raw Data'!E2034</f>
        <v>0</v>
      </c>
      <c r="G2034">
        <f>IFERROR(VLOOKUP(D2034,'Lookup Tables'!$A:$C,3,FALSE),IF(ISNUMBER(SEARCH("STEEL",F2034)),"Steel","Others"))</f>
        <v>0</v>
      </c>
      <c r="H2034">
        <f>IF(ISNUMBER(SEARCH("scrubber",F2034)) , "Scrubber", IF(ISNUMBER(SEARCH("container",F2034)),"Container", IF(ISNUMBER(SEARCH("basket",F2034)),"Basket", IF(ISNUMBER(SEARCH("lunch",F2034)),"Lunch Box", IF(ISNUMBER(SEARCH("cutlery",F2034)),"Cutlery","Other")))))</f>
        <v>0</v>
      </c>
      <c r="I2034">
        <f>IF('Raw Data'!G2034&lt;&gt;'','Raw Data'!G2034,IFERROR(MID(F2034,SEARCH("MODEL",F2034)+6,20),""))</f>
        <v>0</v>
      </c>
      <c r="J2034">
        <f>'Raw Data'!H2034</f>
        <v>0</v>
      </c>
      <c r="K2034">
        <f>'Raw Data'!I2034</f>
        <v>0</v>
      </c>
      <c r="L2034">
        <f>IF('Raw Data'!N2034&lt;&gt;0,'Raw Data'!N2034,IFERROR(VALUE(MID(F2034,SEARCH("QTY",F2034)+4,IFERROR(FIND(" ",F2034,SEARCH("QTY",F2034)+4)-(SEARCH("QTY",F2034)+4),3))),""))</f>
        <v>0</v>
      </c>
      <c r="M2034">
        <f>'Raw Data'!O2034</f>
        <v>0</v>
      </c>
      <c r="N2034">
        <f>'Raw Data'!P2034</f>
        <v>0</v>
      </c>
      <c r="O2034">
        <f>'Raw Data'!Q2034</f>
        <v>0</v>
      </c>
      <c r="P2034">
        <f>'Raw Data'!R2034</f>
        <v>0</v>
      </c>
      <c r="Q2034">
        <f>'Raw Data'!S2034</f>
        <v>0</v>
      </c>
      <c r="R2034">
        <f>'Raw Data'!T2034</f>
        <v>0</v>
      </c>
      <c r="S2034">
        <f>IFERROR(O2034,0)+IFERROR(R2034,0)</f>
        <v>0</v>
      </c>
      <c r="T2034">
        <f>IF(A2034="","",YEAR(A2034))</f>
        <v>0</v>
      </c>
    </row>
    <row r="2035" spans="1:20">
      <c r="A2035">
        <f>'Raw Data'!B2035</f>
        <v>0</v>
      </c>
      <c r="B2035">
        <f>'Raw Data'!A2035</f>
        <v>0</v>
      </c>
      <c r="C2035">
        <f>'Raw Data'!C2035</f>
        <v>0</v>
      </c>
      <c r="D2035">
        <f>'Raw Data'!D2035</f>
        <v>0</v>
      </c>
      <c r="E2035">
        <f>IFERROR(VLOOKUP(D2035,'Lookup Tables'!$A:$B,2,FALSE),"Unknown")</f>
        <v>0</v>
      </c>
      <c r="F2035">
        <f>'Raw Data'!E2035</f>
        <v>0</v>
      </c>
      <c r="G2035">
        <f>IFERROR(VLOOKUP(D2035,'Lookup Tables'!$A:$C,3,FALSE),IF(ISNUMBER(SEARCH("STEEL",F2035)),"Steel","Others"))</f>
        <v>0</v>
      </c>
      <c r="H2035">
        <f>IF(ISNUMBER(SEARCH("scrubber",F2035)) , "Scrubber", IF(ISNUMBER(SEARCH("container",F2035)),"Container", IF(ISNUMBER(SEARCH("basket",F2035)),"Basket", IF(ISNUMBER(SEARCH("lunch",F2035)),"Lunch Box", IF(ISNUMBER(SEARCH("cutlery",F2035)),"Cutlery","Other")))))</f>
        <v>0</v>
      </c>
      <c r="I2035">
        <f>IF('Raw Data'!G2035&lt;&gt;'','Raw Data'!G2035,IFERROR(MID(F2035,SEARCH("MODEL",F2035)+6,20),""))</f>
        <v>0</v>
      </c>
      <c r="J2035">
        <f>'Raw Data'!H2035</f>
        <v>0</v>
      </c>
      <c r="K2035">
        <f>'Raw Data'!I2035</f>
        <v>0</v>
      </c>
      <c r="L2035">
        <f>IF('Raw Data'!N2035&lt;&gt;0,'Raw Data'!N2035,IFERROR(VALUE(MID(F2035,SEARCH("QTY",F2035)+4,IFERROR(FIND(" ",F2035,SEARCH("QTY",F2035)+4)-(SEARCH("QTY",F2035)+4),3))),""))</f>
        <v>0</v>
      </c>
      <c r="M2035">
        <f>'Raw Data'!O2035</f>
        <v>0</v>
      </c>
      <c r="N2035">
        <f>'Raw Data'!P2035</f>
        <v>0</v>
      </c>
      <c r="O2035">
        <f>'Raw Data'!Q2035</f>
        <v>0</v>
      </c>
      <c r="P2035">
        <f>'Raw Data'!R2035</f>
        <v>0</v>
      </c>
      <c r="Q2035">
        <f>'Raw Data'!S2035</f>
        <v>0</v>
      </c>
      <c r="R2035">
        <f>'Raw Data'!T2035</f>
        <v>0</v>
      </c>
      <c r="S2035">
        <f>IFERROR(O2035,0)+IFERROR(R2035,0)</f>
        <v>0</v>
      </c>
      <c r="T2035">
        <f>IF(A2035="","",YEAR(A2035))</f>
        <v>0</v>
      </c>
    </row>
    <row r="2036" spans="1:20">
      <c r="A2036">
        <f>'Raw Data'!B2036</f>
        <v>0</v>
      </c>
      <c r="B2036">
        <f>'Raw Data'!A2036</f>
        <v>0</v>
      </c>
      <c r="C2036">
        <f>'Raw Data'!C2036</f>
        <v>0</v>
      </c>
      <c r="D2036">
        <f>'Raw Data'!D2036</f>
        <v>0</v>
      </c>
      <c r="E2036">
        <f>IFERROR(VLOOKUP(D2036,'Lookup Tables'!$A:$B,2,FALSE),"Unknown")</f>
        <v>0</v>
      </c>
      <c r="F2036">
        <f>'Raw Data'!E2036</f>
        <v>0</v>
      </c>
      <c r="G2036">
        <f>IFERROR(VLOOKUP(D2036,'Lookup Tables'!$A:$C,3,FALSE),IF(ISNUMBER(SEARCH("STEEL",F2036)),"Steel","Others"))</f>
        <v>0</v>
      </c>
      <c r="H2036">
        <f>IF(ISNUMBER(SEARCH("scrubber",F2036)) , "Scrubber", IF(ISNUMBER(SEARCH("container",F2036)),"Container", IF(ISNUMBER(SEARCH("basket",F2036)),"Basket", IF(ISNUMBER(SEARCH("lunch",F2036)),"Lunch Box", IF(ISNUMBER(SEARCH("cutlery",F2036)),"Cutlery","Other")))))</f>
        <v>0</v>
      </c>
      <c r="I2036">
        <f>IF('Raw Data'!G2036&lt;&gt;'','Raw Data'!G2036,IFERROR(MID(F2036,SEARCH("MODEL",F2036)+6,20),""))</f>
        <v>0</v>
      </c>
      <c r="J2036">
        <f>'Raw Data'!H2036</f>
        <v>0</v>
      </c>
      <c r="K2036">
        <f>'Raw Data'!I2036</f>
        <v>0</v>
      </c>
      <c r="L2036">
        <f>IF('Raw Data'!N2036&lt;&gt;0,'Raw Data'!N2036,IFERROR(VALUE(MID(F2036,SEARCH("QTY",F2036)+4,IFERROR(FIND(" ",F2036,SEARCH("QTY",F2036)+4)-(SEARCH("QTY",F2036)+4),3))),""))</f>
        <v>0</v>
      </c>
      <c r="M2036">
        <f>'Raw Data'!O2036</f>
        <v>0</v>
      </c>
      <c r="N2036">
        <f>'Raw Data'!P2036</f>
        <v>0</v>
      </c>
      <c r="O2036">
        <f>'Raw Data'!Q2036</f>
        <v>0</v>
      </c>
      <c r="P2036">
        <f>'Raw Data'!R2036</f>
        <v>0</v>
      </c>
      <c r="Q2036">
        <f>'Raw Data'!S2036</f>
        <v>0</v>
      </c>
      <c r="R2036">
        <f>'Raw Data'!T2036</f>
        <v>0</v>
      </c>
      <c r="S2036">
        <f>IFERROR(O2036,0)+IFERROR(R2036,0)</f>
        <v>0</v>
      </c>
      <c r="T2036">
        <f>IF(A2036="","",YEAR(A2036))</f>
        <v>0</v>
      </c>
    </row>
    <row r="2037" spans="1:20">
      <c r="A2037">
        <f>'Raw Data'!B2037</f>
        <v>0</v>
      </c>
      <c r="B2037">
        <f>'Raw Data'!A2037</f>
        <v>0</v>
      </c>
      <c r="C2037">
        <f>'Raw Data'!C2037</f>
        <v>0</v>
      </c>
      <c r="D2037">
        <f>'Raw Data'!D2037</f>
        <v>0</v>
      </c>
      <c r="E2037">
        <f>IFERROR(VLOOKUP(D2037,'Lookup Tables'!$A:$B,2,FALSE),"Unknown")</f>
        <v>0</v>
      </c>
      <c r="F2037">
        <f>'Raw Data'!E2037</f>
        <v>0</v>
      </c>
      <c r="G2037">
        <f>IFERROR(VLOOKUP(D2037,'Lookup Tables'!$A:$C,3,FALSE),IF(ISNUMBER(SEARCH("STEEL",F2037)),"Steel","Others"))</f>
        <v>0</v>
      </c>
      <c r="H2037">
        <f>IF(ISNUMBER(SEARCH("scrubber",F2037)) , "Scrubber", IF(ISNUMBER(SEARCH("container",F2037)),"Container", IF(ISNUMBER(SEARCH("basket",F2037)),"Basket", IF(ISNUMBER(SEARCH("lunch",F2037)),"Lunch Box", IF(ISNUMBER(SEARCH("cutlery",F2037)),"Cutlery","Other")))))</f>
        <v>0</v>
      </c>
      <c r="I2037">
        <f>IF('Raw Data'!G2037&lt;&gt;'','Raw Data'!G2037,IFERROR(MID(F2037,SEARCH("MODEL",F2037)+6,20),""))</f>
        <v>0</v>
      </c>
      <c r="J2037">
        <f>'Raw Data'!H2037</f>
        <v>0</v>
      </c>
      <c r="K2037">
        <f>'Raw Data'!I2037</f>
        <v>0</v>
      </c>
      <c r="L2037">
        <f>IF('Raw Data'!N2037&lt;&gt;0,'Raw Data'!N2037,IFERROR(VALUE(MID(F2037,SEARCH("QTY",F2037)+4,IFERROR(FIND(" ",F2037,SEARCH("QTY",F2037)+4)-(SEARCH("QTY",F2037)+4),3))),""))</f>
        <v>0</v>
      </c>
      <c r="M2037">
        <f>'Raw Data'!O2037</f>
        <v>0</v>
      </c>
      <c r="N2037">
        <f>'Raw Data'!P2037</f>
        <v>0</v>
      </c>
      <c r="O2037">
        <f>'Raw Data'!Q2037</f>
        <v>0</v>
      </c>
      <c r="P2037">
        <f>'Raw Data'!R2037</f>
        <v>0</v>
      </c>
      <c r="Q2037">
        <f>'Raw Data'!S2037</f>
        <v>0</v>
      </c>
      <c r="R2037">
        <f>'Raw Data'!T2037</f>
        <v>0</v>
      </c>
      <c r="S2037">
        <f>IFERROR(O2037,0)+IFERROR(R2037,0)</f>
        <v>0</v>
      </c>
      <c r="T2037">
        <f>IF(A2037="","",YEAR(A2037))</f>
        <v>0</v>
      </c>
    </row>
    <row r="2038" spans="1:20">
      <c r="A2038">
        <f>'Raw Data'!B2038</f>
        <v>0</v>
      </c>
      <c r="B2038">
        <f>'Raw Data'!A2038</f>
        <v>0</v>
      </c>
      <c r="C2038">
        <f>'Raw Data'!C2038</f>
        <v>0</v>
      </c>
      <c r="D2038">
        <f>'Raw Data'!D2038</f>
        <v>0</v>
      </c>
      <c r="E2038">
        <f>IFERROR(VLOOKUP(D2038,'Lookup Tables'!$A:$B,2,FALSE),"Unknown")</f>
        <v>0</v>
      </c>
      <c r="F2038">
        <f>'Raw Data'!E2038</f>
        <v>0</v>
      </c>
      <c r="G2038">
        <f>IFERROR(VLOOKUP(D2038,'Lookup Tables'!$A:$C,3,FALSE),IF(ISNUMBER(SEARCH("STEEL",F2038)),"Steel","Others"))</f>
        <v>0</v>
      </c>
      <c r="H2038">
        <f>IF(ISNUMBER(SEARCH("scrubber",F2038)) , "Scrubber", IF(ISNUMBER(SEARCH("container",F2038)),"Container", IF(ISNUMBER(SEARCH("basket",F2038)),"Basket", IF(ISNUMBER(SEARCH("lunch",F2038)),"Lunch Box", IF(ISNUMBER(SEARCH("cutlery",F2038)),"Cutlery","Other")))))</f>
        <v>0</v>
      </c>
      <c r="I2038">
        <f>IF('Raw Data'!G2038&lt;&gt;'','Raw Data'!G2038,IFERROR(MID(F2038,SEARCH("MODEL",F2038)+6,20),""))</f>
        <v>0</v>
      </c>
      <c r="J2038">
        <f>'Raw Data'!H2038</f>
        <v>0</v>
      </c>
      <c r="K2038">
        <f>'Raw Data'!I2038</f>
        <v>0</v>
      </c>
      <c r="L2038">
        <f>IF('Raw Data'!N2038&lt;&gt;0,'Raw Data'!N2038,IFERROR(VALUE(MID(F2038,SEARCH("QTY",F2038)+4,IFERROR(FIND(" ",F2038,SEARCH("QTY",F2038)+4)-(SEARCH("QTY",F2038)+4),3))),""))</f>
        <v>0</v>
      </c>
      <c r="M2038">
        <f>'Raw Data'!O2038</f>
        <v>0</v>
      </c>
      <c r="N2038">
        <f>'Raw Data'!P2038</f>
        <v>0</v>
      </c>
      <c r="O2038">
        <f>'Raw Data'!Q2038</f>
        <v>0</v>
      </c>
      <c r="P2038">
        <f>'Raw Data'!R2038</f>
        <v>0</v>
      </c>
      <c r="Q2038">
        <f>'Raw Data'!S2038</f>
        <v>0</v>
      </c>
      <c r="R2038">
        <f>'Raw Data'!T2038</f>
        <v>0</v>
      </c>
      <c r="S2038">
        <f>IFERROR(O2038,0)+IFERROR(R2038,0)</f>
        <v>0</v>
      </c>
      <c r="T2038">
        <f>IF(A2038="","",YEAR(A2038))</f>
        <v>0</v>
      </c>
    </row>
    <row r="2039" spans="1:20">
      <c r="A2039">
        <f>'Raw Data'!B2039</f>
        <v>0</v>
      </c>
      <c r="B2039">
        <f>'Raw Data'!A2039</f>
        <v>0</v>
      </c>
      <c r="C2039">
        <f>'Raw Data'!C2039</f>
        <v>0</v>
      </c>
      <c r="D2039">
        <f>'Raw Data'!D2039</f>
        <v>0</v>
      </c>
      <c r="E2039">
        <f>IFERROR(VLOOKUP(D2039,'Lookup Tables'!$A:$B,2,FALSE),"Unknown")</f>
        <v>0</v>
      </c>
      <c r="F2039">
        <f>'Raw Data'!E2039</f>
        <v>0</v>
      </c>
      <c r="G2039">
        <f>IFERROR(VLOOKUP(D2039,'Lookup Tables'!$A:$C,3,FALSE),IF(ISNUMBER(SEARCH("STEEL",F2039)),"Steel","Others"))</f>
        <v>0</v>
      </c>
      <c r="H2039">
        <f>IF(ISNUMBER(SEARCH("scrubber",F2039)) , "Scrubber", IF(ISNUMBER(SEARCH("container",F2039)),"Container", IF(ISNUMBER(SEARCH("basket",F2039)),"Basket", IF(ISNUMBER(SEARCH("lunch",F2039)),"Lunch Box", IF(ISNUMBER(SEARCH("cutlery",F2039)),"Cutlery","Other")))))</f>
        <v>0</v>
      </c>
      <c r="I2039">
        <f>IF('Raw Data'!G2039&lt;&gt;'','Raw Data'!G2039,IFERROR(MID(F2039,SEARCH("MODEL",F2039)+6,20),""))</f>
        <v>0</v>
      </c>
      <c r="J2039">
        <f>'Raw Data'!H2039</f>
        <v>0</v>
      </c>
      <c r="K2039">
        <f>'Raw Data'!I2039</f>
        <v>0</v>
      </c>
      <c r="L2039">
        <f>IF('Raw Data'!N2039&lt;&gt;0,'Raw Data'!N2039,IFERROR(VALUE(MID(F2039,SEARCH("QTY",F2039)+4,IFERROR(FIND(" ",F2039,SEARCH("QTY",F2039)+4)-(SEARCH("QTY",F2039)+4),3))),""))</f>
        <v>0</v>
      </c>
      <c r="M2039">
        <f>'Raw Data'!O2039</f>
        <v>0</v>
      </c>
      <c r="N2039">
        <f>'Raw Data'!P2039</f>
        <v>0</v>
      </c>
      <c r="O2039">
        <f>'Raw Data'!Q2039</f>
        <v>0</v>
      </c>
      <c r="P2039">
        <f>'Raw Data'!R2039</f>
        <v>0</v>
      </c>
      <c r="Q2039">
        <f>'Raw Data'!S2039</f>
        <v>0</v>
      </c>
      <c r="R2039">
        <f>'Raw Data'!T2039</f>
        <v>0</v>
      </c>
      <c r="S2039">
        <f>IFERROR(O2039,0)+IFERROR(R2039,0)</f>
        <v>0</v>
      </c>
      <c r="T2039">
        <f>IF(A2039="","",YEAR(A2039))</f>
        <v>0</v>
      </c>
    </row>
    <row r="2040" spans="1:20">
      <c r="A2040">
        <f>'Raw Data'!B2040</f>
        <v>0</v>
      </c>
      <c r="B2040">
        <f>'Raw Data'!A2040</f>
        <v>0</v>
      </c>
      <c r="C2040">
        <f>'Raw Data'!C2040</f>
        <v>0</v>
      </c>
      <c r="D2040">
        <f>'Raw Data'!D2040</f>
        <v>0</v>
      </c>
      <c r="E2040">
        <f>IFERROR(VLOOKUP(D2040,'Lookup Tables'!$A:$B,2,FALSE),"Unknown")</f>
        <v>0</v>
      </c>
      <c r="F2040">
        <f>'Raw Data'!E2040</f>
        <v>0</v>
      </c>
      <c r="G2040">
        <f>IFERROR(VLOOKUP(D2040,'Lookup Tables'!$A:$C,3,FALSE),IF(ISNUMBER(SEARCH("STEEL",F2040)),"Steel","Others"))</f>
        <v>0</v>
      </c>
      <c r="H2040">
        <f>IF(ISNUMBER(SEARCH("scrubber",F2040)) , "Scrubber", IF(ISNUMBER(SEARCH("container",F2040)),"Container", IF(ISNUMBER(SEARCH("basket",F2040)),"Basket", IF(ISNUMBER(SEARCH("lunch",F2040)),"Lunch Box", IF(ISNUMBER(SEARCH("cutlery",F2040)),"Cutlery","Other")))))</f>
        <v>0</v>
      </c>
      <c r="I2040">
        <f>IF('Raw Data'!G2040&lt;&gt;'','Raw Data'!G2040,IFERROR(MID(F2040,SEARCH("MODEL",F2040)+6,20),""))</f>
        <v>0</v>
      </c>
      <c r="J2040">
        <f>'Raw Data'!H2040</f>
        <v>0</v>
      </c>
      <c r="K2040">
        <f>'Raw Data'!I2040</f>
        <v>0</v>
      </c>
      <c r="L2040">
        <f>IF('Raw Data'!N2040&lt;&gt;0,'Raw Data'!N2040,IFERROR(VALUE(MID(F2040,SEARCH("QTY",F2040)+4,IFERROR(FIND(" ",F2040,SEARCH("QTY",F2040)+4)-(SEARCH("QTY",F2040)+4),3))),""))</f>
        <v>0</v>
      </c>
      <c r="M2040">
        <f>'Raw Data'!O2040</f>
        <v>0</v>
      </c>
      <c r="N2040">
        <f>'Raw Data'!P2040</f>
        <v>0</v>
      </c>
      <c r="O2040">
        <f>'Raw Data'!Q2040</f>
        <v>0</v>
      </c>
      <c r="P2040">
        <f>'Raw Data'!R2040</f>
        <v>0</v>
      </c>
      <c r="Q2040">
        <f>'Raw Data'!S2040</f>
        <v>0</v>
      </c>
      <c r="R2040">
        <f>'Raw Data'!T2040</f>
        <v>0</v>
      </c>
      <c r="S2040">
        <f>IFERROR(O2040,0)+IFERROR(R2040,0)</f>
        <v>0</v>
      </c>
      <c r="T2040">
        <f>IF(A2040="","",YEAR(A2040))</f>
        <v>0</v>
      </c>
    </row>
    <row r="2041" spans="1:20">
      <c r="A2041">
        <f>'Raw Data'!B2041</f>
        <v>0</v>
      </c>
      <c r="B2041">
        <f>'Raw Data'!A2041</f>
        <v>0</v>
      </c>
      <c r="C2041">
        <f>'Raw Data'!C2041</f>
        <v>0</v>
      </c>
      <c r="D2041">
        <f>'Raw Data'!D2041</f>
        <v>0</v>
      </c>
      <c r="E2041">
        <f>IFERROR(VLOOKUP(D2041,'Lookup Tables'!$A:$B,2,FALSE),"Unknown")</f>
        <v>0</v>
      </c>
      <c r="F2041">
        <f>'Raw Data'!E2041</f>
        <v>0</v>
      </c>
      <c r="G2041">
        <f>IFERROR(VLOOKUP(D2041,'Lookup Tables'!$A:$C,3,FALSE),IF(ISNUMBER(SEARCH("STEEL",F2041)),"Steel","Others"))</f>
        <v>0</v>
      </c>
      <c r="H2041">
        <f>IF(ISNUMBER(SEARCH("scrubber",F2041)) , "Scrubber", IF(ISNUMBER(SEARCH("container",F2041)),"Container", IF(ISNUMBER(SEARCH("basket",F2041)),"Basket", IF(ISNUMBER(SEARCH("lunch",F2041)),"Lunch Box", IF(ISNUMBER(SEARCH("cutlery",F2041)),"Cutlery","Other")))))</f>
        <v>0</v>
      </c>
      <c r="I2041">
        <f>IF('Raw Data'!G2041&lt;&gt;'','Raw Data'!G2041,IFERROR(MID(F2041,SEARCH("MODEL",F2041)+6,20),""))</f>
        <v>0</v>
      </c>
      <c r="J2041">
        <f>'Raw Data'!H2041</f>
        <v>0</v>
      </c>
      <c r="K2041">
        <f>'Raw Data'!I2041</f>
        <v>0</v>
      </c>
      <c r="L2041">
        <f>IF('Raw Data'!N2041&lt;&gt;0,'Raw Data'!N2041,IFERROR(VALUE(MID(F2041,SEARCH("QTY",F2041)+4,IFERROR(FIND(" ",F2041,SEARCH("QTY",F2041)+4)-(SEARCH("QTY",F2041)+4),3))),""))</f>
        <v>0</v>
      </c>
      <c r="M2041">
        <f>'Raw Data'!O2041</f>
        <v>0</v>
      </c>
      <c r="N2041">
        <f>'Raw Data'!P2041</f>
        <v>0</v>
      </c>
      <c r="O2041">
        <f>'Raw Data'!Q2041</f>
        <v>0</v>
      </c>
      <c r="P2041">
        <f>'Raw Data'!R2041</f>
        <v>0</v>
      </c>
      <c r="Q2041">
        <f>'Raw Data'!S2041</f>
        <v>0</v>
      </c>
      <c r="R2041">
        <f>'Raw Data'!T2041</f>
        <v>0</v>
      </c>
      <c r="S2041">
        <f>IFERROR(O2041,0)+IFERROR(R2041,0)</f>
        <v>0</v>
      </c>
      <c r="T2041">
        <f>IF(A2041="","",YEAR(A2041))</f>
        <v>0</v>
      </c>
    </row>
    <row r="2042" spans="1:20">
      <c r="A2042">
        <f>'Raw Data'!B2042</f>
        <v>0</v>
      </c>
      <c r="B2042">
        <f>'Raw Data'!A2042</f>
        <v>0</v>
      </c>
      <c r="C2042">
        <f>'Raw Data'!C2042</f>
        <v>0</v>
      </c>
      <c r="D2042">
        <f>'Raw Data'!D2042</f>
        <v>0</v>
      </c>
      <c r="E2042">
        <f>IFERROR(VLOOKUP(D2042,'Lookup Tables'!$A:$B,2,FALSE),"Unknown")</f>
        <v>0</v>
      </c>
      <c r="F2042">
        <f>'Raw Data'!E2042</f>
        <v>0</v>
      </c>
      <c r="G2042">
        <f>IFERROR(VLOOKUP(D2042,'Lookup Tables'!$A:$C,3,FALSE),IF(ISNUMBER(SEARCH("STEEL",F2042)),"Steel","Others"))</f>
        <v>0</v>
      </c>
      <c r="H2042">
        <f>IF(ISNUMBER(SEARCH("scrubber",F2042)) , "Scrubber", IF(ISNUMBER(SEARCH("container",F2042)),"Container", IF(ISNUMBER(SEARCH("basket",F2042)),"Basket", IF(ISNUMBER(SEARCH("lunch",F2042)),"Lunch Box", IF(ISNUMBER(SEARCH("cutlery",F2042)),"Cutlery","Other")))))</f>
        <v>0</v>
      </c>
      <c r="I2042">
        <f>IF('Raw Data'!G2042&lt;&gt;'','Raw Data'!G2042,IFERROR(MID(F2042,SEARCH("MODEL",F2042)+6,20),""))</f>
        <v>0</v>
      </c>
      <c r="J2042">
        <f>'Raw Data'!H2042</f>
        <v>0</v>
      </c>
      <c r="K2042">
        <f>'Raw Data'!I2042</f>
        <v>0</v>
      </c>
      <c r="L2042">
        <f>IF('Raw Data'!N2042&lt;&gt;0,'Raw Data'!N2042,IFERROR(VALUE(MID(F2042,SEARCH("QTY",F2042)+4,IFERROR(FIND(" ",F2042,SEARCH("QTY",F2042)+4)-(SEARCH("QTY",F2042)+4),3))),""))</f>
        <v>0</v>
      </c>
      <c r="M2042">
        <f>'Raw Data'!O2042</f>
        <v>0</v>
      </c>
      <c r="N2042">
        <f>'Raw Data'!P2042</f>
        <v>0</v>
      </c>
      <c r="O2042">
        <f>'Raw Data'!Q2042</f>
        <v>0</v>
      </c>
      <c r="P2042">
        <f>'Raw Data'!R2042</f>
        <v>0</v>
      </c>
      <c r="Q2042">
        <f>'Raw Data'!S2042</f>
        <v>0</v>
      </c>
      <c r="R2042">
        <f>'Raw Data'!T2042</f>
        <v>0</v>
      </c>
      <c r="S2042">
        <f>IFERROR(O2042,0)+IFERROR(R2042,0)</f>
        <v>0</v>
      </c>
      <c r="T2042">
        <f>IF(A2042="","",YEAR(A2042))</f>
        <v>0</v>
      </c>
    </row>
    <row r="2043" spans="1:20">
      <c r="A2043">
        <f>'Raw Data'!B2043</f>
        <v>0</v>
      </c>
      <c r="B2043">
        <f>'Raw Data'!A2043</f>
        <v>0</v>
      </c>
      <c r="C2043">
        <f>'Raw Data'!C2043</f>
        <v>0</v>
      </c>
      <c r="D2043">
        <f>'Raw Data'!D2043</f>
        <v>0</v>
      </c>
      <c r="E2043">
        <f>IFERROR(VLOOKUP(D2043,'Lookup Tables'!$A:$B,2,FALSE),"Unknown")</f>
        <v>0</v>
      </c>
      <c r="F2043">
        <f>'Raw Data'!E2043</f>
        <v>0</v>
      </c>
      <c r="G2043">
        <f>IFERROR(VLOOKUP(D2043,'Lookup Tables'!$A:$C,3,FALSE),IF(ISNUMBER(SEARCH("STEEL",F2043)),"Steel","Others"))</f>
        <v>0</v>
      </c>
      <c r="H2043">
        <f>IF(ISNUMBER(SEARCH("scrubber",F2043)) , "Scrubber", IF(ISNUMBER(SEARCH("container",F2043)),"Container", IF(ISNUMBER(SEARCH("basket",F2043)),"Basket", IF(ISNUMBER(SEARCH("lunch",F2043)),"Lunch Box", IF(ISNUMBER(SEARCH("cutlery",F2043)),"Cutlery","Other")))))</f>
        <v>0</v>
      </c>
      <c r="I2043">
        <f>IF('Raw Data'!G2043&lt;&gt;'','Raw Data'!G2043,IFERROR(MID(F2043,SEARCH("MODEL",F2043)+6,20),""))</f>
        <v>0</v>
      </c>
      <c r="J2043">
        <f>'Raw Data'!H2043</f>
        <v>0</v>
      </c>
      <c r="K2043">
        <f>'Raw Data'!I2043</f>
        <v>0</v>
      </c>
      <c r="L2043">
        <f>IF('Raw Data'!N2043&lt;&gt;0,'Raw Data'!N2043,IFERROR(VALUE(MID(F2043,SEARCH("QTY",F2043)+4,IFERROR(FIND(" ",F2043,SEARCH("QTY",F2043)+4)-(SEARCH("QTY",F2043)+4),3))),""))</f>
        <v>0</v>
      </c>
      <c r="M2043">
        <f>'Raw Data'!O2043</f>
        <v>0</v>
      </c>
      <c r="N2043">
        <f>'Raw Data'!P2043</f>
        <v>0</v>
      </c>
      <c r="O2043">
        <f>'Raw Data'!Q2043</f>
        <v>0</v>
      </c>
      <c r="P2043">
        <f>'Raw Data'!R2043</f>
        <v>0</v>
      </c>
      <c r="Q2043">
        <f>'Raw Data'!S2043</f>
        <v>0</v>
      </c>
      <c r="R2043">
        <f>'Raw Data'!T2043</f>
        <v>0</v>
      </c>
      <c r="S2043">
        <f>IFERROR(O2043,0)+IFERROR(R2043,0)</f>
        <v>0</v>
      </c>
      <c r="T2043">
        <f>IF(A2043="","",YEAR(A2043))</f>
        <v>0</v>
      </c>
    </row>
    <row r="2044" spans="1:20">
      <c r="A2044">
        <f>'Raw Data'!B2044</f>
        <v>0</v>
      </c>
      <c r="B2044">
        <f>'Raw Data'!A2044</f>
        <v>0</v>
      </c>
      <c r="C2044">
        <f>'Raw Data'!C2044</f>
        <v>0</v>
      </c>
      <c r="D2044">
        <f>'Raw Data'!D2044</f>
        <v>0</v>
      </c>
      <c r="E2044">
        <f>IFERROR(VLOOKUP(D2044,'Lookup Tables'!$A:$B,2,FALSE),"Unknown")</f>
        <v>0</v>
      </c>
      <c r="F2044">
        <f>'Raw Data'!E2044</f>
        <v>0</v>
      </c>
      <c r="G2044">
        <f>IFERROR(VLOOKUP(D2044,'Lookup Tables'!$A:$C,3,FALSE),IF(ISNUMBER(SEARCH("STEEL",F2044)),"Steel","Others"))</f>
        <v>0</v>
      </c>
      <c r="H2044">
        <f>IF(ISNUMBER(SEARCH("scrubber",F2044)) , "Scrubber", IF(ISNUMBER(SEARCH("container",F2044)),"Container", IF(ISNUMBER(SEARCH("basket",F2044)),"Basket", IF(ISNUMBER(SEARCH("lunch",F2044)),"Lunch Box", IF(ISNUMBER(SEARCH("cutlery",F2044)),"Cutlery","Other")))))</f>
        <v>0</v>
      </c>
      <c r="I2044">
        <f>IF('Raw Data'!G2044&lt;&gt;'','Raw Data'!G2044,IFERROR(MID(F2044,SEARCH("MODEL",F2044)+6,20),""))</f>
        <v>0</v>
      </c>
      <c r="J2044">
        <f>'Raw Data'!H2044</f>
        <v>0</v>
      </c>
      <c r="K2044">
        <f>'Raw Data'!I2044</f>
        <v>0</v>
      </c>
      <c r="L2044">
        <f>IF('Raw Data'!N2044&lt;&gt;0,'Raw Data'!N2044,IFERROR(VALUE(MID(F2044,SEARCH("QTY",F2044)+4,IFERROR(FIND(" ",F2044,SEARCH("QTY",F2044)+4)-(SEARCH("QTY",F2044)+4),3))),""))</f>
        <v>0</v>
      </c>
      <c r="M2044">
        <f>'Raw Data'!O2044</f>
        <v>0</v>
      </c>
      <c r="N2044">
        <f>'Raw Data'!P2044</f>
        <v>0</v>
      </c>
      <c r="O2044">
        <f>'Raw Data'!Q2044</f>
        <v>0</v>
      </c>
      <c r="P2044">
        <f>'Raw Data'!R2044</f>
        <v>0</v>
      </c>
      <c r="Q2044">
        <f>'Raw Data'!S2044</f>
        <v>0</v>
      </c>
      <c r="R2044">
        <f>'Raw Data'!T2044</f>
        <v>0</v>
      </c>
      <c r="S2044">
        <f>IFERROR(O2044,0)+IFERROR(R2044,0)</f>
        <v>0</v>
      </c>
      <c r="T2044">
        <f>IF(A2044="","",YEAR(A2044))</f>
        <v>0</v>
      </c>
    </row>
    <row r="2045" spans="1:20">
      <c r="A2045">
        <f>'Raw Data'!B2045</f>
        <v>0</v>
      </c>
      <c r="B2045">
        <f>'Raw Data'!A2045</f>
        <v>0</v>
      </c>
      <c r="C2045">
        <f>'Raw Data'!C2045</f>
        <v>0</v>
      </c>
      <c r="D2045">
        <f>'Raw Data'!D2045</f>
        <v>0</v>
      </c>
      <c r="E2045">
        <f>IFERROR(VLOOKUP(D2045,'Lookup Tables'!$A:$B,2,FALSE),"Unknown")</f>
        <v>0</v>
      </c>
      <c r="F2045">
        <f>'Raw Data'!E2045</f>
        <v>0</v>
      </c>
      <c r="G2045">
        <f>IFERROR(VLOOKUP(D2045,'Lookup Tables'!$A:$C,3,FALSE),IF(ISNUMBER(SEARCH("STEEL",F2045)),"Steel","Others"))</f>
        <v>0</v>
      </c>
      <c r="H2045">
        <f>IF(ISNUMBER(SEARCH("scrubber",F2045)) , "Scrubber", IF(ISNUMBER(SEARCH("container",F2045)),"Container", IF(ISNUMBER(SEARCH("basket",F2045)),"Basket", IF(ISNUMBER(SEARCH("lunch",F2045)),"Lunch Box", IF(ISNUMBER(SEARCH("cutlery",F2045)),"Cutlery","Other")))))</f>
        <v>0</v>
      </c>
      <c r="I2045">
        <f>IF('Raw Data'!G2045&lt;&gt;'','Raw Data'!G2045,IFERROR(MID(F2045,SEARCH("MODEL",F2045)+6,20),""))</f>
        <v>0</v>
      </c>
      <c r="J2045">
        <f>'Raw Data'!H2045</f>
        <v>0</v>
      </c>
      <c r="K2045">
        <f>'Raw Data'!I2045</f>
        <v>0</v>
      </c>
      <c r="L2045">
        <f>IF('Raw Data'!N2045&lt;&gt;0,'Raw Data'!N2045,IFERROR(VALUE(MID(F2045,SEARCH("QTY",F2045)+4,IFERROR(FIND(" ",F2045,SEARCH("QTY",F2045)+4)-(SEARCH("QTY",F2045)+4),3))),""))</f>
        <v>0</v>
      </c>
      <c r="M2045">
        <f>'Raw Data'!O2045</f>
        <v>0</v>
      </c>
      <c r="N2045">
        <f>'Raw Data'!P2045</f>
        <v>0</v>
      </c>
      <c r="O2045">
        <f>'Raw Data'!Q2045</f>
        <v>0</v>
      </c>
      <c r="P2045">
        <f>'Raw Data'!R2045</f>
        <v>0</v>
      </c>
      <c r="Q2045">
        <f>'Raw Data'!S2045</f>
        <v>0</v>
      </c>
      <c r="R2045">
        <f>'Raw Data'!T2045</f>
        <v>0</v>
      </c>
      <c r="S2045">
        <f>IFERROR(O2045,0)+IFERROR(R2045,0)</f>
        <v>0</v>
      </c>
      <c r="T2045">
        <f>IF(A2045="","",YEAR(A2045))</f>
        <v>0</v>
      </c>
    </row>
    <row r="2046" spans="1:20">
      <c r="A2046">
        <f>'Raw Data'!B2046</f>
        <v>0</v>
      </c>
      <c r="B2046">
        <f>'Raw Data'!A2046</f>
        <v>0</v>
      </c>
      <c r="C2046">
        <f>'Raw Data'!C2046</f>
        <v>0</v>
      </c>
      <c r="D2046">
        <f>'Raw Data'!D2046</f>
        <v>0</v>
      </c>
      <c r="E2046">
        <f>IFERROR(VLOOKUP(D2046,'Lookup Tables'!$A:$B,2,FALSE),"Unknown")</f>
        <v>0</v>
      </c>
      <c r="F2046">
        <f>'Raw Data'!E2046</f>
        <v>0</v>
      </c>
      <c r="G2046">
        <f>IFERROR(VLOOKUP(D2046,'Lookup Tables'!$A:$C,3,FALSE),IF(ISNUMBER(SEARCH("STEEL",F2046)),"Steel","Others"))</f>
        <v>0</v>
      </c>
      <c r="H2046">
        <f>IF(ISNUMBER(SEARCH("scrubber",F2046)) , "Scrubber", IF(ISNUMBER(SEARCH("container",F2046)),"Container", IF(ISNUMBER(SEARCH("basket",F2046)),"Basket", IF(ISNUMBER(SEARCH("lunch",F2046)),"Lunch Box", IF(ISNUMBER(SEARCH("cutlery",F2046)),"Cutlery","Other")))))</f>
        <v>0</v>
      </c>
      <c r="I2046">
        <f>IF('Raw Data'!G2046&lt;&gt;'','Raw Data'!G2046,IFERROR(MID(F2046,SEARCH("MODEL",F2046)+6,20),""))</f>
        <v>0</v>
      </c>
      <c r="J2046">
        <f>'Raw Data'!H2046</f>
        <v>0</v>
      </c>
      <c r="K2046">
        <f>'Raw Data'!I2046</f>
        <v>0</v>
      </c>
      <c r="L2046">
        <f>IF('Raw Data'!N2046&lt;&gt;0,'Raw Data'!N2046,IFERROR(VALUE(MID(F2046,SEARCH("QTY",F2046)+4,IFERROR(FIND(" ",F2046,SEARCH("QTY",F2046)+4)-(SEARCH("QTY",F2046)+4),3))),""))</f>
        <v>0</v>
      </c>
      <c r="M2046">
        <f>'Raw Data'!O2046</f>
        <v>0</v>
      </c>
      <c r="N2046">
        <f>'Raw Data'!P2046</f>
        <v>0</v>
      </c>
      <c r="O2046">
        <f>'Raw Data'!Q2046</f>
        <v>0</v>
      </c>
      <c r="P2046">
        <f>'Raw Data'!R2046</f>
        <v>0</v>
      </c>
      <c r="Q2046">
        <f>'Raw Data'!S2046</f>
        <v>0</v>
      </c>
      <c r="R2046">
        <f>'Raw Data'!T2046</f>
        <v>0</v>
      </c>
      <c r="S2046">
        <f>IFERROR(O2046,0)+IFERROR(R2046,0)</f>
        <v>0</v>
      </c>
      <c r="T2046">
        <f>IF(A2046="","",YEAR(A2046))</f>
        <v>0</v>
      </c>
    </row>
    <row r="2047" spans="1:20">
      <c r="A2047">
        <f>'Raw Data'!B2047</f>
        <v>0</v>
      </c>
      <c r="B2047">
        <f>'Raw Data'!A2047</f>
        <v>0</v>
      </c>
      <c r="C2047">
        <f>'Raw Data'!C2047</f>
        <v>0</v>
      </c>
      <c r="D2047">
        <f>'Raw Data'!D2047</f>
        <v>0</v>
      </c>
      <c r="E2047">
        <f>IFERROR(VLOOKUP(D2047,'Lookup Tables'!$A:$B,2,FALSE),"Unknown")</f>
        <v>0</v>
      </c>
      <c r="F2047">
        <f>'Raw Data'!E2047</f>
        <v>0</v>
      </c>
      <c r="G2047">
        <f>IFERROR(VLOOKUP(D2047,'Lookup Tables'!$A:$C,3,FALSE),IF(ISNUMBER(SEARCH("STEEL",F2047)),"Steel","Others"))</f>
        <v>0</v>
      </c>
      <c r="H2047">
        <f>IF(ISNUMBER(SEARCH("scrubber",F2047)) , "Scrubber", IF(ISNUMBER(SEARCH("container",F2047)),"Container", IF(ISNUMBER(SEARCH("basket",F2047)),"Basket", IF(ISNUMBER(SEARCH("lunch",F2047)),"Lunch Box", IF(ISNUMBER(SEARCH("cutlery",F2047)),"Cutlery","Other")))))</f>
        <v>0</v>
      </c>
      <c r="I2047">
        <f>IF('Raw Data'!G2047&lt;&gt;'','Raw Data'!G2047,IFERROR(MID(F2047,SEARCH("MODEL",F2047)+6,20),""))</f>
        <v>0</v>
      </c>
      <c r="J2047">
        <f>'Raw Data'!H2047</f>
        <v>0</v>
      </c>
      <c r="K2047">
        <f>'Raw Data'!I2047</f>
        <v>0</v>
      </c>
      <c r="L2047">
        <f>IF('Raw Data'!N2047&lt;&gt;0,'Raw Data'!N2047,IFERROR(VALUE(MID(F2047,SEARCH("QTY",F2047)+4,IFERROR(FIND(" ",F2047,SEARCH("QTY",F2047)+4)-(SEARCH("QTY",F2047)+4),3))),""))</f>
        <v>0</v>
      </c>
      <c r="M2047">
        <f>'Raw Data'!O2047</f>
        <v>0</v>
      </c>
      <c r="N2047">
        <f>'Raw Data'!P2047</f>
        <v>0</v>
      </c>
      <c r="O2047">
        <f>'Raw Data'!Q2047</f>
        <v>0</v>
      </c>
      <c r="P2047">
        <f>'Raw Data'!R2047</f>
        <v>0</v>
      </c>
      <c r="Q2047">
        <f>'Raw Data'!S2047</f>
        <v>0</v>
      </c>
      <c r="R2047">
        <f>'Raw Data'!T2047</f>
        <v>0</v>
      </c>
      <c r="S2047">
        <f>IFERROR(O2047,0)+IFERROR(R2047,0)</f>
        <v>0</v>
      </c>
      <c r="T2047">
        <f>IF(A2047="","",YEAR(A2047))</f>
        <v>0</v>
      </c>
    </row>
    <row r="2048" spans="1:20">
      <c r="A2048">
        <f>'Raw Data'!B2048</f>
        <v>0</v>
      </c>
      <c r="B2048">
        <f>'Raw Data'!A2048</f>
        <v>0</v>
      </c>
      <c r="C2048">
        <f>'Raw Data'!C2048</f>
        <v>0</v>
      </c>
      <c r="D2048">
        <f>'Raw Data'!D2048</f>
        <v>0</v>
      </c>
      <c r="E2048">
        <f>IFERROR(VLOOKUP(D2048,'Lookup Tables'!$A:$B,2,FALSE),"Unknown")</f>
        <v>0</v>
      </c>
      <c r="F2048">
        <f>'Raw Data'!E2048</f>
        <v>0</v>
      </c>
      <c r="G2048">
        <f>IFERROR(VLOOKUP(D2048,'Lookup Tables'!$A:$C,3,FALSE),IF(ISNUMBER(SEARCH("STEEL",F2048)),"Steel","Others"))</f>
        <v>0</v>
      </c>
      <c r="H2048">
        <f>IF(ISNUMBER(SEARCH("scrubber",F2048)) , "Scrubber", IF(ISNUMBER(SEARCH("container",F2048)),"Container", IF(ISNUMBER(SEARCH("basket",F2048)),"Basket", IF(ISNUMBER(SEARCH("lunch",F2048)),"Lunch Box", IF(ISNUMBER(SEARCH("cutlery",F2048)),"Cutlery","Other")))))</f>
        <v>0</v>
      </c>
      <c r="I2048">
        <f>IF('Raw Data'!G2048&lt;&gt;'','Raw Data'!G2048,IFERROR(MID(F2048,SEARCH("MODEL",F2048)+6,20),""))</f>
        <v>0</v>
      </c>
      <c r="J2048">
        <f>'Raw Data'!H2048</f>
        <v>0</v>
      </c>
      <c r="K2048">
        <f>'Raw Data'!I2048</f>
        <v>0</v>
      </c>
      <c r="L2048">
        <f>IF('Raw Data'!N2048&lt;&gt;0,'Raw Data'!N2048,IFERROR(VALUE(MID(F2048,SEARCH("QTY",F2048)+4,IFERROR(FIND(" ",F2048,SEARCH("QTY",F2048)+4)-(SEARCH("QTY",F2048)+4),3))),""))</f>
        <v>0</v>
      </c>
      <c r="M2048">
        <f>'Raw Data'!O2048</f>
        <v>0</v>
      </c>
      <c r="N2048">
        <f>'Raw Data'!P2048</f>
        <v>0</v>
      </c>
      <c r="O2048">
        <f>'Raw Data'!Q2048</f>
        <v>0</v>
      </c>
      <c r="P2048">
        <f>'Raw Data'!R2048</f>
        <v>0</v>
      </c>
      <c r="Q2048">
        <f>'Raw Data'!S2048</f>
        <v>0</v>
      </c>
      <c r="R2048">
        <f>'Raw Data'!T2048</f>
        <v>0</v>
      </c>
      <c r="S2048">
        <f>IFERROR(O2048,0)+IFERROR(R2048,0)</f>
        <v>0</v>
      </c>
      <c r="T2048">
        <f>IF(A2048="","",YEAR(A2048))</f>
        <v>0</v>
      </c>
    </row>
    <row r="2049" spans="1:20">
      <c r="A2049">
        <f>'Raw Data'!B2049</f>
        <v>0</v>
      </c>
      <c r="B2049">
        <f>'Raw Data'!A2049</f>
        <v>0</v>
      </c>
      <c r="C2049">
        <f>'Raw Data'!C2049</f>
        <v>0</v>
      </c>
      <c r="D2049">
        <f>'Raw Data'!D2049</f>
        <v>0</v>
      </c>
      <c r="E2049">
        <f>IFERROR(VLOOKUP(D2049,'Lookup Tables'!$A:$B,2,FALSE),"Unknown")</f>
        <v>0</v>
      </c>
      <c r="F2049">
        <f>'Raw Data'!E2049</f>
        <v>0</v>
      </c>
      <c r="G2049">
        <f>IFERROR(VLOOKUP(D2049,'Lookup Tables'!$A:$C,3,FALSE),IF(ISNUMBER(SEARCH("STEEL",F2049)),"Steel","Others"))</f>
        <v>0</v>
      </c>
      <c r="H2049">
        <f>IF(ISNUMBER(SEARCH("scrubber",F2049)) , "Scrubber", IF(ISNUMBER(SEARCH("container",F2049)),"Container", IF(ISNUMBER(SEARCH("basket",F2049)),"Basket", IF(ISNUMBER(SEARCH("lunch",F2049)),"Lunch Box", IF(ISNUMBER(SEARCH("cutlery",F2049)),"Cutlery","Other")))))</f>
        <v>0</v>
      </c>
      <c r="I2049">
        <f>IF('Raw Data'!G2049&lt;&gt;'','Raw Data'!G2049,IFERROR(MID(F2049,SEARCH("MODEL",F2049)+6,20),""))</f>
        <v>0</v>
      </c>
      <c r="J2049">
        <f>'Raw Data'!H2049</f>
        <v>0</v>
      </c>
      <c r="K2049">
        <f>'Raw Data'!I2049</f>
        <v>0</v>
      </c>
      <c r="L2049">
        <f>IF('Raw Data'!N2049&lt;&gt;0,'Raw Data'!N2049,IFERROR(VALUE(MID(F2049,SEARCH("QTY",F2049)+4,IFERROR(FIND(" ",F2049,SEARCH("QTY",F2049)+4)-(SEARCH("QTY",F2049)+4),3))),""))</f>
        <v>0</v>
      </c>
      <c r="M2049">
        <f>'Raw Data'!O2049</f>
        <v>0</v>
      </c>
      <c r="N2049">
        <f>'Raw Data'!P2049</f>
        <v>0</v>
      </c>
      <c r="O2049">
        <f>'Raw Data'!Q2049</f>
        <v>0</v>
      </c>
      <c r="P2049">
        <f>'Raw Data'!R2049</f>
        <v>0</v>
      </c>
      <c r="Q2049">
        <f>'Raw Data'!S2049</f>
        <v>0</v>
      </c>
      <c r="R2049">
        <f>'Raw Data'!T2049</f>
        <v>0</v>
      </c>
      <c r="S2049">
        <f>IFERROR(O2049,0)+IFERROR(R2049,0)</f>
        <v>0</v>
      </c>
      <c r="T2049">
        <f>IF(A2049="","",YEAR(A2049))</f>
        <v>0</v>
      </c>
    </row>
    <row r="2050" spans="1:20">
      <c r="A2050">
        <f>'Raw Data'!B2050</f>
        <v>0</v>
      </c>
      <c r="B2050">
        <f>'Raw Data'!A2050</f>
        <v>0</v>
      </c>
      <c r="C2050">
        <f>'Raw Data'!C2050</f>
        <v>0</v>
      </c>
      <c r="D2050">
        <f>'Raw Data'!D2050</f>
        <v>0</v>
      </c>
      <c r="E2050">
        <f>IFERROR(VLOOKUP(D2050,'Lookup Tables'!$A:$B,2,FALSE),"Unknown")</f>
        <v>0</v>
      </c>
      <c r="F2050">
        <f>'Raw Data'!E2050</f>
        <v>0</v>
      </c>
      <c r="G2050">
        <f>IFERROR(VLOOKUP(D2050,'Lookup Tables'!$A:$C,3,FALSE),IF(ISNUMBER(SEARCH("STEEL",F2050)),"Steel","Others"))</f>
        <v>0</v>
      </c>
      <c r="H2050">
        <f>IF(ISNUMBER(SEARCH("scrubber",F2050)) , "Scrubber", IF(ISNUMBER(SEARCH("container",F2050)),"Container", IF(ISNUMBER(SEARCH("basket",F2050)),"Basket", IF(ISNUMBER(SEARCH("lunch",F2050)),"Lunch Box", IF(ISNUMBER(SEARCH("cutlery",F2050)),"Cutlery","Other")))))</f>
        <v>0</v>
      </c>
      <c r="I2050">
        <f>IF('Raw Data'!G2050&lt;&gt;'','Raw Data'!G2050,IFERROR(MID(F2050,SEARCH("MODEL",F2050)+6,20),""))</f>
        <v>0</v>
      </c>
      <c r="J2050">
        <f>'Raw Data'!H2050</f>
        <v>0</v>
      </c>
      <c r="K2050">
        <f>'Raw Data'!I2050</f>
        <v>0</v>
      </c>
      <c r="L2050">
        <f>IF('Raw Data'!N2050&lt;&gt;0,'Raw Data'!N2050,IFERROR(VALUE(MID(F2050,SEARCH("QTY",F2050)+4,IFERROR(FIND(" ",F2050,SEARCH("QTY",F2050)+4)-(SEARCH("QTY",F2050)+4),3))),""))</f>
        <v>0</v>
      </c>
      <c r="M2050">
        <f>'Raw Data'!O2050</f>
        <v>0</v>
      </c>
      <c r="N2050">
        <f>'Raw Data'!P2050</f>
        <v>0</v>
      </c>
      <c r="O2050">
        <f>'Raw Data'!Q2050</f>
        <v>0</v>
      </c>
      <c r="P2050">
        <f>'Raw Data'!R2050</f>
        <v>0</v>
      </c>
      <c r="Q2050">
        <f>'Raw Data'!S2050</f>
        <v>0</v>
      </c>
      <c r="R2050">
        <f>'Raw Data'!T2050</f>
        <v>0</v>
      </c>
      <c r="S2050">
        <f>IFERROR(O2050,0)+IFERROR(R2050,0)</f>
        <v>0</v>
      </c>
      <c r="T2050">
        <f>IF(A2050="","",YEAR(A2050))</f>
        <v>0</v>
      </c>
    </row>
    <row r="2051" spans="1:20">
      <c r="A2051">
        <f>'Raw Data'!B2051</f>
        <v>0</v>
      </c>
      <c r="B2051">
        <f>'Raw Data'!A2051</f>
        <v>0</v>
      </c>
      <c r="C2051">
        <f>'Raw Data'!C2051</f>
        <v>0</v>
      </c>
      <c r="D2051">
        <f>'Raw Data'!D2051</f>
        <v>0</v>
      </c>
      <c r="E2051">
        <f>IFERROR(VLOOKUP(D2051,'Lookup Tables'!$A:$B,2,FALSE),"Unknown")</f>
        <v>0</v>
      </c>
      <c r="F2051">
        <f>'Raw Data'!E2051</f>
        <v>0</v>
      </c>
      <c r="G2051">
        <f>IFERROR(VLOOKUP(D2051,'Lookup Tables'!$A:$C,3,FALSE),IF(ISNUMBER(SEARCH("STEEL",F2051)),"Steel","Others"))</f>
        <v>0</v>
      </c>
      <c r="H2051">
        <f>IF(ISNUMBER(SEARCH("scrubber",F2051)) , "Scrubber", IF(ISNUMBER(SEARCH("container",F2051)),"Container", IF(ISNUMBER(SEARCH("basket",F2051)),"Basket", IF(ISNUMBER(SEARCH("lunch",F2051)),"Lunch Box", IF(ISNUMBER(SEARCH("cutlery",F2051)),"Cutlery","Other")))))</f>
        <v>0</v>
      </c>
      <c r="I2051">
        <f>IF('Raw Data'!G2051&lt;&gt;'','Raw Data'!G2051,IFERROR(MID(F2051,SEARCH("MODEL",F2051)+6,20),""))</f>
        <v>0</v>
      </c>
      <c r="J2051">
        <f>'Raw Data'!H2051</f>
        <v>0</v>
      </c>
      <c r="K2051">
        <f>'Raw Data'!I2051</f>
        <v>0</v>
      </c>
      <c r="L2051">
        <f>IF('Raw Data'!N2051&lt;&gt;0,'Raw Data'!N2051,IFERROR(VALUE(MID(F2051,SEARCH("QTY",F2051)+4,IFERROR(FIND(" ",F2051,SEARCH("QTY",F2051)+4)-(SEARCH("QTY",F2051)+4),3))),""))</f>
        <v>0</v>
      </c>
      <c r="M2051">
        <f>'Raw Data'!O2051</f>
        <v>0</v>
      </c>
      <c r="N2051">
        <f>'Raw Data'!P2051</f>
        <v>0</v>
      </c>
      <c r="O2051">
        <f>'Raw Data'!Q2051</f>
        <v>0</v>
      </c>
      <c r="P2051">
        <f>'Raw Data'!R2051</f>
        <v>0</v>
      </c>
      <c r="Q2051">
        <f>'Raw Data'!S2051</f>
        <v>0</v>
      </c>
      <c r="R2051">
        <f>'Raw Data'!T2051</f>
        <v>0</v>
      </c>
      <c r="S2051">
        <f>IFERROR(O2051,0)+IFERROR(R2051,0)</f>
        <v>0</v>
      </c>
      <c r="T2051">
        <f>IF(A2051="","",YEAR(A2051))</f>
        <v>0</v>
      </c>
    </row>
    <row r="2052" spans="1:20">
      <c r="A2052">
        <f>'Raw Data'!B2052</f>
        <v>0</v>
      </c>
      <c r="B2052">
        <f>'Raw Data'!A2052</f>
        <v>0</v>
      </c>
      <c r="C2052">
        <f>'Raw Data'!C2052</f>
        <v>0</v>
      </c>
      <c r="D2052">
        <f>'Raw Data'!D2052</f>
        <v>0</v>
      </c>
      <c r="E2052">
        <f>IFERROR(VLOOKUP(D2052,'Lookup Tables'!$A:$B,2,FALSE),"Unknown")</f>
        <v>0</v>
      </c>
      <c r="F2052">
        <f>'Raw Data'!E2052</f>
        <v>0</v>
      </c>
      <c r="G2052">
        <f>IFERROR(VLOOKUP(D2052,'Lookup Tables'!$A:$C,3,FALSE),IF(ISNUMBER(SEARCH("STEEL",F2052)),"Steel","Others"))</f>
        <v>0</v>
      </c>
      <c r="H2052">
        <f>IF(ISNUMBER(SEARCH("scrubber",F2052)) , "Scrubber", IF(ISNUMBER(SEARCH("container",F2052)),"Container", IF(ISNUMBER(SEARCH("basket",F2052)),"Basket", IF(ISNUMBER(SEARCH("lunch",F2052)),"Lunch Box", IF(ISNUMBER(SEARCH("cutlery",F2052)),"Cutlery","Other")))))</f>
        <v>0</v>
      </c>
      <c r="I2052">
        <f>IF('Raw Data'!G2052&lt;&gt;'','Raw Data'!G2052,IFERROR(MID(F2052,SEARCH("MODEL",F2052)+6,20),""))</f>
        <v>0</v>
      </c>
      <c r="J2052">
        <f>'Raw Data'!H2052</f>
        <v>0</v>
      </c>
      <c r="K2052">
        <f>'Raw Data'!I2052</f>
        <v>0</v>
      </c>
      <c r="L2052">
        <f>IF('Raw Data'!N2052&lt;&gt;0,'Raw Data'!N2052,IFERROR(VALUE(MID(F2052,SEARCH("QTY",F2052)+4,IFERROR(FIND(" ",F2052,SEARCH("QTY",F2052)+4)-(SEARCH("QTY",F2052)+4),3))),""))</f>
        <v>0</v>
      </c>
      <c r="M2052">
        <f>'Raw Data'!O2052</f>
        <v>0</v>
      </c>
      <c r="N2052">
        <f>'Raw Data'!P2052</f>
        <v>0</v>
      </c>
      <c r="O2052">
        <f>'Raw Data'!Q2052</f>
        <v>0</v>
      </c>
      <c r="P2052">
        <f>'Raw Data'!R2052</f>
        <v>0</v>
      </c>
      <c r="Q2052">
        <f>'Raw Data'!S2052</f>
        <v>0</v>
      </c>
      <c r="R2052">
        <f>'Raw Data'!T2052</f>
        <v>0</v>
      </c>
      <c r="S2052">
        <f>IFERROR(O2052,0)+IFERROR(R2052,0)</f>
        <v>0</v>
      </c>
      <c r="T2052">
        <f>IF(A2052="","",YEAR(A2052))</f>
        <v>0</v>
      </c>
    </row>
    <row r="2053" spans="1:20">
      <c r="A2053">
        <f>'Raw Data'!B2053</f>
        <v>0</v>
      </c>
      <c r="B2053">
        <f>'Raw Data'!A2053</f>
        <v>0</v>
      </c>
      <c r="C2053">
        <f>'Raw Data'!C2053</f>
        <v>0</v>
      </c>
      <c r="D2053">
        <f>'Raw Data'!D2053</f>
        <v>0</v>
      </c>
      <c r="E2053">
        <f>IFERROR(VLOOKUP(D2053,'Lookup Tables'!$A:$B,2,FALSE),"Unknown")</f>
        <v>0</v>
      </c>
      <c r="F2053">
        <f>'Raw Data'!E2053</f>
        <v>0</v>
      </c>
      <c r="G2053">
        <f>IFERROR(VLOOKUP(D2053,'Lookup Tables'!$A:$C,3,FALSE),IF(ISNUMBER(SEARCH("STEEL",F2053)),"Steel","Others"))</f>
        <v>0</v>
      </c>
      <c r="H2053">
        <f>IF(ISNUMBER(SEARCH("scrubber",F2053)) , "Scrubber", IF(ISNUMBER(SEARCH("container",F2053)),"Container", IF(ISNUMBER(SEARCH("basket",F2053)),"Basket", IF(ISNUMBER(SEARCH("lunch",F2053)),"Lunch Box", IF(ISNUMBER(SEARCH("cutlery",F2053)),"Cutlery","Other")))))</f>
        <v>0</v>
      </c>
      <c r="I2053">
        <f>IF('Raw Data'!G2053&lt;&gt;'','Raw Data'!G2053,IFERROR(MID(F2053,SEARCH("MODEL",F2053)+6,20),""))</f>
        <v>0</v>
      </c>
      <c r="J2053">
        <f>'Raw Data'!H2053</f>
        <v>0</v>
      </c>
      <c r="K2053">
        <f>'Raw Data'!I2053</f>
        <v>0</v>
      </c>
      <c r="L2053">
        <f>IF('Raw Data'!N2053&lt;&gt;0,'Raw Data'!N2053,IFERROR(VALUE(MID(F2053,SEARCH("QTY",F2053)+4,IFERROR(FIND(" ",F2053,SEARCH("QTY",F2053)+4)-(SEARCH("QTY",F2053)+4),3))),""))</f>
        <v>0</v>
      </c>
      <c r="M2053">
        <f>'Raw Data'!O2053</f>
        <v>0</v>
      </c>
      <c r="N2053">
        <f>'Raw Data'!P2053</f>
        <v>0</v>
      </c>
      <c r="O2053">
        <f>'Raw Data'!Q2053</f>
        <v>0</v>
      </c>
      <c r="P2053">
        <f>'Raw Data'!R2053</f>
        <v>0</v>
      </c>
      <c r="Q2053">
        <f>'Raw Data'!S2053</f>
        <v>0</v>
      </c>
      <c r="R2053">
        <f>'Raw Data'!T2053</f>
        <v>0</v>
      </c>
      <c r="S2053">
        <f>IFERROR(O2053,0)+IFERROR(R2053,0)</f>
        <v>0</v>
      </c>
      <c r="T2053">
        <f>IF(A2053="","",YEAR(A2053))</f>
        <v>0</v>
      </c>
    </row>
    <row r="2054" spans="1:20">
      <c r="A2054">
        <f>'Raw Data'!B2054</f>
        <v>0</v>
      </c>
      <c r="B2054">
        <f>'Raw Data'!A2054</f>
        <v>0</v>
      </c>
      <c r="C2054">
        <f>'Raw Data'!C2054</f>
        <v>0</v>
      </c>
      <c r="D2054">
        <f>'Raw Data'!D2054</f>
        <v>0</v>
      </c>
      <c r="E2054">
        <f>IFERROR(VLOOKUP(D2054,'Lookup Tables'!$A:$B,2,FALSE),"Unknown")</f>
        <v>0</v>
      </c>
      <c r="F2054">
        <f>'Raw Data'!E2054</f>
        <v>0</v>
      </c>
      <c r="G2054">
        <f>IFERROR(VLOOKUP(D2054,'Lookup Tables'!$A:$C,3,FALSE),IF(ISNUMBER(SEARCH("STEEL",F2054)),"Steel","Others"))</f>
        <v>0</v>
      </c>
      <c r="H2054">
        <f>IF(ISNUMBER(SEARCH("scrubber",F2054)) , "Scrubber", IF(ISNUMBER(SEARCH("container",F2054)),"Container", IF(ISNUMBER(SEARCH("basket",F2054)),"Basket", IF(ISNUMBER(SEARCH("lunch",F2054)),"Lunch Box", IF(ISNUMBER(SEARCH("cutlery",F2054)),"Cutlery","Other")))))</f>
        <v>0</v>
      </c>
      <c r="I2054">
        <f>IF('Raw Data'!G2054&lt;&gt;'','Raw Data'!G2054,IFERROR(MID(F2054,SEARCH("MODEL",F2054)+6,20),""))</f>
        <v>0</v>
      </c>
      <c r="J2054">
        <f>'Raw Data'!H2054</f>
        <v>0</v>
      </c>
      <c r="K2054">
        <f>'Raw Data'!I2054</f>
        <v>0</v>
      </c>
      <c r="L2054">
        <f>IF('Raw Data'!N2054&lt;&gt;0,'Raw Data'!N2054,IFERROR(VALUE(MID(F2054,SEARCH("QTY",F2054)+4,IFERROR(FIND(" ",F2054,SEARCH("QTY",F2054)+4)-(SEARCH("QTY",F2054)+4),3))),""))</f>
        <v>0</v>
      </c>
      <c r="M2054">
        <f>'Raw Data'!O2054</f>
        <v>0</v>
      </c>
      <c r="N2054">
        <f>'Raw Data'!P2054</f>
        <v>0</v>
      </c>
      <c r="O2054">
        <f>'Raw Data'!Q2054</f>
        <v>0</v>
      </c>
      <c r="P2054">
        <f>'Raw Data'!R2054</f>
        <v>0</v>
      </c>
      <c r="Q2054">
        <f>'Raw Data'!S2054</f>
        <v>0</v>
      </c>
      <c r="R2054">
        <f>'Raw Data'!T2054</f>
        <v>0</v>
      </c>
      <c r="S2054">
        <f>IFERROR(O2054,0)+IFERROR(R2054,0)</f>
        <v>0</v>
      </c>
      <c r="T2054">
        <f>IF(A2054="","",YEAR(A2054))</f>
        <v>0</v>
      </c>
    </row>
    <row r="2055" spans="1:20">
      <c r="A2055">
        <f>'Raw Data'!B2055</f>
        <v>0</v>
      </c>
      <c r="B2055">
        <f>'Raw Data'!A2055</f>
        <v>0</v>
      </c>
      <c r="C2055">
        <f>'Raw Data'!C2055</f>
        <v>0</v>
      </c>
      <c r="D2055">
        <f>'Raw Data'!D2055</f>
        <v>0</v>
      </c>
      <c r="E2055">
        <f>IFERROR(VLOOKUP(D2055,'Lookup Tables'!$A:$B,2,FALSE),"Unknown")</f>
        <v>0</v>
      </c>
      <c r="F2055">
        <f>'Raw Data'!E2055</f>
        <v>0</v>
      </c>
      <c r="G2055">
        <f>IFERROR(VLOOKUP(D2055,'Lookup Tables'!$A:$C,3,FALSE),IF(ISNUMBER(SEARCH("STEEL",F2055)),"Steel","Others"))</f>
        <v>0</v>
      </c>
      <c r="H2055">
        <f>IF(ISNUMBER(SEARCH("scrubber",F2055)) , "Scrubber", IF(ISNUMBER(SEARCH("container",F2055)),"Container", IF(ISNUMBER(SEARCH("basket",F2055)),"Basket", IF(ISNUMBER(SEARCH("lunch",F2055)),"Lunch Box", IF(ISNUMBER(SEARCH("cutlery",F2055)),"Cutlery","Other")))))</f>
        <v>0</v>
      </c>
      <c r="I2055">
        <f>IF('Raw Data'!G2055&lt;&gt;'','Raw Data'!G2055,IFERROR(MID(F2055,SEARCH("MODEL",F2055)+6,20),""))</f>
        <v>0</v>
      </c>
      <c r="J2055">
        <f>'Raw Data'!H2055</f>
        <v>0</v>
      </c>
      <c r="K2055">
        <f>'Raw Data'!I2055</f>
        <v>0</v>
      </c>
      <c r="L2055">
        <f>IF('Raw Data'!N2055&lt;&gt;0,'Raw Data'!N2055,IFERROR(VALUE(MID(F2055,SEARCH("QTY",F2055)+4,IFERROR(FIND(" ",F2055,SEARCH("QTY",F2055)+4)-(SEARCH("QTY",F2055)+4),3))),""))</f>
        <v>0</v>
      </c>
      <c r="M2055">
        <f>'Raw Data'!O2055</f>
        <v>0</v>
      </c>
      <c r="N2055">
        <f>'Raw Data'!P2055</f>
        <v>0</v>
      </c>
      <c r="O2055">
        <f>'Raw Data'!Q2055</f>
        <v>0</v>
      </c>
      <c r="P2055">
        <f>'Raw Data'!R2055</f>
        <v>0</v>
      </c>
      <c r="Q2055">
        <f>'Raw Data'!S2055</f>
        <v>0</v>
      </c>
      <c r="R2055">
        <f>'Raw Data'!T2055</f>
        <v>0</v>
      </c>
      <c r="S2055">
        <f>IFERROR(O2055,0)+IFERROR(R2055,0)</f>
        <v>0</v>
      </c>
      <c r="T2055">
        <f>IF(A2055="","",YEAR(A2055))</f>
        <v>0</v>
      </c>
    </row>
    <row r="2056" spans="1:20">
      <c r="A2056">
        <f>'Raw Data'!B2056</f>
        <v>0</v>
      </c>
      <c r="B2056">
        <f>'Raw Data'!A2056</f>
        <v>0</v>
      </c>
      <c r="C2056">
        <f>'Raw Data'!C2056</f>
        <v>0</v>
      </c>
      <c r="D2056">
        <f>'Raw Data'!D2056</f>
        <v>0</v>
      </c>
      <c r="E2056">
        <f>IFERROR(VLOOKUP(D2056,'Lookup Tables'!$A:$B,2,FALSE),"Unknown")</f>
        <v>0</v>
      </c>
      <c r="F2056">
        <f>'Raw Data'!E2056</f>
        <v>0</v>
      </c>
      <c r="G2056">
        <f>IFERROR(VLOOKUP(D2056,'Lookup Tables'!$A:$C,3,FALSE),IF(ISNUMBER(SEARCH("STEEL",F2056)),"Steel","Others"))</f>
        <v>0</v>
      </c>
      <c r="H2056">
        <f>IF(ISNUMBER(SEARCH("scrubber",F2056)) , "Scrubber", IF(ISNUMBER(SEARCH("container",F2056)),"Container", IF(ISNUMBER(SEARCH("basket",F2056)),"Basket", IF(ISNUMBER(SEARCH("lunch",F2056)),"Lunch Box", IF(ISNUMBER(SEARCH("cutlery",F2056)),"Cutlery","Other")))))</f>
        <v>0</v>
      </c>
      <c r="I2056">
        <f>IF('Raw Data'!G2056&lt;&gt;'','Raw Data'!G2056,IFERROR(MID(F2056,SEARCH("MODEL",F2056)+6,20),""))</f>
        <v>0</v>
      </c>
      <c r="J2056">
        <f>'Raw Data'!H2056</f>
        <v>0</v>
      </c>
      <c r="K2056">
        <f>'Raw Data'!I2056</f>
        <v>0</v>
      </c>
      <c r="L2056">
        <f>IF('Raw Data'!N2056&lt;&gt;0,'Raw Data'!N2056,IFERROR(VALUE(MID(F2056,SEARCH("QTY",F2056)+4,IFERROR(FIND(" ",F2056,SEARCH("QTY",F2056)+4)-(SEARCH("QTY",F2056)+4),3))),""))</f>
        <v>0</v>
      </c>
      <c r="M2056">
        <f>'Raw Data'!O2056</f>
        <v>0</v>
      </c>
      <c r="N2056">
        <f>'Raw Data'!P2056</f>
        <v>0</v>
      </c>
      <c r="O2056">
        <f>'Raw Data'!Q2056</f>
        <v>0</v>
      </c>
      <c r="P2056">
        <f>'Raw Data'!R2056</f>
        <v>0</v>
      </c>
      <c r="Q2056">
        <f>'Raw Data'!S2056</f>
        <v>0</v>
      </c>
      <c r="R2056">
        <f>'Raw Data'!T2056</f>
        <v>0</v>
      </c>
      <c r="S2056">
        <f>IFERROR(O2056,0)+IFERROR(R2056,0)</f>
        <v>0</v>
      </c>
      <c r="T2056">
        <f>IF(A2056="","",YEAR(A2056))</f>
        <v>0</v>
      </c>
    </row>
    <row r="2057" spans="1:20">
      <c r="A2057">
        <f>'Raw Data'!B2057</f>
        <v>0</v>
      </c>
      <c r="B2057">
        <f>'Raw Data'!A2057</f>
        <v>0</v>
      </c>
      <c r="C2057">
        <f>'Raw Data'!C2057</f>
        <v>0</v>
      </c>
      <c r="D2057">
        <f>'Raw Data'!D2057</f>
        <v>0</v>
      </c>
      <c r="E2057">
        <f>IFERROR(VLOOKUP(D2057,'Lookup Tables'!$A:$B,2,FALSE),"Unknown")</f>
        <v>0</v>
      </c>
      <c r="F2057">
        <f>'Raw Data'!E2057</f>
        <v>0</v>
      </c>
      <c r="G2057">
        <f>IFERROR(VLOOKUP(D2057,'Lookup Tables'!$A:$C,3,FALSE),IF(ISNUMBER(SEARCH("STEEL",F2057)),"Steel","Others"))</f>
        <v>0</v>
      </c>
      <c r="H2057">
        <f>IF(ISNUMBER(SEARCH("scrubber",F2057)) , "Scrubber", IF(ISNUMBER(SEARCH("container",F2057)),"Container", IF(ISNUMBER(SEARCH("basket",F2057)),"Basket", IF(ISNUMBER(SEARCH("lunch",F2057)),"Lunch Box", IF(ISNUMBER(SEARCH("cutlery",F2057)),"Cutlery","Other")))))</f>
        <v>0</v>
      </c>
      <c r="I2057">
        <f>IF('Raw Data'!G2057&lt;&gt;'','Raw Data'!G2057,IFERROR(MID(F2057,SEARCH("MODEL",F2057)+6,20),""))</f>
        <v>0</v>
      </c>
      <c r="J2057">
        <f>'Raw Data'!H2057</f>
        <v>0</v>
      </c>
      <c r="K2057">
        <f>'Raw Data'!I2057</f>
        <v>0</v>
      </c>
      <c r="L2057">
        <f>IF('Raw Data'!N2057&lt;&gt;0,'Raw Data'!N2057,IFERROR(VALUE(MID(F2057,SEARCH("QTY",F2057)+4,IFERROR(FIND(" ",F2057,SEARCH("QTY",F2057)+4)-(SEARCH("QTY",F2057)+4),3))),""))</f>
        <v>0</v>
      </c>
      <c r="M2057">
        <f>'Raw Data'!O2057</f>
        <v>0</v>
      </c>
      <c r="N2057">
        <f>'Raw Data'!P2057</f>
        <v>0</v>
      </c>
      <c r="O2057">
        <f>'Raw Data'!Q2057</f>
        <v>0</v>
      </c>
      <c r="P2057">
        <f>'Raw Data'!R2057</f>
        <v>0</v>
      </c>
      <c r="Q2057">
        <f>'Raw Data'!S2057</f>
        <v>0</v>
      </c>
      <c r="R2057">
        <f>'Raw Data'!T2057</f>
        <v>0</v>
      </c>
      <c r="S2057">
        <f>IFERROR(O2057,0)+IFERROR(R2057,0)</f>
        <v>0</v>
      </c>
      <c r="T2057">
        <f>IF(A2057="","",YEAR(A2057))</f>
        <v>0</v>
      </c>
    </row>
    <row r="2058" spans="1:20">
      <c r="A2058">
        <f>'Raw Data'!B2058</f>
        <v>0</v>
      </c>
      <c r="B2058">
        <f>'Raw Data'!A2058</f>
        <v>0</v>
      </c>
      <c r="C2058">
        <f>'Raw Data'!C2058</f>
        <v>0</v>
      </c>
      <c r="D2058">
        <f>'Raw Data'!D2058</f>
        <v>0</v>
      </c>
      <c r="E2058">
        <f>IFERROR(VLOOKUP(D2058,'Lookup Tables'!$A:$B,2,FALSE),"Unknown")</f>
        <v>0</v>
      </c>
      <c r="F2058">
        <f>'Raw Data'!E2058</f>
        <v>0</v>
      </c>
      <c r="G2058">
        <f>IFERROR(VLOOKUP(D2058,'Lookup Tables'!$A:$C,3,FALSE),IF(ISNUMBER(SEARCH("STEEL",F2058)),"Steel","Others"))</f>
        <v>0</v>
      </c>
      <c r="H2058">
        <f>IF(ISNUMBER(SEARCH("scrubber",F2058)) , "Scrubber", IF(ISNUMBER(SEARCH("container",F2058)),"Container", IF(ISNUMBER(SEARCH("basket",F2058)),"Basket", IF(ISNUMBER(SEARCH("lunch",F2058)),"Lunch Box", IF(ISNUMBER(SEARCH("cutlery",F2058)),"Cutlery","Other")))))</f>
        <v>0</v>
      </c>
      <c r="I2058">
        <f>IF('Raw Data'!G2058&lt;&gt;'','Raw Data'!G2058,IFERROR(MID(F2058,SEARCH("MODEL",F2058)+6,20),""))</f>
        <v>0</v>
      </c>
      <c r="J2058">
        <f>'Raw Data'!H2058</f>
        <v>0</v>
      </c>
      <c r="K2058">
        <f>'Raw Data'!I2058</f>
        <v>0</v>
      </c>
      <c r="L2058">
        <f>IF('Raw Data'!N2058&lt;&gt;0,'Raw Data'!N2058,IFERROR(VALUE(MID(F2058,SEARCH("QTY",F2058)+4,IFERROR(FIND(" ",F2058,SEARCH("QTY",F2058)+4)-(SEARCH("QTY",F2058)+4),3))),""))</f>
        <v>0</v>
      </c>
      <c r="M2058">
        <f>'Raw Data'!O2058</f>
        <v>0</v>
      </c>
      <c r="N2058">
        <f>'Raw Data'!P2058</f>
        <v>0</v>
      </c>
      <c r="O2058">
        <f>'Raw Data'!Q2058</f>
        <v>0</v>
      </c>
      <c r="P2058">
        <f>'Raw Data'!R2058</f>
        <v>0</v>
      </c>
      <c r="Q2058">
        <f>'Raw Data'!S2058</f>
        <v>0</v>
      </c>
      <c r="R2058">
        <f>'Raw Data'!T2058</f>
        <v>0</v>
      </c>
      <c r="S2058">
        <f>IFERROR(O2058,0)+IFERROR(R2058,0)</f>
        <v>0</v>
      </c>
      <c r="T2058">
        <f>IF(A2058="","",YEAR(A2058))</f>
        <v>0</v>
      </c>
    </row>
    <row r="2059" spans="1:20">
      <c r="A2059">
        <f>'Raw Data'!B2059</f>
        <v>0</v>
      </c>
      <c r="B2059">
        <f>'Raw Data'!A2059</f>
        <v>0</v>
      </c>
      <c r="C2059">
        <f>'Raw Data'!C2059</f>
        <v>0</v>
      </c>
      <c r="D2059">
        <f>'Raw Data'!D2059</f>
        <v>0</v>
      </c>
      <c r="E2059">
        <f>IFERROR(VLOOKUP(D2059,'Lookup Tables'!$A:$B,2,FALSE),"Unknown")</f>
        <v>0</v>
      </c>
      <c r="F2059">
        <f>'Raw Data'!E2059</f>
        <v>0</v>
      </c>
      <c r="G2059">
        <f>IFERROR(VLOOKUP(D2059,'Lookup Tables'!$A:$C,3,FALSE),IF(ISNUMBER(SEARCH("STEEL",F2059)),"Steel","Others"))</f>
        <v>0</v>
      </c>
      <c r="H2059">
        <f>IF(ISNUMBER(SEARCH("scrubber",F2059)) , "Scrubber", IF(ISNUMBER(SEARCH("container",F2059)),"Container", IF(ISNUMBER(SEARCH("basket",F2059)),"Basket", IF(ISNUMBER(SEARCH("lunch",F2059)),"Lunch Box", IF(ISNUMBER(SEARCH("cutlery",F2059)),"Cutlery","Other")))))</f>
        <v>0</v>
      </c>
      <c r="I2059">
        <f>IF('Raw Data'!G2059&lt;&gt;'','Raw Data'!G2059,IFERROR(MID(F2059,SEARCH("MODEL",F2059)+6,20),""))</f>
        <v>0</v>
      </c>
      <c r="J2059">
        <f>'Raw Data'!H2059</f>
        <v>0</v>
      </c>
      <c r="K2059">
        <f>'Raw Data'!I2059</f>
        <v>0</v>
      </c>
      <c r="L2059">
        <f>IF('Raw Data'!N2059&lt;&gt;0,'Raw Data'!N2059,IFERROR(VALUE(MID(F2059,SEARCH("QTY",F2059)+4,IFERROR(FIND(" ",F2059,SEARCH("QTY",F2059)+4)-(SEARCH("QTY",F2059)+4),3))),""))</f>
        <v>0</v>
      </c>
      <c r="M2059">
        <f>'Raw Data'!O2059</f>
        <v>0</v>
      </c>
      <c r="N2059">
        <f>'Raw Data'!P2059</f>
        <v>0</v>
      </c>
      <c r="O2059">
        <f>'Raw Data'!Q2059</f>
        <v>0</v>
      </c>
      <c r="P2059">
        <f>'Raw Data'!R2059</f>
        <v>0</v>
      </c>
      <c r="Q2059">
        <f>'Raw Data'!S2059</f>
        <v>0</v>
      </c>
      <c r="R2059">
        <f>'Raw Data'!T2059</f>
        <v>0</v>
      </c>
      <c r="S2059">
        <f>IFERROR(O2059,0)+IFERROR(R2059,0)</f>
        <v>0</v>
      </c>
      <c r="T2059">
        <f>IF(A2059="","",YEAR(A2059))</f>
        <v>0</v>
      </c>
    </row>
    <row r="2060" spans="1:20">
      <c r="A2060">
        <f>'Raw Data'!B2060</f>
        <v>0</v>
      </c>
      <c r="B2060">
        <f>'Raw Data'!A2060</f>
        <v>0</v>
      </c>
      <c r="C2060">
        <f>'Raw Data'!C2060</f>
        <v>0</v>
      </c>
      <c r="D2060">
        <f>'Raw Data'!D2060</f>
        <v>0</v>
      </c>
      <c r="E2060">
        <f>IFERROR(VLOOKUP(D2060,'Lookup Tables'!$A:$B,2,FALSE),"Unknown")</f>
        <v>0</v>
      </c>
      <c r="F2060">
        <f>'Raw Data'!E2060</f>
        <v>0</v>
      </c>
      <c r="G2060">
        <f>IFERROR(VLOOKUP(D2060,'Lookup Tables'!$A:$C,3,FALSE),IF(ISNUMBER(SEARCH("STEEL",F2060)),"Steel","Others"))</f>
        <v>0</v>
      </c>
      <c r="H2060">
        <f>IF(ISNUMBER(SEARCH("scrubber",F2060)) , "Scrubber", IF(ISNUMBER(SEARCH("container",F2060)),"Container", IF(ISNUMBER(SEARCH("basket",F2060)),"Basket", IF(ISNUMBER(SEARCH("lunch",F2060)),"Lunch Box", IF(ISNUMBER(SEARCH("cutlery",F2060)),"Cutlery","Other")))))</f>
        <v>0</v>
      </c>
      <c r="I2060">
        <f>IF('Raw Data'!G2060&lt;&gt;'','Raw Data'!G2060,IFERROR(MID(F2060,SEARCH("MODEL",F2060)+6,20),""))</f>
        <v>0</v>
      </c>
      <c r="J2060">
        <f>'Raw Data'!H2060</f>
        <v>0</v>
      </c>
      <c r="K2060">
        <f>'Raw Data'!I2060</f>
        <v>0</v>
      </c>
      <c r="L2060">
        <f>IF('Raw Data'!N2060&lt;&gt;0,'Raw Data'!N2060,IFERROR(VALUE(MID(F2060,SEARCH("QTY",F2060)+4,IFERROR(FIND(" ",F2060,SEARCH("QTY",F2060)+4)-(SEARCH("QTY",F2060)+4),3))),""))</f>
        <v>0</v>
      </c>
      <c r="M2060">
        <f>'Raw Data'!O2060</f>
        <v>0</v>
      </c>
      <c r="N2060">
        <f>'Raw Data'!P2060</f>
        <v>0</v>
      </c>
      <c r="O2060">
        <f>'Raw Data'!Q2060</f>
        <v>0</v>
      </c>
      <c r="P2060">
        <f>'Raw Data'!R2060</f>
        <v>0</v>
      </c>
      <c r="Q2060">
        <f>'Raw Data'!S2060</f>
        <v>0</v>
      </c>
      <c r="R2060">
        <f>'Raw Data'!T2060</f>
        <v>0</v>
      </c>
      <c r="S2060">
        <f>IFERROR(O2060,0)+IFERROR(R2060,0)</f>
        <v>0</v>
      </c>
      <c r="T2060">
        <f>IF(A2060="","",YEAR(A2060))</f>
        <v>0</v>
      </c>
    </row>
    <row r="2061" spans="1:20">
      <c r="A2061">
        <f>'Raw Data'!B2061</f>
        <v>0</v>
      </c>
      <c r="B2061">
        <f>'Raw Data'!A2061</f>
        <v>0</v>
      </c>
      <c r="C2061">
        <f>'Raw Data'!C2061</f>
        <v>0</v>
      </c>
      <c r="D2061">
        <f>'Raw Data'!D2061</f>
        <v>0</v>
      </c>
      <c r="E2061">
        <f>IFERROR(VLOOKUP(D2061,'Lookup Tables'!$A:$B,2,FALSE),"Unknown")</f>
        <v>0</v>
      </c>
      <c r="F2061">
        <f>'Raw Data'!E2061</f>
        <v>0</v>
      </c>
      <c r="G2061">
        <f>IFERROR(VLOOKUP(D2061,'Lookup Tables'!$A:$C,3,FALSE),IF(ISNUMBER(SEARCH("STEEL",F2061)),"Steel","Others"))</f>
        <v>0</v>
      </c>
      <c r="H2061">
        <f>IF(ISNUMBER(SEARCH("scrubber",F2061)) , "Scrubber", IF(ISNUMBER(SEARCH("container",F2061)),"Container", IF(ISNUMBER(SEARCH("basket",F2061)),"Basket", IF(ISNUMBER(SEARCH("lunch",F2061)),"Lunch Box", IF(ISNUMBER(SEARCH("cutlery",F2061)),"Cutlery","Other")))))</f>
        <v>0</v>
      </c>
      <c r="I2061">
        <f>IF('Raw Data'!G2061&lt;&gt;'','Raw Data'!G2061,IFERROR(MID(F2061,SEARCH("MODEL",F2061)+6,20),""))</f>
        <v>0</v>
      </c>
      <c r="J2061">
        <f>'Raw Data'!H2061</f>
        <v>0</v>
      </c>
      <c r="K2061">
        <f>'Raw Data'!I2061</f>
        <v>0</v>
      </c>
      <c r="L2061">
        <f>IF('Raw Data'!N2061&lt;&gt;0,'Raw Data'!N2061,IFERROR(VALUE(MID(F2061,SEARCH("QTY",F2061)+4,IFERROR(FIND(" ",F2061,SEARCH("QTY",F2061)+4)-(SEARCH("QTY",F2061)+4),3))),""))</f>
        <v>0</v>
      </c>
      <c r="M2061">
        <f>'Raw Data'!O2061</f>
        <v>0</v>
      </c>
      <c r="N2061">
        <f>'Raw Data'!P2061</f>
        <v>0</v>
      </c>
      <c r="O2061">
        <f>'Raw Data'!Q2061</f>
        <v>0</v>
      </c>
      <c r="P2061">
        <f>'Raw Data'!R2061</f>
        <v>0</v>
      </c>
      <c r="Q2061">
        <f>'Raw Data'!S2061</f>
        <v>0</v>
      </c>
      <c r="R2061">
        <f>'Raw Data'!T2061</f>
        <v>0</v>
      </c>
      <c r="S2061">
        <f>IFERROR(O2061,0)+IFERROR(R2061,0)</f>
        <v>0</v>
      </c>
      <c r="T2061">
        <f>IF(A2061="","",YEAR(A2061))</f>
        <v>0</v>
      </c>
    </row>
    <row r="2062" spans="1:20">
      <c r="A2062">
        <f>'Raw Data'!B2062</f>
        <v>0</v>
      </c>
      <c r="B2062">
        <f>'Raw Data'!A2062</f>
        <v>0</v>
      </c>
      <c r="C2062">
        <f>'Raw Data'!C2062</f>
        <v>0</v>
      </c>
      <c r="D2062">
        <f>'Raw Data'!D2062</f>
        <v>0</v>
      </c>
      <c r="E2062">
        <f>IFERROR(VLOOKUP(D2062,'Lookup Tables'!$A:$B,2,FALSE),"Unknown")</f>
        <v>0</v>
      </c>
      <c r="F2062">
        <f>'Raw Data'!E2062</f>
        <v>0</v>
      </c>
      <c r="G2062">
        <f>IFERROR(VLOOKUP(D2062,'Lookup Tables'!$A:$C,3,FALSE),IF(ISNUMBER(SEARCH("STEEL",F2062)),"Steel","Others"))</f>
        <v>0</v>
      </c>
      <c r="H2062">
        <f>IF(ISNUMBER(SEARCH("scrubber",F2062)) , "Scrubber", IF(ISNUMBER(SEARCH("container",F2062)),"Container", IF(ISNUMBER(SEARCH("basket",F2062)),"Basket", IF(ISNUMBER(SEARCH("lunch",F2062)),"Lunch Box", IF(ISNUMBER(SEARCH("cutlery",F2062)),"Cutlery","Other")))))</f>
        <v>0</v>
      </c>
      <c r="I2062">
        <f>IF('Raw Data'!G2062&lt;&gt;'','Raw Data'!G2062,IFERROR(MID(F2062,SEARCH("MODEL",F2062)+6,20),""))</f>
        <v>0</v>
      </c>
      <c r="J2062">
        <f>'Raw Data'!H2062</f>
        <v>0</v>
      </c>
      <c r="K2062">
        <f>'Raw Data'!I2062</f>
        <v>0</v>
      </c>
      <c r="L2062">
        <f>IF('Raw Data'!N2062&lt;&gt;0,'Raw Data'!N2062,IFERROR(VALUE(MID(F2062,SEARCH("QTY",F2062)+4,IFERROR(FIND(" ",F2062,SEARCH("QTY",F2062)+4)-(SEARCH("QTY",F2062)+4),3))),""))</f>
        <v>0</v>
      </c>
      <c r="M2062">
        <f>'Raw Data'!O2062</f>
        <v>0</v>
      </c>
      <c r="N2062">
        <f>'Raw Data'!P2062</f>
        <v>0</v>
      </c>
      <c r="O2062">
        <f>'Raw Data'!Q2062</f>
        <v>0</v>
      </c>
      <c r="P2062">
        <f>'Raw Data'!R2062</f>
        <v>0</v>
      </c>
      <c r="Q2062">
        <f>'Raw Data'!S2062</f>
        <v>0</v>
      </c>
      <c r="R2062">
        <f>'Raw Data'!T2062</f>
        <v>0</v>
      </c>
      <c r="S2062">
        <f>IFERROR(O2062,0)+IFERROR(R2062,0)</f>
        <v>0</v>
      </c>
      <c r="T2062">
        <f>IF(A2062="","",YEAR(A2062))</f>
        <v>0</v>
      </c>
    </row>
    <row r="2063" spans="1:20">
      <c r="A2063">
        <f>'Raw Data'!B2063</f>
        <v>0</v>
      </c>
      <c r="B2063">
        <f>'Raw Data'!A2063</f>
        <v>0</v>
      </c>
      <c r="C2063">
        <f>'Raw Data'!C2063</f>
        <v>0</v>
      </c>
      <c r="D2063">
        <f>'Raw Data'!D2063</f>
        <v>0</v>
      </c>
      <c r="E2063">
        <f>IFERROR(VLOOKUP(D2063,'Lookup Tables'!$A:$B,2,FALSE),"Unknown")</f>
        <v>0</v>
      </c>
      <c r="F2063">
        <f>'Raw Data'!E2063</f>
        <v>0</v>
      </c>
      <c r="G2063">
        <f>IFERROR(VLOOKUP(D2063,'Lookup Tables'!$A:$C,3,FALSE),IF(ISNUMBER(SEARCH("STEEL",F2063)),"Steel","Others"))</f>
        <v>0</v>
      </c>
      <c r="H2063">
        <f>IF(ISNUMBER(SEARCH("scrubber",F2063)) , "Scrubber", IF(ISNUMBER(SEARCH("container",F2063)),"Container", IF(ISNUMBER(SEARCH("basket",F2063)),"Basket", IF(ISNUMBER(SEARCH("lunch",F2063)),"Lunch Box", IF(ISNUMBER(SEARCH("cutlery",F2063)),"Cutlery","Other")))))</f>
        <v>0</v>
      </c>
      <c r="I2063">
        <f>IF('Raw Data'!G2063&lt;&gt;'','Raw Data'!G2063,IFERROR(MID(F2063,SEARCH("MODEL",F2063)+6,20),""))</f>
        <v>0</v>
      </c>
      <c r="J2063">
        <f>'Raw Data'!H2063</f>
        <v>0</v>
      </c>
      <c r="K2063">
        <f>'Raw Data'!I2063</f>
        <v>0</v>
      </c>
      <c r="L2063">
        <f>IF('Raw Data'!N2063&lt;&gt;0,'Raw Data'!N2063,IFERROR(VALUE(MID(F2063,SEARCH("QTY",F2063)+4,IFERROR(FIND(" ",F2063,SEARCH("QTY",F2063)+4)-(SEARCH("QTY",F2063)+4),3))),""))</f>
        <v>0</v>
      </c>
      <c r="M2063">
        <f>'Raw Data'!O2063</f>
        <v>0</v>
      </c>
      <c r="N2063">
        <f>'Raw Data'!P2063</f>
        <v>0</v>
      </c>
      <c r="O2063">
        <f>'Raw Data'!Q2063</f>
        <v>0</v>
      </c>
      <c r="P2063">
        <f>'Raw Data'!R2063</f>
        <v>0</v>
      </c>
      <c r="Q2063">
        <f>'Raw Data'!S2063</f>
        <v>0</v>
      </c>
      <c r="R2063">
        <f>'Raw Data'!T2063</f>
        <v>0</v>
      </c>
      <c r="S2063">
        <f>IFERROR(O2063,0)+IFERROR(R2063,0)</f>
        <v>0</v>
      </c>
      <c r="T2063">
        <f>IF(A2063="","",YEAR(A2063))</f>
        <v>0</v>
      </c>
    </row>
    <row r="2064" spans="1:20">
      <c r="A2064">
        <f>'Raw Data'!B2064</f>
        <v>0</v>
      </c>
      <c r="B2064">
        <f>'Raw Data'!A2064</f>
        <v>0</v>
      </c>
      <c r="C2064">
        <f>'Raw Data'!C2064</f>
        <v>0</v>
      </c>
      <c r="D2064">
        <f>'Raw Data'!D2064</f>
        <v>0</v>
      </c>
      <c r="E2064">
        <f>IFERROR(VLOOKUP(D2064,'Lookup Tables'!$A:$B,2,FALSE),"Unknown")</f>
        <v>0</v>
      </c>
      <c r="F2064">
        <f>'Raw Data'!E2064</f>
        <v>0</v>
      </c>
      <c r="G2064">
        <f>IFERROR(VLOOKUP(D2064,'Lookup Tables'!$A:$C,3,FALSE),IF(ISNUMBER(SEARCH("STEEL",F2064)),"Steel","Others"))</f>
        <v>0</v>
      </c>
      <c r="H2064">
        <f>IF(ISNUMBER(SEARCH("scrubber",F2064)) , "Scrubber", IF(ISNUMBER(SEARCH("container",F2064)),"Container", IF(ISNUMBER(SEARCH("basket",F2064)),"Basket", IF(ISNUMBER(SEARCH("lunch",F2064)),"Lunch Box", IF(ISNUMBER(SEARCH("cutlery",F2064)),"Cutlery","Other")))))</f>
        <v>0</v>
      </c>
      <c r="I2064">
        <f>IF('Raw Data'!G2064&lt;&gt;'','Raw Data'!G2064,IFERROR(MID(F2064,SEARCH("MODEL",F2064)+6,20),""))</f>
        <v>0</v>
      </c>
      <c r="J2064">
        <f>'Raw Data'!H2064</f>
        <v>0</v>
      </c>
      <c r="K2064">
        <f>'Raw Data'!I2064</f>
        <v>0</v>
      </c>
      <c r="L2064">
        <f>IF('Raw Data'!N2064&lt;&gt;0,'Raw Data'!N2064,IFERROR(VALUE(MID(F2064,SEARCH("QTY",F2064)+4,IFERROR(FIND(" ",F2064,SEARCH("QTY",F2064)+4)-(SEARCH("QTY",F2064)+4),3))),""))</f>
        <v>0</v>
      </c>
      <c r="M2064">
        <f>'Raw Data'!O2064</f>
        <v>0</v>
      </c>
      <c r="N2064">
        <f>'Raw Data'!P2064</f>
        <v>0</v>
      </c>
      <c r="O2064">
        <f>'Raw Data'!Q2064</f>
        <v>0</v>
      </c>
      <c r="P2064">
        <f>'Raw Data'!R2064</f>
        <v>0</v>
      </c>
      <c r="Q2064">
        <f>'Raw Data'!S2064</f>
        <v>0</v>
      </c>
      <c r="R2064">
        <f>'Raw Data'!T2064</f>
        <v>0</v>
      </c>
      <c r="S2064">
        <f>IFERROR(O2064,0)+IFERROR(R2064,0)</f>
        <v>0</v>
      </c>
      <c r="T2064">
        <f>IF(A2064="","",YEAR(A2064))</f>
        <v>0</v>
      </c>
    </row>
    <row r="2065" spans="1:20">
      <c r="A2065">
        <f>'Raw Data'!B2065</f>
        <v>0</v>
      </c>
      <c r="B2065">
        <f>'Raw Data'!A2065</f>
        <v>0</v>
      </c>
      <c r="C2065">
        <f>'Raw Data'!C2065</f>
        <v>0</v>
      </c>
      <c r="D2065">
        <f>'Raw Data'!D2065</f>
        <v>0</v>
      </c>
      <c r="E2065">
        <f>IFERROR(VLOOKUP(D2065,'Lookup Tables'!$A:$B,2,FALSE),"Unknown")</f>
        <v>0</v>
      </c>
      <c r="F2065">
        <f>'Raw Data'!E2065</f>
        <v>0</v>
      </c>
      <c r="G2065">
        <f>IFERROR(VLOOKUP(D2065,'Lookup Tables'!$A:$C,3,FALSE),IF(ISNUMBER(SEARCH("STEEL",F2065)),"Steel","Others"))</f>
        <v>0</v>
      </c>
      <c r="H2065">
        <f>IF(ISNUMBER(SEARCH("scrubber",F2065)) , "Scrubber", IF(ISNUMBER(SEARCH("container",F2065)),"Container", IF(ISNUMBER(SEARCH("basket",F2065)),"Basket", IF(ISNUMBER(SEARCH("lunch",F2065)),"Lunch Box", IF(ISNUMBER(SEARCH("cutlery",F2065)),"Cutlery","Other")))))</f>
        <v>0</v>
      </c>
      <c r="I2065">
        <f>IF('Raw Data'!G2065&lt;&gt;'','Raw Data'!G2065,IFERROR(MID(F2065,SEARCH("MODEL",F2065)+6,20),""))</f>
        <v>0</v>
      </c>
      <c r="J2065">
        <f>'Raw Data'!H2065</f>
        <v>0</v>
      </c>
      <c r="K2065">
        <f>'Raw Data'!I2065</f>
        <v>0</v>
      </c>
      <c r="L2065">
        <f>IF('Raw Data'!N2065&lt;&gt;0,'Raw Data'!N2065,IFERROR(VALUE(MID(F2065,SEARCH("QTY",F2065)+4,IFERROR(FIND(" ",F2065,SEARCH("QTY",F2065)+4)-(SEARCH("QTY",F2065)+4),3))),""))</f>
        <v>0</v>
      </c>
      <c r="M2065">
        <f>'Raw Data'!O2065</f>
        <v>0</v>
      </c>
      <c r="N2065">
        <f>'Raw Data'!P2065</f>
        <v>0</v>
      </c>
      <c r="O2065">
        <f>'Raw Data'!Q2065</f>
        <v>0</v>
      </c>
      <c r="P2065">
        <f>'Raw Data'!R2065</f>
        <v>0</v>
      </c>
      <c r="Q2065">
        <f>'Raw Data'!S2065</f>
        <v>0</v>
      </c>
      <c r="R2065">
        <f>'Raw Data'!T2065</f>
        <v>0</v>
      </c>
      <c r="S2065">
        <f>IFERROR(O2065,0)+IFERROR(R2065,0)</f>
        <v>0</v>
      </c>
      <c r="T2065">
        <f>IF(A2065="","",YEAR(A2065))</f>
        <v>0</v>
      </c>
    </row>
    <row r="2066" spans="1:20">
      <c r="A2066">
        <f>'Raw Data'!B2066</f>
        <v>0</v>
      </c>
      <c r="B2066">
        <f>'Raw Data'!A2066</f>
        <v>0</v>
      </c>
      <c r="C2066">
        <f>'Raw Data'!C2066</f>
        <v>0</v>
      </c>
      <c r="D2066">
        <f>'Raw Data'!D2066</f>
        <v>0</v>
      </c>
      <c r="E2066">
        <f>IFERROR(VLOOKUP(D2066,'Lookup Tables'!$A:$B,2,FALSE),"Unknown")</f>
        <v>0</v>
      </c>
      <c r="F2066">
        <f>'Raw Data'!E2066</f>
        <v>0</v>
      </c>
      <c r="G2066">
        <f>IFERROR(VLOOKUP(D2066,'Lookup Tables'!$A:$C,3,FALSE),IF(ISNUMBER(SEARCH("STEEL",F2066)),"Steel","Others"))</f>
        <v>0</v>
      </c>
      <c r="H2066">
        <f>IF(ISNUMBER(SEARCH("scrubber",F2066)) , "Scrubber", IF(ISNUMBER(SEARCH("container",F2066)),"Container", IF(ISNUMBER(SEARCH("basket",F2066)),"Basket", IF(ISNUMBER(SEARCH("lunch",F2066)),"Lunch Box", IF(ISNUMBER(SEARCH("cutlery",F2066)),"Cutlery","Other")))))</f>
        <v>0</v>
      </c>
      <c r="I2066">
        <f>IF('Raw Data'!G2066&lt;&gt;'','Raw Data'!G2066,IFERROR(MID(F2066,SEARCH("MODEL",F2066)+6,20),""))</f>
        <v>0</v>
      </c>
      <c r="J2066">
        <f>'Raw Data'!H2066</f>
        <v>0</v>
      </c>
      <c r="K2066">
        <f>'Raw Data'!I2066</f>
        <v>0</v>
      </c>
      <c r="L2066">
        <f>IF('Raw Data'!N2066&lt;&gt;0,'Raw Data'!N2066,IFERROR(VALUE(MID(F2066,SEARCH("QTY",F2066)+4,IFERROR(FIND(" ",F2066,SEARCH("QTY",F2066)+4)-(SEARCH("QTY",F2066)+4),3))),""))</f>
        <v>0</v>
      </c>
      <c r="M2066">
        <f>'Raw Data'!O2066</f>
        <v>0</v>
      </c>
      <c r="N2066">
        <f>'Raw Data'!P2066</f>
        <v>0</v>
      </c>
      <c r="O2066">
        <f>'Raw Data'!Q2066</f>
        <v>0</v>
      </c>
      <c r="P2066">
        <f>'Raw Data'!R2066</f>
        <v>0</v>
      </c>
      <c r="Q2066">
        <f>'Raw Data'!S2066</f>
        <v>0</v>
      </c>
      <c r="R2066">
        <f>'Raw Data'!T2066</f>
        <v>0</v>
      </c>
      <c r="S2066">
        <f>IFERROR(O2066,0)+IFERROR(R2066,0)</f>
        <v>0</v>
      </c>
      <c r="T2066">
        <f>IF(A2066="","",YEAR(A2066))</f>
        <v>0</v>
      </c>
    </row>
    <row r="2067" spans="1:20">
      <c r="A2067">
        <f>'Raw Data'!B2067</f>
        <v>0</v>
      </c>
      <c r="B2067">
        <f>'Raw Data'!A2067</f>
        <v>0</v>
      </c>
      <c r="C2067">
        <f>'Raw Data'!C2067</f>
        <v>0</v>
      </c>
      <c r="D2067">
        <f>'Raw Data'!D2067</f>
        <v>0</v>
      </c>
      <c r="E2067">
        <f>IFERROR(VLOOKUP(D2067,'Lookup Tables'!$A:$B,2,FALSE),"Unknown")</f>
        <v>0</v>
      </c>
      <c r="F2067">
        <f>'Raw Data'!E2067</f>
        <v>0</v>
      </c>
      <c r="G2067">
        <f>IFERROR(VLOOKUP(D2067,'Lookup Tables'!$A:$C,3,FALSE),IF(ISNUMBER(SEARCH("STEEL",F2067)),"Steel","Others"))</f>
        <v>0</v>
      </c>
      <c r="H2067">
        <f>IF(ISNUMBER(SEARCH("scrubber",F2067)) , "Scrubber", IF(ISNUMBER(SEARCH("container",F2067)),"Container", IF(ISNUMBER(SEARCH("basket",F2067)),"Basket", IF(ISNUMBER(SEARCH("lunch",F2067)),"Lunch Box", IF(ISNUMBER(SEARCH("cutlery",F2067)),"Cutlery","Other")))))</f>
        <v>0</v>
      </c>
      <c r="I2067">
        <f>IF('Raw Data'!G2067&lt;&gt;'','Raw Data'!G2067,IFERROR(MID(F2067,SEARCH("MODEL",F2067)+6,20),""))</f>
        <v>0</v>
      </c>
      <c r="J2067">
        <f>'Raw Data'!H2067</f>
        <v>0</v>
      </c>
      <c r="K2067">
        <f>'Raw Data'!I2067</f>
        <v>0</v>
      </c>
      <c r="L2067">
        <f>IF('Raw Data'!N2067&lt;&gt;0,'Raw Data'!N2067,IFERROR(VALUE(MID(F2067,SEARCH("QTY",F2067)+4,IFERROR(FIND(" ",F2067,SEARCH("QTY",F2067)+4)-(SEARCH("QTY",F2067)+4),3))),""))</f>
        <v>0</v>
      </c>
      <c r="M2067">
        <f>'Raw Data'!O2067</f>
        <v>0</v>
      </c>
      <c r="N2067">
        <f>'Raw Data'!P2067</f>
        <v>0</v>
      </c>
      <c r="O2067">
        <f>'Raw Data'!Q2067</f>
        <v>0</v>
      </c>
      <c r="P2067">
        <f>'Raw Data'!R2067</f>
        <v>0</v>
      </c>
      <c r="Q2067">
        <f>'Raw Data'!S2067</f>
        <v>0</v>
      </c>
      <c r="R2067">
        <f>'Raw Data'!T2067</f>
        <v>0</v>
      </c>
      <c r="S2067">
        <f>IFERROR(O2067,0)+IFERROR(R2067,0)</f>
        <v>0</v>
      </c>
      <c r="T2067">
        <f>IF(A2067="","",YEAR(A2067))</f>
        <v>0</v>
      </c>
    </row>
    <row r="2068" spans="1:20">
      <c r="A2068">
        <f>'Raw Data'!B2068</f>
        <v>0</v>
      </c>
      <c r="B2068">
        <f>'Raw Data'!A2068</f>
        <v>0</v>
      </c>
      <c r="C2068">
        <f>'Raw Data'!C2068</f>
        <v>0</v>
      </c>
      <c r="D2068">
        <f>'Raw Data'!D2068</f>
        <v>0</v>
      </c>
      <c r="E2068">
        <f>IFERROR(VLOOKUP(D2068,'Lookup Tables'!$A:$B,2,FALSE),"Unknown")</f>
        <v>0</v>
      </c>
      <c r="F2068">
        <f>'Raw Data'!E2068</f>
        <v>0</v>
      </c>
      <c r="G2068">
        <f>IFERROR(VLOOKUP(D2068,'Lookup Tables'!$A:$C,3,FALSE),IF(ISNUMBER(SEARCH("STEEL",F2068)),"Steel","Others"))</f>
        <v>0</v>
      </c>
      <c r="H2068">
        <f>IF(ISNUMBER(SEARCH("scrubber",F2068)) , "Scrubber", IF(ISNUMBER(SEARCH("container",F2068)),"Container", IF(ISNUMBER(SEARCH("basket",F2068)),"Basket", IF(ISNUMBER(SEARCH("lunch",F2068)),"Lunch Box", IF(ISNUMBER(SEARCH("cutlery",F2068)),"Cutlery","Other")))))</f>
        <v>0</v>
      </c>
      <c r="I2068">
        <f>IF('Raw Data'!G2068&lt;&gt;'','Raw Data'!G2068,IFERROR(MID(F2068,SEARCH("MODEL",F2068)+6,20),""))</f>
        <v>0</v>
      </c>
      <c r="J2068">
        <f>'Raw Data'!H2068</f>
        <v>0</v>
      </c>
      <c r="K2068">
        <f>'Raw Data'!I2068</f>
        <v>0</v>
      </c>
      <c r="L2068">
        <f>IF('Raw Data'!N2068&lt;&gt;0,'Raw Data'!N2068,IFERROR(VALUE(MID(F2068,SEARCH("QTY",F2068)+4,IFERROR(FIND(" ",F2068,SEARCH("QTY",F2068)+4)-(SEARCH("QTY",F2068)+4),3))),""))</f>
        <v>0</v>
      </c>
      <c r="M2068">
        <f>'Raw Data'!O2068</f>
        <v>0</v>
      </c>
      <c r="N2068">
        <f>'Raw Data'!P2068</f>
        <v>0</v>
      </c>
      <c r="O2068">
        <f>'Raw Data'!Q2068</f>
        <v>0</v>
      </c>
      <c r="P2068">
        <f>'Raw Data'!R2068</f>
        <v>0</v>
      </c>
      <c r="Q2068">
        <f>'Raw Data'!S2068</f>
        <v>0</v>
      </c>
      <c r="R2068">
        <f>'Raw Data'!T2068</f>
        <v>0</v>
      </c>
      <c r="S2068">
        <f>IFERROR(O2068,0)+IFERROR(R2068,0)</f>
        <v>0</v>
      </c>
      <c r="T2068">
        <f>IF(A2068="","",YEAR(A2068))</f>
        <v>0</v>
      </c>
    </row>
    <row r="2069" spans="1:20">
      <c r="A2069">
        <f>'Raw Data'!B2069</f>
        <v>0</v>
      </c>
      <c r="B2069">
        <f>'Raw Data'!A2069</f>
        <v>0</v>
      </c>
      <c r="C2069">
        <f>'Raw Data'!C2069</f>
        <v>0</v>
      </c>
      <c r="D2069">
        <f>'Raw Data'!D2069</f>
        <v>0</v>
      </c>
      <c r="E2069">
        <f>IFERROR(VLOOKUP(D2069,'Lookup Tables'!$A:$B,2,FALSE),"Unknown")</f>
        <v>0</v>
      </c>
      <c r="F2069">
        <f>'Raw Data'!E2069</f>
        <v>0</v>
      </c>
      <c r="G2069">
        <f>IFERROR(VLOOKUP(D2069,'Lookup Tables'!$A:$C,3,FALSE),IF(ISNUMBER(SEARCH("STEEL",F2069)),"Steel","Others"))</f>
        <v>0</v>
      </c>
      <c r="H2069">
        <f>IF(ISNUMBER(SEARCH("scrubber",F2069)) , "Scrubber", IF(ISNUMBER(SEARCH("container",F2069)),"Container", IF(ISNUMBER(SEARCH("basket",F2069)),"Basket", IF(ISNUMBER(SEARCH("lunch",F2069)),"Lunch Box", IF(ISNUMBER(SEARCH("cutlery",F2069)),"Cutlery","Other")))))</f>
        <v>0</v>
      </c>
      <c r="I2069">
        <f>IF('Raw Data'!G2069&lt;&gt;'','Raw Data'!G2069,IFERROR(MID(F2069,SEARCH("MODEL",F2069)+6,20),""))</f>
        <v>0</v>
      </c>
      <c r="J2069">
        <f>'Raw Data'!H2069</f>
        <v>0</v>
      </c>
      <c r="K2069">
        <f>'Raw Data'!I2069</f>
        <v>0</v>
      </c>
      <c r="L2069">
        <f>IF('Raw Data'!N2069&lt;&gt;0,'Raw Data'!N2069,IFERROR(VALUE(MID(F2069,SEARCH("QTY",F2069)+4,IFERROR(FIND(" ",F2069,SEARCH("QTY",F2069)+4)-(SEARCH("QTY",F2069)+4),3))),""))</f>
        <v>0</v>
      </c>
      <c r="M2069">
        <f>'Raw Data'!O2069</f>
        <v>0</v>
      </c>
      <c r="N2069">
        <f>'Raw Data'!P2069</f>
        <v>0</v>
      </c>
      <c r="O2069">
        <f>'Raw Data'!Q2069</f>
        <v>0</v>
      </c>
      <c r="P2069">
        <f>'Raw Data'!R2069</f>
        <v>0</v>
      </c>
      <c r="Q2069">
        <f>'Raw Data'!S2069</f>
        <v>0</v>
      </c>
      <c r="R2069">
        <f>'Raw Data'!T2069</f>
        <v>0</v>
      </c>
      <c r="S2069">
        <f>IFERROR(O2069,0)+IFERROR(R2069,0)</f>
        <v>0</v>
      </c>
      <c r="T2069">
        <f>IF(A2069="","",YEAR(A2069))</f>
        <v>0</v>
      </c>
    </row>
    <row r="2070" spans="1:20">
      <c r="A2070">
        <f>'Raw Data'!B2070</f>
        <v>0</v>
      </c>
      <c r="B2070">
        <f>'Raw Data'!A2070</f>
        <v>0</v>
      </c>
      <c r="C2070">
        <f>'Raw Data'!C2070</f>
        <v>0</v>
      </c>
      <c r="D2070">
        <f>'Raw Data'!D2070</f>
        <v>0</v>
      </c>
      <c r="E2070">
        <f>IFERROR(VLOOKUP(D2070,'Lookup Tables'!$A:$B,2,FALSE),"Unknown")</f>
        <v>0</v>
      </c>
      <c r="F2070">
        <f>'Raw Data'!E2070</f>
        <v>0</v>
      </c>
      <c r="G2070">
        <f>IFERROR(VLOOKUP(D2070,'Lookup Tables'!$A:$C,3,FALSE),IF(ISNUMBER(SEARCH("STEEL",F2070)),"Steel","Others"))</f>
        <v>0</v>
      </c>
      <c r="H2070">
        <f>IF(ISNUMBER(SEARCH("scrubber",F2070)) , "Scrubber", IF(ISNUMBER(SEARCH("container",F2070)),"Container", IF(ISNUMBER(SEARCH("basket",F2070)),"Basket", IF(ISNUMBER(SEARCH("lunch",F2070)),"Lunch Box", IF(ISNUMBER(SEARCH("cutlery",F2070)),"Cutlery","Other")))))</f>
        <v>0</v>
      </c>
      <c r="I2070">
        <f>IF('Raw Data'!G2070&lt;&gt;'','Raw Data'!G2070,IFERROR(MID(F2070,SEARCH("MODEL",F2070)+6,20),""))</f>
        <v>0</v>
      </c>
      <c r="J2070">
        <f>'Raw Data'!H2070</f>
        <v>0</v>
      </c>
      <c r="K2070">
        <f>'Raw Data'!I2070</f>
        <v>0</v>
      </c>
      <c r="L2070">
        <f>IF('Raw Data'!N2070&lt;&gt;0,'Raw Data'!N2070,IFERROR(VALUE(MID(F2070,SEARCH("QTY",F2070)+4,IFERROR(FIND(" ",F2070,SEARCH("QTY",F2070)+4)-(SEARCH("QTY",F2070)+4),3))),""))</f>
        <v>0</v>
      </c>
      <c r="M2070">
        <f>'Raw Data'!O2070</f>
        <v>0</v>
      </c>
      <c r="N2070">
        <f>'Raw Data'!P2070</f>
        <v>0</v>
      </c>
      <c r="O2070">
        <f>'Raw Data'!Q2070</f>
        <v>0</v>
      </c>
      <c r="P2070">
        <f>'Raw Data'!R2070</f>
        <v>0</v>
      </c>
      <c r="Q2070">
        <f>'Raw Data'!S2070</f>
        <v>0</v>
      </c>
      <c r="R2070">
        <f>'Raw Data'!T2070</f>
        <v>0</v>
      </c>
      <c r="S2070">
        <f>IFERROR(O2070,0)+IFERROR(R2070,0)</f>
        <v>0</v>
      </c>
      <c r="T2070">
        <f>IF(A2070="","",YEAR(A2070))</f>
        <v>0</v>
      </c>
    </row>
    <row r="2071" spans="1:20">
      <c r="A2071">
        <f>'Raw Data'!B2071</f>
        <v>0</v>
      </c>
      <c r="B2071">
        <f>'Raw Data'!A2071</f>
        <v>0</v>
      </c>
      <c r="C2071">
        <f>'Raw Data'!C2071</f>
        <v>0</v>
      </c>
      <c r="D2071">
        <f>'Raw Data'!D2071</f>
        <v>0</v>
      </c>
      <c r="E2071">
        <f>IFERROR(VLOOKUP(D2071,'Lookup Tables'!$A:$B,2,FALSE),"Unknown")</f>
        <v>0</v>
      </c>
      <c r="F2071">
        <f>'Raw Data'!E2071</f>
        <v>0</v>
      </c>
      <c r="G2071">
        <f>IFERROR(VLOOKUP(D2071,'Lookup Tables'!$A:$C,3,FALSE),IF(ISNUMBER(SEARCH("STEEL",F2071)),"Steel","Others"))</f>
        <v>0</v>
      </c>
      <c r="H2071">
        <f>IF(ISNUMBER(SEARCH("scrubber",F2071)) , "Scrubber", IF(ISNUMBER(SEARCH("container",F2071)),"Container", IF(ISNUMBER(SEARCH("basket",F2071)),"Basket", IF(ISNUMBER(SEARCH("lunch",F2071)),"Lunch Box", IF(ISNUMBER(SEARCH("cutlery",F2071)),"Cutlery","Other")))))</f>
        <v>0</v>
      </c>
      <c r="I2071">
        <f>IF('Raw Data'!G2071&lt;&gt;'','Raw Data'!G2071,IFERROR(MID(F2071,SEARCH("MODEL",F2071)+6,20),""))</f>
        <v>0</v>
      </c>
      <c r="J2071">
        <f>'Raw Data'!H2071</f>
        <v>0</v>
      </c>
      <c r="K2071">
        <f>'Raw Data'!I2071</f>
        <v>0</v>
      </c>
      <c r="L2071">
        <f>IF('Raw Data'!N2071&lt;&gt;0,'Raw Data'!N2071,IFERROR(VALUE(MID(F2071,SEARCH("QTY",F2071)+4,IFERROR(FIND(" ",F2071,SEARCH("QTY",F2071)+4)-(SEARCH("QTY",F2071)+4),3))),""))</f>
        <v>0</v>
      </c>
      <c r="M2071">
        <f>'Raw Data'!O2071</f>
        <v>0</v>
      </c>
      <c r="N2071">
        <f>'Raw Data'!P2071</f>
        <v>0</v>
      </c>
      <c r="O2071">
        <f>'Raw Data'!Q2071</f>
        <v>0</v>
      </c>
      <c r="P2071">
        <f>'Raw Data'!R2071</f>
        <v>0</v>
      </c>
      <c r="Q2071">
        <f>'Raw Data'!S2071</f>
        <v>0</v>
      </c>
      <c r="R2071">
        <f>'Raw Data'!T2071</f>
        <v>0</v>
      </c>
      <c r="S2071">
        <f>IFERROR(O2071,0)+IFERROR(R2071,0)</f>
        <v>0</v>
      </c>
      <c r="T2071">
        <f>IF(A2071="","",YEAR(A2071))</f>
        <v>0</v>
      </c>
    </row>
    <row r="2072" spans="1:20">
      <c r="A2072">
        <f>'Raw Data'!B2072</f>
        <v>0</v>
      </c>
      <c r="B2072">
        <f>'Raw Data'!A2072</f>
        <v>0</v>
      </c>
      <c r="C2072">
        <f>'Raw Data'!C2072</f>
        <v>0</v>
      </c>
      <c r="D2072">
        <f>'Raw Data'!D2072</f>
        <v>0</v>
      </c>
      <c r="E2072">
        <f>IFERROR(VLOOKUP(D2072,'Lookup Tables'!$A:$B,2,FALSE),"Unknown")</f>
        <v>0</v>
      </c>
      <c r="F2072">
        <f>'Raw Data'!E2072</f>
        <v>0</v>
      </c>
      <c r="G2072">
        <f>IFERROR(VLOOKUP(D2072,'Lookup Tables'!$A:$C,3,FALSE),IF(ISNUMBER(SEARCH("STEEL",F2072)),"Steel","Others"))</f>
        <v>0</v>
      </c>
      <c r="H2072">
        <f>IF(ISNUMBER(SEARCH("scrubber",F2072)) , "Scrubber", IF(ISNUMBER(SEARCH("container",F2072)),"Container", IF(ISNUMBER(SEARCH("basket",F2072)),"Basket", IF(ISNUMBER(SEARCH("lunch",F2072)),"Lunch Box", IF(ISNUMBER(SEARCH("cutlery",F2072)),"Cutlery","Other")))))</f>
        <v>0</v>
      </c>
      <c r="I2072">
        <f>IF('Raw Data'!G2072&lt;&gt;'','Raw Data'!G2072,IFERROR(MID(F2072,SEARCH("MODEL",F2072)+6,20),""))</f>
        <v>0</v>
      </c>
      <c r="J2072">
        <f>'Raw Data'!H2072</f>
        <v>0</v>
      </c>
      <c r="K2072">
        <f>'Raw Data'!I2072</f>
        <v>0</v>
      </c>
      <c r="L2072">
        <f>IF('Raw Data'!N2072&lt;&gt;0,'Raw Data'!N2072,IFERROR(VALUE(MID(F2072,SEARCH("QTY",F2072)+4,IFERROR(FIND(" ",F2072,SEARCH("QTY",F2072)+4)-(SEARCH("QTY",F2072)+4),3))),""))</f>
        <v>0</v>
      </c>
      <c r="M2072">
        <f>'Raw Data'!O2072</f>
        <v>0</v>
      </c>
      <c r="N2072">
        <f>'Raw Data'!P2072</f>
        <v>0</v>
      </c>
      <c r="O2072">
        <f>'Raw Data'!Q2072</f>
        <v>0</v>
      </c>
      <c r="P2072">
        <f>'Raw Data'!R2072</f>
        <v>0</v>
      </c>
      <c r="Q2072">
        <f>'Raw Data'!S2072</f>
        <v>0</v>
      </c>
      <c r="R2072">
        <f>'Raw Data'!T2072</f>
        <v>0</v>
      </c>
      <c r="S2072">
        <f>IFERROR(O2072,0)+IFERROR(R2072,0)</f>
        <v>0</v>
      </c>
      <c r="T2072">
        <f>IF(A2072="","",YEAR(A2072))</f>
        <v>0</v>
      </c>
    </row>
    <row r="2073" spans="1:20">
      <c r="A2073">
        <f>'Raw Data'!B2073</f>
        <v>0</v>
      </c>
      <c r="B2073">
        <f>'Raw Data'!A2073</f>
        <v>0</v>
      </c>
      <c r="C2073">
        <f>'Raw Data'!C2073</f>
        <v>0</v>
      </c>
      <c r="D2073">
        <f>'Raw Data'!D2073</f>
        <v>0</v>
      </c>
      <c r="E2073">
        <f>IFERROR(VLOOKUP(D2073,'Lookup Tables'!$A:$B,2,FALSE),"Unknown")</f>
        <v>0</v>
      </c>
      <c r="F2073">
        <f>'Raw Data'!E2073</f>
        <v>0</v>
      </c>
      <c r="G2073">
        <f>IFERROR(VLOOKUP(D2073,'Lookup Tables'!$A:$C,3,FALSE),IF(ISNUMBER(SEARCH("STEEL",F2073)),"Steel","Others"))</f>
        <v>0</v>
      </c>
      <c r="H2073">
        <f>IF(ISNUMBER(SEARCH("scrubber",F2073)) , "Scrubber", IF(ISNUMBER(SEARCH("container",F2073)),"Container", IF(ISNUMBER(SEARCH("basket",F2073)),"Basket", IF(ISNUMBER(SEARCH("lunch",F2073)),"Lunch Box", IF(ISNUMBER(SEARCH("cutlery",F2073)),"Cutlery","Other")))))</f>
        <v>0</v>
      </c>
      <c r="I2073">
        <f>IF('Raw Data'!G2073&lt;&gt;'','Raw Data'!G2073,IFERROR(MID(F2073,SEARCH("MODEL",F2073)+6,20),""))</f>
        <v>0</v>
      </c>
      <c r="J2073">
        <f>'Raw Data'!H2073</f>
        <v>0</v>
      </c>
      <c r="K2073">
        <f>'Raw Data'!I2073</f>
        <v>0</v>
      </c>
      <c r="L2073">
        <f>IF('Raw Data'!N2073&lt;&gt;0,'Raw Data'!N2073,IFERROR(VALUE(MID(F2073,SEARCH("QTY",F2073)+4,IFERROR(FIND(" ",F2073,SEARCH("QTY",F2073)+4)-(SEARCH("QTY",F2073)+4),3))),""))</f>
        <v>0</v>
      </c>
      <c r="M2073">
        <f>'Raw Data'!O2073</f>
        <v>0</v>
      </c>
      <c r="N2073">
        <f>'Raw Data'!P2073</f>
        <v>0</v>
      </c>
      <c r="O2073">
        <f>'Raw Data'!Q2073</f>
        <v>0</v>
      </c>
      <c r="P2073">
        <f>'Raw Data'!R2073</f>
        <v>0</v>
      </c>
      <c r="Q2073">
        <f>'Raw Data'!S2073</f>
        <v>0</v>
      </c>
      <c r="R2073">
        <f>'Raw Data'!T2073</f>
        <v>0</v>
      </c>
      <c r="S2073">
        <f>IFERROR(O2073,0)+IFERROR(R2073,0)</f>
        <v>0</v>
      </c>
      <c r="T2073">
        <f>IF(A2073="","",YEAR(A2073))</f>
        <v>0</v>
      </c>
    </row>
    <row r="2074" spans="1:20">
      <c r="A2074">
        <f>'Raw Data'!B2074</f>
        <v>0</v>
      </c>
      <c r="B2074">
        <f>'Raw Data'!A2074</f>
        <v>0</v>
      </c>
      <c r="C2074">
        <f>'Raw Data'!C2074</f>
        <v>0</v>
      </c>
      <c r="D2074">
        <f>'Raw Data'!D2074</f>
        <v>0</v>
      </c>
      <c r="E2074">
        <f>IFERROR(VLOOKUP(D2074,'Lookup Tables'!$A:$B,2,FALSE),"Unknown")</f>
        <v>0</v>
      </c>
      <c r="F2074">
        <f>'Raw Data'!E2074</f>
        <v>0</v>
      </c>
      <c r="G2074">
        <f>IFERROR(VLOOKUP(D2074,'Lookup Tables'!$A:$C,3,FALSE),IF(ISNUMBER(SEARCH("STEEL",F2074)),"Steel","Others"))</f>
        <v>0</v>
      </c>
      <c r="H2074">
        <f>IF(ISNUMBER(SEARCH("scrubber",F2074)) , "Scrubber", IF(ISNUMBER(SEARCH("container",F2074)),"Container", IF(ISNUMBER(SEARCH("basket",F2074)),"Basket", IF(ISNUMBER(SEARCH("lunch",F2074)),"Lunch Box", IF(ISNUMBER(SEARCH("cutlery",F2074)),"Cutlery","Other")))))</f>
        <v>0</v>
      </c>
      <c r="I2074">
        <f>IF('Raw Data'!G2074&lt;&gt;'','Raw Data'!G2074,IFERROR(MID(F2074,SEARCH("MODEL",F2074)+6,20),""))</f>
        <v>0</v>
      </c>
      <c r="J2074">
        <f>'Raw Data'!H2074</f>
        <v>0</v>
      </c>
      <c r="K2074">
        <f>'Raw Data'!I2074</f>
        <v>0</v>
      </c>
      <c r="L2074">
        <f>IF('Raw Data'!N2074&lt;&gt;0,'Raw Data'!N2074,IFERROR(VALUE(MID(F2074,SEARCH("QTY",F2074)+4,IFERROR(FIND(" ",F2074,SEARCH("QTY",F2074)+4)-(SEARCH("QTY",F2074)+4),3))),""))</f>
        <v>0</v>
      </c>
      <c r="M2074">
        <f>'Raw Data'!O2074</f>
        <v>0</v>
      </c>
      <c r="N2074">
        <f>'Raw Data'!P2074</f>
        <v>0</v>
      </c>
      <c r="O2074">
        <f>'Raw Data'!Q2074</f>
        <v>0</v>
      </c>
      <c r="P2074">
        <f>'Raw Data'!R2074</f>
        <v>0</v>
      </c>
      <c r="Q2074">
        <f>'Raw Data'!S2074</f>
        <v>0</v>
      </c>
      <c r="R2074">
        <f>'Raw Data'!T2074</f>
        <v>0</v>
      </c>
      <c r="S2074">
        <f>IFERROR(O2074,0)+IFERROR(R2074,0)</f>
        <v>0</v>
      </c>
      <c r="T2074">
        <f>IF(A2074="","",YEAR(A2074))</f>
        <v>0</v>
      </c>
    </row>
    <row r="2075" spans="1:20">
      <c r="A2075">
        <f>'Raw Data'!B2075</f>
        <v>0</v>
      </c>
      <c r="B2075">
        <f>'Raw Data'!A2075</f>
        <v>0</v>
      </c>
      <c r="C2075">
        <f>'Raw Data'!C2075</f>
        <v>0</v>
      </c>
      <c r="D2075">
        <f>'Raw Data'!D2075</f>
        <v>0</v>
      </c>
      <c r="E2075">
        <f>IFERROR(VLOOKUP(D2075,'Lookup Tables'!$A:$B,2,FALSE),"Unknown")</f>
        <v>0</v>
      </c>
      <c r="F2075">
        <f>'Raw Data'!E2075</f>
        <v>0</v>
      </c>
      <c r="G2075">
        <f>IFERROR(VLOOKUP(D2075,'Lookup Tables'!$A:$C,3,FALSE),IF(ISNUMBER(SEARCH("STEEL",F2075)),"Steel","Others"))</f>
        <v>0</v>
      </c>
      <c r="H2075">
        <f>IF(ISNUMBER(SEARCH("scrubber",F2075)) , "Scrubber", IF(ISNUMBER(SEARCH("container",F2075)),"Container", IF(ISNUMBER(SEARCH("basket",F2075)),"Basket", IF(ISNUMBER(SEARCH("lunch",F2075)),"Lunch Box", IF(ISNUMBER(SEARCH("cutlery",F2075)),"Cutlery","Other")))))</f>
        <v>0</v>
      </c>
      <c r="I2075">
        <f>IF('Raw Data'!G2075&lt;&gt;'','Raw Data'!G2075,IFERROR(MID(F2075,SEARCH("MODEL",F2075)+6,20),""))</f>
        <v>0</v>
      </c>
      <c r="J2075">
        <f>'Raw Data'!H2075</f>
        <v>0</v>
      </c>
      <c r="K2075">
        <f>'Raw Data'!I2075</f>
        <v>0</v>
      </c>
      <c r="L2075">
        <f>IF('Raw Data'!N2075&lt;&gt;0,'Raw Data'!N2075,IFERROR(VALUE(MID(F2075,SEARCH("QTY",F2075)+4,IFERROR(FIND(" ",F2075,SEARCH("QTY",F2075)+4)-(SEARCH("QTY",F2075)+4),3))),""))</f>
        <v>0</v>
      </c>
      <c r="M2075">
        <f>'Raw Data'!O2075</f>
        <v>0</v>
      </c>
      <c r="N2075">
        <f>'Raw Data'!P2075</f>
        <v>0</v>
      </c>
      <c r="O2075">
        <f>'Raw Data'!Q2075</f>
        <v>0</v>
      </c>
      <c r="P2075">
        <f>'Raw Data'!R2075</f>
        <v>0</v>
      </c>
      <c r="Q2075">
        <f>'Raw Data'!S2075</f>
        <v>0</v>
      </c>
      <c r="R2075">
        <f>'Raw Data'!T2075</f>
        <v>0</v>
      </c>
      <c r="S2075">
        <f>IFERROR(O2075,0)+IFERROR(R2075,0)</f>
        <v>0</v>
      </c>
      <c r="T2075">
        <f>IF(A2075="","",YEAR(A2075))</f>
        <v>0</v>
      </c>
    </row>
    <row r="2076" spans="1:20">
      <c r="A2076">
        <f>'Raw Data'!B2076</f>
        <v>0</v>
      </c>
      <c r="B2076">
        <f>'Raw Data'!A2076</f>
        <v>0</v>
      </c>
      <c r="C2076">
        <f>'Raw Data'!C2076</f>
        <v>0</v>
      </c>
      <c r="D2076">
        <f>'Raw Data'!D2076</f>
        <v>0</v>
      </c>
      <c r="E2076">
        <f>IFERROR(VLOOKUP(D2076,'Lookup Tables'!$A:$B,2,FALSE),"Unknown")</f>
        <v>0</v>
      </c>
      <c r="F2076">
        <f>'Raw Data'!E2076</f>
        <v>0</v>
      </c>
      <c r="G2076">
        <f>IFERROR(VLOOKUP(D2076,'Lookup Tables'!$A:$C,3,FALSE),IF(ISNUMBER(SEARCH("STEEL",F2076)),"Steel","Others"))</f>
        <v>0</v>
      </c>
      <c r="H2076">
        <f>IF(ISNUMBER(SEARCH("scrubber",F2076)) , "Scrubber", IF(ISNUMBER(SEARCH("container",F2076)),"Container", IF(ISNUMBER(SEARCH("basket",F2076)),"Basket", IF(ISNUMBER(SEARCH("lunch",F2076)),"Lunch Box", IF(ISNUMBER(SEARCH("cutlery",F2076)),"Cutlery","Other")))))</f>
        <v>0</v>
      </c>
      <c r="I2076">
        <f>IF('Raw Data'!G2076&lt;&gt;'','Raw Data'!G2076,IFERROR(MID(F2076,SEARCH("MODEL",F2076)+6,20),""))</f>
        <v>0</v>
      </c>
      <c r="J2076">
        <f>'Raw Data'!H2076</f>
        <v>0</v>
      </c>
      <c r="K2076">
        <f>'Raw Data'!I2076</f>
        <v>0</v>
      </c>
      <c r="L2076">
        <f>IF('Raw Data'!N2076&lt;&gt;0,'Raw Data'!N2076,IFERROR(VALUE(MID(F2076,SEARCH("QTY",F2076)+4,IFERROR(FIND(" ",F2076,SEARCH("QTY",F2076)+4)-(SEARCH("QTY",F2076)+4),3))),""))</f>
        <v>0</v>
      </c>
      <c r="M2076">
        <f>'Raw Data'!O2076</f>
        <v>0</v>
      </c>
      <c r="N2076">
        <f>'Raw Data'!P2076</f>
        <v>0</v>
      </c>
      <c r="O2076">
        <f>'Raw Data'!Q2076</f>
        <v>0</v>
      </c>
      <c r="P2076">
        <f>'Raw Data'!R2076</f>
        <v>0</v>
      </c>
      <c r="Q2076">
        <f>'Raw Data'!S2076</f>
        <v>0</v>
      </c>
      <c r="R2076">
        <f>'Raw Data'!T2076</f>
        <v>0</v>
      </c>
      <c r="S2076">
        <f>IFERROR(O2076,0)+IFERROR(R2076,0)</f>
        <v>0</v>
      </c>
      <c r="T2076">
        <f>IF(A2076="","",YEAR(A2076))</f>
        <v>0</v>
      </c>
    </row>
    <row r="2077" spans="1:20">
      <c r="A2077">
        <f>'Raw Data'!B2077</f>
        <v>0</v>
      </c>
      <c r="B2077">
        <f>'Raw Data'!A2077</f>
        <v>0</v>
      </c>
      <c r="C2077">
        <f>'Raw Data'!C2077</f>
        <v>0</v>
      </c>
      <c r="D2077">
        <f>'Raw Data'!D2077</f>
        <v>0</v>
      </c>
      <c r="E2077">
        <f>IFERROR(VLOOKUP(D2077,'Lookup Tables'!$A:$B,2,FALSE),"Unknown")</f>
        <v>0</v>
      </c>
      <c r="F2077">
        <f>'Raw Data'!E2077</f>
        <v>0</v>
      </c>
      <c r="G2077">
        <f>IFERROR(VLOOKUP(D2077,'Lookup Tables'!$A:$C,3,FALSE),IF(ISNUMBER(SEARCH("STEEL",F2077)),"Steel","Others"))</f>
        <v>0</v>
      </c>
      <c r="H2077">
        <f>IF(ISNUMBER(SEARCH("scrubber",F2077)) , "Scrubber", IF(ISNUMBER(SEARCH("container",F2077)),"Container", IF(ISNUMBER(SEARCH("basket",F2077)),"Basket", IF(ISNUMBER(SEARCH("lunch",F2077)),"Lunch Box", IF(ISNUMBER(SEARCH("cutlery",F2077)),"Cutlery","Other")))))</f>
        <v>0</v>
      </c>
      <c r="I2077">
        <f>IF('Raw Data'!G2077&lt;&gt;'','Raw Data'!G2077,IFERROR(MID(F2077,SEARCH("MODEL",F2077)+6,20),""))</f>
        <v>0</v>
      </c>
      <c r="J2077">
        <f>'Raw Data'!H2077</f>
        <v>0</v>
      </c>
      <c r="K2077">
        <f>'Raw Data'!I2077</f>
        <v>0</v>
      </c>
      <c r="L2077">
        <f>IF('Raw Data'!N2077&lt;&gt;0,'Raw Data'!N2077,IFERROR(VALUE(MID(F2077,SEARCH("QTY",F2077)+4,IFERROR(FIND(" ",F2077,SEARCH("QTY",F2077)+4)-(SEARCH("QTY",F2077)+4),3))),""))</f>
        <v>0</v>
      </c>
      <c r="M2077">
        <f>'Raw Data'!O2077</f>
        <v>0</v>
      </c>
      <c r="N2077">
        <f>'Raw Data'!P2077</f>
        <v>0</v>
      </c>
      <c r="O2077">
        <f>'Raw Data'!Q2077</f>
        <v>0</v>
      </c>
      <c r="P2077">
        <f>'Raw Data'!R2077</f>
        <v>0</v>
      </c>
      <c r="Q2077">
        <f>'Raw Data'!S2077</f>
        <v>0</v>
      </c>
      <c r="R2077">
        <f>'Raw Data'!T2077</f>
        <v>0</v>
      </c>
      <c r="S2077">
        <f>IFERROR(O2077,0)+IFERROR(R2077,0)</f>
        <v>0</v>
      </c>
      <c r="T2077">
        <f>IF(A2077="","",YEAR(A2077))</f>
        <v>0</v>
      </c>
    </row>
    <row r="2078" spans="1:20">
      <c r="A2078">
        <f>'Raw Data'!B2078</f>
        <v>0</v>
      </c>
      <c r="B2078">
        <f>'Raw Data'!A2078</f>
        <v>0</v>
      </c>
      <c r="C2078">
        <f>'Raw Data'!C2078</f>
        <v>0</v>
      </c>
      <c r="D2078">
        <f>'Raw Data'!D2078</f>
        <v>0</v>
      </c>
      <c r="E2078">
        <f>IFERROR(VLOOKUP(D2078,'Lookup Tables'!$A:$B,2,FALSE),"Unknown")</f>
        <v>0</v>
      </c>
      <c r="F2078">
        <f>'Raw Data'!E2078</f>
        <v>0</v>
      </c>
      <c r="G2078">
        <f>IFERROR(VLOOKUP(D2078,'Lookup Tables'!$A:$C,3,FALSE),IF(ISNUMBER(SEARCH("STEEL",F2078)),"Steel","Others"))</f>
        <v>0</v>
      </c>
      <c r="H2078">
        <f>IF(ISNUMBER(SEARCH("scrubber",F2078)) , "Scrubber", IF(ISNUMBER(SEARCH("container",F2078)),"Container", IF(ISNUMBER(SEARCH("basket",F2078)),"Basket", IF(ISNUMBER(SEARCH("lunch",F2078)),"Lunch Box", IF(ISNUMBER(SEARCH("cutlery",F2078)),"Cutlery","Other")))))</f>
        <v>0</v>
      </c>
      <c r="I2078">
        <f>IF('Raw Data'!G2078&lt;&gt;'','Raw Data'!G2078,IFERROR(MID(F2078,SEARCH("MODEL",F2078)+6,20),""))</f>
        <v>0</v>
      </c>
      <c r="J2078">
        <f>'Raw Data'!H2078</f>
        <v>0</v>
      </c>
      <c r="K2078">
        <f>'Raw Data'!I2078</f>
        <v>0</v>
      </c>
      <c r="L2078">
        <f>IF('Raw Data'!N2078&lt;&gt;0,'Raw Data'!N2078,IFERROR(VALUE(MID(F2078,SEARCH("QTY",F2078)+4,IFERROR(FIND(" ",F2078,SEARCH("QTY",F2078)+4)-(SEARCH("QTY",F2078)+4),3))),""))</f>
        <v>0</v>
      </c>
      <c r="M2078">
        <f>'Raw Data'!O2078</f>
        <v>0</v>
      </c>
      <c r="N2078">
        <f>'Raw Data'!P2078</f>
        <v>0</v>
      </c>
      <c r="O2078">
        <f>'Raw Data'!Q2078</f>
        <v>0</v>
      </c>
      <c r="P2078">
        <f>'Raw Data'!R2078</f>
        <v>0</v>
      </c>
      <c r="Q2078">
        <f>'Raw Data'!S2078</f>
        <v>0</v>
      </c>
      <c r="R2078">
        <f>'Raw Data'!T2078</f>
        <v>0</v>
      </c>
      <c r="S2078">
        <f>IFERROR(O2078,0)+IFERROR(R2078,0)</f>
        <v>0</v>
      </c>
      <c r="T2078">
        <f>IF(A2078="","",YEAR(A2078))</f>
        <v>0</v>
      </c>
    </row>
    <row r="2079" spans="1:20">
      <c r="A2079">
        <f>'Raw Data'!B2079</f>
        <v>0</v>
      </c>
      <c r="B2079">
        <f>'Raw Data'!A2079</f>
        <v>0</v>
      </c>
      <c r="C2079">
        <f>'Raw Data'!C2079</f>
        <v>0</v>
      </c>
      <c r="D2079">
        <f>'Raw Data'!D2079</f>
        <v>0</v>
      </c>
      <c r="E2079">
        <f>IFERROR(VLOOKUP(D2079,'Lookup Tables'!$A:$B,2,FALSE),"Unknown")</f>
        <v>0</v>
      </c>
      <c r="F2079">
        <f>'Raw Data'!E2079</f>
        <v>0</v>
      </c>
      <c r="G2079">
        <f>IFERROR(VLOOKUP(D2079,'Lookup Tables'!$A:$C,3,FALSE),IF(ISNUMBER(SEARCH("STEEL",F2079)),"Steel","Others"))</f>
        <v>0</v>
      </c>
      <c r="H2079">
        <f>IF(ISNUMBER(SEARCH("scrubber",F2079)) , "Scrubber", IF(ISNUMBER(SEARCH("container",F2079)),"Container", IF(ISNUMBER(SEARCH("basket",F2079)),"Basket", IF(ISNUMBER(SEARCH("lunch",F2079)),"Lunch Box", IF(ISNUMBER(SEARCH("cutlery",F2079)),"Cutlery","Other")))))</f>
        <v>0</v>
      </c>
      <c r="I2079">
        <f>IF('Raw Data'!G2079&lt;&gt;'','Raw Data'!G2079,IFERROR(MID(F2079,SEARCH("MODEL",F2079)+6,20),""))</f>
        <v>0</v>
      </c>
      <c r="J2079">
        <f>'Raw Data'!H2079</f>
        <v>0</v>
      </c>
      <c r="K2079">
        <f>'Raw Data'!I2079</f>
        <v>0</v>
      </c>
      <c r="L2079">
        <f>IF('Raw Data'!N2079&lt;&gt;0,'Raw Data'!N2079,IFERROR(VALUE(MID(F2079,SEARCH("QTY",F2079)+4,IFERROR(FIND(" ",F2079,SEARCH("QTY",F2079)+4)-(SEARCH("QTY",F2079)+4),3))),""))</f>
        <v>0</v>
      </c>
      <c r="M2079">
        <f>'Raw Data'!O2079</f>
        <v>0</v>
      </c>
      <c r="N2079">
        <f>'Raw Data'!P2079</f>
        <v>0</v>
      </c>
      <c r="O2079">
        <f>'Raw Data'!Q2079</f>
        <v>0</v>
      </c>
      <c r="P2079">
        <f>'Raw Data'!R2079</f>
        <v>0</v>
      </c>
      <c r="Q2079">
        <f>'Raw Data'!S2079</f>
        <v>0</v>
      </c>
      <c r="R2079">
        <f>'Raw Data'!T2079</f>
        <v>0</v>
      </c>
      <c r="S2079">
        <f>IFERROR(O2079,0)+IFERROR(R2079,0)</f>
        <v>0</v>
      </c>
      <c r="T2079">
        <f>IF(A2079="","",YEAR(A2079))</f>
        <v>0</v>
      </c>
    </row>
    <row r="2080" spans="1:20">
      <c r="A2080">
        <f>'Raw Data'!B2080</f>
        <v>0</v>
      </c>
      <c r="B2080">
        <f>'Raw Data'!A2080</f>
        <v>0</v>
      </c>
      <c r="C2080">
        <f>'Raw Data'!C2080</f>
        <v>0</v>
      </c>
      <c r="D2080">
        <f>'Raw Data'!D2080</f>
        <v>0</v>
      </c>
      <c r="E2080">
        <f>IFERROR(VLOOKUP(D2080,'Lookup Tables'!$A:$B,2,FALSE),"Unknown")</f>
        <v>0</v>
      </c>
      <c r="F2080">
        <f>'Raw Data'!E2080</f>
        <v>0</v>
      </c>
      <c r="G2080">
        <f>IFERROR(VLOOKUP(D2080,'Lookup Tables'!$A:$C,3,FALSE),IF(ISNUMBER(SEARCH("STEEL",F2080)),"Steel","Others"))</f>
        <v>0</v>
      </c>
      <c r="H2080">
        <f>IF(ISNUMBER(SEARCH("scrubber",F2080)) , "Scrubber", IF(ISNUMBER(SEARCH("container",F2080)),"Container", IF(ISNUMBER(SEARCH("basket",F2080)),"Basket", IF(ISNUMBER(SEARCH("lunch",F2080)),"Lunch Box", IF(ISNUMBER(SEARCH("cutlery",F2080)),"Cutlery","Other")))))</f>
        <v>0</v>
      </c>
      <c r="I2080">
        <f>IF('Raw Data'!G2080&lt;&gt;'','Raw Data'!G2080,IFERROR(MID(F2080,SEARCH("MODEL",F2080)+6,20),""))</f>
        <v>0</v>
      </c>
      <c r="J2080">
        <f>'Raw Data'!H2080</f>
        <v>0</v>
      </c>
      <c r="K2080">
        <f>'Raw Data'!I2080</f>
        <v>0</v>
      </c>
      <c r="L2080">
        <f>IF('Raw Data'!N2080&lt;&gt;0,'Raw Data'!N2080,IFERROR(VALUE(MID(F2080,SEARCH("QTY",F2080)+4,IFERROR(FIND(" ",F2080,SEARCH("QTY",F2080)+4)-(SEARCH("QTY",F2080)+4),3))),""))</f>
        <v>0</v>
      </c>
      <c r="M2080">
        <f>'Raw Data'!O2080</f>
        <v>0</v>
      </c>
      <c r="N2080">
        <f>'Raw Data'!P2080</f>
        <v>0</v>
      </c>
      <c r="O2080">
        <f>'Raw Data'!Q2080</f>
        <v>0</v>
      </c>
      <c r="P2080">
        <f>'Raw Data'!R2080</f>
        <v>0</v>
      </c>
      <c r="Q2080">
        <f>'Raw Data'!S2080</f>
        <v>0</v>
      </c>
      <c r="R2080">
        <f>'Raw Data'!T2080</f>
        <v>0</v>
      </c>
      <c r="S2080">
        <f>IFERROR(O2080,0)+IFERROR(R2080,0)</f>
        <v>0</v>
      </c>
      <c r="T2080">
        <f>IF(A2080="","",YEAR(A2080))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2776</v>
      </c>
      <c r="B1" t="s">
        <v>2771</v>
      </c>
      <c r="C1" t="s">
        <v>2774</v>
      </c>
      <c r="D1" t="s">
        <v>2775</v>
      </c>
      <c r="E1" t="s">
        <v>2777</v>
      </c>
    </row>
    <row r="2" spans="1:5">
      <c r="A2">
        <v>2017</v>
      </c>
      <c r="B2">
        <f>SUMIFS('Cleaned Data'!O:O,'Cleaned Data'!T:T,2017)</f>
        <v>0</v>
      </c>
      <c r="C2">
        <f>SUMIFS('Cleaned Data'!R:R,'Cleaned Data'!T:T,2017)</f>
        <v>0</v>
      </c>
      <c r="D2">
        <f>SUMIFS('Cleaned Data'!S:S,'Cleaned Data'!T:T,2017)</f>
        <v>0</v>
      </c>
    </row>
    <row r="3" spans="1:5">
      <c r="A3">
        <v>2018</v>
      </c>
      <c r="B3">
        <f>SUMIFS('Cleaned Data'!O:O,'Cleaned Data'!T:T,2018)</f>
        <v>0</v>
      </c>
      <c r="C3">
        <f>SUMIFS('Cleaned Data'!R:R,'Cleaned Data'!T:T,2018)</f>
        <v>0</v>
      </c>
      <c r="D3">
        <f>SUMIFS('Cleaned Data'!S:S,'Cleaned Data'!T:T,2018)</f>
        <v>0</v>
      </c>
      <c r="E3">
        <f>IFERROR((D3-D2)/D2,"")</f>
        <v>0</v>
      </c>
    </row>
    <row r="4" spans="1:5">
      <c r="A4">
        <v>2019</v>
      </c>
      <c r="B4">
        <f>SUMIFS('Cleaned Data'!O:O,'Cleaned Data'!T:T,2019)</f>
        <v>0</v>
      </c>
      <c r="C4">
        <f>SUMIFS('Cleaned Data'!R:R,'Cleaned Data'!T:T,2019)</f>
        <v>0</v>
      </c>
      <c r="D4">
        <f>SUMIFS('Cleaned Data'!S:S,'Cleaned Data'!T:T,2019)</f>
        <v>0</v>
      </c>
      <c r="E4">
        <f>IFERROR((D4-D3)/D3,"")</f>
        <v>0</v>
      </c>
    </row>
    <row r="5" spans="1:5">
      <c r="A5">
        <v>2020</v>
      </c>
      <c r="B5">
        <f>SUMIFS('Cleaned Data'!O:O,'Cleaned Data'!T:T,2020)</f>
        <v>0</v>
      </c>
      <c r="C5">
        <f>SUMIFS('Cleaned Data'!R:R,'Cleaned Data'!T:T,2020)</f>
        <v>0</v>
      </c>
      <c r="D5">
        <f>SUMIFS('Cleaned Data'!S:S,'Cleaned Data'!T:T,2020)</f>
        <v>0</v>
      </c>
      <c r="E5">
        <f>IFERROR((D5-D4)/D4,"")</f>
        <v>0</v>
      </c>
    </row>
    <row r="6" spans="1:5">
      <c r="A6">
        <v>2021</v>
      </c>
      <c r="B6">
        <f>SUMIFS('Cleaned Data'!O:O,'Cleaned Data'!T:T,2021)</f>
        <v>0</v>
      </c>
      <c r="C6">
        <f>SUMIFS('Cleaned Data'!R:R,'Cleaned Data'!T:T,2021)</f>
        <v>0</v>
      </c>
      <c r="D6">
        <f>SUMIFS('Cleaned Data'!S:S,'Cleaned Data'!T:T,2021)</f>
        <v>0</v>
      </c>
      <c r="E6">
        <f>IFERROR((D6-D5)/D5,"")</f>
        <v>0</v>
      </c>
    </row>
    <row r="7" spans="1:5">
      <c r="A7">
        <v>2022</v>
      </c>
      <c r="B7">
        <f>SUMIFS('Cleaned Data'!O:O,'Cleaned Data'!T:T,2022)</f>
        <v>0</v>
      </c>
      <c r="C7">
        <f>SUMIFS('Cleaned Data'!R:R,'Cleaned Data'!T:T,2022)</f>
        <v>0</v>
      </c>
      <c r="D7">
        <f>SUMIFS('Cleaned Data'!S:S,'Cleaned Data'!T:T,2022)</f>
        <v>0</v>
      </c>
      <c r="E7">
        <f>IFERROR((D7-D6)/D6,"")</f>
        <v>0</v>
      </c>
    </row>
    <row r="8" spans="1:5">
      <c r="A8">
        <v>2023</v>
      </c>
      <c r="B8">
        <f>SUMIFS('Cleaned Data'!O:O,'Cleaned Data'!T:T,2023)</f>
        <v>0</v>
      </c>
      <c r="C8">
        <f>SUMIFS('Cleaned Data'!R:R,'Cleaned Data'!T:T,2023)</f>
        <v>0</v>
      </c>
      <c r="D8">
        <f>SUMIFS('Cleaned Data'!S:S,'Cleaned Data'!T:T,2023)</f>
        <v>0</v>
      </c>
      <c r="E8">
        <f>IFERROR((D8-D7)/D7,"")</f>
        <v>0</v>
      </c>
    </row>
    <row r="9" spans="1:5">
      <c r="A9">
        <v>2024</v>
      </c>
      <c r="B9">
        <f>SUMIFS('Cleaned Data'!O:O,'Cleaned Data'!T:T,2024)</f>
        <v>0</v>
      </c>
      <c r="C9">
        <f>SUMIFS('Cleaned Data'!R:R,'Cleaned Data'!T:T,2024)</f>
        <v>0</v>
      </c>
      <c r="D9">
        <f>SUMIFS('Cleaned Data'!S:S,'Cleaned Data'!T:T,2024)</f>
        <v>0</v>
      </c>
      <c r="E9">
        <f>IFERROR((D9-D8)/D8,"")</f>
        <v>0</v>
      </c>
    </row>
    <row r="10" spans="1:5">
      <c r="A10">
        <v>2025</v>
      </c>
      <c r="B10">
        <f>SUMIFS('Cleaned Data'!O:O,'Cleaned Data'!T:T,2025)</f>
        <v>0</v>
      </c>
      <c r="C10">
        <f>SUMIFS('Cleaned Data'!R:R,'Cleaned Data'!T:T,2025)</f>
        <v>0</v>
      </c>
      <c r="D10">
        <f>SUMIFS('Cleaned Data'!S:S,'Cleaned Data'!T:T,2025)</f>
        <v>0</v>
      </c>
      <c r="E10">
        <f>IFERROR((D10-D9)/D9,"")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2752</v>
      </c>
      <c r="B1" t="s">
        <v>2753</v>
      </c>
      <c r="C1" t="s">
        <v>2771</v>
      </c>
      <c r="D1" t="s">
        <v>2774</v>
      </c>
      <c r="E1" t="s">
        <v>2775</v>
      </c>
      <c r="F1" t="s">
        <v>2778</v>
      </c>
    </row>
    <row r="2" spans="1:6">
      <c r="A2" t="s">
        <v>2779</v>
      </c>
      <c r="B2">
        <f>IFERROR(VLOOKUP(A2,'Lookup Tables'!$A:$B,2,FALSE),"Unknown")</f>
        <v>0</v>
      </c>
      <c r="C2">
        <f>SUMIFS('Cleaned Data'!O:O,'Cleaned Data'!D:D,A2)</f>
        <v>0</v>
      </c>
      <c r="D2">
        <f>SUMIFS('Cleaned Data'!R:R,'Cleaned Data'!D:D,A2)</f>
        <v>0</v>
      </c>
      <c r="E2">
        <f>SUMIFS('Cleaned Data'!S:S,'Cleaned Data'!D:D,A2)</f>
        <v>0</v>
      </c>
      <c r="F2">
        <f>IF($E$6=0,0, E2/$E$6)</f>
        <v>0</v>
      </c>
    </row>
    <row r="3" spans="1:6">
      <c r="A3" t="s">
        <v>2780</v>
      </c>
      <c r="B3">
        <f>IFERROR(VLOOKUP(A3,'Lookup Tables'!$A:$B,2,FALSE),"Unknown")</f>
        <v>0</v>
      </c>
      <c r="C3">
        <f>SUMIFS('Cleaned Data'!O:O,'Cleaned Data'!D:D,A3)</f>
        <v>0</v>
      </c>
      <c r="D3">
        <f>SUMIFS('Cleaned Data'!R:R,'Cleaned Data'!D:D,A3)</f>
        <v>0</v>
      </c>
      <c r="E3">
        <f>SUMIFS('Cleaned Data'!S:S,'Cleaned Data'!D:D,A3)</f>
        <v>0</v>
      </c>
      <c r="F3">
        <f>IF($E$6=0,0, E3/$E$6)</f>
        <v>0</v>
      </c>
    </row>
    <row r="4" spans="1:6">
      <c r="A4" t="s">
        <v>2755</v>
      </c>
      <c r="B4">
        <f>IFERROR(VLOOKUP(A4,'Lookup Tables'!$A:$B,2,FALSE),"Unknown")</f>
        <v>0</v>
      </c>
      <c r="C4">
        <f>SUMIFS('Cleaned Data'!O:O,'Cleaned Data'!D:D,A4)</f>
        <v>0</v>
      </c>
      <c r="D4">
        <f>SUMIFS('Cleaned Data'!R:R,'Cleaned Data'!D:D,A4)</f>
        <v>0</v>
      </c>
      <c r="E4">
        <f>SUMIFS('Cleaned Data'!S:S,'Cleaned Data'!D:D,A4)</f>
        <v>0</v>
      </c>
      <c r="F4">
        <f>IF($E$6=0,0, E4/$E$6)</f>
        <v>0</v>
      </c>
    </row>
    <row r="6" spans="1:6">
      <c r="C6">
        <f>SUM(C2:C4)</f>
        <v>0</v>
      </c>
      <c r="E6">
        <f>SUM(E2:E4)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6</v>
      </c>
      <c r="B1" t="s">
        <v>2781</v>
      </c>
      <c r="C1" t="s">
        <v>2771</v>
      </c>
      <c r="D1" t="s">
        <v>2782</v>
      </c>
      <c r="E1" t="s">
        <v>2783</v>
      </c>
      <c r="F1" t="s">
        <v>2784</v>
      </c>
    </row>
    <row r="3" spans="1:6">
      <c r="C3">
        <f>SUM(C2:C1)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2</v>
      </c>
      <c r="B1" t="s">
        <v>2771</v>
      </c>
      <c r="C1" t="s">
        <v>2781</v>
      </c>
      <c r="D1" t="s">
        <v>2778</v>
      </c>
    </row>
    <row r="2" spans="1:4">
      <c r="A2" t="s">
        <v>2785</v>
      </c>
      <c r="B2">
        <f>SUMIFS('Cleaned Data'!O:O,'Cleaned Data'!C:C,"301049751")</f>
        <v>0</v>
      </c>
      <c r="C2">
        <f>SUMIFS('Cleaned Data'!L:L,'Cleaned Data'!C:C,"301049751")</f>
        <v>0</v>
      </c>
      <c r="D2">
        <f>IF($B$4=0,0, B2/$B$4)</f>
        <v>0</v>
      </c>
    </row>
    <row r="4" spans="1:4">
      <c r="B4">
        <f>SUM(B2:B2)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2786</v>
      </c>
    </row>
    <row r="2" spans="1:1">
      <c r="A2" t="s">
        <v>2787</v>
      </c>
    </row>
    <row r="3" spans="1:1">
      <c r="A3" t="s">
        <v>2788</v>
      </c>
    </row>
    <row r="4" spans="1:1">
      <c r="A4" t="s">
        <v>2789</v>
      </c>
    </row>
    <row r="5" spans="1:1">
      <c r="A5" t="s">
        <v>2790</v>
      </c>
    </row>
    <row r="6" spans="1:1">
      <c r="A6" t="s">
        <v>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Lookup Tables</vt:lpstr>
      <vt:lpstr>Cleaned Data</vt:lpstr>
      <vt:lpstr>Year Summary</vt:lpstr>
      <vt:lpstr>HSN Summary</vt:lpstr>
      <vt:lpstr>Model Summary</vt:lpstr>
      <vt:lpstr>Supplier Summary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2025-11-17T18:26:34Z</dcterms:created>
  <dcterms:modified xsi:type="dcterms:W3CDTF">2025-11-17T18:26:34Z</dcterms:modified>
</cp:coreProperties>
</file>